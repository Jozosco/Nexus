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1010\"/>
    </mc:Choice>
  </mc:AlternateContent>
  <bookViews>
    <workbookView xWindow="0" yWindow="0" windowWidth="25125" windowHeight="11640" firstSheet="5" activeTab="16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4" i="11" l="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<sst xmlns="http://schemas.openxmlformats.org/spreadsheetml/2006/main" count="306" uniqueCount="35">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</sst>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-1662808</v>
      </c>
      <c r="C3" s="2">
        <v>0</v>
      </c>
      <c r="D3" s="2">
        <v>0</v>
      </c>
      <c r="E3" s="2">
        <v>1662808</v>
      </c>
      <c r="F3" s="2">
        <v>992526</v>
      </c>
    </row>
    <row r="4" spans="1:6" x14ac:dyDescent="0.3">
      <c r="A4" s="1" t="s">
        <v>27</v>
      </c>
      <c r="B4" s="2">
        <f t="shared" ref="B4:B14" si="0">C4-E4</f>
        <v>-531055</v>
      </c>
      <c r="C4" s="2">
        <v>0</v>
      </c>
      <c r="D4" s="2">
        <v>0</v>
      </c>
      <c r="E4" s="2">
        <v>531055</v>
      </c>
      <c r="F4" s="2">
        <v>313031</v>
      </c>
    </row>
    <row r="5" spans="1:6" x14ac:dyDescent="0.3">
      <c r="A5" s="1" t="s">
        <v>28</v>
      </c>
      <c r="B5" s="2">
        <f t="shared" si="0"/>
        <v>-133558</v>
      </c>
      <c r="C5" s="2">
        <v>0</v>
      </c>
      <c r="D5" s="2">
        <v>0</v>
      </c>
      <c r="E5" s="2">
        <v>133558</v>
      </c>
      <c r="F5" s="2">
        <v>95986</v>
      </c>
    </row>
    <row r="6" spans="1:6" x14ac:dyDescent="0.3">
      <c r="A6" s="1" t="s">
        <v>3</v>
      </c>
      <c r="B6" s="2">
        <f t="shared" si="0"/>
        <v>-27705</v>
      </c>
      <c r="C6" s="2">
        <v>0</v>
      </c>
      <c r="D6" s="2">
        <v>0</v>
      </c>
      <c r="E6" s="2">
        <v>27705</v>
      </c>
      <c r="F6" s="2">
        <v>19219</v>
      </c>
    </row>
    <row r="7" spans="1:6" x14ac:dyDescent="0.3">
      <c r="A7" s="1" t="s">
        <v>4</v>
      </c>
      <c r="B7" s="2">
        <f t="shared" si="0"/>
        <v>-41</v>
      </c>
      <c r="C7" s="2">
        <v>0</v>
      </c>
      <c r="D7" s="2">
        <v>0</v>
      </c>
      <c r="E7" s="2">
        <v>41</v>
      </c>
      <c r="F7" s="2">
        <v>23</v>
      </c>
    </row>
    <row r="8" spans="1:6" x14ac:dyDescent="0.3">
      <c r="A8" s="1" t="s">
        <v>5</v>
      </c>
      <c r="B8" s="2">
        <f t="shared" si="0"/>
        <v>-58379</v>
      </c>
      <c r="C8" s="2">
        <v>0</v>
      </c>
      <c r="D8" s="2">
        <v>0</v>
      </c>
      <c r="E8" s="2">
        <v>58379</v>
      </c>
      <c r="F8" s="2">
        <v>43462</v>
      </c>
    </row>
    <row r="9" spans="1:6" x14ac:dyDescent="0.3">
      <c r="A9" s="1" t="s">
        <v>6</v>
      </c>
      <c r="B9" s="2">
        <f t="shared" si="0"/>
        <v>-534237</v>
      </c>
      <c r="C9" s="2">
        <v>0</v>
      </c>
      <c r="D9" s="2">
        <v>0</v>
      </c>
      <c r="E9" s="2">
        <v>534237</v>
      </c>
      <c r="F9" s="2">
        <v>291127</v>
      </c>
    </row>
    <row r="10" spans="1:6" x14ac:dyDescent="0.3">
      <c r="A10" s="1" t="s">
        <v>7</v>
      </c>
      <c r="B10" s="2">
        <f t="shared" si="0"/>
        <v>-1654399</v>
      </c>
      <c r="C10" s="2">
        <v>0</v>
      </c>
      <c r="D10" s="2">
        <v>0</v>
      </c>
      <c r="E10" s="2">
        <v>1654399</v>
      </c>
      <c r="F10" s="2">
        <v>962647</v>
      </c>
    </row>
    <row r="11" spans="1:6" x14ac:dyDescent="0.3">
      <c r="A11" s="1" t="s">
        <v>8</v>
      </c>
      <c r="B11" s="2">
        <f t="shared" si="0"/>
        <v>-1223202</v>
      </c>
      <c r="C11" s="2">
        <v>0</v>
      </c>
      <c r="D11" s="2">
        <v>0</v>
      </c>
      <c r="E11" s="2">
        <v>1223202</v>
      </c>
      <c r="F11" s="2">
        <v>689977</v>
      </c>
    </row>
    <row r="12" spans="1:6" x14ac:dyDescent="0.3">
      <c r="A12" s="1" t="s">
        <v>9</v>
      </c>
      <c r="B12" s="2">
        <f t="shared" si="0"/>
        <v>-78392</v>
      </c>
      <c r="C12" s="2">
        <v>0</v>
      </c>
      <c r="D12" s="2">
        <v>0</v>
      </c>
      <c r="E12" s="2">
        <v>78392</v>
      </c>
      <c r="F12" s="2">
        <v>45864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-164850</v>
      </c>
      <c r="C14" s="2">
        <v>0</v>
      </c>
      <c r="D14" s="2">
        <v>0</v>
      </c>
      <c r="E14" s="2">
        <v>164850</v>
      </c>
      <c r="F14" s="2">
        <v>94464</v>
      </c>
    </row>
    <row r="15" spans="1:6" ht="17.25" thickBot="1" x14ac:dyDescent="0.35">
      <c r="A15" s="4" t="s">
        <v>30</v>
      </c>
      <c r="B15" s="5">
        <f>SUM(B3:B14)</f>
        <v>-6068626</v>
      </c>
      <c r="C15" s="5">
        <f t="shared" ref="C15:F15" si="1">SUM(C3:C14)</f>
        <v>0</v>
      </c>
      <c r="D15" s="5">
        <f t="shared" si="1"/>
        <v>0</v>
      </c>
      <c r="E15" s="5">
        <f t="shared" si="1"/>
        <v>6068626</v>
      </c>
      <c r="F15" s="5">
        <f t="shared" si="1"/>
        <v>3548326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-398333</v>
      </c>
      <c r="C3" s="2">
        <v>0</v>
      </c>
      <c r="D3" s="2">
        <v>0</v>
      </c>
      <c r="E3" s="2">
        <v>398333</v>
      </c>
      <c r="F3" s="2">
        <v>198198</v>
      </c>
    </row>
    <row r="4" spans="1:6" x14ac:dyDescent="0.3">
      <c r="A4" s="1" t="s">
        <v>27</v>
      </c>
      <c r="B4" s="2">
        <f t="shared" ref="B4:B14" si="0">C4-E4</f>
        <v>-102586</v>
      </c>
      <c r="C4" s="2">
        <v>0</v>
      </c>
      <c r="D4" s="2">
        <v>0</v>
      </c>
      <c r="E4" s="2">
        <v>102586</v>
      </c>
      <c r="F4" s="2">
        <v>45864</v>
      </c>
    </row>
    <row r="5" spans="1:6" x14ac:dyDescent="0.3">
      <c r="A5" s="1" t="s">
        <v>28</v>
      </c>
      <c r="B5" s="2">
        <f t="shared" si="0"/>
        <v>-49277</v>
      </c>
      <c r="C5" s="2">
        <v>0</v>
      </c>
      <c r="D5" s="2">
        <v>0</v>
      </c>
      <c r="E5" s="2">
        <v>49277</v>
      </c>
      <c r="F5" s="2">
        <v>22932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-34485</v>
      </c>
      <c r="C7" s="2">
        <v>0</v>
      </c>
      <c r="D7" s="2">
        <v>0</v>
      </c>
      <c r="E7" s="2">
        <v>34485</v>
      </c>
      <c r="F7" s="2">
        <v>20900</v>
      </c>
    </row>
    <row r="8" spans="1:6" x14ac:dyDescent="0.3">
      <c r="A8" s="1" t="s">
        <v>5</v>
      </c>
      <c r="B8" s="2">
        <f t="shared" si="0"/>
        <v>-23472</v>
      </c>
      <c r="C8" s="2">
        <v>0</v>
      </c>
      <c r="D8" s="2">
        <v>0</v>
      </c>
      <c r="E8" s="2">
        <v>23472</v>
      </c>
      <c r="F8" s="2">
        <v>13104</v>
      </c>
    </row>
    <row r="9" spans="1:6" x14ac:dyDescent="0.3">
      <c r="A9" s="1" t="s">
        <v>6</v>
      </c>
      <c r="B9" s="2">
        <f t="shared" si="0"/>
        <v>-380923</v>
      </c>
      <c r="C9" s="2">
        <v>0</v>
      </c>
      <c r="D9" s="2">
        <v>0</v>
      </c>
      <c r="E9" s="2">
        <v>380923</v>
      </c>
      <c r="F9" s="2">
        <v>163800</v>
      </c>
    </row>
    <row r="10" spans="1:6" x14ac:dyDescent="0.3">
      <c r="A10" s="1" t="s">
        <v>7</v>
      </c>
      <c r="B10" s="2">
        <f t="shared" si="0"/>
        <v>-300864</v>
      </c>
      <c r="C10" s="2">
        <v>0</v>
      </c>
      <c r="D10" s="2">
        <v>0</v>
      </c>
      <c r="E10" s="2">
        <v>300864</v>
      </c>
      <c r="F10" s="2">
        <v>139776</v>
      </c>
    </row>
    <row r="11" spans="1:6" x14ac:dyDescent="0.3">
      <c r="A11" s="1" t="s">
        <v>8</v>
      </c>
      <c r="B11" s="2">
        <f t="shared" si="0"/>
        <v>-39445</v>
      </c>
      <c r="C11" s="2">
        <v>0</v>
      </c>
      <c r="D11" s="2">
        <v>0</v>
      </c>
      <c r="E11" s="2">
        <v>39445</v>
      </c>
      <c r="F11" s="2">
        <v>21134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-114460</v>
      </c>
      <c r="C13" s="2">
        <v>0</v>
      </c>
      <c r="D13" s="2">
        <v>0</v>
      </c>
      <c r="E13" s="2">
        <v>114460</v>
      </c>
      <c r="F13" s="2">
        <v>54322</v>
      </c>
    </row>
    <row r="14" spans="1:6" x14ac:dyDescent="0.3">
      <c r="A14" s="1" t="s">
        <v>11</v>
      </c>
      <c r="B14" s="2">
        <f t="shared" si="0"/>
        <v>-358285</v>
      </c>
      <c r="C14" s="2">
        <v>0</v>
      </c>
      <c r="D14" s="2">
        <v>0</v>
      </c>
      <c r="E14" s="2">
        <v>358285</v>
      </c>
      <c r="F14" s="2">
        <v>178911</v>
      </c>
    </row>
    <row r="15" spans="1:6" ht="17.25" thickBot="1" x14ac:dyDescent="0.35">
      <c r="A15" s="4" t="s">
        <v>32</v>
      </c>
      <c r="B15" s="5">
        <f>SUM(B3:B14)</f>
        <v>-1802130</v>
      </c>
      <c r="C15" s="5">
        <f t="shared" ref="C15:F15" si="1">SUM(C3:C14)</f>
        <v>0</v>
      </c>
      <c r="D15" s="5">
        <f t="shared" si="1"/>
        <v>0</v>
      </c>
      <c r="E15" s="5">
        <f t="shared" si="1"/>
        <v>1802130</v>
      </c>
      <c r="F15" s="5">
        <f t="shared" si="1"/>
        <v>858941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-1174875</v>
      </c>
      <c r="C3" s="2">
        <v>0</v>
      </c>
      <c r="D3" s="2">
        <v>0</v>
      </c>
      <c r="E3" s="2">
        <v>1174875</v>
      </c>
      <c r="F3" s="2">
        <v>556228</v>
      </c>
    </row>
    <row r="4" spans="1:6" x14ac:dyDescent="0.3">
      <c r="A4" s="1" t="s">
        <v>27</v>
      </c>
      <c r="B4" s="2">
        <f t="shared" ref="B4:B14" si="0">C4-E4</f>
        <v>-178934</v>
      </c>
      <c r="C4" s="2">
        <v>0</v>
      </c>
      <c r="D4" s="2">
        <v>0</v>
      </c>
      <c r="E4" s="2">
        <v>178934</v>
      </c>
      <c r="F4" s="2">
        <v>86328</v>
      </c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-154757</v>
      </c>
      <c r="C8" s="2">
        <v>0</v>
      </c>
      <c r="D8" s="2">
        <v>0</v>
      </c>
      <c r="E8" s="2">
        <v>154757</v>
      </c>
      <c r="F8" s="2">
        <v>101480</v>
      </c>
    </row>
    <row r="9" spans="1:6" x14ac:dyDescent="0.3">
      <c r="A9" s="1" t="s">
        <v>6</v>
      </c>
      <c r="B9" s="2">
        <f t="shared" si="0"/>
        <v>-154360</v>
      </c>
      <c r="C9" s="2">
        <v>0</v>
      </c>
      <c r="D9" s="2">
        <v>0</v>
      </c>
      <c r="E9" s="2">
        <v>154360</v>
      </c>
      <c r="F9" s="2">
        <v>101220</v>
      </c>
    </row>
    <row r="10" spans="1:6" x14ac:dyDescent="0.3">
      <c r="A10" s="1" t="s">
        <v>7</v>
      </c>
      <c r="B10" s="2">
        <f t="shared" si="0"/>
        <v>-404029</v>
      </c>
      <c r="C10" s="2">
        <v>0</v>
      </c>
      <c r="D10" s="2">
        <v>0</v>
      </c>
      <c r="E10" s="2">
        <v>404029</v>
      </c>
      <c r="F10" s="2">
        <v>240512</v>
      </c>
    </row>
    <row r="11" spans="1:6" x14ac:dyDescent="0.3">
      <c r="A11" s="1" t="s">
        <v>8</v>
      </c>
      <c r="B11" s="2">
        <f t="shared" si="0"/>
        <v>-344947</v>
      </c>
      <c r="C11" s="2">
        <v>0</v>
      </c>
      <c r="D11" s="2">
        <v>0</v>
      </c>
      <c r="E11" s="2">
        <v>344947</v>
      </c>
      <c r="F11" s="2">
        <v>149059</v>
      </c>
    </row>
    <row r="12" spans="1:6" x14ac:dyDescent="0.3">
      <c r="A12" s="1" t="s">
        <v>9</v>
      </c>
      <c r="B12" s="2">
        <f t="shared" si="0"/>
        <v>-132510</v>
      </c>
      <c r="C12" s="2">
        <v>0</v>
      </c>
      <c r="D12" s="2">
        <v>0</v>
      </c>
      <c r="E12" s="2">
        <v>132510</v>
      </c>
      <c r="F12" s="2">
        <v>57330</v>
      </c>
    </row>
    <row r="13" spans="1:6" x14ac:dyDescent="0.3">
      <c r="A13" s="1" t="s">
        <v>10</v>
      </c>
      <c r="B13" s="2">
        <f t="shared" si="0"/>
        <v>-46672</v>
      </c>
      <c r="C13" s="2">
        <v>0</v>
      </c>
      <c r="D13" s="2">
        <v>0</v>
      </c>
      <c r="E13" s="2">
        <v>46672</v>
      </c>
      <c r="F13" s="2">
        <v>22932</v>
      </c>
    </row>
    <row r="14" spans="1:6" x14ac:dyDescent="0.3">
      <c r="A14" s="1" t="s">
        <v>11</v>
      </c>
      <c r="B14" s="2">
        <f t="shared" si="0"/>
        <v>-1551</v>
      </c>
      <c r="C14" s="2">
        <v>0</v>
      </c>
      <c r="D14" s="2">
        <v>0</v>
      </c>
      <c r="E14" s="2">
        <v>1551</v>
      </c>
      <c r="F14" s="2">
        <v>262</v>
      </c>
    </row>
    <row r="15" spans="1:6" ht="17.25" thickBot="1" x14ac:dyDescent="0.35">
      <c r="A15" s="4" t="s">
        <v>29</v>
      </c>
      <c r="B15" s="5">
        <f>SUM(B3:B14)</f>
        <v>-2592635</v>
      </c>
      <c r="C15" s="5">
        <f t="shared" ref="C15:F15" si="1">SUM(C3:C14)</f>
        <v>0</v>
      </c>
      <c r="D15" s="5">
        <f t="shared" si="1"/>
        <v>0</v>
      </c>
      <c r="E15" s="5">
        <f t="shared" si="1"/>
        <v>2592635</v>
      </c>
      <c r="F15" s="5">
        <f t="shared" si="1"/>
        <v>1315351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-300683</v>
      </c>
      <c r="C3" s="2">
        <v>0</v>
      </c>
      <c r="D3" s="2">
        <v>0</v>
      </c>
      <c r="E3" s="2">
        <v>300683</v>
      </c>
      <c r="F3" s="2">
        <v>143096</v>
      </c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-64829</v>
      </c>
      <c r="C5" s="2">
        <v>0</v>
      </c>
      <c r="D5" s="2">
        <v>0</v>
      </c>
      <c r="E5" s="2">
        <v>64829</v>
      </c>
      <c r="F5" s="2">
        <v>32323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-23148</v>
      </c>
      <c r="C7" s="2">
        <v>0</v>
      </c>
      <c r="D7" s="2">
        <v>0</v>
      </c>
      <c r="E7" s="2">
        <v>23148</v>
      </c>
      <c r="F7" s="2">
        <v>12028</v>
      </c>
    </row>
    <row r="8" spans="1:6" x14ac:dyDescent="0.3">
      <c r="A8" s="1" t="s">
        <v>5</v>
      </c>
      <c r="B8" s="2">
        <f t="shared" si="0"/>
        <v>-56160</v>
      </c>
      <c r="C8" s="2">
        <v>0</v>
      </c>
      <c r="D8" s="2">
        <v>0</v>
      </c>
      <c r="E8" s="2">
        <v>56160</v>
      </c>
      <c r="F8" s="2">
        <v>26208</v>
      </c>
    </row>
    <row r="9" spans="1:6" x14ac:dyDescent="0.3">
      <c r="A9" s="1" t="s">
        <v>6</v>
      </c>
      <c r="B9" s="2">
        <f t="shared" si="0"/>
        <v>-143098</v>
      </c>
      <c r="C9" s="2">
        <v>0</v>
      </c>
      <c r="D9" s="2">
        <v>0</v>
      </c>
      <c r="E9" s="2">
        <v>143098</v>
      </c>
      <c r="F9" s="2">
        <v>99720</v>
      </c>
    </row>
    <row r="10" spans="1:6" x14ac:dyDescent="0.3">
      <c r="A10" s="1" t="s">
        <v>7</v>
      </c>
      <c r="B10" s="2">
        <f t="shared" si="0"/>
        <v>-421721</v>
      </c>
      <c r="C10" s="2">
        <v>0</v>
      </c>
      <c r="D10" s="2">
        <v>0</v>
      </c>
      <c r="E10" s="2">
        <v>421721</v>
      </c>
      <c r="F10" s="2">
        <v>197259</v>
      </c>
    </row>
    <row r="11" spans="1:6" x14ac:dyDescent="0.3">
      <c r="A11" s="1" t="s">
        <v>8</v>
      </c>
      <c r="B11" s="2">
        <f t="shared" si="0"/>
        <v>-353990</v>
      </c>
      <c r="C11" s="2">
        <v>0</v>
      </c>
      <c r="D11" s="2">
        <v>0</v>
      </c>
      <c r="E11" s="2">
        <v>353990</v>
      </c>
      <c r="F11" s="2">
        <v>169303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-23062</v>
      </c>
      <c r="C13" s="2">
        <v>0</v>
      </c>
      <c r="D13" s="2">
        <v>0</v>
      </c>
      <c r="E13" s="2">
        <v>23062</v>
      </c>
      <c r="F13" s="2">
        <v>12012</v>
      </c>
    </row>
    <row r="14" spans="1:6" x14ac:dyDescent="0.3">
      <c r="A14" s="1" t="s">
        <v>11</v>
      </c>
      <c r="B14" s="2">
        <f t="shared" si="0"/>
        <v>-162686</v>
      </c>
      <c r="C14" s="2">
        <v>0</v>
      </c>
      <c r="D14" s="2">
        <v>0</v>
      </c>
      <c r="E14" s="2">
        <v>162686</v>
      </c>
      <c r="F14" s="2">
        <v>88933</v>
      </c>
    </row>
    <row r="15" spans="1:6" ht="17.25" thickBot="1" x14ac:dyDescent="0.35">
      <c r="A15" s="4" t="s">
        <v>30</v>
      </c>
      <c r="B15" s="5">
        <f>SUM(B3:B14)</f>
        <v>-1549377</v>
      </c>
      <c r="C15" s="5">
        <f t="shared" ref="C15:F15" si="1">SUM(C3:C14)</f>
        <v>0</v>
      </c>
      <c r="D15" s="5">
        <f t="shared" si="1"/>
        <v>0</v>
      </c>
      <c r="E15" s="5">
        <f t="shared" si="1"/>
        <v>1549377</v>
      </c>
      <c r="F15" s="5">
        <f t="shared" si="1"/>
        <v>780882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-23500</v>
      </c>
      <c r="C3" s="2">
        <v>0</v>
      </c>
      <c r="D3" s="2">
        <v>0</v>
      </c>
      <c r="E3" s="2">
        <v>23500</v>
      </c>
      <c r="F3" s="2">
        <v>18200</v>
      </c>
    </row>
    <row r="4" spans="1:6" x14ac:dyDescent="0.3">
      <c r="A4" s="1" t="s">
        <v>27</v>
      </c>
      <c r="B4" s="2">
        <f t="shared" si="0"/>
        <v>-51989</v>
      </c>
      <c r="C4" s="2">
        <v>0</v>
      </c>
      <c r="D4" s="2">
        <v>0</v>
      </c>
      <c r="E4" s="2">
        <v>51989</v>
      </c>
      <c r="F4" s="2">
        <v>25553</v>
      </c>
    </row>
    <row r="5" spans="1:6" x14ac:dyDescent="0.3">
      <c r="A5" s="1" t="s">
        <v>28</v>
      </c>
      <c r="B5" s="2">
        <f t="shared" si="0"/>
        <v>-65305</v>
      </c>
      <c r="C5" s="2">
        <v>0</v>
      </c>
      <c r="D5" s="2">
        <v>0</v>
      </c>
      <c r="E5" s="2">
        <v>65305</v>
      </c>
      <c r="F5" s="2">
        <v>31559</v>
      </c>
    </row>
    <row r="6" spans="1:6" x14ac:dyDescent="0.3">
      <c r="A6" s="1" t="s">
        <v>3</v>
      </c>
      <c r="B6" s="2">
        <f t="shared" si="0"/>
        <v>-13620</v>
      </c>
      <c r="C6" s="2">
        <v>0</v>
      </c>
      <c r="D6" s="2">
        <v>0</v>
      </c>
      <c r="E6" s="2">
        <v>13620</v>
      </c>
      <c r="F6" s="2">
        <v>9828</v>
      </c>
    </row>
    <row r="7" spans="1:6" x14ac:dyDescent="0.3">
      <c r="A7" s="1" t="s">
        <v>4</v>
      </c>
      <c r="B7" s="2">
        <f t="shared" si="0"/>
        <v>-205</v>
      </c>
      <c r="C7" s="2">
        <v>0</v>
      </c>
      <c r="D7" s="2">
        <v>0</v>
      </c>
      <c r="E7" s="2">
        <v>205</v>
      </c>
      <c r="F7" s="2">
        <v>121</v>
      </c>
    </row>
    <row r="8" spans="1:6" x14ac:dyDescent="0.3">
      <c r="A8" s="1" t="s">
        <v>5</v>
      </c>
      <c r="B8" s="2">
        <f t="shared" si="0"/>
        <v>-15</v>
      </c>
      <c r="C8" s="2">
        <v>0</v>
      </c>
      <c r="D8" s="2">
        <v>0</v>
      </c>
      <c r="E8" s="2">
        <v>15</v>
      </c>
      <c r="F8" s="2">
        <v>2</v>
      </c>
    </row>
    <row r="9" spans="1:6" x14ac:dyDescent="0.3">
      <c r="A9" s="1" t="s">
        <v>6</v>
      </c>
      <c r="B9" s="2">
        <f t="shared" si="0"/>
        <v>-176416</v>
      </c>
      <c r="C9" s="2">
        <v>0</v>
      </c>
      <c r="D9" s="2">
        <v>0</v>
      </c>
      <c r="E9" s="2">
        <v>176416</v>
      </c>
      <c r="F9" s="2">
        <v>94175</v>
      </c>
    </row>
    <row r="10" spans="1:6" x14ac:dyDescent="0.3">
      <c r="A10" s="1" t="s">
        <v>7</v>
      </c>
      <c r="B10" s="2">
        <f t="shared" si="0"/>
        <v>-282625</v>
      </c>
      <c r="C10" s="2">
        <v>0</v>
      </c>
      <c r="D10" s="2">
        <v>0</v>
      </c>
      <c r="E10" s="2">
        <v>282625</v>
      </c>
      <c r="F10" s="2">
        <v>146765</v>
      </c>
    </row>
    <row r="11" spans="1:6" x14ac:dyDescent="0.3">
      <c r="A11" s="1" t="s">
        <v>8</v>
      </c>
      <c r="B11" s="2">
        <f t="shared" si="0"/>
        <v>-46213</v>
      </c>
      <c r="C11" s="2">
        <v>0</v>
      </c>
      <c r="D11" s="2">
        <v>0</v>
      </c>
      <c r="E11" s="2">
        <v>46213</v>
      </c>
      <c r="F11" s="2">
        <v>24461</v>
      </c>
    </row>
    <row r="12" spans="1:6" x14ac:dyDescent="0.3">
      <c r="A12" s="1" t="s">
        <v>9</v>
      </c>
      <c r="B12" s="2">
        <f t="shared" si="0"/>
        <v>-28723</v>
      </c>
      <c r="C12" s="2">
        <v>0</v>
      </c>
      <c r="D12" s="2">
        <v>0</v>
      </c>
      <c r="E12" s="2">
        <v>28723</v>
      </c>
      <c r="F12" s="2">
        <v>19219</v>
      </c>
    </row>
    <row r="13" spans="1:6" x14ac:dyDescent="0.3">
      <c r="A13" s="1" t="s">
        <v>10</v>
      </c>
      <c r="B13" s="2">
        <f t="shared" si="0"/>
        <v>-58813</v>
      </c>
      <c r="C13" s="2">
        <v>0</v>
      </c>
      <c r="D13" s="2">
        <v>0</v>
      </c>
      <c r="E13" s="2">
        <v>58813</v>
      </c>
      <c r="F13" s="2">
        <v>34289</v>
      </c>
    </row>
    <row r="14" spans="1:6" x14ac:dyDescent="0.3">
      <c r="A14" s="1" t="s">
        <v>11</v>
      </c>
      <c r="B14" s="2">
        <f t="shared" si="0"/>
        <v>-64984</v>
      </c>
      <c r="C14" s="2">
        <v>0</v>
      </c>
      <c r="D14" s="2">
        <v>0</v>
      </c>
      <c r="E14" s="2">
        <v>64984</v>
      </c>
      <c r="F14" s="2">
        <v>34464</v>
      </c>
    </row>
    <row r="15" spans="1:6" ht="17.25" thickBot="1" x14ac:dyDescent="0.35">
      <c r="A15" s="4" t="s">
        <v>30</v>
      </c>
      <c r="B15" s="5">
        <f>SUM(B3:B14)</f>
        <v>-812408</v>
      </c>
      <c r="C15" s="5">
        <f t="shared" ref="C15:F15" si="1">SUM(C3:C14)</f>
        <v>0</v>
      </c>
      <c r="D15" s="5">
        <f t="shared" si="1"/>
        <v>0</v>
      </c>
      <c r="E15" s="5">
        <f t="shared" si="1"/>
        <v>812408</v>
      </c>
      <c r="F15" s="5">
        <f t="shared" si="1"/>
        <v>438636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-677824</v>
      </c>
      <c r="C3" s="2">
        <v>0</v>
      </c>
      <c r="D3" s="2">
        <v>0</v>
      </c>
      <c r="E3" s="2">
        <v>677824</v>
      </c>
      <c r="F3" s="2">
        <v>394143</v>
      </c>
    </row>
    <row r="4" spans="1:6" x14ac:dyDescent="0.3">
      <c r="A4" s="1" t="s">
        <v>27</v>
      </c>
      <c r="B4" s="2">
        <f t="shared" si="0"/>
        <v>-158333</v>
      </c>
      <c r="C4" s="2">
        <v>0</v>
      </c>
      <c r="D4" s="2">
        <v>0</v>
      </c>
      <c r="E4" s="2">
        <v>158333</v>
      </c>
      <c r="F4" s="2">
        <v>93461</v>
      </c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-152101</v>
      </c>
      <c r="C6" s="2">
        <v>0</v>
      </c>
      <c r="D6" s="2">
        <v>0</v>
      </c>
      <c r="E6" s="2">
        <v>152101</v>
      </c>
      <c r="F6" s="2">
        <v>95848</v>
      </c>
    </row>
    <row r="7" spans="1:6" x14ac:dyDescent="0.3">
      <c r="A7" s="1" t="s">
        <v>4</v>
      </c>
      <c r="B7" s="2">
        <f t="shared" si="0"/>
        <v>-68</v>
      </c>
      <c r="C7" s="2">
        <v>0</v>
      </c>
      <c r="D7" s="2">
        <v>0</v>
      </c>
      <c r="E7" s="2">
        <v>68</v>
      </c>
      <c r="F7" s="2">
        <v>28</v>
      </c>
    </row>
    <row r="8" spans="1:6" x14ac:dyDescent="0.3">
      <c r="A8" s="1" t="s">
        <v>5</v>
      </c>
      <c r="B8" s="2">
        <f t="shared" si="0"/>
        <v>-43624</v>
      </c>
      <c r="C8" s="2">
        <v>0</v>
      </c>
      <c r="D8" s="2">
        <v>0</v>
      </c>
      <c r="E8" s="2">
        <v>43624</v>
      </c>
      <c r="F8" s="2">
        <v>38268</v>
      </c>
    </row>
    <row r="9" spans="1:6" x14ac:dyDescent="0.3">
      <c r="A9" s="1" t="s">
        <v>6</v>
      </c>
      <c r="B9" s="2">
        <f t="shared" si="0"/>
        <v>-44063</v>
      </c>
      <c r="C9" s="2">
        <v>0</v>
      </c>
      <c r="D9" s="2">
        <v>0</v>
      </c>
      <c r="E9" s="2">
        <v>44063</v>
      </c>
      <c r="F9" s="2">
        <v>24461</v>
      </c>
    </row>
    <row r="10" spans="1:6" x14ac:dyDescent="0.3">
      <c r="A10" s="1" t="s">
        <v>7</v>
      </c>
      <c r="B10" s="2">
        <f t="shared" si="0"/>
        <v>-308883</v>
      </c>
      <c r="C10" s="2">
        <v>0</v>
      </c>
      <c r="D10" s="2">
        <v>0</v>
      </c>
      <c r="E10" s="2">
        <v>308883</v>
      </c>
      <c r="F10" s="2">
        <v>175769</v>
      </c>
    </row>
    <row r="11" spans="1:6" x14ac:dyDescent="0.3">
      <c r="A11" s="1" t="s">
        <v>8</v>
      </c>
      <c r="B11" s="2">
        <f t="shared" si="0"/>
        <v>-128841</v>
      </c>
      <c r="C11" s="2">
        <v>0</v>
      </c>
      <c r="D11" s="2">
        <v>0</v>
      </c>
      <c r="E11" s="2">
        <v>128841</v>
      </c>
      <c r="F11" s="2">
        <v>75042</v>
      </c>
    </row>
    <row r="12" spans="1:6" x14ac:dyDescent="0.3">
      <c r="A12" s="1" t="s">
        <v>9</v>
      </c>
      <c r="B12" s="2">
        <f t="shared" si="0"/>
        <v>-12336</v>
      </c>
      <c r="C12" s="2">
        <v>0</v>
      </c>
      <c r="D12" s="2">
        <v>0</v>
      </c>
      <c r="E12" s="2">
        <v>12336</v>
      </c>
      <c r="F12" s="2">
        <v>10046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-1526073</v>
      </c>
      <c r="C15" s="5">
        <f t="shared" ref="C15:F15" si="1">SUM(C3:C14)</f>
        <v>0</v>
      </c>
      <c r="D15" s="5">
        <f t="shared" si="1"/>
        <v>0</v>
      </c>
      <c r="E15" s="5">
        <f t="shared" si="1"/>
        <v>1526073</v>
      </c>
      <c r="F15" s="5">
        <f t="shared" si="1"/>
        <v>907066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-354382</v>
      </c>
      <c r="C3" s="2">
        <v>0</v>
      </c>
      <c r="D3" s="2">
        <v>0</v>
      </c>
      <c r="E3" s="2">
        <v>354382</v>
      </c>
      <c r="F3" s="2">
        <v>215765</v>
      </c>
    </row>
    <row r="4" spans="1:6" x14ac:dyDescent="0.3">
      <c r="A4" s="1" t="s">
        <v>26</v>
      </c>
      <c r="B4" s="2">
        <f t="shared" si="0"/>
        <v>-42220</v>
      </c>
      <c r="C4" s="2">
        <v>0</v>
      </c>
      <c r="D4" s="2">
        <v>0</v>
      </c>
      <c r="E4" s="2">
        <v>42220</v>
      </c>
      <c r="F4" s="2">
        <v>24461</v>
      </c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-9675</v>
      </c>
      <c r="C7" s="2">
        <v>0</v>
      </c>
      <c r="D7" s="2">
        <v>0</v>
      </c>
      <c r="E7" s="2">
        <v>9675</v>
      </c>
      <c r="F7" s="2">
        <v>8013</v>
      </c>
    </row>
    <row r="8" spans="1:6" x14ac:dyDescent="0.3">
      <c r="A8" s="1" t="s">
        <v>5</v>
      </c>
      <c r="B8" s="2">
        <f t="shared" si="0"/>
        <v>-39136</v>
      </c>
      <c r="C8" s="2">
        <v>0</v>
      </c>
      <c r="D8" s="2">
        <v>0</v>
      </c>
      <c r="E8" s="2">
        <v>39136</v>
      </c>
      <c r="F8" s="2">
        <v>23352</v>
      </c>
    </row>
    <row r="9" spans="1:6" x14ac:dyDescent="0.3">
      <c r="A9" s="1" t="s">
        <v>6</v>
      </c>
      <c r="B9" s="2">
        <f t="shared" si="0"/>
        <v>-541626</v>
      </c>
      <c r="C9" s="2">
        <v>0</v>
      </c>
      <c r="D9" s="2">
        <v>0</v>
      </c>
      <c r="E9" s="2">
        <v>541626</v>
      </c>
      <c r="F9" s="2">
        <v>358962</v>
      </c>
    </row>
    <row r="10" spans="1:6" x14ac:dyDescent="0.3">
      <c r="A10" s="1" t="s">
        <v>7</v>
      </c>
      <c r="B10" s="2">
        <f t="shared" si="0"/>
        <v>-479955</v>
      </c>
      <c r="C10" s="2">
        <v>0</v>
      </c>
      <c r="D10" s="2">
        <v>0</v>
      </c>
      <c r="E10" s="2">
        <v>479955</v>
      </c>
      <c r="F10" s="2">
        <v>300868</v>
      </c>
    </row>
    <row r="11" spans="1:6" x14ac:dyDescent="0.3">
      <c r="A11" s="1" t="s">
        <v>8</v>
      </c>
      <c r="B11" s="2">
        <f t="shared" si="0"/>
        <v>-124894</v>
      </c>
      <c r="C11" s="2">
        <v>0</v>
      </c>
      <c r="D11" s="2">
        <v>0</v>
      </c>
      <c r="E11" s="2">
        <v>124894</v>
      </c>
      <c r="F11" s="2">
        <v>72836</v>
      </c>
    </row>
    <row r="12" spans="1:6" x14ac:dyDescent="0.3">
      <c r="A12" s="1" t="s">
        <v>9</v>
      </c>
      <c r="B12" s="2">
        <f t="shared" si="0"/>
        <v>-2092</v>
      </c>
      <c r="C12" s="2">
        <v>0</v>
      </c>
      <c r="D12" s="2">
        <v>0</v>
      </c>
      <c r="E12" s="2">
        <v>2092</v>
      </c>
      <c r="F12" s="2">
        <v>1074</v>
      </c>
    </row>
    <row r="13" spans="1:6" x14ac:dyDescent="0.3">
      <c r="A13" s="1" t="s">
        <v>10</v>
      </c>
      <c r="B13" s="2">
        <f t="shared" si="0"/>
        <v>-109954</v>
      </c>
      <c r="C13" s="2">
        <v>0</v>
      </c>
      <c r="D13" s="2">
        <v>0</v>
      </c>
      <c r="E13" s="2">
        <v>109954</v>
      </c>
      <c r="F13" s="2">
        <v>67922</v>
      </c>
    </row>
    <row r="14" spans="1:6" x14ac:dyDescent="0.3">
      <c r="A14" s="1" t="s">
        <v>11</v>
      </c>
      <c r="B14" s="2">
        <f t="shared" si="0"/>
        <v>-226977</v>
      </c>
      <c r="C14" s="2">
        <v>0</v>
      </c>
      <c r="D14" s="2">
        <v>0</v>
      </c>
      <c r="E14" s="2">
        <v>226977</v>
      </c>
      <c r="F14" s="2">
        <v>133158</v>
      </c>
    </row>
    <row r="15" spans="1:6" ht="17.25" thickBot="1" x14ac:dyDescent="0.35">
      <c r="A15" s="4" t="s">
        <v>30</v>
      </c>
      <c r="B15" s="5">
        <f>SUM(B3:B14)</f>
        <v>-1930911</v>
      </c>
      <c r="C15" s="5">
        <f t="shared" ref="C15:F15" si="1">SUM(C3:C14)</f>
        <v>0</v>
      </c>
      <c r="D15" s="5">
        <f t="shared" si="1"/>
        <v>0</v>
      </c>
      <c r="E15" s="5">
        <f t="shared" si="1"/>
        <v>1930911</v>
      </c>
      <c r="F15" s="5">
        <f t="shared" si="1"/>
        <v>1206411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-297316</v>
      </c>
      <c r="C3" s="2">
        <v>0</v>
      </c>
      <c r="D3" s="2">
        <v>0</v>
      </c>
      <c r="E3" s="2">
        <v>297316</v>
      </c>
      <c r="F3" s="2">
        <v>176904</v>
      </c>
    </row>
    <row r="4" spans="1:6" x14ac:dyDescent="0.3">
      <c r="A4" s="1" t="s">
        <v>1</v>
      </c>
      <c r="B4" s="2">
        <f t="shared" si="0"/>
        <v>-19663</v>
      </c>
      <c r="C4" s="2">
        <v>0</v>
      </c>
      <c r="D4" s="2">
        <v>0</v>
      </c>
      <c r="E4" s="2">
        <v>19663</v>
      </c>
      <c r="F4" s="2">
        <v>11619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-64480</v>
      </c>
      <c r="C6" s="2">
        <v>0</v>
      </c>
      <c r="D6" s="2">
        <v>0</v>
      </c>
      <c r="E6" s="2">
        <v>64480</v>
      </c>
      <c r="F6" s="2">
        <v>43352</v>
      </c>
    </row>
    <row r="7" spans="1:6" x14ac:dyDescent="0.3">
      <c r="A7" s="1" t="s">
        <v>4</v>
      </c>
      <c r="B7" s="2">
        <f t="shared" si="0"/>
        <v>-19</v>
      </c>
      <c r="C7" s="2">
        <v>0</v>
      </c>
      <c r="D7" s="2">
        <v>0</v>
      </c>
      <c r="E7" s="2">
        <v>19</v>
      </c>
      <c r="F7" s="2">
        <v>15</v>
      </c>
    </row>
    <row r="8" spans="1:6" x14ac:dyDescent="0.3">
      <c r="A8" s="1" t="s">
        <v>5</v>
      </c>
      <c r="B8" s="2">
        <f t="shared" si="0"/>
        <v>-82439</v>
      </c>
      <c r="C8" s="2">
        <v>0</v>
      </c>
      <c r="D8" s="2">
        <v>0</v>
      </c>
      <c r="E8" s="2">
        <v>82439</v>
      </c>
      <c r="F8" s="2">
        <v>44649</v>
      </c>
    </row>
    <row r="9" spans="1:6" x14ac:dyDescent="0.3">
      <c r="A9" s="1" t="s">
        <v>6</v>
      </c>
      <c r="B9" s="2">
        <f t="shared" si="0"/>
        <v>-571439</v>
      </c>
      <c r="C9" s="2">
        <v>0</v>
      </c>
      <c r="D9" s="2">
        <v>0</v>
      </c>
      <c r="E9" s="2">
        <v>571439</v>
      </c>
      <c r="F9" s="2">
        <v>309534</v>
      </c>
    </row>
    <row r="10" spans="1:6" x14ac:dyDescent="0.3">
      <c r="A10" s="1" t="s">
        <v>7</v>
      </c>
      <c r="B10" s="2">
        <f t="shared" si="0"/>
        <v>-628596</v>
      </c>
      <c r="C10" s="2">
        <v>0</v>
      </c>
      <c r="D10" s="2">
        <v>0</v>
      </c>
      <c r="E10" s="2">
        <v>628596</v>
      </c>
      <c r="F10" s="2">
        <v>383249</v>
      </c>
    </row>
    <row r="11" spans="1:6" x14ac:dyDescent="0.3">
      <c r="A11" s="1" t="s">
        <v>8</v>
      </c>
      <c r="B11" s="2">
        <f t="shared" si="0"/>
        <v>-168434</v>
      </c>
      <c r="C11" s="2">
        <v>0</v>
      </c>
      <c r="D11" s="2">
        <v>0</v>
      </c>
      <c r="E11" s="2">
        <v>168434</v>
      </c>
      <c r="F11" s="2">
        <v>107016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-100</v>
      </c>
      <c r="C13" s="2">
        <v>0</v>
      </c>
      <c r="D13" s="2">
        <v>0</v>
      </c>
      <c r="E13" s="2">
        <v>100</v>
      </c>
      <c r="F13" s="2">
        <v>98</v>
      </c>
    </row>
    <row r="14" spans="1:6" x14ac:dyDescent="0.3">
      <c r="A14" s="1" t="s">
        <v>11</v>
      </c>
      <c r="B14" s="2">
        <f t="shared" si="0"/>
        <v>-149014</v>
      </c>
      <c r="C14" s="2">
        <v>0</v>
      </c>
      <c r="D14" s="2">
        <v>0</v>
      </c>
      <c r="E14" s="2">
        <v>149014</v>
      </c>
      <c r="F14" s="2">
        <v>84234</v>
      </c>
    </row>
    <row r="15" spans="1:6" ht="17.25" thickBot="1" x14ac:dyDescent="0.35">
      <c r="A15" s="4" t="s">
        <v>13</v>
      </c>
      <c r="B15" s="5">
        <f>SUM(B3:B14)</f>
        <v>-1981500</v>
      </c>
      <c r="C15" s="5">
        <f t="shared" ref="C15:F15" si="1">SUM(C3:C14)</f>
        <v>0</v>
      </c>
      <c r="D15" s="5">
        <f t="shared" si="1"/>
        <v>0</v>
      </c>
      <c r="E15" s="5">
        <f t="shared" si="1"/>
        <v>1981500</v>
      </c>
      <c r="F15" s="5">
        <f t="shared" si="1"/>
        <v>1160670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-800208</v>
      </c>
      <c r="C3" s="2">
        <v>0</v>
      </c>
      <c r="D3" s="2">
        <v>0</v>
      </c>
      <c r="E3" s="2">
        <v>800208</v>
      </c>
      <c r="F3" s="2">
        <v>452568</v>
      </c>
    </row>
    <row r="4" spans="1:6" x14ac:dyDescent="0.3">
      <c r="A4" s="1" t="s">
        <v>1</v>
      </c>
      <c r="B4" s="2">
        <f t="shared" ref="B4:B14" si="0">C4-E4</f>
        <v>-74847</v>
      </c>
      <c r="C4" s="2">
        <v>0</v>
      </c>
      <c r="D4" s="2">
        <v>0</v>
      </c>
      <c r="E4" s="2">
        <v>74847</v>
      </c>
      <c r="F4" s="2">
        <v>43575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-19842</v>
      </c>
      <c r="C6" s="2">
        <v>0</v>
      </c>
      <c r="D6" s="2">
        <v>0</v>
      </c>
      <c r="E6" s="2">
        <v>19842</v>
      </c>
      <c r="F6" s="2">
        <v>11336</v>
      </c>
    </row>
    <row r="7" spans="1:6" x14ac:dyDescent="0.3">
      <c r="A7" s="1" t="s">
        <v>4</v>
      </c>
      <c r="B7" s="2">
        <f t="shared" si="0"/>
        <v>-21500</v>
      </c>
      <c r="C7" s="2">
        <v>0</v>
      </c>
      <c r="D7" s="2">
        <v>0</v>
      </c>
      <c r="E7" s="2">
        <v>21500</v>
      </c>
      <c r="F7" s="2">
        <v>19766</v>
      </c>
    </row>
    <row r="8" spans="1:6" x14ac:dyDescent="0.3">
      <c r="A8" s="1" t="s">
        <v>5</v>
      </c>
      <c r="B8" s="2">
        <f t="shared" si="0"/>
        <v>-24858</v>
      </c>
      <c r="C8" s="2">
        <v>0</v>
      </c>
      <c r="D8" s="2">
        <v>0</v>
      </c>
      <c r="E8" s="2">
        <v>24858</v>
      </c>
      <c r="F8" s="2">
        <v>22129</v>
      </c>
    </row>
    <row r="9" spans="1:6" x14ac:dyDescent="0.3">
      <c r="A9" s="1" t="s">
        <v>6</v>
      </c>
      <c r="B9" s="2">
        <f t="shared" si="0"/>
        <v>-432254</v>
      </c>
      <c r="C9" s="2">
        <v>0</v>
      </c>
      <c r="D9" s="2">
        <v>0</v>
      </c>
      <c r="E9" s="2">
        <v>432254</v>
      </c>
      <c r="F9" s="2">
        <v>220422</v>
      </c>
    </row>
    <row r="10" spans="1:6" x14ac:dyDescent="0.3">
      <c r="A10" s="1" t="s">
        <v>7</v>
      </c>
      <c r="B10" s="2">
        <f t="shared" si="0"/>
        <v>-466166</v>
      </c>
      <c r="C10" s="2">
        <v>0</v>
      </c>
      <c r="D10" s="2">
        <v>0</v>
      </c>
      <c r="E10" s="2">
        <v>466166</v>
      </c>
      <c r="F10" s="2">
        <v>265258</v>
      </c>
    </row>
    <row r="11" spans="1:6" x14ac:dyDescent="0.3">
      <c r="A11" s="1" t="s">
        <v>8</v>
      </c>
      <c r="B11" s="2">
        <f t="shared" si="0"/>
        <v>-107431</v>
      </c>
      <c r="C11" s="2">
        <v>0</v>
      </c>
      <c r="D11" s="2">
        <v>0</v>
      </c>
      <c r="E11" s="2">
        <v>107431</v>
      </c>
      <c r="F11" s="2">
        <v>59930</v>
      </c>
    </row>
    <row r="12" spans="1:6" x14ac:dyDescent="0.3">
      <c r="A12" s="1" t="s">
        <v>9</v>
      </c>
      <c r="B12" s="2">
        <f t="shared" si="0"/>
        <v>-19722</v>
      </c>
      <c r="C12" s="2">
        <v>0</v>
      </c>
      <c r="D12" s="2">
        <v>0</v>
      </c>
      <c r="E12" s="2">
        <v>19722</v>
      </c>
      <c r="F12" s="2">
        <v>18673</v>
      </c>
    </row>
    <row r="13" spans="1:6" x14ac:dyDescent="0.3">
      <c r="A13" s="1" t="s">
        <v>10</v>
      </c>
      <c r="B13" s="2">
        <f t="shared" si="0"/>
        <v>-97521</v>
      </c>
      <c r="C13" s="2">
        <v>0</v>
      </c>
      <c r="D13" s="2">
        <v>0</v>
      </c>
      <c r="E13" s="2">
        <v>97521</v>
      </c>
      <c r="F13" s="2">
        <v>60929</v>
      </c>
    </row>
    <row r="14" spans="1:6" x14ac:dyDescent="0.3">
      <c r="A14" s="1" t="s">
        <v>11</v>
      </c>
      <c r="B14" s="2">
        <f t="shared" si="0"/>
        <v>-716974</v>
      </c>
      <c r="C14" s="2">
        <v>0</v>
      </c>
      <c r="D14" s="2">
        <v>0</v>
      </c>
      <c r="E14" s="2">
        <v>716974</v>
      </c>
      <c r="F14" s="2">
        <v>419464</v>
      </c>
    </row>
    <row r="15" spans="1:6" ht="17.25" thickBot="1" x14ac:dyDescent="0.35">
      <c r="A15" s="4" t="s">
        <v>13</v>
      </c>
      <c r="B15" s="5">
        <f>SUM(B3:B14)</f>
        <v>-2781323</v>
      </c>
      <c r="C15" s="5">
        <f t="shared" ref="C15:F15" si="1">SUM(C3:C14)</f>
        <v>0</v>
      </c>
      <c r="D15" s="5">
        <f t="shared" si="1"/>
        <v>0</v>
      </c>
      <c r="E15" s="5">
        <f t="shared" si="1"/>
        <v>2781323</v>
      </c>
      <c r="F15" s="5">
        <f t="shared" si="1"/>
        <v>1594050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-648969</v>
      </c>
      <c r="C3" s="2">
        <v>0</v>
      </c>
      <c r="D3" s="2">
        <v>0</v>
      </c>
      <c r="E3" s="2">
        <v>648969</v>
      </c>
      <c r="F3" s="2">
        <v>395356</v>
      </c>
    </row>
    <row r="4" spans="1:6" x14ac:dyDescent="0.3">
      <c r="A4" s="1" t="s">
        <v>1</v>
      </c>
      <c r="B4" s="2">
        <f t="shared" si="0"/>
        <v>-80256</v>
      </c>
      <c r="C4" s="2">
        <v>0</v>
      </c>
      <c r="D4" s="2">
        <v>0</v>
      </c>
      <c r="E4" s="2">
        <v>80256</v>
      </c>
      <c r="F4" s="2">
        <v>62722</v>
      </c>
    </row>
    <row r="5" spans="1:6" x14ac:dyDescent="0.3">
      <c r="A5" s="1" t="s">
        <v>2</v>
      </c>
      <c r="B5" s="2">
        <f t="shared" si="0"/>
        <v>-18354</v>
      </c>
      <c r="C5" s="2">
        <v>0</v>
      </c>
      <c r="D5" s="2">
        <v>0</v>
      </c>
      <c r="E5" s="2">
        <v>18354</v>
      </c>
      <c r="F5" s="2">
        <v>18673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-27101</v>
      </c>
      <c r="C7" s="2">
        <v>0</v>
      </c>
      <c r="D7" s="2">
        <v>0</v>
      </c>
      <c r="E7" s="2">
        <v>27101</v>
      </c>
      <c r="F7" s="2">
        <v>26636</v>
      </c>
    </row>
    <row r="8" spans="1:6" x14ac:dyDescent="0.3">
      <c r="A8" s="1" t="s">
        <v>5</v>
      </c>
      <c r="B8" s="2">
        <f t="shared" si="0"/>
        <v>-191</v>
      </c>
      <c r="C8" s="2">
        <v>0</v>
      </c>
      <c r="D8" s="2">
        <v>0</v>
      </c>
      <c r="E8" s="2">
        <v>191</v>
      </c>
      <c r="F8" s="2">
        <v>109</v>
      </c>
    </row>
    <row r="9" spans="1:6" x14ac:dyDescent="0.3">
      <c r="A9" s="1" t="s">
        <v>6</v>
      </c>
      <c r="B9" s="2">
        <f t="shared" si="0"/>
        <v>-780075</v>
      </c>
      <c r="C9" s="2">
        <v>0</v>
      </c>
      <c r="D9" s="2">
        <v>0</v>
      </c>
      <c r="E9" s="2">
        <v>780075</v>
      </c>
      <c r="F9" s="2">
        <v>478995</v>
      </c>
    </row>
    <row r="10" spans="1:6" x14ac:dyDescent="0.3">
      <c r="A10" s="1" t="s">
        <v>7</v>
      </c>
      <c r="B10" s="2">
        <f t="shared" si="0"/>
        <v>-857051</v>
      </c>
      <c r="C10" s="2">
        <v>0</v>
      </c>
      <c r="D10" s="2">
        <v>0</v>
      </c>
      <c r="E10" s="2">
        <v>857051</v>
      </c>
      <c r="F10" s="2">
        <v>555610</v>
      </c>
    </row>
    <row r="11" spans="1:6" x14ac:dyDescent="0.3">
      <c r="A11" s="1" t="s">
        <v>8</v>
      </c>
      <c r="B11" s="2">
        <f t="shared" si="0"/>
        <v>-127011</v>
      </c>
      <c r="C11" s="2">
        <v>0</v>
      </c>
      <c r="D11" s="2">
        <v>0</v>
      </c>
      <c r="E11" s="2">
        <v>127011</v>
      </c>
      <c r="F11" s="2">
        <v>72727</v>
      </c>
    </row>
    <row r="12" spans="1:6" x14ac:dyDescent="0.3">
      <c r="A12" s="1" t="s">
        <v>9</v>
      </c>
      <c r="B12" s="2">
        <f t="shared" si="0"/>
        <v>-19560</v>
      </c>
      <c r="C12" s="2">
        <v>0</v>
      </c>
      <c r="D12" s="2">
        <v>0</v>
      </c>
      <c r="E12" s="2">
        <v>19560</v>
      </c>
      <c r="F12" s="2">
        <v>19656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-803119</v>
      </c>
      <c r="C14" s="2">
        <v>0</v>
      </c>
      <c r="D14" s="2">
        <v>0</v>
      </c>
      <c r="E14" s="2">
        <v>803119</v>
      </c>
      <c r="F14" s="2">
        <v>523987</v>
      </c>
    </row>
    <row r="15" spans="1:6" ht="17.25" thickBot="1" x14ac:dyDescent="0.35">
      <c r="A15" s="4" t="s">
        <v>13</v>
      </c>
      <c r="B15" s="5">
        <f>SUM(B3:B14)</f>
        <v>-3361687</v>
      </c>
      <c r="C15" s="5">
        <f t="shared" ref="C15:F15" si="1">SUM(C3:C14)</f>
        <v>0</v>
      </c>
      <c r="D15" s="5">
        <f t="shared" si="1"/>
        <v>0</v>
      </c>
      <c r="E15" s="5">
        <f t="shared" si="1"/>
        <v>3361687</v>
      </c>
      <c r="F15" s="5">
        <f t="shared" si="1"/>
        <v>2154471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-303810</v>
      </c>
      <c r="C3" s="2">
        <v>0</v>
      </c>
      <c r="D3" s="2">
        <v>0</v>
      </c>
      <c r="E3" s="2">
        <v>303810</v>
      </c>
      <c r="F3" s="2">
        <v>170133</v>
      </c>
    </row>
    <row r="4" spans="1:6" x14ac:dyDescent="0.3">
      <c r="A4" s="1" t="s">
        <v>1</v>
      </c>
      <c r="B4" s="2">
        <f t="shared" si="0"/>
        <v>-20543</v>
      </c>
      <c r="C4" s="2">
        <v>0</v>
      </c>
      <c r="D4" s="2">
        <v>0</v>
      </c>
      <c r="E4" s="2">
        <v>20543</v>
      </c>
      <c r="F4" s="2">
        <v>20160</v>
      </c>
    </row>
    <row r="5" spans="1:6" x14ac:dyDescent="0.3">
      <c r="A5" s="1" t="s">
        <v>2</v>
      </c>
      <c r="B5" s="2">
        <f t="shared" si="0"/>
        <v>-72941</v>
      </c>
      <c r="C5" s="2">
        <v>0</v>
      </c>
      <c r="D5" s="2">
        <v>0</v>
      </c>
      <c r="E5" s="2">
        <v>72941</v>
      </c>
      <c r="F5" s="2">
        <v>62271</v>
      </c>
    </row>
    <row r="6" spans="1:6" x14ac:dyDescent="0.3">
      <c r="A6" s="1" t="s">
        <v>3</v>
      </c>
      <c r="B6" s="2">
        <f t="shared" si="0"/>
        <v>-42326</v>
      </c>
      <c r="C6" s="2">
        <v>0</v>
      </c>
      <c r="D6" s="2">
        <v>0</v>
      </c>
      <c r="E6" s="2">
        <v>42326</v>
      </c>
      <c r="F6" s="2">
        <v>30292</v>
      </c>
    </row>
    <row r="7" spans="1:6" x14ac:dyDescent="0.3">
      <c r="A7" s="1" t="s">
        <v>4</v>
      </c>
      <c r="B7" s="2">
        <f t="shared" si="0"/>
        <v>-41326</v>
      </c>
      <c r="C7" s="2">
        <v>0</v>
      </c>
      <c r="D7" s="2">
        <v>0</v>
      </c>
      <c r="E7" s="2">
        <v>41326</v>
      </c>
      <c r="F7" s="2">
        <v>39816</v>
      </c>
    </row>
    <row r="8" spans="1:6" x14ac:dyDescent="0.3">
      <c r="A8" s="1" t="s">
        <v>5</v>
      </c>
      <c r="B8" s="2">
        <f t="shared" si="0"/>
        <v>-67857</v>
      </c>
      <c r="C8" s="2">
        <v>0</v>
      </c>
      <c r="D8" s="2">
        <v>0</v>
      </c>
      <c r="E8" s="2">
        <v>67857</v>
      </c>
      <c r="F8" s="2">
        <v>64058</v>
      </c>
    </row>
    <row r="9" spans="1:6" x14ac:dyDescent="0.3">
      <c r="A9" s="1" t="s">
        <v>6</v>
      </c>
      <c r="B9" s="2">
        <f t="shared" si="0"/>
        <v>-112251</v>
      </c>
      <c r="C9" s="2">
        <v>0</v>
      </c>
      <c r="D9" s="2">
        <v>0</v>
      </c>
      <c r="E9" s="2">
        <v>112251</v>
      </c>
      <c r="F9" s="2">
        <v>82894</v>
      </c>
    </row>
    <row r="10" spans="1:6" x14ac:dyDescent="0.3">
      <c r="A10" s="1" t="s">
        <v>7</v>
      </c>
      <c r="B10" s="2">
        <f t="shared" si="0"/>
        <v>-817588</v>
      </c>
      <c r="C10" s="2">
        <v>0</v>
      </c>
      <c r="D10" s="2">
        <v>0</v>
      </c>
      <c r="E10" s="2">
        <v>817588</v>
      </c>
      <c r="F10" s="2">
        <v>516210</v>
      </c>
    </row>
    <row r="11" spans="1:6" x14ac:dyDescent="0.3">
      <c r="A11" s="1" t="s">
        <v>8</v>
      </c>
      <c r="B11" s="2">
        <f t="shared" si="0"/>
        <v>-657810</v>
      </c>
      <c r="C11" s="2">
        <v>0</v>
      </c>
      <c r="D11" s="2">
        <v>0</v>
      </c>
      <c r="E11" s="2">
        <v>657810</v>
      </c>
      <c r="F11" s="2">
        <v>419576</v>
      </c>
    </row>
    <row r="12" spans="1:6" x14ac:dyDescent="0.3">
      <c r="A12" s="1" t="s">
        <v>9</v>
      </c>
      <c r="B12" s="2">
        <f t="shared" si="0"/>
        <v>-78407</v>
      </c>
      <c r="C12" s="2">
        <v>0</v>
      </c>
      <c r="D12" s="2">
        <v>0</v>
      </c>
      <c r="E12" s="2">
        <v>78407</v>
      </c>
      <c r="F12" s="2">
        <v>63264</v>
      </c>
    </row>
    <row r="13" spans="1:6" x14ac:dyDescent="0.3">
      <c r="A13" s="1" t="s">
        <v>10</v>
      </c>
      <c r="B13" s="2">
        <f t="shared" si="0"/>
        <v>-145166</v>
      </c>
      <c r="C13" s="2">
        <v>0</v>
      </c>
      <c r="D13" s="2">
        <v>0</v>
      </c>
      <c r="E13" s="2">
        <v>145166</v>
      </c>
      <c r="F13" s="2">
        <v>105990</v>
      </c>
    </row>
    <row r="14" spans="1:6" x14ac:dyDescent="0.3">
      <c r="A14" s="1" t="s">
        <v>11</v>
      </c>
      <c r="B14" s="2">
        <f t="shared" si="0"/>
        <v>-866801</v>
      </c>
      <c r="C14" s="2">
        <v>0</v>
      </c>
      <c r="D14" s="2">
        <v>0</v>
      </c>
      <c r="E14" s="2">
        <v>866801</v>
      </c>
      <c r="F14" s="2">
        <v>564367</v>
      </c>
    </row>
    <row r="15" spans="1:6" ht="17.25" thickBot="1" x14ac:dyDescent="0.35">
      <c r="A15" s="4" t="s">
        <v>13</v>
      </c>
      <c r="B15" s="5">
        <f>SUM(B3:B14)</f>
        <v>-3226826</v>
      </c>
      <c r="C15" s="5">
        <f t="shared" ref="C15:F15" si="1">SUM(C3:C14)</f>
        <v>0</v>
      </c>
      <c r="D15" s="5">
        <f t="shared" si="1"/>
        <v>0</v>
      </c>
      <c r="E15" s="5">
        <f t="shared" si="1"/>
        <v>3226826</v>
      </c>
      <c r="F15" s="5">
        <f t="shared" si="1"/>
        <v>2139031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-722031</v>
      </c>
      <c r="C3" s="2">
        <v>0</v>
      </c>
      <c r="D3" s="2">
        <v>0</v>
      </c>
      <c r="E3" s="2">
        <v>722031</v>
      </c>
      <c r="F3" s="2">
        <v>403778</v>
      </c>
    </row>
    <row r="4" spans="1:6" x14ac:dyDescent="0.3">
      <c r="A4" s="1" t="s">
        <v>1</v>
      </c>
      <c r="B4" s="2">
        <f t="shared" si="0"/>
        <v>-79443</v>
      </c>
      <c r="C4" s="2">
        <v>0</v>
      </c>
      <c r="D4" s="2">
        <v>0</v>
      </c>
      <c r="E4" s="2">
        <v>79443</v>
      </c>
      <c r="F4" s="2">
        <v>47611</v>
      </c>
    </row>
    <row r="5" spans="1:6" x14ac:dyDescent="0.3">
      <c r="A5" s="1" t="s">
        <v>2</v>
      </c>
      <c r="B5" s="2">
        <f t="shared" si="0"/>
        <v>-59486</v>
      </c>
      <c r="C5" s="2">
        <v>0</v>
      </c>
      <c r="D5" s="2">
        <v>0</v>
      </c>
      <c r="E5" s="2">
        <v>59486</v>
      </c>
      <c r="F5" s="2">
        <v>36692</v>
      </c>
    </row>
    <row r="6" spans="1:6" x14ac:dyDescent="0.3">
      <c r="A6" s="1" t="s">
        <v>3</v>
      </c>
      <c r="B6" s="2">
        <f t="shared" si="0"/>
        <v>-101135</v>
      </c>
      <c r="C6" s="2">
        <v>0</v>
      </c>
      <c r="D6" s="2">
        <v>0</v>
      </c>
      <c r="E6" s="2">
        <v>101135</v>
      </c>
      <c r="F6" s="2">
        <v>56347</v>
      </c>
    </row>
    <row r="7" spans="1:6" x14ac:dyDescent="0.3">
      <c r="A7" s="1" t="s">
        <v>4</v>
      </c>
      <c r="B7" s="2">
        <f t="shared" si="0"/>
        <v>-30132</v>
      </c>
      <c r="C7" s="2">
        <v>0</v>
      </c>
      <c r="D7" s="2">
        <v>0</v>
      </c>
      <c r="E7" s="2">
        <v>30132</v>
      </c>
      <c r="F7" s="2">
        <v>11619</v>
      </c>
    </row>
    <row r="8" spans="1:6" x14ac:dyDescent="0.3">
      <c r="A8" s="1" t="s">
        <v>5</v>
      </c>
      <c r="B8" s="2">
        <f t="shared" si="0"/>
        <v>-289367</v>
      </c>
      <c r="C8" s="2">
        <v>0</v>
      </c>
      <c r="D8" s="2">
        <v>0</v>
      </c>
      <c r="E8" s="2">
        <v>289367</v>
      </c>
      <c r="F8" s="2">
        <v>121998</v>
      </c>
    </row>
    <row r="9" spans="1:6" x14ac:dyDescent="0.3">
      <c r="A9" s="1" t="s">
        <v>6</v>
      </c>
      <c r="B9" s="2">
        <f t="shared" si="0"/>
        <v>-349735</v>
      </c>
      <c r="C9" s="2">
        <v>0</v>
      </c>
      <c r="D9" s="2">
        <v>0</v>
      </c>
      <c r="E9" s="2">
        <v>349735</v>
      </c>
      <c r="F9" s="2">
        <v>147551</v>
      </c>
    </row>
    <row r="10" spans="1:6" x14ac:dyDescent="0.3">
      <c r="A10" s="1" t="s">
        <v>7</v>
      </c>
      <c r="B10" s="2">
        <f t="shared" si="0"/>
        <v>-852845</v>
      </c>
      <c r="C10" s="2">
        <v>0</v>
      </c>
      <c r="D10" s="2">
        <v>0</v>
      </c>
      <c r="E10" s="2">
        <v>852845</v>
      </c>
      <c r="F10" s="2">
        <v>338041</v>
      </c>
    </row>
    <row r="11" spans="1:6" x14ac:dyDescent="0.3">
      <c r="A11" s="1" t="s">
        <v>8</v>
      </c>
      <c r="B11" s="2">
        <f t="shared" si="0"/>
        <v>-30524</v>
      </c>
      <c r="C11" s="2">
        <v>0</v>
      </c>
      <c r="D11" s="2">
        <v>0</v>
      </c>
      <c r="E11" s="2">
        <v>30524</v>
      </c>
      <c r="F11" s="2">
        <v>20160</v>
      </c>
    </row>
    <row r="12" spans="1:6" x14ac:dyDescent="0.3">
      <c r="A12" s="1" t="s">
        <v>9</v>
      </c>
      <c r="B12" s="2">
        <f t="shared" si="0"/>
        <v>-59240</v>
      </c>
      <c r="C12" s="2">
        <v>0</v>
      </c>
      <c r="D12" s="2">
        <v>0</v>
      </c>
      <c r="E12" s="2">
        <v>59240</v>
      </c>
      <c r="F12" s="2">
        <v>36626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-399861</v>
      </c>
      <c r="C14" s="2">
        <v>0</v>
      </c>
      <c r="D14" s="2">
        <v>0</v>
      </c>
      <c r="E14" s="2">
        <v>399861</v>
      </c>
      <c r="F14" s="2">
        <v>170702</v>
      </c>
    </row>
    <row r="15" spans="1:6" ht="17.25" thickBot="1" x14ac:dyDescent="0.35">
      <c r="A15" s="4" t="s">
        <v>13</v>
      </c>
      <c r="B15" s="5">
        <f>SUM(B3:B14)</f>
        <v>-2973799</v>
      </c>
      <c r="C15" s="5">
        <f t="shared" ref="C15:F15" si="1">SUM(C3:C14)</f>
        <v>0</v>
      </c>
      <c r="D15" s="5">
        <f t="shared" si="1"/>
        <v>0</v>
      </c>
      <c r="E15" s="5">
        <f t="shared" si="1"/>
        <v>2973799</v>
      </c>
      <c r="F15" s="5">
        <f t="shared" si="1"/>
        <v>1391125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-510875</v>
      </c>
      <c r="C3" s="2">
        <v>0</v>
      </c>
      <c r="D3" s="2">
        <v>0</v>
      </c>
      <c r="E3" s="2">
        <v>510875</v>
      </c>
      <c r="F3" s="2">
        <v>234562</v>
      </c>
    </row>
    <row r="4" spans="1:6" x14ac:dyDescent="0.3">
      <c r="A4" s="1" t="s">
        <v>1</v>
      </c>
      <c r="B4" s="2">
        <f t="shared" si="0"/>
        <v>-117528</v>
      </c>
      <c r="C4" s="2">
        <v>0</v>
      </c>
      <c r="D4" s="2">
        <v>0</v>
      </c>
      <c r="E4" s="2">
        <v>117528</v>
      </c>
      <c r="F4" s="2">
        <v>65520</v>
      </c>
    </row>
    <row r="5" spans="1:6" x14ac:dyDescent="0.3">
      <c r="A5" s="1" t="s">
        <v>2</v>
      </c>
      <c r="B5" s="2">
        <f t="shared" si="0"/>
        <v>-112487</v>
      </c>
      <c r="C5" s="2">
        <v>0</v>
      </c>
      <c r="D5" s="2">
        <v>0</v>
      </c>
      <c r="E5" s="2">
        <v>112487</v>
      </c>
      <c r="F5" s="2">
        <v>61086</v>
      </c>
    </row>
    <row r="6" spans="1:6" x14ac:dyDescent="0.3">
      <c r="A6" s="1" t="s">
        <v>3</v>
      </c>
      <c r="B6" s="2">
        <f t="shared" si="0"/>
        <v>-95995</v>
      </c>
      <c r="C6" s="2">
        <v>0</v>
      </c>
      <c r="D6" s="2">
        <v>0</v>
      </c>
      <c r="E6" s="2">
        <v>95995</v>
      </c>
      <c r="F6" s="2">
        <v>48703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-2925</v>
      </c>
      <c r="C8" s="2">
        <v>0</v>
      </c>
      <c r="D8" s="2">
        <v>0</v>
      </c>
      <c r="E8" s="2">
        <v>2925</v>
      </c>
      <c r="F8" s="2">
        <v>227</v>
      </c>
    </row>
    <row r="9" spans="1:6" x14ac:dyDescent="0.3">
      <c r="A9" s="1" t="s">
        <v>6</v>
      </c>
      <c r="B9" s="2">
        <f t="shared" si="0"/>
        <v>-1155681</v>
      </c>
      <c r="C9" s="2">
        <v>0</v>
      </c>
      <c r="D9" s="2">
        <v>0</v>
      </c>
      <c r="E9" s="2">
        <v>1155681</v>
      </c>
      <c r="F9" s="2">
        <v>415684</v>
      </c>
    </row>
    <row r="10" spans="1:6" x14ac:dyDescent="0.3">
      <c r="A10" s="1" t="s">
        <v>7</v>
      </c>
      <c r="B10" s="2">
        <f t="shared" si="0"/>
        <v>-2182778</v>
      </c>
      <c r="C10" s="2">
        <v>0</v>
      </c>
      <c r="D10" s="2">
        <v>0</v>
      </c>
      <c r="E10" s="2">
        <v>2182778</v>
      </c>
      <c r="F10" s="2">
        <v>758941</v>
      </c>
    </row>
    <row r="11" spans="1:6" x14ac:dyDescent="0.3">
      <c r="A11" s="1" t="s">
        <v>8</v>
      </c>
      <c r="B11" s="2">
        <f t="shared" si="0"/>
        <v>-847267</v>
      </c>
      <c r="C11" s="2">
        <v>0</v>
      </c>
      <c r="D11" s="2">
        <v>0</v>
      </c>
      <c r="E11" s="2">
        <v>847267</v>
      </c>
      <c r="F11" s="2">
        <v>312348</v>
      </c>
    </row>
    <row r="12" spans="1:6" x14ac:dyDescent="0.3">
      <c r="A12" s="1" t="s">
        <v>9</v>
      </c>
      <c r="B12" s="2">
        <f t="shared" si="0"/>
        <v>-685663</v>
      </c>
      <c r="C12" s="2">
        <v>0</v>
      </c>
      <c r="D12" s="2">
        <v>0</v>
      </c>
      <c r="E12" s="2">
        <v>685663</v>
      </c>
      <c r="F12" s="2">
        <v>361248</v>
      </c>
    </row>
    <row r="13" spans="1:6" x14ac:dyDescent="0.3">
      <c r="A13" s="1" t="s">
        <v>10</v>
      </c>
      <c r="B13" s="2">
        <f t="shared" si="0"/>
        <v>-288128</v>
      </c>
      <c r="C13" s="2">
        <v>0</v>
      </c>
      <c r="D13" s="2">
        <v>0</v>
      </c>
      <c r="E13" s="2">
        <v>288128</v>
      </c>
      <c r="F13" s="2">
        <v>131157</v>
      </c>
    </row>
    <row r="14" spans="1:6" x14ac:dyDescent="0.3">
      <c r="A14" s="1" t="s">
        <v>11</v>
      </c>
      <c r="B14" s="2">
        <f t="shared" si="0"/>
        <v>-1736642</v>
      </c>
      <c r="C14" s="2">
        <v>0</v>
      </c>
      <c r="D14" s="2">
        <v>0</v>
      </c>
      <c r="E14" s="2">
        <v>1736642</v>
      </c>
      <c r="F14" s="2">
        <v>893213</v>
      </c>
    </row>
    <row r="15" spans="1:6" ht="17.25" thickBot="1" x14ac:dyDescent="0.35">
      <c r="A15" s="4" t="s">
        <v>13</v>
      </c>
      <c r="B15" s="5">
        <f>SUM(B3:B14)</f>
        <v>-7735969</v>
      </c>
      <c r="C15" s="5">
        <f t="shared" ref="C15:F15" si="1">SUM(C3:C14)</f>
        <v>0</v>
      </c>
      <c r="D15" s="5">
        <f t="shared" si="1"/>
        <v>0</v>
      </c>
      <c r="E15" s="5">
        <f t="shared" si="1"/>
        <v>7735969</v>
      </c>
      <c r="F15" s="5">
        <f t="shared" si="1"/>
        <v>3282689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-356974</v>
      </c>
      <c r="C3" s="2">
        <v>0</v>
      </c>
      <c r="D3" s="2">
        <v>0</v>
      </c>
      <c r="E3" s="2">
        <v>356974</v>
      </c>
      <c r="F3" s="2">
        <v>149983</v>
      </c>
    </row>
    <row r="4" spans="1:6" x14ac:dyDescent="0.3">
      <c r="A4" s="1" t="s">
        <v>1</v>
      </c>
      <c r="B4" s="2">
        <f t="shared" si="0"/>
        <v>-473765</v>
      </c>
      <c r="C4" s="2">
        <v>0</v>
      </c>
      <c r="D4" s="2">
        <v>0</v>
      </c>
      <c r="E4" s="2">
        <v>473765</v>
      </c>
      <c r="F4" s="2">
        <v>230553</v>
      </c>
    </row>
    <row r="5" spans="1:6" x14ac:dyDescent="0.3">
      <c r="A5" s="1" t="s">
        <v>2</v>
      </c>
      <c r="B5" s="2">
        <f t="shared" si="0"/>
        <v>-430096</v>
      </c>
      <c r="C5" s="2">
        <v>0</v>
      </c>
      <c r="D5" s="2">
        <v>0</v>
      </c>
      <c r="E5" s="2">
        <v>430096</v>
      </c>
      <c r="F5" s="2">
        <v>242871</v>
      </c>
    </row>
    <row r="6" spans="1:6" x14ac:dyDescent="0.3">
      <c r="A6" s="1" t="s">
        <v>3</v>
      </c>
      <c r="B6" s="2">
        <f t="shared" si="0"/>
        <v>-356164</v>
      </c>
      <c r="C6" s="2">
        <v>0</v>
      </c>
      <c r="D6" s="2">
        <v>0</v>
      </c>
      <c r="E6" s="2">
        <v>356164</v>
      </c>
      <c r="F6" s="2">
        <v>213247</v>
      </c>
    </row>
    <row r="7" spans="1:6" x14ac:dyDescent="0.3">
      <c r="A7" s="1" t="s">
        <v>4</v>
      </c>
      <c r="B7" s="2">
        <f t="shared" si="0"/>
        <v>-153696</v>
      </c>
      <c r="C7" s="2">
        <v>0</v>
      </c>
      <c r="D7" s="2">
        <v>0</v>
      </c>
      <c r="E7" s="2">
        <v>153696</v>
      </c>
      <c r="F7" s="2">
        <v>88889</v>
      </c>
    </row>
    <row r="8" spans="1:6" x14ac:dyDescent="0.3">
      <c r="A8" s="1" t="s">
        <v>5</v>
      </c>
      <c r="B8" s="2">
        <f t="shared" si="0"/>
        <v>-734160</v>
      </c>
      <c r="C8" s="2">
        <v>0</v>
      </c>
      <c r="D8" s="2">
        <v>0</v>
      </c>
      <c r="E8" s="2">
        <v>734160</v>
      </c>
      <c r="F8" s="2">
        <v>459315</v>
      </c>
    </row>
    <row r="9" spans="1:6" x14ac:dyDescent="0.3">
      <c r="A9" s="1" t="s">
        <v>6</v>
      </c>
      <c r="B9" s="2">
        <f t="shared" si="0"/>
        <v>-545873</v>
      </c>
      <c r="C9" s="2">
        <v>0</v>
      </c>
      <c r="D9" s="2">
        <v>0</v>
      </c>
      <c r="E9" s="2">
        <v>545873</v>
      </c>
      <c r="F9" s="2">
        <v>333604</v>
      </c>
    </row>
    <row r="10" spans="1:6" x14ac:dyDescent="0.3">
      <c r="A10" s="1" t="s">
        <v>7</v>
      </c>
      <c r="B10" s="2">
        <f t="shared" si="0"/>
        <v>-847211</v>
      </c>
      <c r="C10" s="2">
        <v>0</v>
      </c>
      <c r="D10" s="2">
        <v>0</v>
      </c>
      <c r="E10" s="2">
        <v>847211</v>
      </c>
      <c r="F10" s="2">
        <v>564793</v>
      </c>
    </row>
    <row r="11" spans="1:6" x14ac:dyDescent="0.3">
      <c r="A11" s="1" t="s">
        <v>8</v>
      </c>
      <c r="B11" s="2">
        <f t="shared" si="0"/>
        <v>-778713</v>
      </c>
      <c r="C11" s="2">
        <v>0</v>
      </c>
      <c r="D11" s="2">
        <v>0</v>
      </c>
      <c r="E11" s="2">
        <v>778713</v>
      </c>
      <c r="F11" s="2">
        <v>473315</v>
      </c>
    </row>
    <row r="12" spans="1:6" x14ac:dyDescent="0.3">
      <c r="A12" s="1" t="s">
        <v>9</v>
      </c>
      <c r="B12" s="2">
        <f t="shared" si="0"/>
        <v>-89936</v>
      </c>
      <c r="C12" s="2">
        <v>0</v>
      </c>
      <c r="D12" s="2">
        <v>0</v>
      </c>
      <c r="E12" s="2">
        <v>89936</v>
      </c>
      <c r="F12" s="2">
        <v>59579</v>
      </c>
    </row>
    <row r="13" spans="1:6" x14ac:dyDescent="0.3">
      <c r="A13" s="1" t="s">
        <v>10</v>
      </c>
      <c r="B13" s="2">
        <f t="shared" si="0"/>
        <v>-526259</v>
      </c>
      <c r="C13" s="2">
        <v>0</v>
      </c>
      <c r="D13" s="2">
        <v>0</v>
      </c>
      <c r="E13" s="2">
        <v>526259</v>
      </c>
      <c r="F13" s="2">
        <v>320779</v>
      </c>
    </row>
    <row r="14" spans="1:6" x14ac:dyDescent="0.3">
      <c r="A14" s="1" t="s">
        <v>11</v>
      </c>
      <c r="B14" s="2">
        <f t="shared" si="0"/>
        <v>-769210</v>
      </c>
      <c r="C14" s="2">
        <v>0</v>
      </c>
      <c r="D14" s="2">
        <v>0</v>
      </c>
      <c r="E14" s="2">
        <v>769210</v>
      </c>
      <c r="F14" s="2">
        <v>480520</v>
      </c>
    </row>
    <row r="15" spans="1:6" ht="17.25" thickBot="1" x14ac:dyDescent="0.35">
      <c r="A15" s="4" t="s">
        <v>13</v>
      </c>
      <c r="B15" s="5">
        <f>SUM(B3:B14)</f>
        <v>-6062057</v>
      </c>
      <c r="C15" s="5">
        <f t="shared" ref="C15:F15" si="1">SUM(C3:C14)</f>
        <v>0</v>
      </c>
      <c r="D15" s="5">
        <f t="shared" si="1"/>
        <v>0</v>
      </c>
      <c r="E15" s="5">
        <f t="shared" si="1"/>
        <v>6062057</v>
      </c>
      <c r="F15" s="5">
        <f t="shared" si="1"/>
        <v>3617448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-591837</v>
      </c>
      <c r="C3" s="2">
        <v>0</v>
      </c>
      <c r="D3" s="2">
        <v>0</v>
      </c>
      <c r="E3" s="2">
        <v>591837</v>
      </c>
      <c r="F3" s="2">
        <v>403806</v>
      </c>
    </row>
    <row r="4" spans="1:6" x14ac:dyDescent="0.3">
      <c r="A4" s="1" t="s">
        <v>1</v>
      </c>
      <c r="B4" s="2">
        <f t="shared" si="0"/>
        <v>-427312</v>
      </c>
      <c r="C4" s="2">
        <v>0</v>
      </c>
      <c r="D4" s="2">
        <v>0</v>
      </c>
      <c r="E4" s="2">
        <v>427312</v>
      </c>
      <c r="F4" s="2">
        <v>245870</v>
      </c>
    </row>
    <row r="5" spans="1:6" x14ac:dyDescent="0.3">
      <c r="A5" s="1" t="s">
        <v>2</v>
      </c>
      <c r="B5" s="2">
        <f t="shared" si="0"/>
        <v>-329983</v>
      </c>
      <c r="C5" s="2">
        <v>0</v>
      </c>
      <c r="D5" s="2">
        <v>0</v>
      </c>
      <c r="E5" s="2">
        <v>329983</v>
      </c>
      <c r="F5" s="2">
        <v>246127</v>
      </c>
    </row>
    <row r="6" spans="1:6" x14ac:dyDescent="0.3">
      <c r="A6" s="1" t="s">
        <v>3</v>
      </c>
      <c r="B6" s="2">
        <f t="shared" si="0"/>
        <v>-261117</v>
      </c>
      <c r="C6" s="2">
        <v>0</v>
      </c>
      <c r="D6" s="2">
        <v>0</v>
      </c>
      <c r="E6" s="2">
        <v>261117</v>
      </c>
      <c r="F6" s="2">
        <v>203492</v>
      </c>
    </row>
    <row r="7" spans="1:6" x14ac:dyDescent="0.3">
      <c r="A7" s="1" t="s">
        <v>4</v>
      </c>
      <c r="B7" s="2">
        <f t="shared" si="0"/>
        <v>-383214</v>
      </c>
      <c r="C7" s="2">
        <v>0</v>
      </c>
      <c r="D7" s="2">
        <v>0</v>
      </c>
      <c r="E7" s="2">
        <v>383214</v>
      </c>
      <c r="F7" s="2">
        <v>327070</v>
      </c>
    </row>
    <row r="8" spans="1:6" x14ac:dyDescent="0.3">
      <c r="A8" s="1" t="s">
        <v>5</v>
      </c>
      <c r="B8" s="2">
        <f t="shared" si="0"/>
        <v>-397190</v>
      </c>
      <c r="C8" s="2">
        <v>0</v>
      </c>
      <c r="D8" s="2">
        <v>0</v>
      </c>
      <c r="E8" s="2">
        <v>397190</v>
      </c>
      <c r="F8" s="2">
        <v>348166</v>
      </c>
    </row>
    <row r="9" spans="1:6" x14ac:dyDescent="0.3">
      <c r="A9" s="1" t="s">
        <v>6</v>
      </c>
      <c r="B9" s="2">
        <f t="shared" si="0"/>
        <v>-859001</v>
      </c>
      <c r="C9" s="2">
        <v>0</v>
      </c>
      <c r="D9" s="2">
        <v>0</v>
      </c>
      <c r="E9" s="2">
        <v>859001</v>
      </c>
      <c r="F9" s="2">
        <v>613285</v>
      </c>
    </row>
    <row r="10" spans="1:6" x14ac:dyDescent="0.3">
      <c r="A10" s="1" t="s">
        <v>7</v>
      </c>
      <c r="B10" s="2">
        <f t="shared" si="0"/>
        <v>-1142513</v>
      </c>
      <c r="C10" s="2">
        <v>0</v>
      </c>
      <c r="D10" s="2">
        <v>0</v>
      </c>
      <c r="E10" s="2">
        <v>1142513</v>
      </c>
      <c r="F10" s="2">
        <v>809344</v>
      </c>
    </row>
    <row r="11" spans="1:6" x14ac:dyDescent="0.3">
      <c r="A11" s="1" t="s">
        <v>8</v>
      </c>
      <c r="B11" s="2">
        <f t="shared" si="0"/>
        <v>-204037</v>
      </c>
      <c r="C11" s="2">
        <v>0</v>
      </c>
      <c r="D11" s="2">
        <v>0</v>
      </c>
      <c r="E11" s="2">
        <v>204037</v>
      </c>
      <c r="F11" s="2">
        <v>122571</v>
      </c>
    </row>
    <row r="12" spans="1:6" x14ac:dyDescent="0.3">
      <c r="A12" s="1" t="s">
        <v>9</v>
      </c>
      <c r="B12" s="2">
        <f t="shared" si="0"/>
        <v>-99152</v>
      </c>
      <c r="C12" s="2">
        <v>0</v>
      </c>
      <c r="D12" s="2">
        <v>0</v>
      </c>
      <c r="E12" s="2">
        <v>99152</v>
      </c>
      <c r="F12" s="2">
        <v>59790</v>
      </c>
    </row>
    <row r="13" spans="1:6" x14ac:dyDescent="0.3">
      <c r="A13" s="1" t="s">
        <v>10</v>
      </c>
      <c r="B13" s="2">
        <f t="shared" si="0"/>
        <v>-252298</v>
      </c>
      <c r="C13" s="2">
        <v>0</v>
      </c>
      <c r="D13" s="2">
        <v>0</v>
      </c>
      <c r="E13" s="2">
        <v>252298</v>
      </c>
      <c r="F13" s="2">
        <v>170990</v>
      </c>
    </row>
    <row r="14" spans="1:6" x14ac:dyDescent="0.3">
      <c r="A14" s="1" t="s">
        <v>11</v>
      </c>
      <c r="B14" s="2">
        <f t="shared" si="0"/>
        <v>-670548</v>
      </c>
      <c r="C14" s="2">
        <v>0</v>
      </c>
      <c r="D14" s="2">
        <v>0</v>
      </c>
      <c r="E14" s="2">
        <v>670548</v>
      </c>
      <c r="F14" s="2">
        <v>425268</v>
      </c>
    </row>
    <row r="15" spans="1:6" ht="17.25" thickBot="1" x14ac:dyDescent="0.35">
      <c r="A15" s="4" t="s">
        <v>13</v>
      </c>
      <c r="B15" s="5">
        <f>SUM(B3:B14)</f>
        <v>-5618202</v>
      </c>
      <c r="C15" s="5">
        <f t="shared" ref="C15:F15" si="1">SUM(C3:C14)</f>
        <v>0</v>
      </c>
      <c r="D15" s="5">
        <f t="shared" si="1"/>
        <v>0</v>
      </c>
      <c r="E15" s="5">
        <f t="shared" si="1"/>
        <v>5618202</v>
      </c>
      <c r="F15" s="5">
        <f t="shared" si="1"/>
        <v>3975779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-787232</v>
      </c>
      <c r="C3" s="2">
        <v>0</v>
      </c>
      <c r="D3" s="2">
        <v>0</v>
      </c>
      <c r="E3" s="2">
        <v>787232</v>
      </c>
      <c r="F3" s="2">
        <v>475431</v>
      </c>
    </row>
    <row r="4" spans="1:6" x14ac:dyDescent="0.3">
      <c r="A4" s="1" t="s">
        <v>1</v>
      </c>
      <c r="B4" s="2">
        <f t="shared" si="0"/>
        <v>-614325</v>
      </c>
      <c r="C4" s="2">
        <v>0</v>
      </c>
      <c r="D4" s="2">
        <v>0</v>
      </c>
      <c r="E4" s="2">
        <v>614325</v>
      </c>
      <c r="F4" s="2">
        <v>410569</v>
      </c>
    </row>
    <row r="5" spans="1:6" x14ac:dyDescent="0.3">
      <c r="A5" s="1" t="s">
        <v>2</v>
      </c>
      <c r="B5" s="2">
        <f t="shared" si="0"/>
        <v>-266300</v>
      </c>
      <c r="C5" s="2">
        <v>0</v>
      </c>
      <c r="D5" s="2">
        <v>0</v>
      </c>
      <c r="E5" s="2">
        <v>266300</v>
      </c>
      <c r="F5" s="2">
        <v>176033</v>
      </c>
    </row>
    <row r="6" spans="1:6" x14ac:dyDescent="0.3">
      <c r="A6" s="1" t="s">
        <v>3</v>
      </c>
      <c r="B6" s="2">
        <f t="shared" si="0"/>
        <v>-283057</v>
      </c>
      <c r="C6" s="2">
        <v>0</v>
      </c>
      <c r="D6" s="2">
        <v>0</v>
      </c>
      <c r="E6" s="2">
        <v>283057</v>
      </c>
      <c r="F6" s="2">
        <v>188864</v>
      </c>
    </row>
    <row r="7" spans="1:6" x14ac:dyDescent="0.3">
      <c r="A7" s="1" t="s">
        <v>4</v>
      </c>
      <c r="B7" s="2">
        <f t="shared" si="0"/>
        <v>-466543</v>
      </c>
      <c r="C7" s="2">
        <v>0</v>
      </c>
      <c r="D7" s="2">
        <v>0</v>
      </c>
      <c r="E7" s="2">
        <v>466543</v>
      </c>
      <c r="F7" s="2">
        <v>322150</v>
      </c>
    </row>
    <row r="8" spans="1:6" x14ac:dyDescent="0.3">
      <c r="A8" s="1" t="s">
        <v>5</v>
      </c>
      <c r="B8" s="2">
        <f t="shared" si="0"/>
        <v>-279751</v>
      </c>
      <c r="C8" s="2">
        <v>0</v>
      </c>
      <c r="D8" s="2">
        <v>0</v>
      </c>
      <c r="E8" s="2">
        <v>279751</v>
      </c>
      <c r="F8" s="2">
        <v>195506</v>
      </c>
    </row>
    <row r="9" spans="1:6" x14ac:dyDescent="0.3">
      <c r="A9" s="1" t="s">
        <v>6</v>
      </c>
      <c r="B9" s="2">
        <f t="shared" si="0"/>
        <v>-638384</v>
      </c>
      <c r="C9" s="2">
        <v>0</v>
      </c>
      <c r="D9" s="2">
        <v>0</v>
      </c>
      <c r="E9" s="2">
        <v>638384</v>
      </c>
      <c r="F9" s="2">
        <v>390780</v>
      </c>
    </row>
    <row r="10" spans="1:6" x14ac:dyDescent="0.3">
      <c r="A10" s="1" t="s">
        <v>7</v>
      </c>
      <c r="B10" s="2">
        <f t="shared" si="0"/>
        <v>-980256</v>
      </c>
      <c r="C10" s="2">
        <v>0</v>
      </c>
      <c r="D10" s="2">
        <v>0</v>
      </c>
      <c r="E10" s="2">
        <v>980256</v>
      </c>
      <c r="F10" s="2">
        <v>588908</v>
      </c>
    </row>
    <row r="11" spans="1:6" x14ac:dyDescent="0.3">
      <c r="A11" s="1" t="s">
        <v>8</v>
      </c>
      <c r="B11" s="2">
        <f t="shared" si="0"/>
        <v>-566585</v>
      </c>
      <c r="C11" s="2">
        <v>0</v>
      </c>
      <c r="D11" s="2">
        <v>0</v>
      </c>
      <c r="E11" s="2">
        <v>566585</v>
      </c>
      <c r="F11" s="2">
        <v>334778</v>
      </c>
    </row>
    <row r="12" spans="1:6" x14ac:dyDescent="0.3">
      <c r="A12" s="1" t="s">
        <v>9</v>
      </c>
      <c r="B12" s="2">
        <f t="shared" si="0"/>
        <v>-886983</v>
      </c>
      <c r="C12" s="2">
        <v>0</v>
      </c>
      <c r="D12" s="2">
        <v>0</v>
      </c>
      <c r="E12" s="2">
        <v>886983</v>
      </c>
      <c r="F12" s="2">
        <v>613586</v>
      </c>
    </row>
    <row r="13" spans="1:6" x14ac:dyDescent="0.3">
      <c r="A13" s="1" t="s">
        <v>10</v>
      </c>
      <c r="B13" s="2">
        <f t="shared" si="0"/>
        <v>-215744</v>
      </c>
      <c r="C13" s="2">
        <v>0</v>
      </c>
      <c r="D13" s="2">
        <v>0</v>
      </c>
      <c r="E13" s="2">
        <v>215744</v>
      </c>
      <c r="F13" s="2">
        <v>143532</v>
      </c>
    </row>
    <row r="14" spans="1:6" x14ac:dyDescent="0.3">
      <c r="A14" s="1" t="s">
        <v>11</v>
      </c>
      <c r="B14" s="2">
        <f t="shared" si="0"/>
        <v>-783643</v>
      </c>
      <c r="C14" s="2">
        <v>0</v>
      </c>
      <c r="D14" s="2">
        <v>0</v>
      </c>
      <c r="E14" s="2">
        <v>783643</v>
      </c>
      <c r="F14" s="2">
        <v>438107</v>
      </c>
    </row>
    <row r="15" spans="1:6" ht="17.25" thickBot="1" x14ac:dyDescent="0.35">
      <c r="A15" s="4" t="s">
        <v>13</v>
      </c>
      <c r="B15" s="5">
        <f>SUM(B3:B14)</f>
        <v>-6768803</v>
      </c>
      <c r="C15" s="5">
        <f t="shared" ref="C15:F15" si="1">SUM(C3:C14)</f>
        <v>0</v>
      </c>
      <c r="D15" s="5">
        <f t="shared" si="1"/>
        <v>0</v>
      </c>
      <c r="E15" s="5">
        <f t="shared" si="1"/>
        <v>6768803</v>
      </c>
      <c r="F15" s="5">
        <f t="shared" si="1"/>
        <v>4278244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-524574</v>
      </c>
      <c r="C3" s="2">
        <v>0</v>
      </c>
      <c r="D3" s="2">
        <v>0</v>
      </c>
      <c r="E3" s="2">
        <v>524574</v>
      </c>
      <c r="F3" s="2">
        <v>307875</v>
      </c>
    </row>
    <row r="4" spans="1:6" x14ac:dyDescent="0.3">
      <c r="A4" s="1" t="s">
        <v>1</v>
      </c>
      <c r="B4" s="2">
        <f t="shared" si="0"/>
        <v>-399194</v>
      </c>
      <c r="C4" s="2">
        <v>0</v>
      </c>
      <c r="D4" s="2">
        <v>0</v>
      </c>
      <c r="E4" s="2">
        <v>399194</v>
      </c>
      <c r="F4" s="2">
        <v>236435</v>
      </c>
    </row>
    <row r="5" spans="1:6" x14ac:dyDescent="0.3">
      <c r="A5" s="1" t="s">
        <v>2</v>
      </c>
      <c r="B5" s="2">
        <f t="shared" si="0"/>
        <v>-392876</v>
      </c>
      <c r="C5" s="2">
        <v>0</v>
      </c>
      <c r="D5" s="2">
        <v>0</v>
      </c>
      <c r="E5" s="2">
        <v>392876</v>
      </c>
      <c r="F5" s="2">
        <v>244731</v>
      </c>
    </row>
    <row r="6" spans="1:6" x14ac:dyDescent="0.3">
      <c r="A6" s="1" t="s">
        <v>3</v>
      </c>
      <c r="B6" s="2">
        <f t="shared" si="0"/>
        <v>-679497</v>
      </c>
      <c r="C6" s="2">
        <v>0</v>
      </c>
      <c r="D6" s="2">
        <v>0</v>
      </c>
      <c r="E6" s="2">
        <v>679497</v>
      </c>
      <c r="F6" s="2">
        <v>428836</v>
      </c>
    </row>
    <row r="7" spans="1:6" x14ac:dyDescent="0.3">
      <c r="A7" s="1" t="s">
        <v>4</v>
      </c>
      <c r="B7" s="2">
        <f t="shared" si="0"/>
        <v>-314082</v>
      </c>
      <c r="C7" s="2">
        <v>0</v>
      </c>
      <c r="D7" s="2">
        <v>0</v>
      </c>
      <c r="E7" s="2">
        <v>314082</v>
      </c>
      <c r="F7" s="2">
        <v>196000</v>
      </c>
    </row>
    <row r="8" spans="1:6" x14ac:dyDescent="0.3">
      <c r="A8" s="1" t="s">
        <v>5</v>
      </c>
      <c r="B8" s="2">
        <f t="shared" si="0"/>
        <v>-769505</v>
      </c>
      <c r="C8" s="2">
        <v>0</v>
      </c>
      <c r="D8" s="2">
        <v>0</v>
      </c>
      <c r="E8" s="2">
        <v>769505</v>
      </c>
      <c r="F8" s="2">
        <v>467707</v>
      </c>
    </row>
    <row r="9" spans="1:6" x14ac:dyDescent="0.3">
      <c r="A9" s="1" t="s">
        <v>6</v>
      </c>
      <c r="B9" s="2">
        <f t="shared" si="0"/>
        <v>-294500</v>
      </c>
      <c r="C9" s="2">
        <v>0</v>
      </c>
      <c r="D9" s="2">
        <v>0</v>
      </c>
      <c r="E9" s="2">
        <v>294500</v>
      </c>
      <c r="F9" s="2">
        <v>175759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-3374228</v>
      </c>
      <c r="C15" s="5">
        <f t="shared" ref="C15:F15" si="1">SUM(C3:C14)</f>
        <v>0</v>
      </c>
      <c r="D15" s="5">
        <f t="shared" si="1"/>
        <v>0</v>
      </c>
      <c r="E15" s="5">
        <f t="shared" si="1"/>
        <v>3374228</v>
      </c>
      <c r="F15" s="5">
        <f t="shared" si="1"/>
        <v>2057343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2026-09-03T03:19:17Z</dcterms:modified>
</cp:coreProperties>
</file>