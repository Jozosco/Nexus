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<sst xmlns="http://schemas.openxmlformats.org/spreadsheetml/2006/main" count="306" uniqueCount="18">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</sst>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-3251</v>
      </c>
      <c r="C3" s="2">
        <v>0</v>
      </c>
      <c r="D3" s="2">
        <v>0</v>
      </c>
      <c r="E3" s="2">
        <v>3251</v>
      </c>
      <c r="F3" s="2">
        <v>380</v>
      </c>
    </row>
    <row r="4" spans="1:6" x14ac:dyDescent="0.3">
      <c r="A4" s="1" t="s">
        <v>1</v>
      </c>
      <c r="B4" s="2">
        <f t="shared" ref="B4:B14" si="0">C4-E4</f>
        <v>-33683</v>
      </c>
      <c r="C4" s="2">
        <v>0</v>
      </c>
      <c r="D4" s="2">
        <v>0</v>
      </c>
      <c r="E4" s="2">
        <v>33683</v>
      </c>
      <c r="F4" s="2">
        <v>6460</v>
      </c>
    </row>
    <row r="5" spans="1:6" x14ac:dyDescent="0.3">
      <c r="A5" s="1" t="s">
        <v>2</v>
      </c>
      <c r="B5" s="2">
        <f t="shared" si="0"/>
        <v>-10844</v>
      </c>
      <c r="C5" s="2">
        <v>0</v>
      </c>
      <c r="D5" s="2">
        <v>0</v>
      </c>
      <c r="E5" s="2">
        <v>10844</v>
      </c>
      <c r="F5" s="2">
        <v>2955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-17037</v>
      </c>
      <c r="C8" s="2">
        <v>0</v>
      </c>
      <c r="D8" s="2">
        <v>0</v>
      </c>
      <c r="E8" s="2">
        <v>17037</v>
      </c>
      <c r="F8" s="2">
        <v>4180</v>
      </c>
    </row>
    <row r="9" spans="1:6" x14ac:dyDescent="0.3">
      <c r="A9" s="1" t="s">
        <v>6</v>
      </c>
      <c r="B9" s="2">
        <f t="shared" si="0"/>
        <v>-8964</v>
      </c>
      <c r="C9" s="2">
        <v>0</v>
      </c>
      <c r="D9" s="2">
        <v>0</v>
      </c>
      <c r="E9" s="2">
        <v>8964</v>
      </c>
      <c r="F9" s="2">
        <v>1140</v>
      </c>
    </row>
    <row r="10" spans="1:6" x14ac:dyDescent="0.3">
      <c r="A10" s="1" t="s">
        <v>7</v>
      </c>
      <c r="B10" s="2">
        <f t="shared" si="0"/>
        <v>-10487</v>
      </c>
      <c r="C10" s="2">
        <v>0</v>
      </c>
      <c r="D10" s="2">
        <v>0</v>
      </c>
      <c r="E10" s="2">
        <v>10487</v>
      </c>
      <c r="F10" s="2">
        <v>1520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-39</v>
      </c>
      <c r="C12" s="2">
        <v>0</v>
      </c>
      <c r="D12" s="2">
        <v>0</v>
      </c>
      <c r="E12" s="2">
        <v>39</v>
      </c>
      <c r="F12" s="2">
        <v>2</v>
      </c>
    </row>
    <row r="13" spans="1:6" x14ac:dyDescent="0.3">
      <c r="A13" s="1" t="s">
        <v>10</v>
      </c>
      <c r="B13" s="2">
        <f t="shared" si="0"/>
        <v>-15139</v>
      </c>
      <c r="C13" s="2">
        <v>0</v>
      </c>
      <c r="D13" s="2">
        <v>0</v>
      </c>
      <c r="E13" s="2">
        <v>15139</v>
      </c>
      <c r="F13" s="2">
        <v>2065</v>
      </c>
    </row>
    <row r="14" spans="1:6" x14ac:dyDescent="0.3">
      <c r="A14" s="1" t="s">
        <v>11</v>
      </c>
      <c r="B14" s="2">
        <f t="shared" si="0"/>
        <v>-4964</v>
      </c>
      <c r="C14" s="2">
        <v>0</v>
      </c>
      <c r="D14" s="2">
        <v>0</v>
      </c>
      <c r="E14" s="2">
        <v>4964</v>
      </c>
      <c r="F14" s="2">
        <v>1140</v>
      </c>
    </row>
    <row r="15" spans="1:6" ht="17.25" thickBot="1" x14ac:dyDescent="0.35">
      <c r="A15" s="4" t="s">
        <v>13</v>
      </c>
      <c r="B15" s="5">
        <f>SUM(B3:B14)</f>
        <v>-104408</v>
      </c>
      <c r="C15" s="5">
        <f t="shared" ref="C15:F15" si="1">SUM(C3:C14)</f>
        <v>0</v>
      </c>
      <c r="D15" s="5">
        <f t="shared" si="1"/>
        <v>0</v>
      </c>
      <c r="E15" s="5">
        <f t="shared" si="1"/>
        <v>104408</v>
      </c>
      <c r="F15" s="5">
        <f t="shared" si="1"/>
        <v>19842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-2638</v>
      </c>
      <c r="C3" s="2">
        <v>0</v>
      </c>
      <c r="D3" s="2">
        <v>0</v>
      </c>
      <c r="E3" s="2">
        <v>2638</v>
      </c>
      <c r="F3" s="2">
        <v>276</v>
      </c>
    </row>
    <row r="4" spans="1:6" x14ac:dyDescent="0.3">
      <c r="A4" s="1" t="s">
        <v>1</v>
      </c>
      <c r="B4" s="2">
        <f t="shared" ref="B4:B14" si="0">C4-E4</f>
        <v>-22823</v>
      </c>
      <c r="C4" s="2">
        <v>0</v>
      </c>
      <c r="D4" s="2">
        <v>0</v>
      </c>
      <c r="E4" s="2">
        <v>22823</v>
      </c>
      <c r="F4" s="2">
        <v>1343</v>
      </c>
    </row>
    <row r="5" spans="1:6" x14ac:dyDescent="0.3">
      <c r="A5" s="1" t="s">
        <v>2</v>
      </c>
      <c r="B5" s="2">
        <f t="shared" si="0"/>
        <v>-7110</v>
      </c>
      <c r="C5" s="2">
        <v>3621</v>
      </c>
      <c r="D5" s="2">
        <v>300</v>
      </c>
      <c r="E5" s="2">
        <v>10731</v>
      </c>
      <c r="F5" s="2">
        <v>2103</v>
      </c>
    </row>
    <row r="6" spans="1:6" x14ac:dyDescent="0.3">
      <c r="A6" s="1" t="s">
        <v>3</v>
      </c>
      <c r="B6" s="2">
        <f t="shared" si="0"/>
        <v>-13</v>
      </c>
      <c r="C6" s="2">
        <v>0</v>
      </c>
      <c r="D6" s="2">
        <v>0</v>
      </c>
      <c r="E6" s="2">
        <v>13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-7697</v>
      </c>
      <c r="C8" s="2">
        <v>0</v>
      </c>
      <c r="D8" s="2">
        <v>0</v>
      </c>
      <c r="E8" s="2">
        <v>7697</v>
      </c>
      <c r="F8" s="2">
        <v>1144</v>
      </c>
    </row>
    <row r="9" spans="1:6" x14ac:dyDescent="0.3">
      <c r="A9" s="1" t="s">
        <v>6</v>
      </c>
      <c r="B9" s="2">
        <f t="shared" si="0"/>
        <v>-1427</v>
      </c>
      <c r="C9" s="2">
        <v>0</v>
      </c>
      <c r="D9" s="2">
        <v>0</v>
      </c>
      <c r="E9" s="2">
        <v>1427</v>
      </c>
      <c r="F9" s="2">
        <v>162</v>
      </c>
    </row>
    <row r="10" spans="1:6" x14ac:dyDescent="0.3">
      <c r="A10" s="1" t="s">
        <v>7</v>
      </c>
      <c r="B10" s="2">
        <f t="shared" si="0"/>
        <v>-9850</v>
      </c>
      <c r="C10" s="2">
        <v>0</v>
      </c>
      <c r="D10" s="2">
        <v>0</v>
      </c>
      <c r="E10" s="2">
        <v>9850</v>
      </c>
      <c r="F10" s="2">
        <v>2100</v>
      </c>
    </row>
    <row r="11" spans="1:6" x14ac:dyDescent="0.3">
      <c r="A11" s="1" t="s">
        <v>8</v>
      </c>
      <c r="B11" s="2">
        <f t="shared" si="0"/>
        <v>-16386</v>
      </c>
      <c r="C11" s="2">
        <v>0</v>
      </c>
      <c r="D11" s="2">
        <v>0</v>
      </c>
      <c r="E11" s="2">
        <v>16386</v>
      </c>
      <c r="F11" s="2">
        <v>2280</v>
      </c>
    </row>
    <row r="12" spans="1:6" x14ac:dyDescent="0.3">
      <c r="A12" s="1" t="s">
        <v>9</v>
      </c>
      <c r="B12" s="2">
        <f t="shared" si="0"/>
        <v>-99</v>
      </c>
      <c r="C12" s="2">
        <v>0</v>
      </c>
      <c r="D12" s="2">
        <v>0</v>
      </c>
      <c r="E12" s="2">
        <v>99</v>
      </c>
      <c r="F12" s="2">
        <v>17</v>
      </c>
    </row>
    <row r="13" spans="1:6" x14ac:dyDescent="0.3">
      <c r="A13" s="1" t="s">
        <v>10</v>
      </c>
      <c r="B13" s="2">
        <f t="shared" si="0"/>
        <v>-10651</v>
      </c>
      <c r="C13" s="2">
        <v>0</v>
      </c>
      <c r="D13" s="2">
        <v>0</v>
      </c>
      <c r="E13" s="2">
        <v>10651</v>
      </c>
      <c r="F13" s="2">
        <v>1140</v>
      </c>
    </row>
    <row r="14" spans="1:6" x14ac:dyDescent="0.3">
      <c r="A14" s="1" t="s">
        <v>11</v>
      </c>
      <c r="B14" s="2">
        <f t="shared" si="0"/>
        <v>-38296</v>
      </c>
      <c r="C14" s="2">
        <v>0</v>
      </c>
      <c r="D14" s="2">
        <v>0</v>
      </c>
      <c r="E14" s="2">
        <v>38296</v>
      </c>
      <c r="F14" s="2">
        <v>5455</v>
      </c>
    </row>
    <row r="15" spans="1:6" ht="17.25" thickBot="1" x14ac:dyDescent="0.35">
      <c r="A15" s="4" t="s">
        <v>13</v>
      </c>
      <c r="B15" s="5">
        <f>SUM(B3:B14)</f>
        <v>-116990</v>
      </c>
      <c r="C15" s="5">
        <f t="shared" ref="C15:F15" si="1">SUM(C3:C14)</f>
        <v>3621</v>
      </c>
      <c r="D15" s="5">
        <f t="shared" si="1"/>
        <v>300</v>
      </c>
      <c r="E15" s="5">
        <f t="shared" si="1"/>
        <v>120611</v>
      </c>
      <c r="F15" s="5">
        <f t="shared" si="1"/>
        <v>16020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-26012</v>
      </c>
      <c r="C3" s="2">
        <v>0</v>
      </c>
      <c r="D3" s="2">
        <v>0</v>
      </c>
      <c r="E3" s="2">
        <v>26012</v>
      </c>
      <c r="F3" s="2">
        <v>4183</v>
      </c>
    </row>
    <row r="4" spans="1:6" x14ac:dyDescent="0.3">
      <c r="A4" s="1" t="s">
        <v>1</v>
      </c>
      <c r="B4" s="2">
        <f t="shared" ref="B4:B14" si="0">C4-E4</f>
        <v>-11719</v>
      </c>
      <c r="C4" s="2">
        <v>0</v>
      </c>
      <c r="D4" s="2">
        <v>0</v>
      </c>
      <c r="E4" s="2">
        <v>11719</v>
      </c>
      <c r="F4" s="2">
        <v>2284</v>
      </c>
    </row>
    <row r="5" spans="1:6" x14ac:dyDescent="0.3">
      <c r="A5" s="1" t="s">
        <v>2</v>
      </c>
      <c r="B5" s="2">
        <f t="shared" si="0"/>
        <v>-19084</v>
      </c>
      <c r="C5" s="2">
        <v>0</v>
      </c>
      <c r="D5" s="2">
        <v>0</v>
      </c>
      <c r="E5" s="2">
        <v>19084</v>
      </c>
      <c r="F5" s="2">
        <v>2281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-22259</v>
      </c>
      <c r="C9" s="2">
        <v>0</v>
      </c>
      <c r="D9" s="2">
        <v>0</v>
      </c>
      <c r="E9" s="2">
        <v>22259</v>
      </c>
      <c r="F9" s="2">
        <v>3430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-34695</v>
      </c>
      <c r="C12" s="2">
        <v>0</v>
      </c>
      <c r="D12" s="2">
        <v>0</v>
      </c>
      <c r="E12" s="2">
        <v>34695</v>
      </c>
      <c r="F12" s="2">
        <v>5869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</v>
      </c>
      <c r="C14" s="2">
        <v>0</v>
      </c>
      <c r="D14" s="2">
        <v>0</v>
      </c>
      <c r="E14" s="2">
        <v>1</v>
      </c>
      <c r="F14" s="2">
        <v>1</v>
      </c>
    </row>
    <row r="15" spans="1:6" ht="17.25" thickBot="1" x14ac:dyDescent="0.35">
      <c r="A15" s="4" t="s">
        <v>13</v>
      </c>
      <c r="B15" s="5">
        <f>SUM(B3:B14)</f>
        <v>-113770</v>
      </c>
      <c r="C15" s="5">
        <f t="shared" ref="C15:F15" si="1">SUM(C3:C14)</f>
        <v>0</v>
      </c>
      <c r="D15" s="5">
        <f t="shared" si="1"/>
        <v>0</v>
      </c>
      <c r="E15" s="5">
        <f t="shared" si="1"/>
        <v>113770</v>
      </c>
      <c r="F15" s="5">
        <f t="shared" si="1"/>
        <v>18048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-6129</v>
      </c>
      <c r="C4" s="2">
        <v>0</v>
      </c>
      <c r="D4" s="2">
        <v>0</v>
      </c>
      <c r="E4" s="2">
        <v>6129</v>
      </c>
      <c r="F4" s="2">
        <v>1330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-24330</v>
      </c>
      <c r="C6" s="2">
        <v>0</v>
      </c>
      <c r="D6" s="2">
        <v>0</v>
      </c>
      <c r="E6" s="2">
        <v>24330</v>
      </c>
      <c r="F6" s="2">
        <v>3259</v>
      </c>
    </row>
    <row r="7" spans="1:6" x14ac:dyDescent="0.3">
      <c r="A7" s="1" t="s">
        <v>4</v>
      </c>
      <c r="B7" s="2">
        <f t="shared" si="0"/>
        <v>-1414</v>
      </c>
      <c r="C7" s="2">
        <v>0</v>
      </c>
      <c r="D7" s="2">
        <v>0</v>
      </c>
      <c r="E7" s="2">
        <v>1414</v>
      </c>
      <c r="F7" s="2">
        <v>190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-7024</v>
      </c>
      <c r="C11" s="2">
        <v>0</v>
      </c>
      <c r="D11" s="2">
        <v>0</v>
      </c>
      <c r="E11" s="2">
        <v>7024</v>
      </c>
      <c r="F11" s="2">
        <v>1524</v>
      </c>
    </row>
    <row r="12" spans="1:6" x14ac:dyDescent="0.3">
      <c r="A12" s="1" t="s">
        <v>9</v>
      </c>
      <c r="B12" s="2">
        <f t="shared" si="0"/>
        <v>-6077</v>
      </c>
      <c r="C12" s="2">
        <v>125</v>
      </c>
      <c r="D12" s="2">
        <v>30</v>
      </c>
      <c r="E12" s="2">
        <v>6202</v>
      </c>
      <c r="F12" s="2">
        <v>762</v>
      </c>
    </row>
    <row r="13" spans="1:6" x14ac:dyDescent="0.3">
      <c r="A13" s="1" t="s">
        <v>10</v>
      </c>
      <c r="B13" s="2">
        <f t="shared" si="0"/>
        <v>-30958</v>
      </c>
      <c r="C13" s="2">
        <v>0</v>
      </c>
      <c r="D13" s="2">
        <v>0</v>
      </c>
      <c r="E13" s="2">
        <v>30958</v>
      </c>
      <c r="F13" s="2">
        <v>4180</v>
      </c>
    </row>
    <row r="14" spans="1:6" x14ac:dyDescent="0.3">
      <c r="A14" s="1" t="s">
        <v>11</v>
      </c>
      <c r="B14" s="2">
        <f t="shared" si="0"/>
        <v>-353</v>
      </c>
      <c r="C14" s="2">
        <v>0</v>
      </c>
      <c r="D14" s="2">
        <v>0</v>
      </c>
      <c r="E14" s="2">
        <v>353</v>
      </c>
      <c r="F14" s="2">
        <v>30</v>
      </c>
    </row>
    <row r="15" spans="1:6" ht="17.25" thickBot="1" x14ac:dyDescent="0.35">
      <c r="A15" s="4" t="s">
        <v>13</v>
      </c>
      <c r="B15" s="5">
        <f>SUM(B3:B14)</f>
        <v>-76285</v>
      </c>
      <c r="C15" s="5">
        <f t="shared" ref="C15:F15" si="1">SUM(C3:C14)</f>
        <v>125</v>
      </c>
      <c r="D15" s="5">
        <f t="shared" si="1"/>
        <v>30</v>
      </c>
      <c r="E15" s="5">
        <f t="shared" si="1"/>
        <v>76410</v>
      </c>
      <c r="F15" s="5">
        <f t="shared" si="1"/>
        <v>11275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2231</v>
      </c>
      <c r="C4" s="2">
        <v>2231</v>
      </c>
      <c r="D4" s="2">
        <v>840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5467</v>
      </c>
      <c r="C5" s="2">
        <v>5474</v>
      </c>
      <c r="D5" s="2">
        <v>2220</v>
      </c>
      <c r="E5" s="2">
        <v>7</v>
      </c>
      <c r="F5" s="2">
        <v>16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6959</v>
      </c>
      <c r="C7" s="2">
        <v>6959</v>
      </c>
      <c r="D7" s="2">
        <v>2664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1403</v>
      </c>
      <c r="C8" s="2">
        <v>1403</v>
      </c>
      <c r="D8" s="2">
        <v>540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-16454</v>
      </c>
      <c r="C9" s="2">
        <v>534</v>
      </c>
      <c r="D9" s="2">
        <v>180</v>
      </c>
      <c r="E9" s="2">
        <v>16988</v>
      </c>
      <c r="F9" s="2">
        <v>2280</v>
      </c>
    </row>
    <row r="10" spans="1:6" x14ac:dyDescent="0.3">
      <c r="A10" s="1" t="s">
        <v>7</v>
      </c>
      <c r="B10" s="2">
        <f t="shared" si="0"/>
        <v>2457</v>
      </c>
      <c r="C10" s="2">
        <v>2457</v>
      </c>
      <c r="D10" s="2">
        <v>972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-7693</v>
      </c>
      <c r="C11" s="2">
        <v>691</v>
      </c>
      <c r="D11" s="2">
        <v>270</v>
      </c>
      <c r="E11" s="2">
        <v>8384</v>
      </c>
      <c r="F11" s="2">
        <v>1007</v>
      </c>
    </row>
    <row r="12" spans="1:6" x14ac:dyDescent="0.3">
      <c r="A12" s="1" t="s">
        <v>9</v>
      </c>
      <c r="B12" s="2">
        <f t="shared" si="0"/>
        <v>1360</v>
      </c>
      <c r="C12" s="2">
        <v>1396</v>
      </c>
      <c r="D12" s="2">
        <v>540</v>
      </c>
      <c r="E12" s="2">
        <v>36</v>
      </c>
      <c r="F12" s="2">
        <v>18</v>
      </c>
    </row>
    <row r="13" spans="1:6" x14ac:dyDescent="0.3">
      <c r="A13" s="1" t="s">
        <v>10</v>
      </c>
      <c r="B13" s="2">
        <f t="shared" si="0"/>
        <v>-15444</v>
      </c>
      <c r="C13" s="2">
        <v>1013</v>
      </c>
      <c r="D13" s="2">
        <v>384</v>
      </c>
      <c r="E13" s="2">
        <v>16457</v>
      </c>
      <c r="F13" s="2">
        <v>2280</v>
      </c>
    </row>
    <row r="14" spans="1:6" x14ac:dyDescent="0.3">
      <c r="A14" s="1" t="s">
        <v>11</v>
      </c>
      <c r="B14" s="2">
        <f t="shared" si="0"/>
        <v>825</v>
      </c>
      <c r="C14" s="2">
        <v>825</v>
      </c>
      <c r="D14" s="2">
        <v>324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-18889</v>
      </c>
      <c r="C15" s="5">
        <f t="shared" ref="C15:F15" si="1">SUM(C3:C14)</f>
        <v>22983</v>
      </c>
      <c r="D15" s="5">
        <f t="shared" si="1"/>
        <v>8934</v>
      </c>
      <c r="E15" s="5">
        <f t="shared" si="1"/>
        <v>41872</v>
      </c>
      <c r="F15" s="5">
        <f t="shared" si="1"/>
        <v>5601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3346</v>
      </c>
      <c r="C4" s="2">
        <v>3373</v>
      </c>
      <c r="D4" s="2">
        <v>1296</v>
      </c>
      <c r="E4" s="2">
        <v>27</v>
      </c>
      <c r="F4" s="2">
        <v>15</v>
      </c>
    </row>
    <row r="5" spans="1:6" x14ac:dyDescent="0.3">
      <c r="A5" s="1" t="s">
        <v>2</v>
      </c>
      <c r="B5" s="2">
        <f t="shared" si="0"/>
        <v>-9608</v>
      </c>
      <c r="C5" s="2">
        <v>68</v>
      </c>
      <c r="D5" s="2">
        <v>20</v>
      </c>
      <c r="E5" s="2">
        <v>9676</v>
      </c>
      <c r="F5" s="2">
        <v>1140</v>
      </c>
    </row>
    <row r="6" spans="1:6" x14ac:dyDescent="0.3">
      <c r="A6" s="1" t="s">
        <v>3</v>
      </c>
      <c r="B6" s="2">
        <f t="shared" si="0"/>
        <v>-23551</v>
      </c>
      <c r="C6" s="2">
        <v>0</v>
      </c>
      <c r="D6" s="2">
        <v>0</v>
      </c>
      <c r="E6" s="2">
        <v>23551</v>
      </c>
      <c r="F6" s="2">
        <v>2799</v>
      </c>
    </row>
    <row r="7" spans="1:6" x14ac:dyDescent="0.3">
      <c r="A7" s="1" t="s">
        <v>4</v>
      </c>
      <c r="B7" s="2">
        <f t="shared" si="0"/>
        <v>-19438</v>
      </c>
      <c r="C7" s="2">
        <v>0</v>
      </c>
      <c r="D7" s="2">
        <v>0</v>
      </c>
      <c r="E7" s="2">
        <v>19438</v>
      </c>
      <c r="F7" s="2">
        <v>2281</v>
      </c>
    </row>
    <row r="8" spans="1:6" x14ac:dyDescent="0.3">
      <c r="A8" s="1" t="s">
        <v>5</v>
      </c>
      <c r="B8" s="2">
        <f t="shared" si="0"/>
        <v>1864</v>
      </c>
      <c r="C8" s="2">
        <v>1864</v>
      </c>
      <c r="D8" s="2">
        <v>661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-5682</v>
      </c>
      <c r="C9" s="2">
        <v>561</v>
      </c>
      <c r="D9" s="2">
        <v>216</v>
      </c>
      <c r="E9" s="2">
        <v>6243</v>
      </c>
      <c r="F9" s="2">
        <v>1905</v>
      </c>
    </row>
    <row r="10" spans="1:6" x14ac:dyDescent="0.3">
      <c r="A10" s="1" t="s">
        <v>7</v>
      </c>
      <c r="B10" s="2">
        <f t="shared" si="0"/>
        <v>-2247</v>
      </c>
      <c r="C10" s="2">
        <v>469</v>
      </c>
      <c r="D10" s="2">
        <v>216</v>
      </c>
      <c r="E10" s="2">
        <v>2716</v>
      </c>
      <c r="F10" s="2">
        <v>383</v>
      </c>
    </row>
    <row r="11" spans="1:6" x14ac:dyDescent="0.3">
      <c r="A11" s="1" t="s">
        <v>8</v>
      </c>
      <c r="B11" s="2">
        <f t="shared" si="0"/>
        <v>-6484</v>
      </c>
      <c r="C11" s="2">
        <v>446</v>
      </c>
      <c r="D11" s="2">
        <v>216</v>
      </c>
      <c r="E11" s="2">
        <v>6930</v>
      </c>
      <c r="F11" s="2">
        <v>1905</v>
      </c>
    </row>
    <row r="12" spans="1:6" x14ac:dyDescent="0.3">
      <c r="A12" s="1" t="s">
        <v>9</v>
      </c>
      <c r="B12" s="2">
        <f t="shared" si="0"/>
        <v>-17130</v>
      </c>
      <c r="C12" s="2">
        <v>0</v>
      </c>
      <c r="D12" s="2">
        <v>0</v>
      </c>
      <c r="E12" s="2">
        <v>17130</v>
      </c>
      <c r="F12" s="2">
        <v>3045</v>
      </c>
    </row>
    <row r="13" spans="1:6" x14ac:dyDescent="0.3">
      <c r="A13" s="1" t="s">
        <v>10</v>
      </c>
      <c r="B13" s="2">
        <f t="shared" si="0"/>
        <v>3183</v>
      </c>
      <c r="C13" s="2">
        <v>3183</v>
      </c>
      <c r="D13" s="2">
        <v>1242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-18195</v>
      </c>
      <c r="C14" s="2">
        <v>1219</v>
      </c>
      <c r="D14" s="2">
        <v>486</v>
      </c>
      <c r="E14" s="2">
        <v>19414</v>
      </c>
      <c r="F14" s="2">
        <v>2546</v>
      </c>
    </row>
    <row r="15" spans="1:6" ht="17.25" thickBot="1" x14ac:dyDescent="0.35">
      <c r="A15" s="4" t="s">
        <v>13</v>
      </c>
      <c r="B15" s="5">
        <f>SUM(B3:B14)</f>
        <v>-93942</v>
      </c>
      <c r="C15" s="5">
        <f t="shared" ref="C15:F15" si="1">SUM(C3:C14)</f>
        <v>11183</v>
      </c>
      <c r="D15" s="5">
        <f t="shared" si="1"/>
        <v>4353</v>
      </c>
      <c r="E15" s="5">
        <f t="shared" si="1"/>
        <v>105125</v>
      </c>
      <c r="F15" s="5">
        <f t="shared" si="1"/>
        <v>16019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979</v>
      </c>
      <c r="C3" s="2">
        <v>1046</v>
      </c>
      <c r="D3" s="2">
        <v>432</v>
      </c>
      <c r="E3" s="2">
        <v>67</v>
      </c>
      <c r="F3" s="2">
        <v>4</v>
      </c>
    </row>
    <row r="4" spans="1:6" x14ac:dyDescent="0.3">
      <c r="A4" s="1" t="s">
        <v>1</v>
      </c>
      <c r="B4" s="2">
        <f t="shared" si="0"/>
        <v>-17818</v>
      </c>
      <c r="C4" s="2">
        <v>1662</v>
      </c>
      <c r="D4" s="2">
        <v>648</v>
      </c>
      <c r="E4" s="2">
        <v>19480</v>
      </c>
      <c r="F4" s="2">
        <v>3290</v>
      </c>
    </row>
    <row r="5" spans="1:6" x14ac:dyDescent="0.3">
      <c r="A5" s="1" t="s">
        <v>2</v>
      </c>
      <c r="B5" s="2">
        <f t="shared" si="0"/>
        <v>-4151</v>
      </c>
      <c r="C5" s="2">
        <v>702</v>
      </c>
      <c r="D5" s="2">
        <v>270</v>
      </c>
      <c r="E5" s="2">
        <v>4853</v>
      </c>
      <c r="F5" s="2">
        <v>1524</v>
      </c>
    </row>
    <row r="6" spans="1:6" x14ac:dyDescent="0.3">
      <c r="A6" s="1" t="s">
        <v>3</v>
      </c>
      <c r="B6" s="2">
        <f t="shared" si="0"/>
        <v>-12203</v>
      </c>
      <c r="C6" s="2">
        <v>4979</v>
      </c>
      <c r="D6" s="2">
        <v>612</v>
      </c>
      <c r="E6" s="2">
        <v>17182</v>
      </c>
      <c r="F6" s="2">
        <v>2003</v>
      </c>
    </row>
    <row r="7" spans="1:6" x14ac:dyDescent="0.3">
      <c r="A7" s="1" t="s">
        <v>4</v>
      </c>
      <c r="B7" s="2">
        <f t="shared" si="0"/>
        <v>424</v>
      </c>
      <c r="C7" s="2">
        <v>574</v>
      </c>
      <c r="D7" s="2">
        <v>216</v>
      </c>
      <c r="E7" s="2">
        <v>150</v>
      </c>
      <c r="F7" s="2">
        <v>9</v>
      </c>
    </row>
    <row r="8" spans="1:6" x14ac:dyDescent="0.3">
      <c r="A8" s="1" t="s">
        <v>5</v>
      </c>
      <c r="B8" s="2">
        <f t="shared" si="0"/>
        <v>-1340</v>
      </c>
      <c r="C8" s="2">
        <v>0</v>
      </c>
      <c r="D8" s="2">
        <v>0</v>
      </c>
      <c r="E8" s="2">
        <v>1340</v>
      </c>
      <c r="F8" s="2">
        <v>213</v>
      </c>
    </row>
    <row r="9" spans="1:6" x14ac:dyDescent="0.3">
      <c r="A9" s="1" t="s">
        <v>6</v>
      </c>
      <c r="B9" s="2">
        <f t="shared" si="0"/>
        <v>-24148</v>
      </c>
      <c r="C9" s="2">
        <v>3596</v>
      </c>
      <c r="D9" s="2">
        <v>1192</v>
      </c>
      <c r="E9" s="2">
        <v>27744</v>
      </c>
      <c r="F9" s="2">
        <v>2965</v>
      </c>
    </row>
    <row r="10" spans="1:6" x14ac:dyDescent="0.3">
      <c r="A10" s="1" t="s">
        <v>7</v>
      </c>
      <c r="B10" s="2">
        <f t="shared" si="0"/>
        <v>118</v>
      </c>
      <c r="C10" s="2">
        <v>288</v>
      </c>
      <c r="D10" s="2">
        <v>108</v>
      </c>
      <c r="E10" s="2">
        <v>170</v>
      </c>
      <c r="F10" s="2">
        <v>10</v>
      </c>
    </row>
    <row r="11" spans="1:6" x14ac:dyDescent="0.3">
      <c r="A11" s="1" t="s">
        <v>8</v>
      </c>
      <c r="B11" s="2">
        <f t="shared" si="0"/>
        <v>-19487</v>
      </c>
      <c r="C11" s="2">
        <v>543</v>
      </c>
      <c r="D11" s="2">
        <v>216</v>
      </c>
      <c r="E11" s="2">
        <v>20030</v>
      </c>
      <c r="F11" s="2">
        <v>4382</v>
      </c>
    </row>
    <row r="12" spans="1:6" x14ac:dyDescent="0.3">
      <c r="A12" s="1" t="s">
        <v>9</v>
      </c>
      <c r="B12" s="2">
        <f t="shared" si="0"/>
        <v>-38836</v>
      </c>
      <c r="C12" s="2">
        <v>0</v>
      </c>
      <c r="D12" s="2">
        <v>0</v>
      </c>
      <c r="E12" s="2">
        <v>38836</v>
      </c>
      <c r="F12" s="2">
        <v>6589</v>
      </c>
    </row>
    <row r="13" spans="1:6" x14ac:dyDescent="0.3">
      <c r="A13" s="1" t="s">
        <v>10</v>
      </c>
      <c r="B13" s="2">
        <f t="shared" si="0"/>
        <v>-21949</v>
      </c>
      <c r="C13" s="2">
        <v>3727</v>
      </c>
      <c r="D13" s="2">
        <v>1248</v>
      </c>
      <c r="E13" s="2">
        <v>25676</v>
      </c>
      <c r="F13" s="2">
        <v>3056</v>
      </c>
    </row>
    <row r="14" spans="1:6" x14ac:dyDescent="0.3">
      <c r="A14" s="1" t="s">
        <v>11</v>
      </c>
      <c r="B14" s="2">
        <f t="shared" si="0"/>
        <v>520</v>
      </c>
      <c r="C14" s="2">
        <v>683</v>
      </c>
      <c r="D14" s="2">
        <v>270</v>
      </c>
      <c r="E14" s="2">
        <v>163</v>
      </c>
      <c r="F14" s="2">
        <v>8</v>
      </c>
    </row>
    <row r="15" spans="1:6" ht="17.25" thickBot="1" x14ac:dyDescent="0.35">
      <c r="A15" s="4" t="s">
        <v>13</v>
      </c>
      <c r="B15" s="5">
        <f>SUM(B3:B14)</f>
        <v>-137891</v>
      </c>
      <c r="C15" s="5">
        <f t="shared" ref="C15:F15" si="1">SUM(C3:C14)</f>
        <v>17800</v>
      </c>
      <c r="D15" s="5">
        <f t="shared" si="1"/>
        <v>5212</v>
      </c>
      <c r="E15" s="5">
        <f t="shared" si="1"/>
        <v>155691</v>
      </c>
      <c r="F15" s="5">
        <f t="shared" si="1"/>
        <v>24053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-23907</v>
      </c>
      <c r="C3" s="2">
        <v>567</v>
      </c>
      <c r="D3" s="2">
        <v>216</v>
      </c>
      <c r="E3" s="2">
        <v>24474</v>
      </c>
      <c r="F3" s="2">
        <v>5330</v>
      </c>
    </row>
    <row r="4" spans="1:6" x14ac:dyDescent="0.3">
      <c r="A4" s="1" t="s">
        <v>1</v>
      </c>
      <c r="B4" s="2">
        <f t="shared" ref="B4:B14" si="0">C4-E4</f>
        <v>-24667</v>
      </c>
      <c r="C4" s="2">
        <v>691</v>
      </c>
      <c r="D4" s="2">
        <v>270</v>
      </c>
      <c r="E4" s="2">
        <v>25358</v>
      </c>
      <c r="F4" s="2">
        <v>3050</v>
      </c>
    </row>
    <row r="5" spans="1:6" x14ac:dyDescent="0.3">
      <c r="A5" s="1" t="s">
        <v>2</v>
      </c>
      <c r="B5" s="2">
        <f t="shared" si="0"/>
        <v>-4289</v>
      </c>
      <c r="C5" s="2">
        <v>135</v>
      </c>
      <c r="D5" s="2">
        <v>54</v>
      </c>
      <c r="E5" s="2">
        <v>4424</v>
      </c>
      <c r="F5" s="2">
        <v>478</v>
      </c>
    </row>
    <row r="6" spans="1:6" x14ac:dyDescent="0.3">
      <c r="A6" s="1" t="s">
        <v>3</v>
      </c>
      <c r="B6" s="2">
        <f t="shared" si="0"/>
        <v>-30407</v>
      </c>
      <c r="C6" s="2">
        <v>2608</v>
      </c>
      <c r="D6" s="2">
        <v>503</v>
      </c>
      <c r="E6" s="2">
        <v>33015</v>
      </c>
      <c r="F6" s="2">
        <v>4183</v>
      </c>
    </row>
    <row r="7" spans="1:6" x14ac:dyDescent="0.3">
      <c r="A7" s="1" t="s">
        <v>4</v>
      </c>
      <c r="B7" s="2">
        <f t="shared" si="0"/>
        <v>-10404</v>
      </c>
      <c r="C7" s="2">
        <v>284</v>
      </c>
      <c r="D7" s="2">
        <v>108</v>
      </c>
      <c r="E7" s="2">
        <v>10688</v>
      </c>
      <c r="F7" s="2">
        <v>2291</v>
      </c>
    </row>
    <row r="8" spans="1:6" x14ac:dyDescent="0.3">
      <c r="A8" s="1" t="s">
        <v>5</v>
      </c>
      <c r="B8" s="2">
        <f t="shared" si="0"/>
        <v>-1043</v>
      </c>
      <c r="C8" s="2">
        <v>762</v>
      </c>
      <c r="D8" s="2">
        <v>313</v>
      </c>
      <c r="E8" s="2">
        <v>1805</v>
      </c>
      <c r="F8" s="2">
        <v>478</v>
      </c>
    </row>
    <row r="9" spans="1:6" x14ac:dyDescent="0.3">
      <c r="A9" s="1" t="s">
        <v>6</v>
      </c>
      <c r="B9" s="2">
        <f t="shared" si="0"/>
        <v>-13940</v>
      </c>
      <c r="C9" s="2">
        <v>1605</v>
      </c>
      <c r="D9" s="2">
        <v>648</v>
      </c>
      <c r="E9" s="2">
        <v>15545</v>
      </c>
      <c r="F9" s="2">
        <v>4245</v>
      </c>
    </row>
    <row r="10" spans="1:6" x14ac:dyDescent="0.3">
      <c r="A10" s="1" t="s">
        <v>7</v>
      </c>
      <c r="B10" s="2">
        <f t="shared" si="0"/>
        <v>282</v>
      </c>
      <c r="C10" s="2">
        <v>282</v>
      </c>
      <c r="D10" s="2">
        <v>108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-26847</v>
      </c>
      <c r="C11" s="2">
        <v>670</v>
      </c>
      <c r="D11" s="2">
        <v>270</v>
      </c>
      <c r="E11" s="2">
        <v>27517</v>
      </c>
      <c r="F11" s="2">
        <v>6092</v>
      </c>
    </row>
    <row r="12" spans="1:6" x14ac:dyDescent="0.3">
      <c r="A12" s="1" t="s">
        <v>9</v>
      </c>
      <c r="B12" s="2">
        <f t="shared" si="0"/>
        <v>807</v>
      </c>
      <c r="C12" s="2">
        <v>820</v>
      </c>
      <c r="D12" s="2">
        <v>324</v>
      </c>
      <c r="E12" s="2">
        <v>13</v>
      </c>
      <c r="F12" s="2">
        <v>10</v>
      </c>
    </row>
    <row r="13" spans="1:6" x14ac:dyDescent="0.3">
      <c r="A13" s="1" t="s">
        <v>10</v>
      </c>
      <c r="B13" s="2">
        <f t="shared" si="0"/>
        <v>829</v>
      </c>
      <c r="C13" s="2">
        <v>829</v>
      </c>
      <c r="D13" s="2">
        <v>324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-16813</v>
      </c>
      <c r="C14" s="2">
        <v>0</v>
      </c>
      <c r="D14" s="2">
        <v>0</v>
      </c>
      <c r="E14" s="2">
        <v>16813</v>
      </c>
      <c r="F14" s="2">
        <v>1900</v>
      </c>
    </row>
    <row r="15" spans="1:6" ht="17.25" thickBot="1" x14ac:dyDescent="0.35">
      <c r="A15" s="4" t="s">
        <v>13</v>
      </c>
      <c r="B15" s="5">
        <f>SUM(B3:B14)</f>
        <v>-150399</v>
      </c>
      <c r="C15" s="5">
        <f t="shared" ref="C15" si="1">SUM(C3:C14)</f>
        <v>9253</v>
      </c>
      <c r="D15" s="5">
        <f t="shared" ref="D15" si="2">SUM(D3:D14)</f>
        <v>3138</v>
      </c>
      <c r="E15" s="5">
        <f t="shared" ref="E15:F15" si="3">SUM(E3:E14)</f>
        <v>159652</v>
      </c>
      <c r="F15" s="5">
        <f t="shared" si="3"/>
        <v>28057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-34825</v>
      </c>
      <c r="C3" s="2">
        <v>1567</v>
      </c>
      <c r="D3" s="2">
        <v>594</v>
      </c>
      <c r="E3" s="2">
        <v>36392</v>
      </c>
      <c r="F3" s="2">
        <v>7614</v>
      </c>
    </row>
    <row r="4" spans="1:6" x14ac:dyDescent="0.3">
      <c r="A4" s="1" t="s">
        <v>1</v>
      </c>
      <c r="B4" s="2">
        <f t="shared" ref="B4:B14" si="0">C4-E4</f>
        <v>-9291</v>
      </c>
      <c r="C4" s="2">
        <v>285</v>
      </c>
      <c r="D4" s="2">
        <v>108</v>
      </c>
      <c r="E4" s="2">
        <v>9576</v>
      </c>
      <c r="F4" s="2">
        <v>915</v>
      </c>
    </row>
    <row r="5" spans="1:6" x14ac:dyDescent="0.3">
      <c r="A5" s="1" t="s">
        <v>2</v>
      </c>
      <c r="B5" s="2">
        <f t="shared" si="0"/>
        <v>704</v>
      </c>
      <c r="C5" s="2">
        <v>704</v>
      </c>
      <c r="D5" s="2">
        <v>270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-26746</v>
      </c>
      <c r="C6" s="2">
        <v>1372</v>
      </c>
      <c r="D6" s="2">
        <v>365</v>
      </c>
      <c r="E6" s="2">
        <v>28118</v>
      </c>
      <c r="F6" s="2">
        <v>3062</v>
      </c>
    </row>
    <row r="7" spans="1:6" x14ac:dyDescent="0.3">
      <c r="A7" s="1" t="s">
        <v>4</v>
      </c>
      <c r="B7" s="2">
        <f t="shared" si="0"/>
        <v>-1239</v>
      </c>
      <c r="C7" s="2">
        <v>2389</v>
      </c>
      <c r="D7" s="2">
        <v>555</v>
      </c>
      <c r="E7" s="2">
        <v>3628</v>
      </c>
      <c r="F7" s="2">
        <v>762</v>
      </c>
    </row>
    <row r="8" spans="1:6" x14ac:dyDescent="0.3">
      <c r="A8" s="1" t="s">
        <v>5</v>
      </c>
      <c r="B8" s="2">
        <f t="shared" si="0"/>
        <v>-15250</v>
      </c>
      <c r="C8" s="2">
        <v>410</v>
      </c>
      <c r="D8" s="2">
        <v>162</v>
      </c>
      <c r="E8" s="2">
        <v>15660</v>
      </c>
      <c r="F8" s="2">
        <v>4572</v>
      </c>
    </row>
    <row r="9" spans="1:6" x14ac:dyDescent="0.3">
      <c r="A9" s="1" t="s">
        <v>6</v>
      </c>
      <c r="B9" s="2">
        <f t="shared" si="0"/>
        <v>399</v>
      </c>
      <c r="C9" s="2">
        <v>408</v>
      </c>
      <c r="D9" s="2">
        <v>162</v>
      </c>
      <c r="E9" s="2">
        <v>9</v>
      </c>
      <c r="F9" s="2">
        <v>1</v>
      </c>
    </row>
    <row r="10" spans="1:6" x14ac:dyDescent="0.3">
      <c r="A10" s="1" t="s">
        <v>7</v>
      </c>
      <c r="B10" s="2">
        <f t="shared" si="0"/>
        <v>-15856</v>
      </c>
      <c r="C10" s="2">
        <v>502</v>
      </c>
      <c r="D10" s="2">
        <v>216</v>
      </c>
      <c r="E10" s="2">
        <v>16358</v>
      </c>
      <c r="F10" s="2">
        <v>2282</v>
      </c>
    </row>
    <row r="11" spans="1:6" x14ac:dyDescent="0.3">
      <c r="A11" s="1" t="s">
        <v>8</v>
      </c>
      <c r="B11" s="2">
        <f t="shared" si="0"/>
        <v>-14974</v>
      </c>
      <c r="C11" s="2">
        <v>685</v>
      </c>
      <c r="D11" s="2">
        <v>270</v>
      </c>
      <c r="E11" s="2">
        <v>15659</v>
      </c>
      <c r="F11" s="2">
        <v>4572</v>
      </c>
    </row>
    <row r="12" spans="1:6" x14ac:dyDescent="0.3">
      <c r="A12" s="1" t="s">
        <v>9</v>
      </c>
      <c r="B12" s="2">
        <f t="shared" si="0"/>
        <v>-23732</v>
      </c>
      <c r="C12" s="2">
        <v>284</v>
      </c>
      <c r="D12" s="2">
        <v>108</v>
      </c>
      <c r="E12" s="2">
        <v>24016</v>
      </c>
      <c r="F12" s="2">
        <v>2646</v>
      </c>
    </row>
    <row r="13" spans="1:6" x14ac:dyDescent="0.3">
      <c r="A13" s="1" t="s">
        <v>10</v>
      </c>
      <c r="B13" s="2">
        <f t="shared" si="0"/>
        <v>531</v>
      </c>
      <c r="C13" s="2">
        <v>531</v>
      </c>
      <c r="D13" s="2">
        <v>216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1298</v>
      </c>
      <c r="C14" s="2">
        <v>1306</v>
      </c>
      <c r="D14" s="2">
        <v>529</v>
      </c>
      <c r="E14" s="2">
        <v>8</v>
      </c>
      <c r="F14" s="2">
        <v>0</v>
      </c>
    </row>
    <row r="15" spans="1:6" ht="17.25" thickBot="1" x14ac:dyDescent="0.35">
      <c r="A15" s="4" t="s">
        <v>13</v>
      </c>
      <c r="B15" s="5">
        <f>SUM(B3:B14)</f>
        <v>-138981</v>
      </c>
      <c r="C15" s="5">
        <f t="shared" ref="C15:F15" si="1">SUM(C3:C14)</f>
        <v>10443</v>
      </c>
      <c r="D15" s="5">
        <f t="shared" si="1"/>
        <v>3555</v>
      </c>
      <c r="E15" s="5">
        <f t="shared" si="1"/>
        <v>149424</v>
      </c>
      <c r="F15" s="5">
        <f t="shared" si="1"/>
        <v>26426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-16267</v>
      </c>
      <c r="C3" s="2">
        <v>303</v>
      </c>
      <c r="D3" s="2">
        <v>108</v>
      </c>
      <c r="E3" s="2">
        <v>16570</v>
      </c>
      <c r="F3" s="2">
        <v>1787</v>
      </c>
    </row>
    <row r="4" spans="1:6" x14ac:dyDescent="0.3">
      <c r="A4" s="1" t="s">
        <v>1</v>
      </c>
      <c r="B4" s="2">
        <f t="shared" si="0"/>
        <v>-16309</v>
      </c>
      <c r="C4" s="2">
        <v>1331</v>
      </c>
      <c r="D4" s="2">
        <v>486</v>
      </c>
      <c r="E4" s="2">
        <v>17640</v>
      </c>
      <c r="F4" s="2">
        <v>4572</v>
      </c>
    </row>
    <row r="5" spans="1:6" x14ac:dyDescent="0.3">
      <c r="A5" s="1" t="s">
        <v>2</v>
      </c>
      <c r="B5" s="2">
        <f t="shared" si="0"/>
        <v>-27083</v>
      </c>
      <c r="C5" s="2">
        <v>585</v>
      </c>
      <c r="D5" s="2">
        <v>216</v>
      </c>
      <c r="E5" s="2">
        <v>27668</v>
      </c>
      <c r="F5" s="2">
        <v>3040</v>
      </c>
    </row>
    <row r="6" spans="1:6" x14ac:dyDescent="0.3">
      <c r="A6" s="1" t="s">
        <v>3</v>
      </c>
      <c r="B6" s="2">
        <f t="shared" si="0"/>
        <v>-13327</v>
      </c>
      <c r="C6" s="2">
        <v>766</v>
      </c>
      <c r="D6" s="2">
        <v>271</v>
      </c>
      <c r="E6" s="2">
        <v>14093</v>
      </c>
      <c r="F6" s="2">
        <v>1591</v>
      </c>
    </row>
    <row r="7" spans="1:6" x14ac:dyDescent="0.3">
      <c r="A7" s="1" t="s">
        <v>4</v>
      </c>
      <c r="B7" s="2">
        <f t="shared" si="0"/>
        <v>-21494</v>
      </c>
      <c r="C7" s="2">
        <v>1196</v>
      </c>
      <c r="D7" s="2">
        <v>432</v>
      </c>
      <c r="E7" s="2">
        <v>22690</v>
      </c>
      <c r="F7" s="2">
        <v>5084</v>
      </c>
    </row>
    <row r="8" spans="1:6" x14ac:dyDescent="0.3">
      <c r="A8" s="1" t="s">
        <v>5</v>
      </c>
      <c r="B8" s="2">
        <f t="shared" si="0"/>
        <v>906</v>
      </c>
      <c r="C8" s="2">
        <v>906</v>
      </c>
      <c r="D8" s="2">
        <v>324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591</v>
      </c>
      <c r="C9" s="2">
        <v>591</v>
      </c>
      <c r="D9" s="2">
        <v>216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-8765</v>
      </c>
      <c r="C10" s="2">
        <v>598</v>
      </c>
      <c r="D10" s="2">
        <v>216</v>
      </c>
      <c r="E10" s="2">
        <v>9363</v>
      </c>
      <c r="F10" s="2">
        <v>1141</v>
      </c>
    </row>
    <row r="11" spans="1:6" x14ac:dyDescent="0.3">
      <c r="A11" s="1" t="s">
        <v>8</v>
      </c>
      <c r="B11" s="2">
        <f t="shared" si="0"/>
        <v>-33814</v>
      </c>
      <c r="C11" s="2">
        <v>450</v>
      </c>
      <c r="D11" s="2">
        <v>162</v>
      </c>
      <c r="E11" s="2">
        <v>34264</v>
      </c>
      <c r="F11" s="2">
        <v>8763</v>
      </c>
    </row>
    <row r="12" spans="1:6" x14ac:dyDescent="0.3">
      <c r="A12" s="1" t="s">
        <v>9</v>
      </c>
      <c r="B12" s="2">
        <f t="shared" si="0"/>
        <v>-15117</v>
      </c>
      <c r="C12" s="2">
        <v>1054</v>
      </c>
      <c r="D12" s="2">
        <v>86</v>
      </c>
      <c r="E12" s="2">
        <v>16171</v>
      </c>
      <c r="F12" s="2">
        <v>2038</v>
      </c>
    </row>
    <row r="13" spans="1:6" x14ac:dyDescent="0.3">
      <c r="A13" s="1" t="s">
        <v>10</v>
      </c>
      <c r="B13" s="2">
        <f t="shared" si="0"/>
        <v>1362</v>
      </c>
      <c r="C13" s="2">
        <v>1497</v>
      </c>
      <c r="D13" s="2">
        <v>540</v>
      </c>
      <c r="E13" s="2">
        <v>135</v>
      </c>
      <c r="F13" s="2">
        <v>4</v>
      </c>
    </row>
    <row r="14" spans="1:6" x14ac:dyDescent="0.3">
      <c r="A14" s="1" t="s">
        <v>11</v>
      </c>
      <c r="B14" s="2">
        <f t="shared" si="0"/>
        <v>-6862</v>
      </c>
      <c r="C14" s="2">
        <v>1347</v>
      </c>
      <c r="D14" s="2">
        <v>486</v>
      </c>
      <c r="E14" s="2">
        <v>8209</v>
      </c>
      <c r="F14" s="2">
        <v>800</v>
      </c>
    </row>
    <row r="15" spans="1:6" ht="17.25" thickBot="1" x14ac:dyDescent="0.35">
      <c r="A15" s="4" t="s">
        <v>13</v>
      </c>
      <c r="B15" s="5">
        <f>SUM(B3:B14)</f>
        <v>-156179</v>
      </c>
      <c r="C15" s="5">
        <f t="shared" ref="C15:F15" si="1">SUM(C3:C14)</f>
        <v>10624</v>
      </c>
      <c r="D15" s="5">
        <f t="shared" si="1"/>
        <v>3543</v>
      </c>
      <c r="E15" s="5">
        <f t="shared" si="1"/>
        <v>166803</v>
      </c>
      <c r="F15" s="5">
        <f t="shared" si="1"/>
        <v>28820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-28894</v>
      </c>
      <c r="C3" s="2">
        <v>301</v>
      </c>
      <c r="D3" s="2">
        <v>108</v>
      </c>
      <c r="E3" s="2">
        <v>29195</v>
      </c>
      <c r="F3" s="2">
        <v>3424</v>
      </c>
    </row>
    <row r="4" spans="1:6" x14ac:dyDescent="0.3">
      <c r="A4" s="1" t="s">
        <v>1</v>
      </c>
      <c r="B4" s="2">
        <f t="shared" si="0"/>
        <v>-24735</v>
      </c>
      <c r="C4" s="2">
        <v>94</v>
      </c>
      <c r="D4" s="2">
        <v>6</v>
      </c>
      <c r="E4" s="2">
        <v>24829</v>
      </c>
      <c r="F4" s="2">
        <v>2688</v>
      </c>
    </row>
    <row r="5" spans="1:6" x14ac:dyDescent="0.3">
      <c r="A5" s="1" t="s">
        <v>2</v>
      </c>
      <c r="B5" s="2">
        <f t="shared" si="0"/>
        <v>-33972</v>
      </c>
      <c r="C5" s="2">
        <v>1142</v>
      </c>
      <c r="D5" s="2">
        <v>74</v>
      </c>
      <c r="E5" s="2">
        <v>35114</v>
      </c>
      <c r="F5" s="2">
        <v>9716</v>
      </c>
    </row>
    <row r="6" spans="1:6" x14ac:dyDescent="0.3">
      <c r="A6" s="1" t="s">
        <v>3</v>
      </c>
      <c r="B6" s="2">
        <f t="shared" si="0"/>
        <v>-6068</v>
      </c>
      <c r="C6" s="2">
        <v>0</v>
      </c>
      <c r="D6" s="2">
        <v>0</v>
      </c>
      <c r="E6" s="2">
        <v>6068</v>
      </c>
      <c r="F6" s="2">
        <v>640</v>
      </c>
    </row>
    <row r="7" spans="1:6" x14ac:dyDescent="0.3">
      <c r="A7" s="1" t="s">
        <v>4</v>
      </c>
      <c r="B7" s="2">
        <f t="shared" si="0"/>
        <v>-11453</v>
      </c>
      <c r="C7" s="2">
        <v>0</v>
      </c>
      <c r="D7" s="2">
        <v>0</v>
      </c>
      <c r="E7" s="2">
        <v>11453</v>
      </c>
      <c r="F7" s="2">
        <v>3240</v>
      </c>
    </row>
    <row r="8" spans="1:6" x14ac:dyDescent="0.3">
      <c r="A8" s="1" t="s">
        <v>5</v>
      </c>
      <c r="B8" s="2">
        <f t="shared" si="0"/>
        <v>1338</v>
      </c>
      <c r="C8" s="2">
        <v>1362</v>
      </c>
      <c r="D8" s="2">
        <v>92</v>
      </c>
      <c r="E8" s="2">
        <v>24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613</v>
      </c>
      <c r="C10" s="2">
        <v>5459</v>
      </c>
      <c r="D10" s="2">
        <v>1774</v>
      </c>
      <c r="E10" s="2">
        <v>4846</v>
      </c>
      <c r="F10" s="2">
        <v>923</v>
      </c>
    </row>
    <row r="11" spans="1:6" x14ac:dyDescent="0.3">
      <c r="A11" s="1" t="s">
        <v>8</v>
      </c>
      <c r="B11" s="2">
        <f t="shared" si="0"/>
        <v>-24949</v>
      </c>
      <c r="C11" s="2">
        <v>2141</v>
      </c>
      <c r="D11" s="2">
        <v>671</v>
      </c>
      <c r="E11" s="2">
        <v>27090</v>
      </c>
      <c r="F11" s="2">
        <v>2798</v>
      </c>
    </row>
    <row r="12" spans="1:6" x14ac:dyDescent="0.3">
      <c r="A12" s="1" t="s">
        <v>9</v>
      </c>
      <c r="B12" s="2">
        <f t="shared" si="0"/>
        <v>1744</v>
      </c>
      <c r="C12" s="2">
        <v>1749</v>
      </c>
      <c r="D12" s="2">
        <v>424</v>
      </c>
      <c r="E12" s="2">
        <v>5</v>
      </c>
      <c r="F12" s="2">
        <v>2</v>
      </c>
    </row>
    <row r="13" spans="1:6" x14ac:dyDescent="0.3">
      <c r="A13" s="1" t="s">
        <v>10</v>
      </c>
      <c r="B13" s="2">
        <f t="shared" si="0"/>
        <v>-29353</v>
      </c>
      <c r="C13" s="2">
        <v>580</v>
      </c>
      <c r="D13" s="2">
        <v>216</v>
      </c>
      <c r="E13" s="2">
        <v>29933</v>
      </c>
      <c r="F13" s="2">
        <v>3068</v>
      </c>
    </row>
    <row r="14" spans="1:6" x14ac:dyDescent="0.3">
      <c r="A14" s="1" t="s">
        <v>11</v>
      </c>
      <c r="B14" s="2">
        <f t="shared" si="0"/>
        <v>-5</v>
      </c>
      <c r="C14" s="2">
        <v>0</v>
      </c>
      <c r="D14" s="2">
        <v>0</v>
      </c>
      <c r="E14" s="2">
        <v>5</v>
      </c>
      <c r="F14" s="2">
        <v>1</v>
      </c>
    </row>
    <row r="15" spans="1:6" ht="17.25" thickBot="1" x14ac:dyDescent="0.35">
      <c r="A15" s="4" t="s">
        <v>13</v>
      </c>
      <c r="B15" s="5">
        <f>SUM(B3:B14)</f>
        <v>-155734</v>
      </c>
      <c r="C15" s="5">
        <f t="shared" ref="C15:F15" si="1">SUM(C3:C14)</f>
        <v>12828</v>
      </c>
      <c r="D15" s="5">
        <f t="shared" si="1"/>
        <v>3365</v>
      </c>
      <c r="E15" s="5">
        <f t="shared" si="1"/>
        <v>168562</v>
      </c>
      <c r="F15" s="5">
        <f t="shared" si="1"/>
        <v>26501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-24883</v>
      </c>
      <c r="C3" s="2">
        <v>317</v>
      </c>
      <c r="D3" s="2">
        <v>113</v>
      </c>
      <c r="E3" s="2">
        <v>25200</v>
      </c>
      <c r="F3" s="2">
        <v>7620</v>
      </c>
    </row>
    <row r="4" spans="1:6" x14ac:dyDescent="0.3">
      <c r="A4" s="1" t="s">
        <v>1</v>
      </c>
      <c r="B4" s="2">
        <f t="shared" si="0"/>
        <v>-13388</v>
      </c>
      <c r="C4" s="2">
        <v>1162</v>
      </c>
      <c r="D4" s="2">
        <v>366</v>
      </c>
      <c r="E4" s="2">
        <v>14550</v>
      </c>
      <c r="F4" s="2">
        <v>1546</v>
      </c>
    </row>
    <row r="5" spans="1:6" x14ac:dyDescent="0.3">
      <c r="A5" s="1" t="s">
        <v>2</v>
      </c>
      <c r="B5" s="2">
        <f t="shared" si="0"/>
        <v>-23427</v>
      </c>
      <c r="C5" s="2">
        <v>1930</v>
      </c>
      <c r="D5" s="2">
        <v>702</v>
      </c>
      <c r="E5" s="2">
        <v>25357</v>
      </c>
      <c r="F5" s="2">
        <v>2660</v>
      </c>
    </row>
    <row r="6" spans="1:6" x14ac:dyDescent="0.3">
      <c r="A6" s="1" t="s">
        <v>3</v>
      </c>
      <c r="B6" s="2">
        <f t="shared" si="0"/>
        <v>1447</v>
      </c>
      <c r="C6" s="2">
        <v>1479</v>
      </c>
      <c r="D6" s="2">
        <v>540</v>
      </c>
      <c r="E6" s="2">
        <v>32</v>
      </c>
      <c r="F6" s="2">
        <v>2</v>
      </c>
    </row>
    <row r="7" spans="1:6" x14ac:dyDescent="0.3">
      <c r="A7" s="1" t="s">
        <v>4</v>
      </c>
      <c r="B7" s="2">
        <f t="shared" si="0"/>
        <v>-5503</v>
      </c>
      <c r="C7" s="2">
        <v>1631</v>
      </c>
      <c r="D7" s="2">
        <v>594</v>
      </c>
      <c r="E7" s="2">
        <v>7134</v>
      </c>
      <c r="F7" s="2">
        <v>728</v>
      </c>
    </row>
    <row r="8" spans="1:6" x14ac:dyDescent="0.3">
      <c r="A8" s="1" t="s">
        <v>5</v>
      </c>
      <c r="B8" s="2">
        <f t="shared" si="0"/>
        <v>1013</v>
      </c>
      <c r="C8" s="2">
        <v>1058</v>
      </c>
      <c r="D8" s="2">
        <v>308</v>
      </c>
      <c r="E8" s="2">
        <v>45</v>
      </c>
      <c r="F8" s="2">
        <v>28</v>
      </c>
    </row>
    <row r="9" spans="1:6" x14ac:dyDescent="0.3">
      <c r="A9" s="1" t="s">
        <v>6</v>
      </c>
      <c r="B9" s="2">
        <f t="shared" si="0"/>
        <v>1760</v>
      </c>
      <c r="C9" s="2">
        <v>1760</v>
      </c>
      <c r="D9" s="2">
        <v>648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-20874</v>
      </c>
      <c r="C10" s="2">
        <v>1020</v>
      </c>
      <c r="D10" s="2">
        <v>367</v>
      </c>
      <c r="E10" s="2">
        <v>21894</v>
      </c>
      <c r="F10" s="2">
        <v>2280</v>
      </c>
    </row>
    <row r="11" spans="1:6" x14ac:dyDescent="0.3">
      <c r="A11" s="1" t="s">
        <v>8</v>
      </c>
      <c r="B11" s="2">
        <f t="shared" si="0"/>
        <v>599</v>
      </c>
      <c r="C11" s="2">
        <v>599</v>
      </c>
      <c r="D11" s="2">
        <v>216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2438</v>
      </c>
      <c r="C12" s="2">
        <v>2438</v>
      </c>
      <c r="D12" s="2">
        <v>864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-25401</v>
      </c>
      <c r="C13" s="2">
        <v>1169</v>
      </c>
      <c r="D13" s="2">
        <v>254</v>
      </c>
      <c r="E13" s="2">
        <v>26570</v>
      </c>
      <c r="F13" s="2">
        <v>2728</v>
      </c>
    </row>
    <row r="14" spans="1:6" x14ac:dyDescent="0.3">
      <c r="A14" s="1" t="s">
        <v>11</v>
      </c>
      <c r="B14" s="2">
        <f t="shared" si="0"/>
        <v>-2094</v>
      </c>
      <c r="C14" s="2">
        <v>149</v>
      </c>
      <c r="D14" s="2">
        <v>54</v>
      </c>
      <c r="E14" s="2">
        <v>2243</v>
      </c>
      <c r="F14" s="2">
        <v>572</v>
      </c>
    </row>
    <row r="15" spans="1:6" ht="17.25" thickBot="1" x14ac:dyDescent="0.35">
      <c r="A15" s="4" t="s">
        <v>13</v>
      </c>
      <c r="B15" s="5">
        <f>SUM(B3:B14)</f>
        <v>-108313</v>
      </c>
      <c r="C15" s="5">
        <f t="shared" ref="C15:F15" si="1">SUM(C3:C14)</f>
        <v>14712</v>
      </c>
      <c r="D15" s="5">
        <f t="shared" si="1"/>
        <v>5026</v>
      </c>
      <c r="E15" s="5">
        <f t="shared" si="1"/>
        <v>123025</v>
      </c>
      <c r="F15" s="5">
        <f t="shared" si="1"/>
        <v>18164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-39862</v>
      </c>
      <c r="C3" s="2">
        <v>1606</v>
      </c>
      <c r="D3" s="2">
        <v>486</v>
      </c>
      <c r="E3" s="2">
        <v>41468</v>
      </c>
      <c r="F3" s="2">
        <v>7236</v>
      </c>
    </row>
    <row r="4" spans="1:6" x14ac:dyDescent="0.3">
      <c r="A4" s="1" t="s">
        <v>1</v>
      </c>
      <c r="B4" s="2">
        <f t="shared" si="0"/>
        <v>2510</v>
      </c>
      <c r="C4" s="2">
        <v>2510</v>
      </c>
      <c r="D4" s="2">
        <v>671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-34146</v>
      </c>
      <c r="C5" s="2">
        <v>4413</v>
      </c>
      <c r="D5" s="2">
        <v>1009</v>
      </c>
      <c r="E5" s="2">
        <v>38559</v>
      </c>
      <c r="F5" s="2">
        <v>3774</v>
      </c>
    </row>
    <row r="6" spans="1:6" x14ac:dyDescent="0.3">
      <c r="A6" s="1" t="s">
        <v>3</v>
      </c>
      <c r="B6" s="2">
        <f t="shared" si="0"/>
        <v>-39769</v>
      </c>
      <c r="C6" s="2">
        <v>3394</v>
      </c>
      <c r="D6" s="2">
        <v>878</v>
      </c>
      <c r="E6" s="2">
        <v>43163</v>
      </c>
      <c r="F6" s="2">
        <v>4060</v>
      </c>
    </row>
    <row r="7" spans="1:6" x14ac:dyDescent="0.3">
      <c r="A7" s="1" t="s">
        <v>4</v>
      </c>
      <c r="B7" s="2">
        <f t="shared" si="0"/>
        <v>596</v>
      </c>
      <c r="C7" s="2">
        <v>621</v>
      </c>
      <c r="D7" s="2">
        <v>162</v>
      </c>
      <c r="E7" s="2">
        <v>25</v>
      </c>
      <c r="F7" s="2">
        <v>1</v>
      </c>
    </row>
    <row r="8" spans="1:6" x14ac:dyDescent="0.3">
      <c r="A8" s="1" t="s">
        <v>5</v>
      </c>
      <c r="B8" s="2">
        <f t="shared" si="0"/>
        <v>-187146</v>
      </c>
      <c r="C8" s="2">
        <v>3000</v>
      </c>
      <c r="D8" s="2">
        <v>778</v>
      </c>
      <c r="E8" s="2">
        <v>190146</v>
      </c>
      <c r="F8" s="2">
        <v>42809</v>
      </c>
    </row>
    <row r="9" spans="1:6" x14ac:dyDescent="0.3">
      <c r="A9" s="1" t="s">
        <v>6</v>
      </c>
      <c r="B9" s="2">
        <f t="shared" si="0"/>
        <v>-954746</v>
      </c>
      <c r="C9" s="2">
        <v>2247</v>
      </c>
      <c r="D9" s="2">
        <v>432</v>
      </c>
      <c r="E9" s="2">
        <v>956993</v>
      </c>
      <c r="F9" s="2">
        <v>290291</v>
      </c>
    </row>
    <row r="10" spans="1:6" x14ac:dyDescent="0.3">
      <c r="A10" s="1" t="s">
        <v>7</v>
      </c>
      <c r="B10" s="2">
        <f t="shared" si="0"/>
        <v>-119227</v>
      </c>
      <c r="C10" s="2">
        <v>852</v>
      </c>
      <c r="D10" s="2">
        <v>162</v>
      </c>
      <c r="E10" s="2">
        <v>120079</v>
      </c>
      <c r="F10" s="2">
        <v>36286</v>
      </c>
    </row>
    <row r="11" spans="1:6" x14ac:dyDescent="0.3">
      <c r="A11" s="1" t="s">
        <v>8</v>
      </c>
      <c r="B11" s="2">
        <f t="shared" si="0"/>
        <v>-242862</v>
      </c>
      <c r="C11" s="2">
        <v>566</v>
      </c>
      <c r="D11" s="2">
        <v>108</v>
      </c>
      <c r="E11" s="2">
        <v>243428</v>
      </c>
      <c r="F11" s="2">
        <v>37819</v>
      </c>
    </row>
    <row r="12" spans="1:6" x14ac:dyDescent="0.3">
      <c r="A12" s="1" t="s">
        <v>9</v>
      </c>
      <c r="B12" s="2">
        <f t="shared" si="0"/>
        <v>-951472</v>
      </c>
      <c r="C12" s="2">
        <v>1115</v>
      </c>
      <c r="D12" s="2">
        <v>216</v>
      </c>
      <c r="E12" s="2">
        <v>952587</v>
      </c>
      <c r="F12" s="2">
        <v>152764</v>
      </c>
    </row>
    <row r="13" spans="1:6" x14ac:dyDescent="0.3">
      <c r="A13" s="1" t="s">
        <v>10</v>
      </c>
      <c r="B13" s="2">
        <f t="shared" si="0"/>
        <v>-486948</v>
      </c>
      <c r="C13" s="2">
        <v>1413</v>
      </c>
      <c r="D13" s="2">
        <v>270</v>
      </c>
      <c r="E13" s="2">
        <v>488361</v>
      </c>
      <c r="F13" s="2">
        <v>75612</v>
      </c>
    </row>
    <row r="14" spans="1:6" x14ac:dyDescent="0.3">
      <c r="A14" s="1" t="s">
        <v>11</v>
      </c>
      <c r="B14" s="2">
        <f t="shared" si="0"/>
        <v>-711679</v>
      </c>
      <c r="C14" s="2">
        <v>4055</v>
      </c>
      <c r="D14" s="2">
        <v>778</v>
      </c>
      <c r="E14" s="2">
        <v>715734</v>
      </c>
      <c r="F14" s="2">
        <v>111898</v>
      </c>
    </row>
    <row r="15" spans="1:6" ht="17.25" thickBot="1" x14ac:dyDescent="0.35">
      <c r="A15" s="4" t="s">
        <v>13</v>
      </c>
      <c r="B15" s="5">
        <f>SUM(B3:B14)</f>
        <v>-3764751</v>
      </c>
      <c r="C15" s="5">
        <f t="shared" ref="C15:F15" si="1">SUM(C3:C14)</f>
        <v>25792</v>
      </c>
      <c r="D15" s="5">
        <f t="shared" si="1"/>
        <v>5950</v>
      </c>
      <c r="E15" s="5">
        <f t="shared" si="1"/>
        <v>3790543</v>
      </c>
      <c r="F15" s="5">
        <f t="shared" si="1"/>
        <v>762550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-622</v>
      </c>
      <c r="C3" s="2">
        <v>2735</v>
      </c>
      <c r="D3" s="2">
        <v>416</v>
      </c>
      <c r="E3" s="2">
        <v>3357</v>
      </c>
      <c r="F3" s="2">
        <v>762</v>
      </c>
    </row>
    <row r="4" spans="1:6" x14ac:dyDescent="0.3">
      <c r="A4" s="1" t="s">
        <v>1</v>
      </c>
      <c r="B4" s="2">
        <f t="shared" si="0"/>
        <v>-12611</v>
      </c>
      <c r="C4" s="2">
        <v>2288</v>
      </c>
      <c r="D4" s="2">
        <v>397</v>
      </c>
      <c r="E4" s="2">
        <v>14899</v>
      </c>
      <c r="F4" s="2">
        <v>1224</v>
      </c>
    </row>
    <row r="5" spans="1:6" x14ac:dyDescent="0.3">
      <c r="A5" s="1" t="s">
        <v>2</v>
      </c>
      <c r="B5" s="2">
        <f t="shared" si="0"/>
        <v>-44626</v>
      </c>
      <c r="C5" s="2">
        <v>4905</v>
      </c>
      <c r="D5" s="2">
        <v>848</v>
      </c>
      <c r="E5" s="2">
        <v>49531</v>
      </c>
      <c r="F5" s="2">
        <v>7711</v>
      </c>
    </row>
    <row r="6" spans="1:6" x14ac:dyDescent="0.3">
      <c r="A6" s="1" t="s">
        <v>3</v>
      </c>
      <c r="B6" s="2">
        <f t="shared" si="0"/>
        <v>-3367</v>
      </c>
      <c r="C6" s="2">
        <v>1691</v>
      </c>
      <c r="D6" s="2">
        <v>324</v>
      </c>
      <c r="E6" s="2">
        <v>5058</v>
      </c>
      <c r="F6" s="2">
        <v>1143</v>
      </c>
    </row>
    <row r="7" spans="1:6" x14ac:dyDescent="0.3">
      <c r="A7" s="1" t="s">
        <v>4</v>
      </c>
      <c r="B7" s="2">
        <f t="shared" si="0"/>
        <v>-31324</v>
      </c>
      <c r="C7" s="2">
        <v>3116</v>
      </c>
      <c r="D7" s="2">
        <v>594</v>
      </c>
      <c r="E7" s="2">
        <v>34440</v>
      </c>
      <c r="F7" s="2">
        <v>7620</v>
      </c>
    </row>
    <row r="8" spans="1:6" x14ac:dyDescent="0.3">
      <c r="A8" s="1" t="s">
        <v>5</v>
      </c>
      <c r="B8" s="2">
        <f t="shared" si="0"/>
        <v>2200</v>
      </c>
      <c r="C8" s="2">
        <v>2246</v>
      </c>
      <c r="D8" s="2">
        <v>432</v>
      </c>
      <c r="E8" s="2">
        <v>46</v>
      </c>
      <c r="F8" s="2">
        <v>1</v>
      </c>
    </row>
    <row r="9" spans="1:6" x14ac:dyDescent="0.3">
      <c r="A9" s="1" t="s">
        <v>6</v>
      </c>
      <c r="B9" s="2">
        <f t="shared" si="0"/>
        <v>-12421</v>
      </c>
      <c r="C9" s="2">
        <v>1695</v>
      </c>
      <c r="D9" s="2">
        <v>324</v>
      </c>
      <c r="E9" s="2">
        <v>14116</v>
      </c>
      <c r="F9" s="2">
        <v>1229</v>
      </c>
    </row>
    <row r="10" spans="1:6" x14ac:dyDescent="0.3">
      <c r="A10" s="1" t="s">
        <v>7</v>
      </c>
      <c r="B10" s="2">
        <f t="shared" si="0"/>
        <v>-239467</v>
      </c>
      <c r="C10" s="2">
        <v>1444</v>
      </c>
      <c r="D10" s="2">
        <v>235</v>
      </c>
      <c r="E10" s="2">
        <v>240911</v>
      </c>
      <c r="F10" s="2">
        <v>37519</v>
      </c>
    </row>
    <row r="11" spans="1:6" x14ac:dyDescent="0.3">
      <c r="A11" s="1" t="s">
        <v>8</v>
      </c>
      <c r="B11" s="2">
        <f t="shared" si="0"/>
        <v>-467343</v>
      </c>
      <c r="C11" s="2">
        <v>2006</v>
      </c>
      <c r="D11" s="2">
        <v>378</v>
      </c>
      <c r="E11" s="2">
        <v>469349</v>
      </c>
      <c r="F11" s="2">
        <v>73930</v>
      </c>
    </row>
    <row r="12" spans="1:6" x14ac:dyDescent="0.3">
      <c r="A12" s="1" t="s">
        <v>9</v>
      </c>
      <c r="B12" s="2">
        <f t="shared" si="0"/>
        <v>-704418</v>
      </c>
      <c r="C12" s="2">
        <v>6135</v>
      </c>
      <c r="D12" s="2">
        <v>1118</v>
      </c>
      <c r="E12" s="2">
        <v>710553</v>
      </c>
      <c r="F12" s="2">
        <v>116859</v>
      </c>
    </row>
    <row r="13" spans="1:6" x14ac:dyDescent="0.3">
      <c r="A13" s="1" t="s">
        <v>10</v>
      </c>
      <c r="B13" s="2">
        <f t="shared" si="0"/>
        <v>-224358</v>
      </c>
      <c r="C13" s="2">
        <v>2255</v>
      </c>
      <c r="D13" s="2">
        <v>432</v>
      </c>
      <c r="E13" s="2">
        <v>226613</v>
      </c>
      <c r="F13" s="2">
        <v>36286</v>
      </c>
    </row>
    <row r="14" spans="1:6" x14ac:dyDescent="0.3">
      <c r="A14" s="1" t="s">
        <v>11</v>
      </c>
      <c r="B14" s="2">
        <f t="shared" si="0"/>
        <v>-14952</v>
      </c>
      <c r="C14" s="2">
        <v>1271</v>
      </c>
      <c r="D14" s="2">
        <v>236</v>
      </c>
      <c r="E14" s="2">
        <v>16223</v>
      </c>
      <c r="F14" s="2">
        <v>1387</v>
      </c>
    </row>
    <row r="15" spans="1:6" ht="17.25" thickBot="1" x14ac:dyDescent="0.35">
      <c r="A15" s="4" t="s">
        <v>13</v>
      </c>
      <c r="B15" s="5">
        <f>SUM(B3:B14)</f>
        <v>-1753309</v>
      </c>
      <c r="C15" s="5">
        <f t="shared" ref="C15:F15" si="1">SUM(C3:C14)</f>
        <v>31787</v>
      </c>
      <c r="D15" s="5">
        <f t="shared" si="1"/>
        <v>5734</v>
      </c>
      <c r="E15" s="5">
        <f t="shared" si="1"/>
        <v>1785096</v>
      </c>
      <c r="F15" s="5">
        <f t="shared" si="1"/>
        <v>285671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3398</v>
      </c>
      <c r="C3" s="2">
        <v>3398</v>
      </c>
      <c r="D3" s="2">
        <v>648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-84346</v>
      </c>
      <c r="C4" s="2">
        <v>1456</v>
      </c>
      <c r="D4" s="2">
        <v>235</v>
      </c>
      <c r="E4" s="2">
        <v>85802</v>
      </c>
      <c r="F4" s="2">
        <v>36286</v>
      </c>
    </row>
    <row r="5" spans="1:6" x14ac:dyDescent="0.3">
      <c r="A5" s="1" t="s">
        <v>2</v>
      </c>
      <c r="B5" s="2">
        <f t="shared" si="0"/>
        <v>-168097</v>
      </c>
      <c r="C5" s="2">
        <v>3517</v>
      </c>
      <c r="D5" s="2">
        <v>783</v>
      </c>
      <c r="E5" s="2">
        <v>171614</v>
      </c>
      <c r="F5" s="2">
        <v>72572</v>
      </c>
    </row>
    <row r="6" spans="1:6" x14ac:dyDescent="0.3">
      <c r="A6" s="1" t="s">
        <v>3</v>
      </c>
      <c r="B6" s="2">
        <f t="shared" si="0"/>
        <v>-167998</v>
      </c>
      <c r="C6" s="2">
        <v>3529</v>
      </c>
      <c r="D6" s="2">
        <v>705</v>
      </c>
      <c r="E6" s="2">
        <v>171527</v>
      </c>
      <c r="F6" s="2">
        <v>72572</v>
      </c>
    </row>
    <row r="7" spans="1:6" x14ac:dyDescent="0.3">
      <c r="A7" s="1" t="s">
        <v>4</v>
      </c>
      <c r="B7" s="2">
        <f t="shared" si="0"/>
        <v>-188715</v>
      </c>
      <c r="C7" s="2">
        <v>2986</v>
      </c>
      <c r="D7" s="2">
        <v>632</v>
      </c>
      <c r="E7" s="2">
        <v>191701</v>
      </c>
      <c r="F7" s="2">
        <v>75701</v>
      </c>
    </row>
    <row r="8" spans="1:6" x14ac:dyDescent="0.3">
      <c r="A8" s="1" t="s">
        <v>5</v>
      </c>
      <c r="B8" s="2">
        <f t="shared" si="0"/>
        <v>-169143</v>
      </c>
      <c r="C8" s="2">
        <v>3250</v>
      </c>
      <c r="D8" s="2">
        <v>756</v>
      </c>
      <c r="E8" s="2">
        <v>172393</v>
      </c>
      <c r="F8" s="2">
        <v>72763</v>
      </c>
    </row>
    <row r="9" spans="1:6" x14ac:dyDescent="0.3">
      <c r="A9" s="1" t="s">
        <v>6</v>
      </c>
      <c r="B9" s="2">
        <f t="shared" si="0"/>
        <v>-193974</v>
      </c>
      <c r="C9" s="2">
        <v>886</v>
      </c>
      <c r="D9" s="2">
        <v>205</v>
      </c>
      <c r="E9" s="2">
        <v>194860</v>
      </c>
      <c r="F9" s="2">
        <v>80192</v>
      </c>
    </row>
    <row r="10" spans="1:6" x14ac:dyDescent="0.3">
      <c r="A10" s="1" t="s">
        <v>7</v>
      </c>
      <c r="B10" s="2">
        <f t="shared" si="0"/>
        <v>-156483</v>
      </c>
      <c r="C10" s="2">
        <v>598</v>
      </c>
      <c r="D10" s="2">
        <v>140</v>
      </c>
      <c r="E10" s="2">
        <v>157081</v>
      </c>
      <c r="F10" s="2">
        <v>62310</v>
      </c>
    </row>
    <row r="11" spans="1:6" x14ac:dyDescent="0.3">
      <c r="A11" s="1" t="s">
        <v>8</v>
      </c>
      <c r="B11" s="2">
        <f t="shared" si="0"/>
        <v>-243718</v>
      </c>
      <c r="C11" s="2">
        <v>466</v>
      </c>
      <c r="D11" s="2">
        <v>108</v>
      </c>
      <c r="E11" s="2">
        <v>244184</v>
      </c>
      <c r="F11" s="2">
        <v>108858</v>
      </c>
    </row>
    <row r="12" spans="1:6" x14ac:dyDescent="0.3">
      <c r="A12" s="1" t="s">
        <v>9</v>
      </c>
      <c r="B12" s="2">
        <f t="shared" si="0"/>
        <v>-241705</v>
      </c>
      <c r="C12" s="2">
        <v>2562</v>
      </c>
      <c r="D12" s="2">
        <v>594</v>
      </c>
      <c r="E12" s="2">
        <v>244267</v>
      </c>
      <c r="F12" s="2">
        <v>108860</v>
      </c>
    </row>
    <row r="13" spans="1:6" x14ac:dyDescent="0.3">
      <c r="A13" s="1" t="s">
        <v>10</v>
      </c>
      <c r="B13" s="2">
        <f t="shared" si="0"/>
        <v>-161632</v>
      </c>
      <c r="C13" s="2">
        <v>1203</v>
      </c>
      <c r="D13" s="2">
        <v>272</v>
      </c>
      <c r="E13" s="2">
        <v>162835</v>
      </c>
      <c r="F13" s="2">
        <v>72574</v>
      </c>
    </row>
    <row r="14" spans="1:6" x14ac:dyDescent="0.3">
      <c r="A14" s="1" t="s">
        <v>11</v>
      </c>
      <c r="B14" s="2">
        <f t="shared" si="0"/>
        <v>-98206</v>
      </c>
      <c r="C14" s="2">
        <v>2469</v>
      </c>
      <c r="D14" s="2">
        <v>712</v>
      </c>
      <c r="E14" s="2">
        <v>100675</v>
      </c>
      <c r="F14" s="2">
        <v>38011</v>
      </c>
    </row>
    <row r="15" spans="1:6" ht="17.25" thickBot="1" x14ac:dyDescent="0.35">
      <c r="A15" s="4" t="s">
        <v>13</v>
      </c>
      <c r="B15" s="5">
        <f>SUM(B3:B14)</f>
        <v>-1870619</v>
      </c>
      <c r="C15" s="5">
        <f t="shared" ref="C15:F15" si="1">SUM(C3:C14)</f>
        <v>26320</v>
      </c>
      <c r="D15" s="5">
        <f t="shared" si="1"/>
        <v>5790</v>
      </c>
      <c r="E15" s="5">
        <f t="shared" si="1"/>
        <v>1896939</v>
      </c>
      <c r="F15" s="5">
        <f t="shared" si="1"/>
        <v>800699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-228635</v>
      </c>
      <c r="C3" s="2">
        <v>15653</v>
      </c>
      <c r="D3" s="2">
        <v>1502</v>
      </c>
      <c r="E3" s="2">
        <v>244288</v>
      </c>
      <c r="F3" s="2">
        <v>108858</v>
      </c>
    </row>
    <row r="4" spans="1:6" x14ac:dyDescent="0.3">
      <c r="A4" s="1" t="s">
        <v>1</v>
      </c>
      <c r="B4" s="2">
        <f t="shared" si="0"/>
        <v>-65421</v>
      </c>
      <c r="C4" s="2">
        <v>15996</v>
      </c>
      <c r="D4" s="2">
        <v>1688</v>
      </c>
      <c r="E4" s="2">
        <v>81417</v>
      </c>
      <c r="F4" s="2">
        <v>36288</v>
      </c>
    </row>
    <row r="5" spans="1:6" x14ac:dyDescent="0.3">
      <c r="A5" s="1" t="s">
        <v>2</v>
      </c>
      <c r="B5" s="2">
        <f t="shared" si="0"/>
        <v>-358129</v>
      </c>
      <c r="C5" s="2">
        <v>1531</v>
      </c>
      <c r="D5" s="2">
        <v>486</v>
      </c>
      <c r="E5" s="2">
        <v>359660</v>
      </c>
      <c r="F5" s="2">
        <v>145904</v>
      </c>
    </row>
    <row r="6" spans="1:6" x14ac:dyDescent="0.3">
      <c r="A6" s="1" t="s">
        <v>3</v>
      </c>
      <c r="B6" s="2">
        <f t="shared" si="0"/>
        <v>-341967</v>
      </c>
      <c r="C6" s="2">
        <v>2293</v>
      </c>
      <c r="D6" s="2">
        <v>578</v>
      </c>
      <c r="E6" s="2">
        <v>344260</v>
      </c>
      <c r="F6" s="2">
        <v>128449</v>
      </c>
    </row>
    <row r="7" spans="1:6" x14ac:dyDescent="0.3">
      <c r="A7" s="1" t="s">
        <v>4</v>
      </c>
      <c r="B7" s="2">
        <f t="shared" si="0"/>
        <v>-22318</v>
      </c>
      <c r="C7" s="2">
        <v>4923</v>
      </c>
      <c r="D7" s="2">
        <v>713</v>
      </c>
      <c r="E7" s="2">
        <v>27241</v>
      </c>
      <c r="F7" s="2">
        <v>7620</v>
      </c>
    </row>
    <row r="8" spans="1:6" x14ac:dyDescent="0.3">
      <c r="A8" s="1" t="s">
        <v>5</v>
      </c>
      <c r="B8" s="2">
        <f t="shared" si="0"/>
        <v>-12201</v>
      </c>
      <c r="C8" s="2">
        <v>1894</v>
      </c>
      <c r="D8" s="2">
        <v>594</v>
      </c>
      <c r="E8" s="2">
        <v>14095</v>
      </c>
      <c r="F8" s="2">
        <v>1224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1094</v>
      </c>
      <c r="C10" s="2">
        <v>1094</v>
      </c>
      <c r="D10" s="2">
        <v>200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-7048</v>
      </c>
      <c r="C11" s="2">
        <v>939</v>
      </c>
      <c r="D11" s="2">
        <v>324</v>
      </c>
      <c r="E11" s="2">
        <v>7987</v>
      </c>
      <c r="F11" s="2">
        <v>762</v>
      </c>
    </row>
    <row r="12" spans="1:6" x14ac:dyDescent="0.3">
      <c r="A12" s="1" t="s">
        <v>9</v>
      </c>
      <c r="B12" s="2">
        <f t="shared" si="0"/>
        <v>-51798</v>
      </c>
      <c r="C12" s="2">
        <v>963</v>
      </c>
      <c r="D12" s="2">
        <v>324</v>
      </c>
      <c r="E12" s="2">
        <v>52761</v>
      </c>
      <c r="F12" s="2">
        <v>15240</v>
      </c>
    </row>
    <row r="13" spans="1:6" x14ac:dyDescent="0.3">
      <c r="A13" s="1" t="s">
        <v>10</v>
      </c>
      <c r="B13" s="2">
        <f t="shared" si="0"/>
        <v>-28613</v>
      </c>
      <c r="C13" s="2">
        <v>231</v>
      </c>
      <c r="D13" s="2">
        <v>17</v>
      </c>
      <c r="E13" s="2">
        <v>28844</v>
      </c>
      <c r="F13" s="2">
        <v>2448</v>
      </c>
    </row>
    <row r="14" spans="1:6" x14ac:dyDescent="0.3">
      <c r="A14" s="1" t="s">
        <v>11</v>
      </c>
      <c r="B14" s="2">
        <f t="shared" si="0"/>
        <v>-94153</v>
      </c>
      <c r="C14" s="2">
        <v>633</v>
      </c>
      <c r="D14" s="2">
        <v>216</v>
      </c>
      <c r="E14" s="2">
        <v>94786</v>
      </c>
      <c r="F14" s="2">
        <v>36287</v>
      </c>
    </row>
    <row r="15" spans="1:6" ht="17.25" thickBot="1" x14ac:dyDescent="0.35">
      <c r="A15" s="4" t="s">
        <v>13</v>
      </c>
      <c r="B15" s="5">
        <f>SUM(B3:B14)</f>
        <v>-1209189</v>
      </c>
      <c r="C15" s="5">
        <f t="shared" ref="C15:F15" si="1">SUM(C3:C14)</f>
        <v>46150</v>
      </c>
      <c r="D15" s="5">
        <f t="shared" si="1"/>
        <v>6642</v>
      </c>
      <c r="E15" s="5">
        <f t="shared" si="1"/>
        <v>1255339</v>
      </c>
      <c r="F15" s="5">
        <f t="shared" si="1"/>
        <v>483080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-12823</v>
      </c>
      <c r="C3" s="2">
        <v>1149</v>
      </c>
      <c r="D3" s="2">
        <v>343</v>
      </c>
      <c r="E3" s="2">
        <v>13972</v>
      </c>
      <c r="F3" s="2">
        <v>1224</v>
      </c>
    </row>
    <row r="4" spans="1:6" x14ac:dyDescent="0.3">
      <c r="A4" s="1" t="s">
        <v>1</v>
      </c>
      <c r="B4" s="2">
        <f t="shared" si="0"/>
        <v>-497</v>
      </c>
      <c r="C4" s="2">
        <v>7430</v>
      </c>
      <c r="D4" s="2">
        <v>762</v>
      </c>
      <c r="E4" s="2">
        <v>7927</v>
      </c>
      <c r="F4" s="2">
        <v>760</v>
      </c>
    </row>
    <row r="5" spans="1:6" x14ac:dyDescent="0.3">
      <c r="A5" s="1" t="s">
        <v>2</v>
      </c>
      <c r="B5" s="2">
        <f t="shared" si="0"/>
        <v>1710</v>
      </c>
      <c r="C5" s="2">
        <v>2365</v>
      </c>
      <c r="D5" s="2">
        <v>608</v>
      </c>
      <c r="E5" s="2">
        <v>655</v>
      </c>
      <c r="F5" s="2">
        <v>205</v>
      </c>
    </row>
    <row r="6" spans="1:6" x14ac:dyDescent="0.3">
      <c r="A6" s="1" t="s">
        <v>3</v>
      </c>
      <c r="B6" s="2">
        <f t="shared" si="0"/>
        <v>19482</v>
      </c>
      <c r="C6" s="2">
        <v>19496</v>
      </c>
      <c r="D6" s="2">
        <v>1794</v>
      </c>
      <c r="E6" s="2">
        <v>14</v>
      </c>
      <c r="F6" s="2">
        <v>1</v>
      </c>
    </row>
    <row r="7" spans="1:6" x14ac:dyDescent="0.3">
      <c r="A7" s="1" t="s">
        <v>4</v>
      </c>
      <c r="B7" s="2">
        <f t="shared" si="0"/>
        <v>-13396</v>
      </c>
      <c r="C7" s="2">
        <v>614</v>
      </c>
      <c r="D7" s="2">
        <v>216</v>
      </c>
      <c r="E7" s="2">
        <v>14010</v>
      </c>
      <c r="F7" s="2">
        <v>1224</v>
      </c>
    </row>
    <row r="8" spans="1:6" x14ac:dyDescent="0.3">
      <c r="A8" s="1" t="s">
        <v>5</v>
      </c>
      <c r="B8" s="2">
        <f t="shared" si="0"/>
        <v>21810</v>
      </c>
      <c r="C8" s="2">
        <v>37843</v>
      </c>
      <c r="D8" s="2">
        <v>2826</v>
      </c>
      <c r="E8" s="2">
        <v>16033</v>
      </c>
      <c r="F8" s="2">
        <v>3810</v>
      </c>
    </row>
    <row r="9" spans="1:6" x14ac:dyDescent="0.3">
      <c r="A9" s="1" t="s">
        <v>6</v>
      </c>
      <c r="B9" s="2">
        <f t="shared" si="0"/>
        <v>9360</v>
      </c>
      <c r="C9" s="2">
        <v>9360</v>
      </c>
      <c r="D9" s="2">
        <v>848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25646</v>
      </c>
      <c r="C15" s="5">
        <f t="shared" ref="C15:F15" si="1">SUM(C3:C14)</f>
        <v>78257</v>
      </c>
      <c r="D15" s="5">
        <f t="shared" si="1"/>
        <v>7397</v>
      </c>
      <c r="E15" s="5">
        <f t="shared" si="1"/>
        <v>52611</v>
      </c>
      <c r="F15" s="5">
        <f t="shared" si="1"/>
        <v>7224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2026-09-01T06:35:30Z</dcterms:modified>
</cp:coreProperties>
</file>