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<sst xmlns="http://schemas.openxmlformats.org/spreadsheetml/2006/main" count="306" uniqueCount="35">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</sst>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-206814</v>
      </c>
      <c r="C3" s="2">
        <v>0</v>
      </c>
      <c r="D3" s="2">
        <v>0</v>
      </c>
      <c r="E3" s="2">
        <v>206814</v>
      </c>
      <c r="F3" s="2">
        <v>108311</v>
      </c>
    </row>
    <row r="4" spans="1:6" x14ac:dyDescent="0.3">
      <c r="A4" s="1" t="s">
        <v>27</v>
      </c>
      <c r="B4" s="2">
        <f t="shared" ref="B4:B14" si="0">C4-E4</f>
        <v>-743717</v>
      </c>
      <c r="C4" s="2">
        <v>0</v>
      </c>
      <c r="D4" s="2">
        <v>0</v>
      </c>
      <c r="E4" s="2">
        <v>743717</v>
      </c>
      <c r="F4" s="2">
        <v>568181</v>
      </c>
    </row>
    <row r="5" spans="1:6" x14ac:dyDescent="0.3">
      <c r="A5" s="1" t="s">
        <v>28</v>
      </c>
      <c r="B5" s="2">
        <f t="shared" si="0"/>
        <v>-366183</v>
      </c>
      <c r="C5" s="2">
        <v>0</v>
      </c>
      <c r="D5" s="2">
        <v>0</v>
      </c>
      <c r="E5" s="2">
        <v>366183</v>
      </c>
      <c r="F5" s="2">
        <v>269160</v>
      </c>
    </row>
    <row r="6" spans="1:6" x14ac:dyDescent="0.3">
      <c r="A6" s="1" t="s">
        <v>3</v>
      </c>
      <c r="B6" s="2">
        <f t="shared" si="0"/>
        <v>-334675</v>
      </c>
      <c r="C6" s="2">
        <v>0</v>
      </c>
      <c r="D6" s="2">
        <v>0</v>
      </c>
      <c r="E6" s="2">
        <v>334675</v>
      </c>
      <c r="F6" s="2">
        <v>246000</v>
      </c>
    </row>
    <row r="7" spans="1:6" x14ac:dyDescent="0.3">
      <c r="A7" s="1" t="s">
        <v>4</v>
      </c>
      <c r="B7" s="2">
        <f t="shared" si="0"/>
        <v>-27762</v>
      </c>
      <c r="C7" s="2">
        <v>0</v>
      </c>
      <c r="D7" s="2">
        <v>0</v>
      </c>
      <c r="E7" s="2">
        <v>27762</v>
      </c>
      <c r="F7" s="2">
        <v>21041</v>
      </c>
    </row>
    <row r="8" spans="1:6" x14ac:dyDescent="0.3">
      <c r="A8" s="1" t="s">
        <v>5</v>
      </c>
      <c r="B8" s="2">
        <f t="shared" si="0"/>
        <v>-886922</v>
      </c>
      <c r="C8" s="2">
        <v>0</v>
      </c>
      <c r="D8" s="2">
        <v>0</v>
      </c>
      <c r="E8" s="2">
        <v>886922</v>
      </c>
      <c r="F8" s="2">
        <v>682910</v>
      </c>
    </row>
    <row r="9" spans="1:6" x14ac:dyDescent="0.3">
      <c r="A9" s="1" t="s">
        <v>6</v>
      </c>
      <c r="B9" s="2">
        <f t="shared" si="0"/>
        <v>-679192</v>
      </c>
      <c r="C9" s="2">
        <v>0</v>
      </c>
      <c r="D9" s="2">
        <v>0</v>
      </c>
      <c r="E9" s="2">
        <v>679192</v>
      </c>
      <c r="F9" s="2">
        <v>505457</v>
      </c>
    </row>
    <row r="10" spans="1:6" x14ac:dyDescent="0.3">
      <c r="A10" s="1" t="s">
        <v>7</v>
      </c>
      <c r="B10" s="2">
        <f t="shared" si="0"/>
        <v>-715308</v>
      </c>
      <c r="C10" s="2">
        <v>0</v>
      </c>
      <c r="D10" s="2">
        <v>0</v>
      </c>
      <c r="E10" s="2">
        <v>715308</v>
      </c>
      <c r="F10" s="2">
        <v>528299</v>
      </c>
    </row>
    <row r="11" spans="1:6" x14ac:dyDescent="0.3">
      <c r="A11" s="1" t="s">
        <v>8</v>
      </c>
      <c r="B11" s="2">
        <f t="shared" si="0"/>
        <v>-715492</v>
      </c>
      <c r="C11" s="2">
        <v>0</v>
      </c>
      <c r="D11" s="2">
        <v>0</v>
      </c>
      <c r="E11" s="2">
        <v>715492</v>
      </c>
      <c r="F11" s="2">
        <v>526526</v>
      </c>
    </row>
    <row r="12" spans="1:6" x14ac:dyDescent="0.3">
      <c r="A12" s="1" t="s">
        <v>9</v>
      </c>
      <c r="B12" s="2">
        <f t="shared" si="0"/>
        <v>-491607</v>
      </c>
      <c r="C12" s="2">
        <v>0</v>
      </c>
      <c r="D12" s="2">
        <v>0</v>
      </c>
      <c r="E12" s="2">
        <v>491607</v>
      </c>
      <c r="F12" s="2">
        <v>333580</v>
      </c>
    </row>
    <row r="13" spans="1:6" x14ac:dyDescent="0.3">
      <c r="A13" s="1" t="s">
        <v>10</v>
      </c>
      <c r="B13" s="2">
        <f t="shared" si="0"/>
        <v>-880882</v>
      </c>
      <c r="C13" s="2">
        <v>0</v>
      </c>
      <c r="D13" s="2">
        <v>0</v>
      </c>
      <c r="E13" s="2">
        <v>880882</v>
      </c>
      <c r="F13" s="2">
        <v>575430</v>
      </c>
    </row>
    <row r="14" spans="1:6" x14ac:dyDescent="0.3">
      <c r="A14" s="1" t="s">
        <v>11</v>
      </c>
      <c r="B14" s="2">
        <f t="shared" si="0"/>
        <v>-407910</v>
      </c>
      <c r="C14" s="2">
        <v>0</v>
      </c>
      <c r="D14" s="2">
        <v>0</v>
      </c>
      <c r="E14" s="2">
        <v>407910</v>
      </c>
      <c r="F14" s="2">
        <v>215855</v>
      </c>
    </row>
    <row r="15" spans="1:6" ht="17.25" thickBot="1" x14ac:dyDescent="0.35">
      <c r="A15" s="4" t="s">
        <v>30</v>
      </c>
      <c r="B15" s="5">
        <f>SUM(B3:B14)</f>
        <v>-6456464</v>
      </c>
      <c r="C15" s="5">
        <f t="shared" ref="C15:F15" si="1">SUM(C3:C14)</f>
        <v>0</v>
      </c>
      <c r="D15" s="5">
        <f t="shared" si="1"/>
        <v>0</v>
      </c>
      <c r="E15" s="5">
        <f t="shared" si="1"/>
        <v>6456464</v>
      </c>
      <c r="F15" s="5">
        <f t="shared" si="1"/>
        <v>4580750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-2042559</v>
      </c>
      <c r="C3" s="2">
        <v>0</v>
      </c>
      <c r="D3" s="2">
        <v>0</v>
      </c>
      <c r="E3" s="2">
        <v>2042559</v>
      </c>
      <c r="F3" s="2">
        <v>1076060</v>
      </c>
    </row>
    <row r="4" spans="1:6" x14ac:dyDescent="0.3">
      <c r="A4" s="1" t="s">
        <v>27</v>
      </c>
      <c r="B4" s="2">
        <f t="shared" ref="B4:B14" si="0">C4-E4</f>
        <v>-203053</v>
      </c>
      <c r="C4" s="2">
        <v>0</v>
      </c>
      <c r="D4" s="2">
        <v>0</v>
      </c>
      <c r="E4" s="2">
        <v>203053</v>
      </c>
      <c r="F4" s="2">
        <v>105256</v>
      </c>
    </row>
    <row r="5" spans="1:6" x14ac:dyDescent="0.3">
      <c r="A5" s="1" t="s">
        <v>28</v>
      </c>
      <c r="B5" s="2">
        <f t="shared" si="0"/>
        <v>-157498</v>
      </c>
      <c r="C5" s="2">
        <v>0</v>
      </c>
      <c r="D5" s="2">
        <v>0</v>
      </c>
      <c r="E5" s="2">
        <v>157498</v>
      </c>
      <c r="F5" s="2">
        <v>70704</v>
      </c>
    </row>
    <row r="6" spans="1:6" x14ac:dyDescent="0.3">
      <c r="A6" s="1" t="s">
        <v>3</v>
      </c>
      <c r="B6" s="2">
        <f t="shared" si="0"/>
        <v>-44194</v>
      </c>
      <c r="C6" s="2">
        <v>0</v>
      </c>
      <c r="D6" s="2">
        <v>0</v>
      </c>
      <c r="E6" s="2">
        <v>44194</v>
      </c>
      <c r="F6" s="2">
        <v>14210</v>
      </c>
    </row>
    <row r="7" spans="1:6" x14ac:dyDescent="0.3">
      <c r="A7" s="1" t="s">
        <v>4</v>
      </c>
      <c r="B7" s="2">
        <f t="shared" si="0"/>
        <v>-1035011</v>
      </c>
      <c r="C7" s="2">
        <v>0</v>
      </c>
      <c r="D7" s="2">
        <v>0</v>
      </c>
      <c r="E7" s="2">
        <v>1035011</v>
      </c>
      <c r="F7" s="2">
        <v>542940</v>
      </c>
    </row>
    <row r="8" spans="1:6" x14ac:dyDescent="0.3">
      <c r="A8" s="1" t="s">
        <v>5</v>
      </c>
      <c r="B8" s="2">
        <f t="shared" si="0"/>
        <v>-1311549</v>
      </c>
      <c r="C8" s="2">
        <v>0</v>
      </c>
      <c r="D8" s="2">
        <v>0</v>
      </c>
      <c r="E8" s="2">
        <v>1311549</v>
      </c>
      <c r="F8" s="2">
        <v>681762</v>
      </c>
    </row>
    <row r="9" spans="1:6" x14ac:dyDescent="0.3">
      <c r="A9" s="1" t="s">
        <v>6</v>
      </c>
      <c r="B9" s="2">
        <f t="shared" si="0"/>
        <v>-1316134</v>
      </c>
      <c r="C9" s="2">
        <v>0</v>
      </c>
      <c r="D9" s="2">
        <v>0</v>
      </c>
      <c r="E9" s="2">
        <v>1316134</v>
      </c>
      <c r="F9" s="2">
        <v>654482</v>
      </c>
    </row>
    <row r="10" spans="1:6" x14ac:dyDescent="0.3">
      <c r="A10" s="1" t="s">
        <v>7</v>
      </c>
      <c r="B10" s="2">
        <f t="shared" si="0"/>
        <v>-69147</v>
      </c>
      <c r="C10" s="2">
        <v>0</v>
      </c>
      <c r="D10" s="2">
        <v>0</v>
      </c>
      <c r="E10" s="2">
        <v>69147</v>
      </c>
      <c r="F10" s="2">
        <v>28634</v>
      </c>
    </row>
    <row r="11" spans="1:6" x14ac:dyDescent="0.3">
      <c r="A11" s="1" t="s">
        <v>8</v>
      </c>
      <c r="B11" s="2">
        <f t="shared" si="0"/>
        <v>-1389655</v>
      </c>
      <c r="C11" s="2">
        <v>0</v>
      </c>
      <c r="D11" s="2">
        <v>0</v>
      </c>
      <c r="E11" s="2">
        <v>1389655</v>
      </c>
      <c r="F11" s="2">
        <v>743043</v>
      </c>
    </row>
    <row r="12" spans="1:6" x14ac:dyDescent="0.3">
      <c r="A12" s="1" t="s">
        <v>9</v>
      </c>
      <c r="B12" s="2">
        <f t="shared" si="0"/>
        <v>-374912</v>
      </c>
      <c r="C12" s="2">
        <v>0</v>
      </c>
      <c r="D12" s="2">
        <v>0</v>
      </c>
      <c r="E12" s="2">
        <v>374912</v>
      </c>
      <c r="F12" s="2">
        <v>228460</v>
      </c>
    </row>
    <row r="13" spans="1:6" x14ac:dyDescent="0.3">
      <c r="A13" s="1" t="s">
        <v>10</v>
      </c>
      <c r="B13" s="2">
        <f t="shared" si="0"/>
        <v>-1356147</v>
      </c>
      <c r="C13" s="2">
        <v>0</v>
      </c>
      <c r="D13" s="2">
        <v>0</v>
      </c>
      <c r="E13" s="2">
        <v>1356147</v>
      </c>
      <c r="F13" s="2">
        <v>748945</v>
      </c>
    </row>
    <row r="14" spans="1:6" x14ac:dyDescent="0.3">
      <c r="A14" s="1" t="s">
        <v>11</v>
      </c>
      <c r="B14" s="2">
        <f t="shared" si="0"/>
        <v>-1617572</v>
      </c>
      <c r="C14" s="2">
        <v>0</v>
      </c>
      <c r="D14" s="2">
        <v>0</v>
      </c>
      <c r="E14" s="2">
        <v>1617572</v>
      </c>
      <c r="F14" s="2">
        <v>929127</v>
      </c>
    </row>
    <row r="15" spans="1:6" ht="17.25" thickBot="1" x14ac:dyDescent="0.35">
      <c r="A15" s="4" t="s">
        <v>32</v>
      </c>
      <c r="B15" s="5">
        <f>SUM(B3:B14)</f>
        <v>-10917431</v>
      </c>
      <c r="C15" s="5">
        <f t="shared" ref="C15:F15" si="1">SUM(C3:C14)</f>
        <v>0</v>
      </c>
      <c r="D15" s="5">
        <f t="shared" si="1"/>
        <v>0</v>
      </c>
      <c r="E15" s="5">
        <f t="shared" si="1"/>
        <v>10917431</v>
      </c>
      <c r="F15" s="5">
        <f t="shared" si="1"/>
        <v>5823623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-1408905</v>
      </c>
      <c r="C3" s="2">
        <v>0</v>
      </c>
      <c r="D3" s="2">
        <v>0</v>
      </c>
      <c r="E3" s="2">
        <v>1408905</v>
      </c>
      <c r="F3" s="2">
        <v>819982</v>
      </c>
    </row>
    <row r="4" spans="1:6" x14ac:dyDescent="0.3">
      <c r="A4" s="1" t="s">
        <v>27</v>
      </c>
      <c r="B4" s="2">
        <f t="shared" ref="B4:B14" si="0">C4-E4</f>
        <v>-28584</v>
      </c>
      <c r="C4" s="2">
        <v>73110</v>
      </c>
      <c r="D4" s="2">
        <v>41050</v>
      </c>
      <c r="E4" s="2">
        <v>101694</v>
      </c>
      <c r="F4" s="2">
        <v>54183</v>
      </c>
    </row>
    <row r="5" spans="1:6" x14ac:dyDescent="0.3">
      <c r="A5" s="1" t="s">
        <v>28</v>
      </c>
      <c r="B5" s="2">
        <f t="shared" si="0"/>
        <v>-607716</v>
      </c>
      <c r="C5" s="2">
        <v>0</v>
      </c>
      <c r="D5" s="2">
        <v>0</v>
      </c>
      <c r="E5" s="2">
        <v>607716</v>
      </c>
      <c r="F5" s="2">
        <v>353299</v>
      </c>
    </row>
    <row r="6" spans="1:6" x14ac:dyDescent="0.3">
      <c r="A6" s="1" t="s">
        <v>3</v>
      </c>
      <c r="B6" s="2">
        <f t="shared" si="0"/>
        <v>-296810</v>
      </c>
      <c r="C6" s="2">
        <v>0</v>
      </c>
      <c r="D6" s="2">
        <v>0</v>
      </c>
      <c r="E6" s="2">
        <v>296810</v>
      </c>
      <c r="F6" s="2">
        <v>180408</v>
      </c>
    </row>
    <row r="7" spans="1:6" x14ac:dyDescent="0.3">
      <c r="A7" s="1" t="s">
        <v>4</v>
      </c>
      <c r="B7" s="2">
        <f t="shared" si="0"/>
        <v>-1039032</v>
      </c>
      <c r="C7" s="2">
        <v>0</v>
      </c>
      <c r="D7" s="2">
        <v>0</v>
      </c>
      <c r="E7" s="2">
        <v>1039032</v>
      </c>
      <c r="F7" s="2">
        <v>630536</v>
      </c>
    </row>
    <row r="8" spans="1:6" x14ac:dyDescent="0.3">
      <c r="A8" s="1" t="s">
        <v>5</v>
      </c>
      <c r="B8" s="2">
        <f t="shared" si="0"/>
        <v>-2919056</v>
      </c>
      <c r="C8" s="2">
        <v>0</v>
      </c>
      <c r="D8" s="2">
        <v>0</v>
      </c>
      <c r="E8" s="2">
        <v>2919056</v>
      </c>
      <c r="F8" s="2">
        <v>1764040</v>
      </c>
    </row>
    <row r="9" spans="1:6" x14ac:dyDescent="0.3">
      <c r="A9" s="1" t="s">
        <v>6</v>
      </c>
      <c r="B9" s="2">
        <f t="shared" si="0"/>
        <v>-1575917</v>
      </c>
      <c r="C9" s="2">
        <v>0</v>
      </c>
      <c r="D9" s="2">
        <v>0</v>
      </c>
      <c r="E9" s="2">
        <v>1575917</v>
      </c>
      <c r="F9" s="2">
        <v>862959</v>
      </c>
    </row>
    <row r="10" spans="1:6" x14ac:dyDescent="0.3">
      <c r="A10" s="1" t="s">
        <v>7</v>
      </c>
      <c r="B10" s="2">
        <f t="shared" si="0"/>
        <v>-1292564</v>
      </c>
      <c r="C10" s="2">
        <v>0</v>
      </c>
      <c r="D10" s="2">
        <v>0</v>
      </c>
      <c r="E10" s="2">
        <v>1292564</v>
      </c>
      <c r="F10" s="2">
        <v>799703</v>
      </c>
    </row>
    <row r="11" spans="1:6" x14ac:dyDescent="0.3">
      <c r="A11" s="1" t="s">
        <v>8</v>
      </c>
      <c r="B11" s="2">
        <f t="shared" si="0"/>
        <v>-178880</v>
      </c>
      <c r="C11" s="2">
        <v>0</v>
      </c>
      <c r="D11" s="2">
        <v>0</v>
      </c>
      <c r="E11" s="2">
        <v>178880</v>
      </c>
      <c r="F11" s="2">
        <v>106570</v>
      </c>
    </row>
    <row r="12" spans="1:6" x14ac:dyDescent="0.3">
      <c r="A12" s="1" t="s">
        <v>9</v>
      </c>
      <c r="B12" s="2">
        <f t="shared" si="0"/>
        <v>-867291</v>
      </c>
      <c r="C12" s="2">
        <v>0</v>
      </c>
      <c r="D12" s="2">
        <v>0</v>
      </c>
      <c r="E12" s="2">
        <v>867291</v>
      </c>
      <c r="F12" s="2">
        <v>493344</v>
      </c>
    </row>
    <row r="13" spans="1:6" x14ac:dyDescent="0.3">
      <c r="A13" s="1" t="s">
        <v>10</v>
      </c>
      <c r="B13" s="2">
        <f t="shared" si="0"/>
        <v>-1398534</v>
      </c>
      <c r="C13" s="2">
        <v>0</v>
      </c>
      <c r="D13" s="2">
        <v>0</v>
      </c>
      <c r="E13" s="2">
        <v>1398534</v>
      </c>
      <c r="F13" s="2">
        <v>831922</v>
      </c>
    </row>
    <row r="14" spans="1:6" x14ac:dyDescent="0.3">
      <c r="A14" s="1" t="s">
        <v>11</v>
      </c>
      <c r="B14" s="2">
        <f t="shared" si="0"/>
        <v>-2387057</v>
      </c>
      <c r="C14" s="2">
        <v>91382</v>
      </c>
      <c r="D14" s="2">
        <v>48500</v>
      </c>
      <c r="E14" s="2">
        <v>2478439</v>
      </c>
      <c r="F14" s="2">
        <v>1477232</v>
      </c>
    </row>
    <row r="15" spans="1:6" ht="17.25" thickBot="1" x14ac:dyDescent="0.35">
      <c r="A15" s="4" t="s">
        <v>29</v>
      </c>
      <c r="B15" s="5">
        <f>SUM(B3:B14)</f>
        <v>-14000346</v>
      </c>
      <c r="C15" s="5">
        <f t="shared" ref="C15:F15" si="1">SUM(C3:C14)</f>
        <v>164492</v>
      </c>
      <c r="D15" s="5">
        <f t="shared" si="1"/>
        <v>89550</v>
      </c>
      <c r="E15" s="5">
        <f t="shared" si="1"/>
        <v>14164838</v>
      </c>
      <c r="F15" s="5">
        <f t="shared" si="1"/>
        <v>8374178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-352275</v>
      </c>
      <c r="C3" s="2">
        <v>0</v>
      </c>
      <c r="D3" s="2">
        <v>0</v>
      </c>
      <c r="E3" s="2">
        <v>352275</v>
      </c>
      <c r="F3" s="2">
        <v>175522</v>
      </c>
    </row>
    <row r="4" spans="1:6" x14ac:dyDescent="0.3">
      <c r="A4" s="1" t="s">
        <v>27</v>
      </c>
      <c r="B4" s="2">
        <f t="shared" si="0"/>
        <v>-52216</v>
      </c>
      <c r="C4" s="2">
        <v>0</v>
      </c>
      <c r="D4" s="2">
        <v>0</v>
      </c>
      <c r="E4" s="2">
        <v>52216</v>
      </c>
      <c r="F4" s="2">
        <v>19443</v>
      </c>
    </row>
    <row r="5" spans="1:6" x14ac:dyDescent="0.3">
      <c r="A5" s="1" t="s">
        <v>28</v>
      </c>
      <c r="B5" s="2">
        <f t="shared" si="0"/>
        <v>-878689</v>
      </c>
      <c r="C5" s="2">
        <v>0</v>
      </c>
      <c r="D5" s="2">
        <v>0</v>
      </c>
      <c r="E5" s="2">
        <v>878689</v>
      </c>
      <c r="F5" s="2">
        <v>523316</v>
      </c>
    </row>
    <row r="6" spans="1:6" x14ac:dyDescent="0.3">
      <c r="A6" s="1" t="s">
        <v>3</v>
      </c>
      <c r="B6" s="2">
        <f t="shared" si="0"/>
        <v>-348330</v>
      </c>
      <c r="C6" s="2">
        <v>0</v>
      </c>
      <c r="D6" s="2">
        <v>0</v>
      </c>
      <c r="E6" s="2">
        <v>348330</v>
      </c>
      <c r="F6" s="2">
        <v>214960</v>
      </c>
    </row>
    <row r="7" spans="1:6" x14ac:dyDescent="0.3">
      <c r="A7" s="1" t="s">
        <v>4</v>
      </c>
      <c r="B7" s="2">
        <f t="shared" si="0"/>
        <v>-1231875</v>
      </c>
      <c r="C7" s="2">
        <v>0</v>
      </c>
      <c r="D7" s="2">
        <v>0</v>
      </c>
      <c r="E7" s="2">
        <v>1231875</v>
      </c>
      <c r="F7" s="2">
        <v>767025</v>
      </c>
    </row>
    <row r="8" spans="1:6" x14ac:dyDescent="0.3">
      <c r="A8" s="1" t="s">
        <v>5</v>
      </c>
      <c r="B8" s="2">
        <f t="shared" si="0"/>
        <v>-935277</v>
      </c>
      <c r="C8" s="2">
        <v>0</v>
      </c>
      <c r="D8" s="2">
        <v>0</v>
      </c>
      <c r="E8" s="2">
        <v>935277</v>
      </c>
      <c r="F8" s="2">
        <v>621910</v>
      </c>
    </row>
    <row r="9" spans="1:6" x14ac:dyDescent="0.3">
      <c r="A9" s="1" t="s">
        <v>6</v>
      </c>
      <c r="B9" s="2">
        <f t="shared" si="0"/>
        <v>-2124078</v>
      </c>
      <c r="C9" s="2">
        <v>0</v>
      </c>
      <c r="D9" s="2">
        <v>0</v>
      </c>
      <c r="E9" s="2">
        <v>2124078</v>
      </c>
      <c r="F9" s="2">
        <v>1316641</v>
      </c>
    </row>
    <row r="10" spans="1:6" x14ac:dyDescent="0.3">
      <c r="A10" s="1" t="s">
        <v>7</v>
      </c>
      <c r="B10" s="2">
        <f t="shared" si="0"/>
        <v>-568259</v>
      </c>
      <c r="C10" s="2">
        <v>0</v>
      </c>
      <c r="D10" s="2">
        <v>0</v>
      </c>
      <c r="E10" s="2">
        <v>568259</v>
      </c>
      <c r="F10" s="2">
        <v>286354</v>
      </c>
    </row>
    <row r="11" spans="1:6" x14ac:dyDescent="0.3">
      <c r="A11" s="1" t="s">
        <v>8</v>
      </c>
      <c r="B11" s="2">
        <f t="shared" si="0"/>
        <v>-248971</v>
      </c>
      <c r="C11" s="2">
        <v>0</v>
      </c>
      <c r="D11" s="2">
        <v>0</v>
      </c>
      <c r="E11" s="2">
        <v>248971</v>
      </c>
      <c r="F11" s="2">
        <v>166877</v>
      </c>
    </row>
    <row r="12" spans="1:6" x14ac:dyDescent="0.3">
      <c r="A12" s="1" t="s">
        <v>9</v>
      </c>
      <c r="B12" s="2">
        <f t="shared" si="0"/>
        <v>-1294308</v>
      </c>
      <c r="C12" s="2">
        <v>0</v>
      </c>
      <c r="D12" s="2">
        <v>0</v>
      </c>
      <c r="E12" s="2">
        <v>1294308</v>
      </c>
      <c r="F12" s="2">
        <v>849035</v>
      </c>
    </row>
    <row r="13" spans="1:6" x14ac:dyDescent="0.3">
      <c r="A13" s="1" t="s">
        <v>10</v>
      </c>
      <c r="B13" s="2">
        <f t="shared" si="0"/>
        <v>-1311357</v>
      </c>
      <c r="C13" s="2">
        <v>0</v>
      </c>
      <c r="D13" s="2">
        <v>0</v>
      </c>
      <c r="E13" s="2">
        <v>1311357</v>
      </c>
      <c r="F13" s="2">
        <v>927000</v>
      </c>
    </row>
    <row r="14" spans="1:6" x14ac:dyDescent="0.3">
      <c r="A14" s="1" t="s">
        <v>11</v>
      </c>
      <c r="B14" s="2">
        <f t="shared" si="0"/>
        <v>-783974</v>
      </c>
      <c r="C14" s="2">
        <v>0</v>
      </c>
      <c r="D14" s="2">
        <v>0</v>
      </c>
      <c r="E14" s="2">
        <v>783974</v>
      </c>
      <c r="F14" s="2">
        <v>575278</v>
      </c>
    </row>
    <row r="15" spans="1:6" ht="17.25" thickBot="1" x14ac:dyDescent="0.35">
      <c r="A15" s="4" t="s">
        <v>30</v>
      </c>
      <c r="B15" s="5">
        <f>SUM(B3:B14)</f>
        <v>-10129609</v>
      </c>
      <c r="C15" s="5">
        <f t="shared" ref="C15:F15" si="1">SUM(C3:C14)</f>
        <v>0</v>
      </c>
      <c r="D15" s="5">
        <f t="shared" si="1"/>
        <v>0</v>
      </c>
      <c r="E15" s="5">
        <f t="shared" si="1"/>
        <v>10129609</v>
      </c>
      <c r="F15" s="5">
        <f t="shared" si="1"/>
        <v>6443361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-888876</v>
      </c>
      <c r="C3" s="2">
        <v>0</v>
      </c>
      <c r="D3" s="2">
        <v>0</v>
      </c>
      <c r="E3" s="2">
        <v>888876</v>
      </c>
      <c r="F3" s="2">
        <v>544055</v>
      </c>
    </row>
    <row r="4" spans="1:6" x14ac:dyDescent="0.3">
      <c r="A4" s="1" t="s">
        <v>27</v>
      </c>
      <c r="B4" s="2">
        <f t="shared" si="0"/>
        <v>-636132</v>
      </c>
      <c r="C4" s="2">
        <v>0</v>
      </c>
      <c r="D4" s="2">
        <v>0</v>
      </c>
      <c r="E4" s="2">
        <v>636132</v>
      </c>
      <c r="F4" s="2">
        <v>404140</v>
      </c>
    </row>
    <row r="5" spans="1:6" x14ac:dyDescent="0.3">
      <c r="A5" s="1" t="s">
        <v>28</v>
      </c>
      <c r="B5" s="2">
        <f t="shared" si="0"/>
        <v>-962561</v>
      </c>
      <c r="C5" s="2">
        <v>0</v>
      </c>
      <c r="D5" s="2">
        <v>0</v>
      </c>
      <c r="E5" s="2">
        <v>962561</v>
      </c>
      <c r="F5" s="2">
        <v>678510</v>
      </c>
    </row>
    <row r="6" spans="1:6" x14ac:dyDescent="0.3">
      <c r="A6" s="1" t="s">
        <v>3</v>
      </c>
      <c r="B6" s="2">
        <f t="shared" si="0"/>
        <v>-512496</v>
      </c>
      <c r="C6" s="2">
        <v>0</v>
      </c>
      <c r="D6" s="2">
        <v>0</v>
      </c>
      <c r="E6" s="2">
        <v>512496</v>
      </c>
      <c r="F6" s="2">
        <v>311667</v>
      </c>
    </row>
    <row r="7" spans="1:6" x14ac:dyDescent="0.3">
      <c r="A7" s="1" t="s">
        <v>4</v>
      </c>
      <c r="B7" s="2">
        <f t="shared" si="0"/>
        <v>-1710589</v>
      </c>
      <c r="C7" s="2">
        <v>0</v>
      </c>
      <c r="D7" s="2">
        <v>0</v>
      </c>
      <c r="E7" s="2">
        <v>1710589</v>
      </c>
      <c r="F7" s="2">
        <v>1153068</v>
      </c>
    </row>
    <row r="8" spans="1:6" x14ac:dyDescent="0.3">
      <c r="A8" s="1" t="s">
        <v>5</v>
      </c>
      <c r="B8" s="2">
        <f t="shared" si="0"/>
        <v>-486352</v>
      </c>
      <c r="C8" s="2">
        <v>0</v>
      </c>
      <c r="D8" s="2">
        <v>0</v>
      </c>
      <c r="E8" s="2">
        <v>486352</v>
      </c>
      <c r="F8" s="2">
        <v>320508</v>
      </c>
    </row>
    <row r="9" spans="1:6" x14ac:dyDescent="0.3">
      <c r="A9" s="1" t="s">
        <v>6</v>
      </c>
      <c r="B9" s="2">
        <f t="shared" si="0"/>
        <v>-539978</v>
      </c>
      <c r="C9" s="2">
        <v>0</v>
      </c>
      <c r="D9" s="2">
        <v>0</v>
      </c>
      <c r="E9" s="2">
        <v>539978</v>
      </c>
      <c r="F9" s="2">
        <v>315441</v>
      </c>
    </row>
    <row r="10" spans="1:6" x14ac:dyDescent="0.3">
      <c r="A10" s="1" t="s">
        <v>7</v>
      </c>
      <c r="B10" s="2">
        <f t="shared" si="0"/>
        <v>-504631</v>
      </c>
      <c r="C10" s="2">
        <v>0</v>
      </c>
      <c r="D10" s="2">
        <v>0</v>
      </c>
      <c r="E10" s="2">
        <v>504631</v>
      </c>
      <c r="F10" s="2">
        <v>238759</v>
      </c>
    </row>
    <row r="11" spans="1:6" x14ac:dyDescent="0.3">
      <c r="A11" s="1" t="s">
        <v>8</v>
      </c>
      <c r="B11" s="2">
        <f t="shared" si="0"/>
        <v>-1052758</v>
      </c>
      <c r="C11" s="2">
        <v>0</v>
      </c>
      <c r="D11" s="2">
        <v>0</v>
      </c>
      <c r="E11" s="2">
        <v>1052758</v>
      </c>
      <c r="F11" s="2">
        <v>632498</v>
      </c>
    </row>
    <row r="12" spans="1:6" x14ac:dyDescent="0.3">
      <c r="A12" s="1" t="s">
        <v>9</v>
      </c>
      <c r="B12" s="2">
        <f t="shared" si="0"/>
        <v>-1363940</v>
      </c>
      <c r="C12" s="2">
        <v>0</v>
      </c>
      <c r="D12" s="2">
        <v>0</v>
      </c>
      <c r="E12" s="2">
        <v>1363940</v>
      </c>
      <c r="F12" s="2">
        <v>818740</v>
      </c>
    </row>
    <row r="13" spans="1:6" x14ac:dyDescent="0.3">
      <c r="A13" s="1" t="s">
        <v>10</v>
      </c>
      <c r="B13" s="2">
        <f t="shared" si="0"/>
        <v>-1290738</v>
      </c>
      <c r="C13" s="2">
        <v>0</v>
      </c>
      <c r="D13" s="2">
        <v>0</v>
      </c>
      <c r="E13" s="2">
        <v>1290738</v>
      </c>
      <c r="F13" s="2">
        <v>886328</v>
      </c>
    </row>
    <row r="14" spans="1:6" x14ac:dyDescent="0.3">
      <c r="A14" s="1" t="s">
        <v>11</v>
      </c>
      <c r="B14" s="2">
        <f t="shared" si="0"/>
        <v>-1465953</v>
      </c>
      <c r="C14" s="2">
        <v>0</v>
      </c>
      <c r="D14" s="2">
        <v>0</v>
      </c>
      <c r="E14" s="2">
        <v>1465953</v>
      </c>
      <c r="F14" s="2">
        <v>942971</v>
      </c>
    </row>
    <row r="15" spans="1:6" ht="17.25" thickBot="1" x14ac:dyDescent="0.35">
      <c r="A15" s="4" t="s">
        <v>30</v>
      </c>
      <c r="B15" s="5">
        <f>SUM(B3:B14)</f>
        <v>-11415004</v>
      </c>
      <c r="C15" s="5">
        <f t="shared" ref="C15:F15" si="1">SUM(C3:C14)</f>
        <v>0</v>
      </c>
      <c r="D15" s="5">
        <f t="shared" si="1"/>
        <v>0</v>
      </c>
      <c r="E15" s="5">
        <f t="shared" si="1"/>
        <v>11415004</v>
      </c>
      <c r="F15" s="5">
        <f t="shared" si="1"/>
        <v>7246685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-1222115</v>
      </c>
      <c r="C3" s="2">
        <v>0</v>
      </c>
      <c r="D3" s="2">
        <v>0</v>
      </c>
      <c r="E3" s="2">
        <v>1222115</v>
      </c>
      <c r="F3" s="2">
        <v>778573</v>
      </c>
    </row>
    <row r="4" spans="1:6" x14ac:dyDescent="0.3">
      <c r="A4" s="1" t="s">
        <v>27</v>
      </c>
      <c r="B4" s="2">
        <f t="shared" si="0"/>
        <v>-804882</v>
      </c>
      <c r="C4" s="2">
        <v>0</v>
      </c>
      <c r="D4" s="2">
        <v>0</v>
      </c>
      <c r="E4" s="2">
        <v>804882</v>
      </c>
      <c r="F4" s="2">
        <v>541876</v>
      </c>
    </row>
    <row r="5" spans="1:6" x14ac:dyDescent="0.3">
      <c r="A5" s="1" t="s">
        <v>28</v>
      </c>
      <c r="B5" s="2">
        <f t="shared" si="0"/>
        <v>-1427367</v>
      </c>
      <c r="C5" s="2">
        <v>0</v>
      </c>
      <c r="D5" s="2">
        <v>0</v>
      </c>
      <c r="E5" s="2">
        <v>1427367</v>
      </c>
      <c r="F5" s="2">
        <v>1026314</v>
      </c>
    </row>
    <row r="6" spans="1:6" x14ac:dyDescent="0.3">
      <c r="A6" s="1" t="s">
        <v>3</v>
      </c>
      <c r="B6" s="2">
        <f t="shared" si="0"/>
        <v>-1355287</v>
      </c>
      <c r="C6" s="2">
        <v>0</v>
      </c>
      <c r="D6" s="2">
        <v>0</v>
      </c>
      <c r="E6" s="2">
        <v>1355287</v>
      </c>
      <c r="F6" s="2">
        <v>1045292</v>
      </c>
    </row>
    <row r="7" spans="1:6" x14ac:dyDescent="0.3">
      <c r="A7" s="1" t="s">
        <v>4</v>
      </c>
      <c r="B7" s="2">
        <f t="shared" si="0"/>
        <v>-1107321</v>
      </c>
      <c r="C7" s="2">
        <v>0</v>
      </c>
      <c r="D7" s="2">
        <v>0</v>
      </c>
      <c r="E7" s="2">
        <v>1107321</v>
      </c>
      <c r="F7" s="2">
        <v>894200</v>
      </c>
    </row>
    <row r="8" spans="1:6" x14ac:dyDescent="0.3">
      <c r="A8" s="1" t="s">
        <v>5</v>
      </c>
      <c r="B8" s="2">
        <f t="shared" si="0"/>
        <v>-1055650</v>
      </c>
      <c r="C8" s="2">
        <v>0</v>
      </c>
      <c r="D8" s="2">
        <v>0</v>
      </c>
      <c r="E8" s="2">
        <v>1055650</v>
      </c>
      <c r="F8" s="2">
        <v>833846</v>
      </c>
    </row>
    <row r="9" spans="1:6" x14ac:dyDescent="0.3">
      <c r="A9" s="1" t="s">
        <v>6</v>
      </c>
      <c r="B9" s="2">
        <f t="shared" si="0"/>
        <v>-1480504</v>
      </c>
      <c r="C9" s="2">
        <v>0</v>
      </c>
      <c r="D9" s="2">
        <v>0</v>
      </c>
      <c r="E9" s="2">
        <v>1480504</v>
      </c>
      <c r="F9" s="2">
        <v>1048990</v>
      </c>
    </row>
    <row r="10" spans="1:6" x14ac:dyDescent="0.3">
      <c r="A10" s="1" t="s">
        <v>7</v>
      </c>
      <c r="B10" s="2">
        <f t="shared" si="0"/>
        <v>-745586</v>
      </c>
      <c r="C10" s="2">
        <v>0</v>
      </c>
      <c r="D10" s="2">
        <v>0</v>
      </c>
      <c r="E10" s="2">
        <v>745586</v>
      </c>
      <c r="F10" s="2">
        <v>467436</v>
      </c>
    </row>
    <row r="11" spans="1:6" x14ac:dyDescent="0.3">
      <c r="A11" s="1" t="s">
        <v>8</v>
      </c>
      <c r="B11" s="2">
        <f t="shared" si="0"/>
        <v>-1185749</v>
      </c>
      <c r="C11" s="2">
        <v>0</v>
      </c>
      <c r="D11" s="2">
        <v>0</v>
      </c>
      <c r="E11" s="2">
        <v>1185749</v>
      </c>
      <c r="F11" s="2">
        <v>937678</v>
      </c>
    </row>
    <row r="12" spans="1:6" x14ac:dyDescent="0.3">
      <c r="A12" s="1" t="s">
        <v>9</v>
      </c>
      <c r="B12" s="2">
        <f t="shared" si="0"/>
        <v>-988658</v>
      </c>
      <c r="C12" s="2">
        <v>0</v>
      </c>
      <c r="D12" s="2">
        <v>0</v>
      </c>
      <c r="E12" s="2">
        <v>988658</v>
      </c>
      <c r="F12" s="2">
        <v>792648</v>
      </c>
    </row>
    <row r="13" spans="1:6" x14ac:dyDescent="0.3">
      <c r="A13" s="1" t="s">
        <v>10</v>
      </c>
      <c r="B13" s="2">
        <f t="shared" si="0"/>
        <v>-1051576</v>
      </c>
      <c r="C13" s="2">
        <v>0</v>
      </c>
      <c r="D13" s="2">
        <v>0</v>
      </c>
      <c r="E13" s="2">
        <v>1051576</v>
      </c>
      <c r="F13" s="2">
        <v>868236</v>
      </c>
    </row>
    <row r="14" spans="1:6" x14ac:dyDescent="0.3">
      <c r="A14" s="1" t="s">
        <v>11</v>
      </c>
      <c r="B14" s="2">
        <f t="shared" si="0"/>
        <v>-1314188</v>
      </c>
      <c r="C14" s="2">
        <v>0</v>
      </c>
      <c r="D14" s="2">
        <v>0</v>
      </c>
      <c r="E14" s="2">
        <v>1314188</v>
      </c>
      <c r="F14" s="2">
        <v>1169677</v>
      </c>
    </row>
    <row r="15" spans="1:6" ht="17.25" thickBot="1" x14ac:dyDescent="0.35">
      <c r="A15" s="4" t="s">
        <v>30</v>
      </c>
      <c r="B15" s="5">
        <f>SUM(B3:B14)</f>
        <v>-13738883</v>
      </c>
      <c r="C15" s="5">
        <f t="shared" ref="C15:F15" si="1">SUM(C3:C14)</f>
        <v>0</v>
      </c>
      <c r="D15" s="5">
        <f t="shared" si="1"/>
        <v>0</v>
      </c>
      <c r="E15" s="5">
        <f t="shared" si="1"/>
        <v>13738883</v>
      </c>
      <c r="F15" s="5">
        <f t="shared" si="1"/>
        <v>10404766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-1709325</v>
      </c>
      <c r="C3" s="2">
        <v>0</v>
      </c>
      <c r="D3" s="2">
        <v>0</v>
      </c>
      <c r="E3" s="2">
        <v>1709325</v>
      </c>
      <c r="F3" s="2">
        <v>1270934</v>
      </c>
    </row>
    <row r="4" spans="1:6" x14ac:dyDescent="0.3">
      <c r="A4" s="1" t="s">
        <v>26</v>
      </c>
      <c r="B4" s="2">
        <f t="shared" si="0"/>
        <v>-850089</v>
      </c>
      <c r="C4" s="2">
        <v>0</v>
      </c>
      <c r="D4" s="2">
        <v>0</v>
      </c>
      <c r="E4" s="2">
        <v>850089</v>
      </c>
      <c r="F4" s="2">
        <v>651639</v>
      </c>
    </row>
    <row r="5" spans="1:6" x14ac:dyDescent="0.3">
      <c r="A5" s="1" t="s">
        <v>28</v>
      </c>
      <c r="B5" s="2">
        <f t="shared" si="0"/>
        <v>-979277</v>
      </c>
      <c r="C5" s="2">
        <v>0</v>
      </c>
      <c r="D5" s="2">
        <v>0</v>
      </c>
      <c r="E5" s="2">
        <v>979277</v>
      </c>
      <c r="F5" s="2">
        <v>755039</v>
      </c>
    </row>
    <row r="6" spans="1:6" x14ac:dyDescent="0.3">
      <c r="A6" s="1" t="s">
        <v>3</v>
      </c>
      <c r="B6" s="2">
        <f t="shared" si="0"/>
        <v>-1270910</v>
      </c>
      <c r="C6" s="2">
        <v>0</v>
      </c>
      <c r="D6" s="2">
        <v>0</v>
      </c>
      <c r="E6" s="2">
        <v>1270910</v>
      </c>
      <c r="F6" s="2">
        <v>1015230</v>
      </c>
    </row>
    <row r="7" spans="1:6" x14ac:dyDescent="0.3">
      <c r="A7" s="1" t="s">
        <v>4</v>
      </c>
      <c r="B7" s="2">
        <f t="shared" si="0"/>
        <v>-1066617</v>
      </c>
      <c r="C7" s="2">
        <v>0</v>
      </c>
      <c r="D7" s="2">
        <v>0</v>
      </c>
      <c r="E7" s="2">
        <v>1066617</v>
      </c>
      <c r="F7" s="2">
        <v>894403</v>
      </c>
    </row>
    <row r="8" spans="1:6" x14ac:dyDescent="0.3">
      <c r="A8" s="1" t="s">
        <v>5</v>
      </c>
      <c r="B8" s="2">
        <f t="shared" si="0"/>
        <v>-1163172</v>
      </c>
      <c r="C8" s="2">
        <v>0</v>
      </c>
      <c r="D8" s="2">
        <v>0</v>
      </c>
      <c r="E8" s="2">
        <v>1163172</v>
      </c>
      <c r="F8" s="2">
        <v>993942</v>
      </c>
    </row>
    <row r="9" spans="1:6" x14ac:dyDescent="0.3">
      <c r="A9" s="1" t="s">
        <v>6</v>
      </c>
      <c r="B9" s="2">
        <f t="shared" si="0"/>
        <v>-1574798</v>
      </c>
      <c r="C9" s="2">
        <v>0</v>
      </c>
      <c r="D9" s="2">
        <v>0</v>
      </c>
      <c r="E9" s="2">
        <v>1574798</v>
      </c>
      <c r="F9" s="2">
        <v>1266317</v>
      </c>
    </row>
    <row r="10" spans="1:6" x14ac:dyDescent="0.3">
      <c r="A10" s="1" t="s">
        <v>7</v>
      </c>
      <c r="B10" s="2">
        <f t="shared" si="0"/>
        <v>-1215994</v>
      </c>
      <c r="C10" s="2">
        <v>0</v>
      </c>
      <c r="D10" s="2">
        <v>0</v>
      </c>
      <c r="E10" s="2">
        <v>1215994</v>
      </c>
      <c r="F10" s="2">
        <v>1027968</v>
      </c>
    </row>
    <row r="11" spans="1:6" x14ac:dyDescent="0.3">
      <c r="A11" s="1" t="s">
        <v>8</v>
      </c>
      <c r="B11" s="2">
        <f t="shared" si="0"/>
        <v>-461729</v>
      </c>
      <c r="C11" s="2">
        <v>0</v>
      </c>
      <c r="D11" s="2">
        <v>0</v>
      </c>
      <c r="E11" s="2">
        <v>461729</v>
      </c>
      <c r="F11" s="2">
        <v>371872</v>
      </c>
    </row>
    <row r="12" spans="1:6" x14ac:dyDescent="0.3">
      <c r="A12" s="1" t="s">
        <v>9</v>
      </c>
      <c r="B12" s="2">
        <f t="shared" si="0"/>
        <v>-1207627</v>
      </c>
      <c r="C12" s="2">
        <v>0</v>
      </c>
      <c r="D12" s="2">
        <v>0</v>
      </c>
      <c r="E12" s="2">
        <v>1207627</v>
      </c>
      <c r="F12" s="2">
        <v>1035962</v>
      </c>
    </row>
    <row r="13" spans="1:6" x14ac:dyDescent="0.3">
      <c r="A13" s="1" t="s">
        <v>10</v>
      </c>
      <c r="B13" s="2">
        <f t="shared" si="0"/>
        <v>-1620564</v>
      </c>
      <c r="C13" s="2">
        <v>0</v>
      </c>
      <c r="D13" s="2">
        <v>0</v>
      </c>
      <c r="E13" s="2">
        <v>1620564</v>
      </c>
      <c r="F13" s="2">
        <v>1369241</v>
      </c>
    </row>
    <row r="14" spans="1:6" x14ac:dyDescent="0.3">
      <c r="A14" s="1" t="s">
        <v>11</v>
      </c>
      <c r="B14" s="2">
        <f t="shared" si="0"/>
        <v>-852392</v>
      </c>
      <c r="C14" s="2">
        <v>0</v>
      </c>
      <c r="D14" s="2">
        <v>0</v>
      </c>
      <c r="E14" s="2">
        <v>852392</v>
      </c>
      <c r="F14" s="2">
        <v>775108</v>
      </c>
    </row>
    <row r="15" spans="1:6" ht="17.25" thickBot="1" x14ac:dyDescent="0.35">
      <c r="A15" s="4" t="s">
        <v>30</v>
      </c>
      <c r="B15" s="5">
        <f>SUM(B3:B14)</f>
        <v>-13972494</v>
      </c>
      <c r="C15" s="5">
        <f t="shared" ref="C15:F15" si="1">SUM(C3:C14)</f>
        <v>0</v>
      </c>
      <c r="D15" s="5">
        <f t="shared" si="1"/>
        <v>0</v>
      </c>
      <c r="E15" s="5">
        <f t="shared" si="1"/>
        <v>13972494</v>
      </c>
      <c r="F15" s="5">
        <f t="shared" si="1"/>
        <v>11427655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-1226589</v>
      </c>
      <c r="C3" s="2">
        <v>75383</v>
      </c>
      <c r="D3" s="2">
        <v>83780</v>
      </c>
      <c r="E3" s="2">
        <v>1301972</v>
      </c>
      <c r="F3" s="2">
        <v>1152343</v>
      </c>
    </row>
    <row r="4" spans="1:6" x14ac:dyDescent="0.3">
      <c r="A4" s="1" t="s">
        <v>1</v>
      </c>
      <c r="B4" s="2">
        <f t="shared" si="0"/>
        <v>-855609</v>
      </c>
      <c r="C4" s="2">
        <v>0</v>
      </c>
      <c r="D4" s="2">
        <v>0</v>
      </c>
      <c r="E4" s="2">
        <v>855609</v>
      </c>
      <c r="F4" s="2">
        <v>742948</v>
      </c>
    </row>
    <row r="5" spans="1:6" x14ac:dyDescent="0.3">
      <c r="A5" s="1" t="s">
        <v>2</v>
      </c>
      <c r="B5" s="2">
        <f t="shared" si="0"/>
        <v>-1279026</v>
      </c>
      <c r="C5" s="2">
        <v>0</v>
      </c>
      <c r="D5" s="2">
        <v>0</v>
      </c>
      <c r="E5" s="2">
        <v>1279026</v>
      </c>
      <c r="F5" s="2">
        <v>1133337</v>
      </c>
    </row>
    <row r="6" spans="1:6" x14ac:dyDescent="0.3">
      <c r="A6" s="1" t="s">
        <v>3</v>
      </c>
      <c r="B6" s="2">
        <f t="shared" si="0"/>
        <v>-1078980</v>
      </c>
      <c r="C6" s="2">
        <v>0</v>
      </c>
      <c r="D6" s="2">
        <v>0</v>
      </c>
      <c r="E6" s="2">
        <v>1078980</v>
      </c>
      <c r="F6" s="2">
        <v>969118</v>
      </c>
    </row>
    <row r="7" spans="1:6" x14ac:dyDescent="0.3">
      <c r="A7" s="1" t="s">
        <v>4</v>
      </c>
      <c r="B7" s="2">
        <f t="shared" si="0"/>
        <v>-988004</v>
      </c>
      <c r="C7" s="2">
        <v>0</v>
      </c>
      <c r="D7" s="2">
        <v>0</v>
      </c>
      <c r="E7" s="2">
        <v>988004</v>
      </c>
      <c r="F7" s="2">
        <v>868842</v>
      </c>
    </row>
    <row r="8" spans="1:6" x14ac:dyDescent="0.3">
      <c r="A8" s="1" t="s">
        <v>5</v>
      </c>
      <c r="B8" s="2">
        <f t="shared" si="0"/>
        <v>-1199521</v>
      </c>
      <c r="C8" s="2">
        <v>47117</v>
      </c>
      <c r="D8" s="2">
        <v>40900</v>
      </c>
      <c r="E8" s="2">
        <v>1246638</v>
      </c>
      <c r="F8" s="2">
        <v>1046170</v>
      </c>
    </row>
    <row r="9" spans="1:6" x14ac:dyDescent="0.3">
      <c r="A9" s="1" t="s">
        <v>6</v>
      </c>
      <c r="B9" s="2">
        <f t="shared" si="0"/>
        <v>-1166415</v>
      </c>
      <c r="C9" s="2">
        <v>0</v>
      </c>
      <c r="D9" s="2">
        <v>0</v>
      </c>
      <c r="E9" s="2">
        <v>1166415</v>
      </c>
      <c r="F9" s="2">
        <v>1001856</v>
      </c>
    </row>
    <row r="10" spans="1:6" x14ac:dyDescent="0.3">
      <c r="A10" s="1" t="s">
        <v>7</v>
      </c>
      <c r="B10" s="2">
        <f t="shared" si="0"/>
        <v>-1045369</v>
      </c>
      <c r="C10" s="2">
        <v>0</v>
      </c>
      <c r="D10" s="2">
        <v>0</v>
      </c>
      <c r="E10" s="2">
        <v>1045369</v>
      </c>
      <c r="F10" s="2">
        <v>938245</v>
      </c>
    </row>
    <row r="11" spans="1:6" x14ac:dyDescent="0.3">
      <c r="A11" s="1" t="s">
        <v>8</v>
      </c>
      <c r="B11" s="2">
        <f t="shared" si="0"/>
        <v>-848373</v>
      </c>
      <c r="C11" s="2">
        <v>0</v>
      </c>
      <c r="D11" s="2">
        <v>0</v>
      </c>
      <c r="E11" s="2">
        <v>848373</v>
      </c>
      <c r="F11" s="2">
        <v>613544</v>
      </c>
    </row>
    <row r="12" spans="1:6" x14ac:dyDescent="0.3">
      <c r="A12" s="1" t="s">
        <v>9</v>
      </c>
      <c r="B12" s="2">
        <f t="shared" si="0"/>
        <v>-615833</v>
      </c>
      <c r="C12" s="2">
        <v>0</v>
      </c>
      <c r="D12" s="2">
        <v>0</v>
      </c>
      <c r="E12" s="2">
        <v>615833</v>
      </c>
      <c r="F12" s="2">
        <v>507407</v>
      </c>
    </row>
    <row r="13" spans="1:6" x14ac:dyDescent="0.3">
      <c r="A13" s="1" t="s">
        <v>10</v>
      </c>
      <c r="B13" s="2">
        <f t="shared" si="0"/>
        <v>-987550</v>
      </c>
      <c r="C13" s="2">
        <v>0</v>
      </c>
      <c r="D13" s="2">
        <v>0</v>
      </c>
      <c r="E13" s="2">
        <v>987550</v>
      </c>
      <c r="F13" s="2">
        <v>850021</v>
      </c>
    </row>
    <row r="14" spans="1:6" x14ac:dyDescent="0.3">
      <c r="A14" s="1" t="s">
        <v>11</v>
      </c>
      <c r="B14" s="2">
        <f t="shared" si="0"/>
        <v>-1455849</v>
      </c>
      <c r="C14" s="2">
        <v>0</v>
      </c>
      <c r="D14" s="2">
        <v>0</v>
      </c>
      <c r="E14" s="2">
        <v>1455849</v>
      </c>
      <c r="F14" s="2">
        <v>1193367</v>
      </c>
    </row>
    <row r="15" spans="1:6" ht="17.25" thickBot="1" x14ac:dyDescent="0.35">
      <c r="A15" s="4" t="s">
        <v>13</v>
      </c>
      <c r="B15" s="5">
        <f>SUM(B3:B14)</f>
        <v>-12747118</v>
      </c>
      <c r="C15" s="5">
        <f t="shared" ref="C15" si="1">SUM(C3:C14)</f>
        <v>122500</v>
      </c>
      <c r="D15" s="5">
        <f t="shared" ref="D15" si="2">SUM(D3:D14)</f>
        <v>124680</v>
      </c>
      <c r="E15" s="5">
        <f t="shared" ref="E15:F15" si="3">SUM(E3:E14)</f>
        <v>12869618</v>
      </c>
      <c r="F15" s="5">
        <f t="shared" si="3"/>
        <v>11017198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-1445956</v>
      </c>
      <c r="C3" s="2">
        <v>0</v>
      </c>
      <c r="D3" s="2">
        <v>0</v>
      </c>
      <c r="E3" s="2">
        <v>1445956</v>
      </c>
      <c r="F3" s="2">
        <v>1305995</v>
      </c>
    </row>
    <row r="4" spans="1:6" x14ac:dyDescent="0.3">
      <c r="A4" s="1" t="s">
        <v>1</v>
      </c>
      <c r="B4" s="2">
        <f t="shared" ref="B4:B14" si="0">C4-E4</f>
        <v>-1189520</v>
      </c>
      <c r="C4" s="2">
        <v>0</v>
      </c>
      <c r="D4" s="2">
        <v>0</v>
      </c>
      <c r="E4" s="2">
        <v>1189520</v>
      </c>
      <c r="F4" s="2">
        <v>1054644</v>
      </c>
    </row>
    <row r="5" spans="1:6" x14ac:dyDescent="0.3">
      <c r="A5" s="1" t="s">
        <v>2</v>
      </c>
      <c r="B5" s="2">
        <f t="shared" si="0"/>
        <v>-579977</v>
      </c>
      <c r="C5" s="2">
        <v>0</v>
      </c>
      <c r="D5" s="2">
        <v>0</v>
      </c>
      <c r="E5" s="2">
        <v>579977</v>
      </c>
      <c r="F5" s="2">
        <v>461788</v>
      </c>
    </row>
    <row r="6" spans="1:6" x14ac:dyDescent="0.3">
      <c r="A6" s="1" t="s">
        <v>3</v>
      </c>
      <c r="B6" s="2">
        <f t="shared" si="0"/>
        <v>-532419</v>
      </c>
      <c r="C6" s="2">
        <v>0</v>
      </c>
      <c r="D6" s="2">
        <v>0</v>
      </c>
      <c r="E6" s="2">
        <v>532419</v>
      </c>
      <c r="F6" s="2">
        <v>444370</v>
      </c>
    </row>
    <row r="7" spans="1:6" x14ac:dyDescent="0.3">
      <c r="A7" s="1" t="s">
        <v>4</v>
      </c>
      <c r="B7" s="2">
        <f t="shared" si="0"/>
        <v>-345935</v>
      </c>
      <c r="C7" s="2">
        <v>0</v>
      </c>
      <c r="D7" s="2">
        <v>0</v>
      </c>
      <c r="E7" s="2">
        <v>345935</v>
      </c>
      <c r="F7" s="2">
        <v>291707</v>
      </c>
    </row>
    <row r="8" spans="1:6" x14ac:dyDescent="0.3">
      <c r="A8" s="1" t="s">
        <v>5</v>
      </c>
      <c r="B8" s="2">
        <f t="shared" si="0"/>
        <v>-1806509</v>
      </c>
      <c r="C8" s="2">
        <v>0</v>
      </c>
      <c r="D8" s="2">
        <v>0</v>
      </c>
      <c r="E8" s="2">
        <v>1806509</v>
      </c>
      <c r="F8" s="2">
        <v>1584010</v>
      </c>
    </row>
    <row r="9" spans="1:6" x14ac:dyDescent="0.3">
      <c r="A9" s="1" t="s">
        <v>6</v>
      </c>
      <c r="B9" s="2">
        <f t="shared" si="0"/>
        <v>-1239601</v>
      </c>
      <c r="C9" s="2">
        <v>0</v>
      </c>
      <c r="D9" s="2">
        <v>0</v>
      </c>
      <c r="E9" s="2">
        <v>1239601</v>
      </c>
      <c r="F9" s="2">
        <v>935191</v>
      </c>
    </row>
    <row r="10" spans="1:6" x14ac:dyDescent="0.3">
      <c r="A10" s="1" t="s">
        <v>7</v>
      </c>
      <c r="B10" s="2">
        <f t="shared" si="0"/>
        <v>-1687450</v>
      </c>
      <c r="C10" s="2">
        <v>0</v>
      </c>
      <c r="D10" s="2">
        <v>0</v>
      </c>
      <c r="E10" s="2">
        <v>1687450</v>
      </c>
      <c r="F10" s="2">
        <v>1552223</v>
      </c>
    </row>
    <row r="11" spans="1:6" x14ac:dyDescent="0.3">
      <c r="A11" s="1" t="s">
        <v>8</v>
      </c>
      <c r="B11" s="2">
        <f t="shared" si="0"/>
        <v>-958170</v>
      </c>
      <c r="C11" s="2">
        <v>0</v>
      </c>
      <c r="D11" s="2">
        <v>0</v>
      </c>
      <c r="E11" s="2">
        <v>958170</v>
      </c>
      <c r="F11" s="2">
        <v>824456</v>
      </c>
    </row>
    <row r="12" spans="1:6" x14ac:dyDescent="0.3">
      <c r="A12" s="1" t="s">
        <v>9</v>
      </c>
      <c r="B12" s="2">
        <f t="shared" si="0"/>
        <v>-1473573</v>
      </c>
      <c r="C12" s="2">
        <v>0</v>
      </c>
      <c r="D12" s="2">
        <v>0</v>
      </c>
      <c r="E12" s="2">
        <v>1473573</v>
      </c>
      <c r="F12" s="2">
        <v>1280724</v>
      </c>
    </row>
    <row r="13" spans="1:6" x14ac:dyDescent="0.3">
      <c r="A13" s="1" t="s">
        <v>10</v>
      </c>
      <c r="B13" s="2">
        <f t="shared" si="0"/>
        <v>-1846519</v>
      </c>
      <c r="C13" s="2">
        <v>0</v>
      </c>
      <c r="D13" s="2">
        <v>0</v>
      </c>
      <c r="E13" s="2">
        <v>1846519</v>
      </c>
      <c r="F13" s="2">
        <v>1516400</v>
      </c>
    </row>
    <row r="14" spans="1:6" x14ac:dyDescent="0.3">
      <c r="A14" s="1" t="s">
        <v>11</v>
      </c>
      <c r="B14" s="2">
        <f t="shared" si="0"/>
        <v>-1885557</v>
      </c>
      <c r="C14" s="2">
        <v>0</v>
      </c>
      <c r="D14" s="2">
        <v>0</v>
      </c>
      <c r="E14" s="2">
        <v>1885557</v>
      </c>
      <c r="F14" s="2">
        <v>1486800</v>
      </c>
    </row>
    <row r="15" spans="1:6" ht="17.25" thickBot="1" x14ac:dyDescent="0.35">
      <c r="A15" s="4" t="s">
        <v>13</v>
      </c>
      <c r="B15" s="5">
        <f>SUM(B3:B14)</f>
        <v>-14991186</v>
      </c>
      <c r="C15" s="5">
        <f t="shared" ref="C15:F15" si="1">SUM(C3:C14)</f>
        <v>0</v>
      </c>
      <c r="D15" s="5">
        <f t="shared" si="1"/>
        <v>0</v>
      </c>
      <c r="E15" s="5">
        <f t="shared" si="1"/>
        <v>14991186</v>
      </c>
      <c r="F15" s="5">
        <f t="shared" si="1"/>
        <v>12738308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-1653995</v>
      </c>
      <c r="C3" s="2">
        <v>0</v>
      </c>
      <c r="D3" s="2">
        <v>0</v>
      </c>
      <c r="E3" s="2">
        <v>1653995</v>
      </c>
      <c r="F3" s="2">
        <v>1413101</v>
      </c>
    </row>
    <row r="4" spans="1:6" x14ac:dyDescent="0.3">
      <c r="A4" s="1" t="s">
        <v>1</v>
      </c>
      <c r="B4" s="2">
        <f t="shared" si="0"/>
        <v>-1065359</v>
      </c>
      <c r="C4" s="2">
        <v>0</v>
      </c>
      <c r="D4" s="2">
        <v>0</v>
      </c>
      <c r="E4" s="2">
        <v>1065359</v>
      </c>
      <c r="F4" s="2">
        <v>909509</v>
      </c>
    </row>
    <row r="5" spans="1:6" x14ac:dyDescent="0.3">
      <c r="A5" s="1" t="s">
        <v>2</v>
      </c>
      <c r="B5" s="2">
        <f t="shared" si="0"/>
        <v>-1358855</v>
      </c>
      <c r="C5" s="2">
        <v>0</v>
      </c>
      <c r="D5" s="2">
        <v>0</v>
      </c>
      <c r="E5" s="2">
        <v>1358855</v>
      </c>
      <c r="F5" s="2">
        <v>1193887</v>
      </c>
    </row>
    <row r="6" spans="1:6" x14ac:dyDescent="0.3">
      <c r="A6" s="1" t="s">
        <v>3</v>
      </c>
      <c r="B6" s="2">
        <f t="shared" si="0"/>
        <v>-822508</v>
      </c>
      <c r="C6" s="2">
        <v>0</v>
      </c>
      <c r="D6" s="2">
        <v>0</v>
      </c>
      <c r="E6" s="2">
        <v>822508</v>
      </c>
      <c r="F6" s="2">
        <v>726834</v>
      </c>
    </row>
    <row r="7" spans="1:6" x14ac:dyDescent="0.3">
      <c r="A7" s="1" t="s">
        <v>4</v>
      </c>
      <c r="B7" s="2">
        <f t="shared" si="0"/>
        <v>-925173</v>
      </c>
      <c r="C7" s="2">
        <v>0</v>
      </c>
      <c r="D7" s="2">
        <v>0</v>
      </c>
      <c r="E7" s="2">
        <v>925173</v>
      </c>
      <c r="F7" s="2">
        <v>767856</v>
      </c>
    </row>
    <row r="8" spans="1:6" x14ac:dyDescent="0.3">
      <c r="A8" s="1" t="s">
        <v>5</v>
      </c>
      <c r="B8" s="2">
        <f t="shared" si="0"/>
        <v>-806063</v>
      </c>
      <c r="C8" s="2">
        <v>0</v>
      </c>
      <c r="D8" s="2">
        <v>0</v>
      </c>
      <c r="E8" s="2">
        <v>806063</v>
      </c>
      <c r="F8" s="2">
        <v>710291</v>
      </c>
    </row>
    <row r="9" spans="1:6" x14ac:dyDescent="0.3">
      <c r="A9" s="1" t="s">
        <v>6</v>
      </c>
      <c r="B9" s="2">
        <f t="shared" si="0"/>
        <v>-1148327</v>
      </c>
      <c r="C9" s="2">
        <v>0</v>
      </c>
      <c r="D9" s="2">
        <v>0</v>
      </c>
      <c r="E9" s="2">
        <v>1148327</v>
      </c>
      <c r="F9" s="2">
        <v>806716</v>
      </c>
    </row>
    <row r="10" spans="1:6" x14ac:dyDescent="0.3">
      <c r="A10" s="1" t="s">
        <v>7</v>
      </c>
      <c r="B10" s="2">
        <f t="shared" si="0"/>
        <v>-1723737</v>
      </c>
      <c r="C10" s="2">
        <v>0</v>
      </c>
      <c r="D10" s="2">
        <v>0</v>
      </c>
      <c r="E10" s="2">
        <v>1723737</v>
      </c>
      <c r="F10" s="2">
        <v>1420139</v>
      </c>
    </row>
    <row r="11" spans="1:6" x14ac:dyDescent="0.3">
      <c r="A11" s="1" t="s">
        <v>8</v>
      </c>
      <c r="B11" s="2">
        <f t="shared" si="0"/>
        <v>-1008724</v>
      </c>
      <c r="C11" s="2">
        <v>0</v>
      </c>
      <c r="D11" s="2">
        <v>0</v>
      </c>
      <c r="E11" s="2">
        <v>1008724</v>
      </c>
      <c r="F11" s="2">
        <v>880118</v>
      </c>
    </row>
    <row r="12" spans="1:6" x14ac:dyDescent="0.3">
      <c r="A12" s="1" t="s">
        <v>9</v>
      </c>
      <c r="B12" s="2">
        <f t="shared" si="0"/>
        <v>-1522500</v>
      </c>
      <c r="C12" s="2">
        <v>0</v>
      </c>
      <c r="D12" s="2">
        <v>0</v>
      </c>
      <c r="E12" s="2">
        <v>1522500</v>
      </c>
      <c r="F12" s="2">
        <v>1233963</v>
      </c>
    </row>
    <row r="13" spans="1:6" x14ac:dyDescent="0.3">
      <c r="A13" s="1" t="s">
        <v>10</v>
      </c>
      <c r="B13" s="2">
        <f t="shared" si="0"/>
        <v>-817189</v>
      </c>
      <c r="C13" s="2">
        <v>0</v>
      </c>
      <c r="D13" s="2">
        <v>0</v>
      </c>
      <c r="E13" s="2">
        <v>817189</v>
      </c>
      <c r="F13" s="2">
        <v>607099</v>
      </c>
    </row>
    <row r="14" spans="1:6" x14ac:dyDescent="0.3">
      <c r="A14" s="1" t="s">
        <v>11</v>
      </c>
      <c r="B14" s="2">
        <f t="shared" si="0"/>
        <v>-1808343</v>
      </c>
      <c r="C14" s="2">
        <v>0</v>
      </c>
      <c r="D14" s="2">
        <v>0</v>
      </c>
      <c r="E14" s="2">
        <v>1808343</v>
      </c>
      <c r="F14" s="2">
        <v>1791024</v>
      </c>
    </row>
    <row r="15" spans="1:6" ht="17.25" thickBot="1" x14ac:dyDescent="0.35">
      <c r="A15" s="4" t="s">
        <v>13</v>
      </c>
      <c r="B15" s="5">
        <f>SUM(B3:B14)</f>
        <v>-14660773</v>
      </c>
      <c r="C15" s="5">
        <f t="shared" ref="C15:F15" si="1">SUM(C3:C14)</f>
        <v>0</v>
      </c>
      <c r="D15" s="5">
        <f t="shared" si="1"/>
        <v>0</v>
      </c>
      <c r="E15" s="5">
        <f t="shared" si="1"/>
        <v>14660773</v>
      </c>
      <c r="F15" s="5">
        <f t="shared" si="1"/>
        <v>12460537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-807661</v>
      </c>
      <c r="C3" s="2">
        <v>0</v>
      </c>
      <c r="D3" s="2">
        <v>0</v>
      </c>
      <c r="E3" s="2">
        <v>807661</v>
      </c>
      <c r="F3" s="2">
        <v>655480</v>
      </c>
    </row>
    <row r="4" spans="1:6" x14ac:dyDescent="0.3">
      <c r="A4" s="1" t="s">
        <v>1</v>
      </c>
      <c r="B4" s="2">
        <f t="shared" si="0"/>
        <v>-295228</v>
      </c>
      <c r="C4" s="2">
        <v>9985</v>
      </c>
      <c r="D4" s="2">
        <v>7179</v>
      </c>
      <c r="E4" s="2">
        <v>305213</v>
      </c>
      <c r="F4" s="2">
        <v>315352</v>
      </c>
    </row>
    <row r="5" spans="1:6" x14ac:dyDescent="0.3">
      <c r="A5" s="1" t="s">
        <v>2</v>
      </c>
      <c r="B5" s="2">
        <f t="shared" si="0"/>
        <v>-1206629</v>
      </c>
      <c r="C5" s="2">
        <v>0</v>
      </c>
      <c r="D5" s="2">
        <v>0</v>
      </c>
      <c r="E5" s="2">
        <v>1206629</v>
      </c>
      <c r="F5" s="2">
        <v>1017503</v>
      </c>
    </row>
    <row r="6" spans="1:6" x14ac:dyDescent="0.3">
      <c r="A6" s="1" t="s">
        <v>3</v>
      </c>
      <c r="B6" s="2">
        <f t="shared" si="0"/>
        <v>-1205958</v>
      </c>
      <c r="C6" s="2">
        <v>0</v>
      </c>
      <c r="D6" s="2">
        <v>0</v>
      </c>
      <c r="E6" s="2">
        <v>1205958</v>
      </c>
      <c r="F6" s="2">
        <v>1047032</v>
      </c>
    </row>
    <row r="7" spans="1:6" x14ac:dyDescent="0.3">
      <c r="A7" s="1" t="s">
        <v>4</v>
      </c>
      <c r="B7" s="2">
        <f t="shared" si="0"/>
        <v>-1278597</v>
      </c>
      <c r="C7" s="2">
        <v>0</v>
      </c>
      <c r="D7" s="2">
        <v>0</v>
      </c>
      <c r="E7" s="2">
        <v>1278597</v>
      </c>
      <c r="F7" s="2">
        <v>1178922</v>
      </c>
    </row>
    <row r="8" spans="1:6" x14ac:dyDescent="0.3">
      <c r="A8" s="1" t="s">
        <v>5</v>
      </c>
      <c r="B8" s="2">
        <f t="shared" si="0"/>
        <v>-742356</v>
      </c>
      <c r="C8" s="2">
        <v>0</v>
      </c>
      <c r="D8" s="2">
        <v>0</v>
      </c>
      <c r="E8" s="2">
        <v>742356</v>
      </c>
      <c r="F8" s="2">
        <v>609541</v>
      </c>
    </row>
    <row r="9" spans="1:6" x14ac:dyDescent="0.3">
      <c r="A9" s="1" t="s">
        <v>6</v>
      </c>
      <c r="B9" s="2">
        <f t="shared" si="0"/>
        <v>-1018255</v>
      </c>
      <c r="C9" s="2">
        <v>0</v>
      </c>
      <c r="D9" s="2">
        <v>0</v>
      </c>
      <c r="E9" s="2">
        <v>1018255</v>
      </c>
      <c r="F9" s="2">
        <v>823616</v>
      </c>
    </row>
    <row r="10" spans="1:6" x14ac:dyDescent="0.3">
      <c r="A10" s="1" t="s">
        <v>7</v>
      </c>
      <c r="B10" s="2">
        <f t="shared" si="0"/>
        <v>-1129425</v>
      </c>
      <c r="C10" s="2">
        <v>0</v>
      </c>
      <c r="D10" s="2">
        <v>0</v>
      </c>
      <c r="E10" s="2">
        <v>1129425</v>
      </c>
      <c r="F10" s="2">
        <v>935438</v>
      </c>
    </row>
    <row r="11" spans="1:6" x14ac:dyDescent="0.3">
      <c r="A11" s="1" t="s">
        <v>8</v>
      </c>
      <c r="B11" s="2">
        <f t="shared" si="0"/>
        <v>-670217</v>
      </c>
      <c r="C11" s="2">
        <v>0</v>
      </c>
      <c r="D11" s="2">
        <v>0</v>
      </c>
      <c r="E11" s="2">
        <v>670217</v>
      </c>
      <c r="F11" s="2">
        <v>558468</v>
      </c>
    </row>
    <row r="12" spans="1:6" x14ac:dyDescent="0.3">
      <c r="A12" s="1" t="s">
        <v>9</v>
      </c>
      <c r="B12" s="2">
        <f t="shared" si="0"/>
        <v>-1582930</v>
      </c>
      <c r="C12" s="2">
        <v>0</v>
      </c>
      <c r="D12" s="2">
        <v>0</v>
      </c>
      <c r="E12" s="2">
        <v>1582930</v>
      </c>
      <c r="F12" s="2">
        <v>1376731</v>
      </c>
    </row>
    <row r="13" spans="1:6" x14ac:dyDescent="0.3">
      <c r="A13" s="1" t="s">
        <v>10</v>
      </c>
      <c r="B13" s="2">
        <f t="shared" si="0"/>
        <v>-1102833</v>
      </c>
      <c r="C13" s="2">
        <v>0</v>
      </c>
      <c r="D13" s="2">
        <v>0</v>
      </c>
      <c r="E13" s="2">
        <v>1102833</v>
      </c>
      <c r="F13" s="2">
        <v>887348</v>
      </c>
    </row>
    <row r="14" spans="1:6" x14ac:dyDescent="0.3">
      <c r="A14" s="1" t="s">
        <v>11</v>
      </c>
      <c r="B14" s="2">
        <f t="shared" si="0"/>
        <v>-2058739</v>
      </c>
      <c r="C14" s="2">
        <v>0</v>
      </c>
      <c r="D14" s="2">
        <v>0</v>
      </c>
      <c r="E14" s="2">
        <v>2058739</v>
      </c>
      <c r="F14" s="2">
        <v>1650316</v>
      </c>
    </row>
    <row r="15" spans="1:6" ht="17.25" thickBot="1" x14ac:dyDescent="0.35">
      <c r="A15" s="4" t="s">
        <v>13</v>
      </c>
      <c r="B15" s="5">
        <f>SUM(B3:B14)</f>
        <v>-13098828</v>
      </c>
      <c r="C15" s="5">
        <f t="shared" ref="C15:F15" si="1">SUM(C3:C14)</f>
        <v>9985</v>
      </c>
      <c r="D15" s="5">
        <f t="shared" si="1"/>
        <v>7179</v>
      </c>
      <c r="E15" s="5">
        <f t="shared" si="1"/>
        <v>13108813</v>
      </c>
      <c r="F15" s="5">
        <f t="shared" si="1"/>
        <v>11055747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-1202244</v>
      </c>
      <c r="C3" s="2">
        <v>0</v>
      </c>
      <c r="D3" s="2">
        <v>0</v>
      </c>
      <c r="E3" s="2">
        <v>1202244</v>
      </c>
      <c r="F3" s="2">
        <v>864923</v>
      </c>
    </row>
    <row r="4" spans="1:6" x14ac:dyDescent="0.3">
      <c r="A4" s="1" t="s">
        <v>1</v>
      </c>
      <c r="B4" s="2">
        <f t="shared" si="0"/>
        <v>-1398516</v>
      </c>
      <c r="C4" s="2">
        <v>0</v>
      </c>
      <c r="D4" s="2">
        <v>0</v>
      </c>
      <c r="E4" s="2">
        <v>1398516</v>
      </c>
      <c r="F4" s="2">
        <v>1147182</v>
      </c>
    </row>
    <row r="5" spans="1:6" x14ac:dyDescent="0.3">
      <c r="A5" s="1" t="s">
        <v>2</v>
      </c>
      <c r="B5" s="2">
        <f t="shared" si="0"/>
        <v>-663324</v>
      </c>
      <c r="C5" s="2">
        <v>0</v>
      </c>
      <c r="D5" s="2">
        <v>0</v>
      </c>
      <c r="E5" s="2">
        <v>663324</v>
      </c>
      <c r="F5" s="2">
        <v>536809</v>
      </c>
    </row>
    <row r="6" spans="1:6" x14ac:dyDescent="0.3">
      <c r="A6" s="1" t="s">
        <v>3</v>
      </c>
      <c r="B6" s="2">
        <f t="shared" si="0"/>
        <v>-990805</v>
      </c>
      <c r="C6" s="2">
        <v>0</v>
      </c>
      <c r="D6" s="2">
        <v>0</v>
      </c>
      <c r="E6" s="2">
        <v>990805</v>
      </c>
      <c r="F6" s="2">
        <v>756790</v>
      </c>
    </row>
    <row r="7" spans="1:6" x14ac:dyDescent="0.3">
      <c r="A7" s="1" t="s">
        <v>4</v>
      </c>
      <c r="B7" s="2">
        <f t="shared" si="0"/>
        <v>-1914921</v>
      </c>
      <c r="C7" s="2">
        <v>0</v>
      </c>
      <c r="D7" s="2">
        <v>0</v>
      </c>
      <c r="E7" s="2">
        <v>1914921</v>
      </c>
      <c r="F7" s="2">
        <v>1296898</v>
      </c>
    </row>
    <row r="8" spans="1:6" x14ac:dyDescent="0.3">
      <c r="A8" s="1" t="s">
        <v>5</v>
      </c>
      <c r="B8" s="2">
        <f t="shared" si="0"/>
        <v>-1068573</v>
      </c>
      <c r="C8" s="2">
        <v>0</v>
      </c>
      <c r="D8" s="2">
        <v>0</v>
      </c>
      <c r="E8" s="2">
        <v>1068573</v>
      </c>
      <c r="F8" s="2">
        <v>753690</v>
      </c>
    </row>
    <row r="9" spans="1:6" x14ac:dyDescent="0.3">
      <c r="A9" s="1" t="s">
        <v>6</v>
      </c>
      <c r="B9" s="2">
        <f t="shared" si="0"/>
        <v>-1436418</v>
      </c>
      <c r="C9" s="2">
        <v>0</v>
      </c>
      <c r="D9" s="2">
        <v>0</v>
      </c>
      <c r="E9" s="2">
        <v>1436418</v>
      </c>
      <c r="F9" s="2">
        <v>906268</v>
      </c>
    </row>
    <row r="10" spans="1:6" x14ac:dyDescent="0.3">
      <c r="A10" s="1" t="s">
        <v>7</v>
      </c>
      <c r="B10" s="2">
        <f t="shared" si="0"/>
        <v>-1109361</v>
      </c>
      <c r="C10" s="2">
        <v>0</v>
      </c>
      <c r="D10" s="2">
        <v>0</v>
      </c>
      <c r="E10" s="2">
        <v>1109361</v>
      </c>
      <c r="F10" s="2">
        <v>699436</v>
      </c>
    </row>
    <row r="11" spans="1:6" x14ac:dyDescent="0.3">
      <c r="A11" s="1" t="s">
        <v>8</v>
      </c>
      <c r="B11" s="2">
        <f t="shared" si="0"/>
        <v>-419351</v>
      </c>
      <c r="C11" s="2">
        <v>0</v>
      </c>
      <c r="D11" s="2">
        <v>0</v>
      </c>
      <c r="E11" s="2">
        <v>419351</v>
      </c>
      <c r="F11" s="2">
        <v>272794</v>
      </c>
    </row>
    <row r="12" spans="1:6" x14ac:dyDescent="0.3">
      <c r="A12" s="1" t="s">
        <v>9</v>
      </c>
      <c r="B12" s="2">
        <f t="shared" si="0"/>
        <v>-1341916</v>
      </c>
      <c r="C12" s="2">
        <v>0</v>
      </c>
      <c r="D12" s="2">
        <v>0</v>
      </c>
      <c r="E12" s="2">
        <v>1341916</v>
      </c>
      <c r="F12" s="2">
        <v>725256</v>
      </c>
    </row>
    <row r="13" spans="1:6" x14ac:dyDescent="0.3">
      <c r="A13" s="1" t="s">
        <v>10</v>
      </c>
      <c r="B13" s="2">
        <f t="shared" si="0"/>
        <v>-882931</v>
      </c>
      <c r="C13" s="2">
        <v>0</v>
      </c>
      <c r="D13" s="2">
        <v>0</v>
      </c>
      <c r="E13" s="2">
        <v>882931</v>
      </c>
      <c r="F13" s="2">
        <v>528545</v>
      </c>
    </row>
    <row r="14" spans="1:6" x14ac:dyDescent="0.3">
      <c r="A14" s="1" t="s">
        <v>11</v>
      </c>
      <c r="B14" s="2">
        <f t="shared" si="0"/>
        <v>-1983574</v>
      </c>
      <c r="C14" s="2">
        <v>0</v>
      </c>
      <c r="D14" s="2">
        <v>0</v>
      </c>
      <c r="E14" s="2">
        <v>1983574</v>
      </c>
      <c r="F14" s="2">
        <v>1145017</v>
      </c>
    </row>
    <row r="15" spans="1:6" ht="17.25" thickBot="1" x14ac:dyDescent="0.35">
      <c r="A15" s="4" t="s">
        <v>13</v>
      </c>
      <c r="B15" s="5">
        <f>SUM(B3:B14)</f>
        <v>-14411934</v>
      </c>
      <c r="C15" s="5">
        <f t="shared" ref="C15:F15" si="1">SUM(C3:C14)</f>
        <v>0</v>
      </c>
      <c r="D15" s="5">
        <f t="shared" si="1"/>
        <v>0</v>
      </c>
      <c r="E15" s="5">
        <f t="shared" si="1"/>
        <v>14411934</v>
      </c>
      <c r="F15" s="5">
        <f t="shared" si="1"/>
        <v>9633608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-2349546</v>
      </c>
      <c r="C3" s="2">
        <v>0</v>
      </c>
      <c r="D3" s="2">
        <v>0</v>
      </c>
      <c r="E3" s="2">
        <v>2349546</v>
      </c>
      <c r="F3" s="2">
        <v>1332882</v>
      </c>
    </row>
    <row r="4" spans="1:6" x14ac:dyDescent="0.3">
      <c r="A4" s="1" t="s">
        <v>1</v>
      </c>
      <c r="B4" s="2">
        <f t="shared" si="0"/>
        <v>-2171898</v>
      </c>
      <c r="C4" s="2">
        <v>0</v>
      </c>
      <c r="D4" s="2">
        <v>0</v>
      </c>
      <c r="E4" s="2">
        <v>2171898</v>
      </c>
      <c r="F4" s="2">
        <v>1269729</v>
      </c>
    </row>
    <row r="5" spans="1:6" x14ac:dyDescent="0.3">
      <c r="A5" s="1" t="s">
        <v>2</v>
      </c>
      <c r="B5" s="2">
        <f t="shared" si="0"/>
        <v>-1360980</v>
      </c>
      <c r="C5" s="2">
        <v>0</v>
      </c>
      <c r="D5" s="2">
        <v>0</v>
      </c>
      <c r="E5" s="2">
        <v>1360980</v>
      </c>
      <c r="F5" s="2">
        <v>759499</v>
      </c>
    </row>
    <row r="6" spans="1:6" x14ac:dyDescent="0.3">
      <c r="A6" s="1" t="s">
        <v>3</v>
      </c>
      <c r="B6" s="2">
        <f t="shared" si="0"/>
        <v>-2158019</v>
      </c>
      <c r="C6" s="2">
        <v>0</v>
      </c>
      <c r="D6" s="2">
        <v>0</v>
      </c>
      <c r="E6" s="2">
        <v>2158019</v>
      </c>
      <c r="F6" s="2">
        <v>1128669</v>
      </c>
    </row>
    <row r="7" spans="1:6" x14ac:dyDescent="0.3">
      <c r="A7" s="1" t="s">
        <v>4</v>
      </c>
      <c r="B7" s="2">
        <f t="shared" si="0"/>
        <v>-2963048</v>
      </c>
      <c r="C7" s="2">
        <v>0</v>
      </c>
      <c r="D7" s="2">
        <v>0</v>
      </c>
      <c r="E7" s="2">
        <v>2963048</v>
      </c>
      <c r="F7" s="2">
        <v>1474645</v>
      </c>
    </row>
    <row r="8" spans="1:6" x14ac:dyDescent="0.3">
      <c r="A8" s="1" t="s">
        <v>5</v>
      </c>
      <c r="B8" s="2">
        <f t="shared" si="0"/>
        <v>-1155752</v>
      </c>
      <c r="C8" s="2">
        <v>0</v>
      </c>
      <c r="D8" s="2">
        <v>0</v>
      </c>
      <c r="E8" s="2">
        <v>1155752</v>
      </c>
      <c r="F8" s="2">
        <v>591274</v>
      </c>
    </row>
    <row r="9" spans="1:6" x14ac:dyDescent="0.3">
      <c r="A9" s="1" t="s">
        <v>6</v>
      </c>
      <c r="B9" s="2">
        <f t="shared" si="0"/>
        <v>-2573674</v>
      </c>
      <c r="C9" s="2">
        <v>0</v>
      </c>
      <c r="D9" s="2">
        <v>0</v>
      </c>
      <c r="E9" s="2">
        <v>2573674</v>
      </c>
      <c r="F9" s="2">
        <v>1060314</v>
      </c>
    </row>
    <row r="10" spans="1:6" x14ac:dyDescent="0.3">
      <c r="A10" s="1" t="s">
        <v>7</v>
      </c>
      <c r="B10" s="2">
        <f t="shared" si="0"/>
        <v>-1041137</v>
      </c>
      <c r="C10" s="2">
        <v>0</v>
      </c>
      <c r="D10" s="2">
        <v>0</v>
      </c>
      <c r="E10" s="2">
        <v>1041137</v>
      </c>
      <c r="F10" s="2">
        <v>332867</v>
      </c>
    </row>
    <row r="11" spans="1:6" x14ac:dyDescent="0.3">
      <c r="A11" s="1" t="s">
        <v>8</v>
      </c>
      <c r="B11" s="2">
        <f t="shared" si="0"/>
        <v>-1950222</v>
      </c>
      <c r="C11" s="2">
        <v>0</v>
      </c>
      <c r="D11" s="2">
        <v>0</v>
      </c>
      <c r="E11" s="2">
        <v>1950222</v>
      </c>
      <c r="F11" s="2">
        <v>768421</v>
      </c>
    </row>
    <row r="12" spans="1:6" x14ac:dyDescent="0.3">
      <c r="A12" s="1" t="s">
        <v>9</v>
      </c>
      <c r="B12" s="2">
        <f t="shared" si="0"/>
        <v>-3835220</v>
      </c>
      <c r="C12" s="2">
        <v>0</v>
      </c>
      <c r="D12" s="2">
        <v>0</v>
      </c>
      <c r="E12" s="2">
        <v>3835220</v>
      </c>
      <c r="F12" s="2">
        <v>1173124</v>
      </c>
    </row>
    <row r="13" spans="1:6" x14ac:dyDescent="0.3">
      <c r="A13" s="1" t="s">
        <v>10</v>
      </c>
      <c r="B13" s="2">
        <f t="shared" si="0"/>
        <v>-629264</v>
      </c>
      <c r="C13" s="2">
        <v>0</v>
      </c>
      <c r="D13" s="2">
        <v>0</v>
      </c>
      <c r="E13" s="2">
        <v>629264</v>
      </c>
      <c r="F13" s="2">
        <v>234806</v>
      </c>
    </row>
    <row r="14" spans="1:6" x14ac:dyDescent="0.3">
      <c r="A14" s="1" t="s">
        <v>11</v>
      </c>
      <c r="B14" s="2">
        <f t="shared" si="0"/>
        <v>-753778</v>
      </c>
      <c r="C14" s="2">
        <v>0</v>
      </c>
      <c r="D14" s="2">
        <v>0</v>
      </c>
      <c r="E14" s="2">
        <v>753778</v>
      </c>
      <c r="F14" s="2">
        <v>342056</v>
      </c>
    </row>
    <row r="15" spans="1:6" ht="17.25" thickBot="1" x14ac:dyDescent="0.35">
      <c r="A15" s="4" t="s">
        <v>13</v>
      </c>
      <c r="B15" s="5">
        <f>SUM(B3:B14)</f>
        <v>-22942538</v>
      </c>
      <c r="C15" s="5">
        <f t="shared" ref="C15:F15" si="1">SUM(C3:C14)</f>
        <v>0</v>
      </c>
      <c r="D15" s="5">
        <f t="shared" si="1"/>
        <v>0</v>
      </c>
      <c r="E15" s="5">
        <f t="shared" si="1"/>
        <v>22942538</v>
      </c>
      <c r="F15" s="5">
        <f t="shared" si="1"/>
        <v>10468286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-1219153</v>
      </c>
      <c r="C3" s="2">
        <v>0</v>
      </c>
      <c r="D3" s="2">
        <v>0</v>
      </c>
      <c r="E3" s="2">
        <v>1219153</v>
      </c>
      <c r="F3" s="2">
        <v>498325</v>
      </c>
    </row>
    <row r="4" spans="1:6" x14ac:dyDescent="0.3">
      <c r="A4" s="1" t="s">
        <v>1</v>
      </c>
      <c r="B4" s="2">
        <f t="shared" si="0"/>
        <v>-78637</v>
      </c>
      <c r="C4" s="2">
        <v>0</v>
      </c>
      <c r="D4" s="2">
        <v>0</v>
      </c>
      <c r="E4" s="2">
        <v>78637</v>
      </c>
      <c r="F4" s="2">
        <v>16615</v>
      </c>
    </row>
    <row r="5" spans="1:6" x14ac:dyDescent="0.3">
      <c r="A5" s="1" t="s">
        <v>2</v>
      </c>
      <c r="B5" s="2">
        <f t="shared" si="0"/>
        <v>-1321803</v>
      </c>
      <c r="C5" s="2">
        <v>0</v>
      </c>
      <c r="D5" s="2">
        <v>0</v>
      </c>
      <c r="E5" s="2">
        <v>1321803</v>
      </c>
      <c r="F5" s="2">
        <v>639442</v>
      </c>
    </row>
    <row r="6" spans="1:6" x14ac:dyDescent="0.3">
      <c r="A6" s="1" t="s">
        <v>3</v>
      </c>
      <c r="B6" s="2">
        <f t="shared" si="0"/>
        <v>-923527</v>
      </c>
      <c r="C6" s="2">
        <v>0</v>
      </c>
      <c r="D6" s="2">
        <v>0</v>
      </c>
      <c r="E6" s="2">
        <v>923527</v>
      </c>
      <c r="F6" s="2">
        <v>451012</v>
      </c>
    </row>
    <row r="7" spans="1:6" x14ac:dyDescent="0.3">
      <c r="A7" s="1" t="s">
        <v>4</v>
      </c>
      <c r="B7" s="2">
        <f t="shared" si="0"/>
        <v>-504479</v>
      </c>
      <c r="C7" s="2">
        <v>0</v>
      </c>
      <c r="D7" s="2">
        <v>0</v>
      </c>
      <c r="E7" s="2">
        <v>504479</v>
      </c>
      <c r="F7" s="2">
        <v>240078</v>
      </c>
    </row>
    <row r="8" spans="1:6" x14ac:dyDescent="0.3">
      <c r="A8" s="1" t="s">
        <v>5</v>
      </c>
      <c r="B8" s="2">
        <f t="shared" si="0"/>
        <v>-1257569</v>
      </c>
      <c r="C8" s="2">
        <v>0</v>
      </c>
      <c r="D8" s="2">
        <v>0</v>
      </c>
      <c r="E8" s="2">
        <v>1257569</v>
      </c>
      <c r="F8" s="2">
        <v>578115</v>
      </c>
    </row>
    <row r="9" spans="1:6" x14ac:dyDescent="0.3">
      <c r="A9" s="1" t="s">
        <v>6</v>
      </c>
      <c r="B9" s="2">
        <f t="shared" si="0"/>
        <v>-1512478</v>
      </c>
      <c r="C9" s="2">
        <v>0</v>
      </c>
      <c r="D9" s="2">
        <v>0</v>
      </c>
      <c r="E9" s="2">
        <v>1512478</v>
      </c>
      <c r="F9" s="2">
        <v>853609</v>
      </c>
    </row>
    <row r="10" spans="1:6" x14ac:dyDescent="0.3">
      <c r="A10" s="1" t="s">
        <v>7</v>
      </c>
      <c r="B10" s="2">
        <f t="shared" si="0"/>
        <v>-1866053</v>
      </c>
      <c r="C10" s="2">
        <v>0</v>
      </c>
      <c r="D10" s="2">
        <v>0</v>
      </c>
      <c r="E10" s="2">
        <v>1866053</v>
      </c>
      <c r="F10" s="2">
        <v>1119224</v>
      </c>
    </row>
    <row r="11" spans="1:6" x14ac:dyDescent="0.3">
      <c r="A11" s="1" t="s">
        <v>8</v>
      </c>
      <c r="B11" s="2">
        <f t="shared" si="0"/>
        <v>-2156243</v>
      </c>
      <c r="C11" s="2">
        <v>0</v>
      </c>
      <c r="D11" s="2">
        <v>0</v>
      </c>
      <c r="E11" s="2">
        <v>2156243</v>
      </c>
      <c r="F11" s="2">
        <v>1247003</v>
      </c>
    </row>
    <row r="12" spans="1:6" x14ac:dyDescent="0.3">
      <c r="A12" s="1" t="s">
        <v>9</v>
      </c>
      <c r="B12" s="2">
        <f t="shared" si="0"/>
        <v>-723872</v>
      </c>
      <c r="C12" s="2">
        <v>0</v>
      </c>
      <c r="D12" s="2">
        <v>0</v>
      </c>
      <c r="E12" s="2">
        <v>723872</v>
      </c>
      <c r="F12" s="2">
        <v>418070</v>
      </c>
    </row>
    <row r="13" spans="1:6" x14ac:dyDescent="0.3">
      <c r="A13" s="1" t="s">
        <v>10</v>
      </c>
      <c r="B13" s="2">
        <f t="shared" si="0"/>
        <v>-1882945</v>
      </c>
      <c r="C13" s="2">
        <v>0</v>
      </c>
      <c r="D13" s="2">
        <v>0</v>
      </c>
      <c r="E13" s="2">
        <v>1882945</v>
      </c>
      <c r="F13" s="2">
        <v>1045130</v>
      </c>
    </row>
    <row r="14" spans="1:6" x14ac:dyDescent="0.3">
      <c r="A14" s="1" t="s">
        <v>11</v>
      </c>
      <c r="B14" s="2">
        <f t="shared" si="0"/>
        <v>-1647703</v>
      </c>
      <c r="C14" s="2">
        <v>0</v>
      </c>
      <c r="D14" s="2">
        <v>0</v>
      </c>
      <c r="E14" s="2">
        <v>1647703</v>
      </c>
      <c r="F14" s="2">
        <v>947516</v>
      </c>
    </row>
    <row r="15" spans="1:6" ht="17.25" thickBot="1" x14ac:dyDescent="0.35">
      <c r="A15" s="4" t="s">
        <v>13</v>
      </c>
      <c r="B15" s="5">
        <f>SUM(B3:B14)</f>
        <v>-15094462</v>
      </c>
      <c r="C15" s="5">
        <f t="shared" ref="C15:F15" si="1">SUM(C3:C14)</f>
        <v>0</v>
      </c>
      <c r="D15" s="5">
        <f t="shared" si="1"/>
        <v>0</v>
      </c>
      <c r="E15" s="5">
        <f t="shared" si="1"/>
        <v>15094462</v>
      </c>
      <c r="F15" s="5">
        <f t="shared" si="1"/>
        <v>8054139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-1210499</v>
      </c>
      <c r="C3" s="2">
        <v>0</v>
      </c>
      <c r="D3" s="2">
        <v>0</v>
      </c>
      <c r="E3" s="2">
        <v>1210499</v>
      </c>
      <c r="F3" s="2">
        <v>619646</v>
      </c>
    </row>
    <row r="4" spans="1:6" x14ac:dyDescent="0.3">
      <c r="A4" s="1" t="s">
        <v>1</v>
      </c>
      <c r="B4" s="2">
        <f t="shared" si="0"/>
        <v>-507285</v>
      </c>
      <c r="C4" s="2">
        <v>0</v>
      </c>
      <c r="D4" s="2">
        <v>0</v>
      </c>
      <c r="E4" s="2">
        <v>507285</v>
      </c>
      <c r="F4" s="2">
        <v>348417</v>
      </c>
    </row>
    <row r="5" spans="1:6" x14ac:dyDescent="0.3">
      <c r="A5" s="1" t="s">
        <v>2</v>
      </c>
      <c r="B5" s="2">
        <f t="shared" si="0"/>
        <v>-2181430</v>
      </c>
      <c r="C5" s="2">
        <v>0</v>
      </c>
      <c r="D5" s="2">
        <v>0</v>
      </c>
      <c r="E5" s="2">
        <v>2181430</v>
      </c>
      <c r="F5" s="2">
        <v>1284673</v>
      </c>
    </row>
    <row r="6" spans="1:6" x14ac:dyDescent="0.3">
      <c r="A6" s="1" t="s">
        <v>3</v>
      </c>
      <c r="B6" s="2">
        <f t="shared" si="0"/>
        <v>-1504845</v>
      </c>
      <c r="C6" s="2">
        <v>0</v>
      </c>
      <c r="D6" s="2">
        <v>0</v>
      </c>
      <c r="E6" s="2">
        <v>1504845</v>
      </c>
      <c r="F6" s="2">
        <v>848275</v>
      </c>
    </row>
    <row r="7" spans="1:6" x14ac:dyDescent="0.3">
      <c r="A7" s="1" t="s">
        <v>4</v>
      </c>
      <c r="B7" s="2">
        <f t="shared" si="0"/>
        <v>-2133732</v>
      </c>
      <c r="C7" s="2">
        <v>0</v>
      </c>
      <c r="D7" s="2">
        <v>0</v>
      </c>
      <c r="E7" s="2">
        <v>2133732</v>
      </c>
      <c r="F7" s="2">
        <v>1345957</v>
      </c>
    </row>
    <row r="8" spans="1:6" x14ac:dyDescent="0.3">
      <c r="A8" s="1" t="s">
        <v>5</v>
      </c>
      <c r="B8" s="2">
        <f t="shared" si="0"/>
        <v>-2123020</v>
      </c>
      <c r="C8" s="2">
        <v>0</v>
      </c>
      <c r="D8" s="2">
        <v>0</v>
      </c>
      <c r="E8" s="2">
        <v>2123020</v>
      </c>
      <c r="F8" s="2">
        <v>1396725</v>
      </c>
    </row>
    <row r="9" spans="1:6" x14ac:dyDescent="0.3">
      <c r="A9" s="1" t="s">
        <v>6</v>
      </c>
      <c r="B9" s="2">
        <f t="shared" si="0"/>
        <v>-1659061</v>
      </c>
      <c r="C9" s="2">
        <v>0</v>
      </c>
      <c r="D9" s="2">
        <v>0</v>
      </c>
      <c r="E9" s="2">
        <v>1659061</v>
      </c>
      <c r="F9" s="2">
        <v>1014025</v>
      </c>
    </row>
    <row r="10" spans="1:6" x14ac:dyDescent="0.3">
      <c r="A10" s="1" t="s">
        <v>7</v>
      </c>
      <c r="B10" s="2">
        <f t="shared" si="0"/>
        <v>-1842964</v>
      </c>
      <c r="C10" s="2">
        <v>0</v>
      </c>
      <c r="D10" s="2">
        <v>0</v>
      </c>
      <c r="E10" s="2">
        <v>1842964</v>
      </c>
      <c r="F10" s="2">
        <v>1134689</v>
      </c>
    </row>
    <row r="11" spans="1:6" x14ac:dyDescent="0.3">
      <c r="A11" s="1" t="s">
        <v>8</v>
      </c>
      <c r="B11" s="2">
        <f t="shared" si="0"/>
        <v>-2535968</v>
      </c>
      <c r="C11" s="2">
        <v>0</v>
      </c>
      <c r="D11" s="2">
        <v>0</v>
      </c>
      <c r="E11" s="2">
        <v>2535968</v>
      </c>
      <c r="F11" s="2">
        <v>1763462</v>
      </c>
    </row>
    <row r="12" spans="1:6" x14ac:dyDescent="0.3">
      <c r="A12" s="1" t="s">
        <v>9</v>
      </c>
      <c r="B12" s="2">
        <f t="shared" si="0"/>
        <v>-957971</v>
      </c>
      <c r="C12" s="2">
        <v>0</v>
      </c>
      <c r="D12" s="2">
        <v>0</v>
      </c>
      <c r="E12" s="2">
        <v>957971</v>
      </c>
      <c r="F12" s="2">
        <v>611843</v>
      </c>
    </row>
    <row r="13" spans="1:6" x14ac:dyDescent="0.3">
      <c r="A13" s="1" t="s">
        <v>10</v>
      </c>
      <c r="B13" s="2">
        <f t="shared" si="0"/>
        <v>-1878215</v>
      </c>
      <c r="C13" s="2">
        <v>0</v>
      </c>
      <c r="D13" s="2">
        <v>0</v>
      </c>
      <c r="E13" s="2">
        <v>1878215</v>
      </c>
      <c r="F13" s="2">
        <v>1269837</v>
      </c>
    </row>
    <row r="14" spans="1:6" x14ac:dyDescent="0.3">
      <c r="A14" s="1" t="s">
        <v>11</v>
      </c>
      <c r="B14" s="2">
        <f t="shared" si="0"/>
        <v>-1353364</v>
      </c>
      <c r="C14" s="2">
        <v>0</v>
      </c>
      <c r="D14" s="2">
        <v>0</v>
      </c>
      <c r="E14" s="2">
        <v>1353364</v>
      </c>
      <c r="F14" s="2">
        <v>777179</v>
      </c>
    </row>
    <row r="15" spans="1:6" ht="17.25" thickBot="1" x14ac:dyDescent="0.35">
      <c r="A15" s="4" t="s">
        <v>13</v>
      </c>
      <c r="B15" s="5">
        <f>SUM(B3:B14)</f>
        <v>-19888354</v>
      </c>
      <c r="C15" s="5">
        <f t="shared" ref="C15:F15" si="1">SUM(C3:C14)</f>
        <v>0</v>
      </c>
      <c r="D15" s="5">
        <f t="shared" si="1"/>
        <v>0</v>
      </c>
      <c r="E15" s="5">
        <f t="shared" si="1"/>
        <v>19888354</v>
      </c>
      <c r="F15" s="5">
        <f t="shared" si="1"/>
        <v>12414728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-929943</v>
      </c>
      <c r="C3" s="2">
        <v>0</v>
      </c>
      <c r="D3" s="2">
        <v>0</v>
      </c>
      <c r="E3" s="2">
        <v>929943</v>
      </c>
      <c r="F3" s="2">
        <v>611598</v>
      </c>
    </row>
    <row r="4" spans="1:6" x14ac:dyDescent="0.3">
      <c r="A4" s="1" t="s">
        <v>1</v>
      </c>
      <c r="B4" s="2">
        <f t="shared" si="0"/>
        <v>-674749</v>
      </c>
      <c r="C4" s="2">
        <v>0</v>
      </c>
      <c r="D4" s="2">
        <v>0</v>
      </c>
      <c r="E4" s="2">
        <v>674749</v>
      </c>
      <c r="F4" s="2">
        <v>397131</v>
      </c>
    </row>
    <row r="5" spans="1:6" x14ac:dyDescent="0.3">
      <c r="A5" s="1" t="s">
        <v>2</v>
      </c>
      <c r="B5" s="2">
        <f t="shared" si="0"/>
        <v>-527635</v>
      </c>
      <c r="C5" s="2">
        <v>0</v>
      </c>
      <c r="D5" s="2">
        <v>0</v>
      </c>
      <c r="E5" s="2">
        <v>527635</v>
      </c>
      <c r="F5" s="2">
        <v>349325</v>
      </c>
    </row>
    <row r="6" spans="1:6" x14ac:dyDescent="0.3">
      <c r="A6" s="1" t="s">
        <v>3</v>
      </c>
      <c r="B6" s="2">
        <f t="shared" si="0"/>
        <v>-1982762</v>
      </c>
      <c r="C6" s="2">
        <v>0</v>
      </c>
      <c r="D6" s="2">
        <v>0</v>
      </c>
      <c r="E6" s="2">
        <v>1982762</v>
      </c>
      <c r="F6" s="2">
        <v>1131027</v>
      </c>
    </row>
    <row r="7" spans="1:6" x14ac:dyDescent="0.3">
      <c r="A7" s="1" t="s">
        <v>4</v>
      </c>
      <c r="B7" s="2">
        <f t="shared" si="0"/>
        <v>-1905304</v>
      </c>
      <c r="C7" s="2">
        <v>0</v>
      </c>
      <c r="D7" s="2">
        <v>0</v>
      </c>
      <c r="E7" s="2">
        <v>1905304</v>
      </c>
      <c r="F7" s="2">
        <v>1053479</v>
      </c>
    </row>
    <row r="8" spans="1:6" x14ac:dyDescent="0.3">
      <c r="A8" s="1" t="s">
        <v>5</v>
      </c>
      <c r="B8" s="2">
        <f t="shared" si="0"/>
        <v>-1927266</v>
      </c>
      <c r="C8" s="2">
        <v>0</v>
      </c>
      <c r="D8" s="2">
        <v>0</v>
      </c>
      <c r="E8" s="2">
        <v>1927266</v>
      </c>
      <c r="F8" s="2">
        <v>1073076</v>
      </c>
    </row>
    <row r="9" spans="1:6" x14ac:dyDescent="0.3">
      <c r="A9" s="1" t="s">
        <v>6</v>
      </c>
      <c r="B9" s="2">
        <f t="shared" si="0"/>
        <v>-1835489</v>
      </c>
      <c r="C9" s="2">
        <v>0</v>
      </c>
      <c r="D9" s="2">
        <v>0</v>
      </c>
      <c r="E9" s="2">
        <v>1835489</v>
      </c>
      <c r="F9" s="2">
        <v>958749</v>
      </c>
    </row>
    <row r="10" spans="1:6" x14ac:dyDescent="0.3">
      <c r="A10" s="1" t="s">
        <v>7</v>
      </c>
      <c r="B10" s="2">
        <f t="shared" si="0"/>
        <v>-1933434</v>
      </c>
      <c r="C10" s="2">
        <v>0</v>
      </c>
      <c r="D10" s="2">
        <v>0</v>
      </c>
      <c r="E10" s="2">
        <v>1933434</v>
      </c>
      <c r="F10" s="2">
        <v>970750</v>
      </c>
    </row>
    <row r="11" spans="1:6" x14ac:dyDescent="0.3">
      <c r="A11" s="1" t="s">
        <v>8</v>
      </c>
      <c r="B11" s="2">
        <f t="shared" si="0"/>
        <v>-1387077</v>
      </c>
      <c r="C11" s="2">
        <v>0</v>
      </c>
      <c r="D11" s="2">
        <v>0</v>
      </c>
      <c r="E11" s="2">
        <v>1387077</v>
      </c>
      <c r="F11" s="2">
        <v>788518</v>
      </c>
    </row>
    <row r="12" spans="1:6" x14ac:dyDescent="0.3">
      <c r="A12" s="1" t="s">
        <v>9</v>
      </c>
      <c r="B12" s="2">
        <f t="shared" si="0"/>
        <v>-1090723</v>
      </c>
      <c r="C12" s="2">
        <v>6299</v>
      </c>
      <c r="D12" s="2">
        <v>2553</v>
      </c>
      <c r="E12" s="2">
        <v>1097022</v>
      </c>
      <c r="F12" s="2">
        <v>654574</v>
      </c>
    </row>
    <row r="13" spans="1:6" x14ac:dyDescent="0.3">
      <c r="A13" s="1" t="s">
        <v>10</v>
      </c>
      <c r="B13" s="2">
        <f t="shared" si="0"/>
        <v>-964704</v>
      </c>
      <c r="C13" s="2">
        <v>0</v>
      </c>
      <c r="D13" s="2">
        <v>0</v>
      </c>
      <c r="E13" s="2">
        <v>964704</v>
      </c>
      <c r="F13" s="2">
        <v>562312</v>
      </c>
    </row>
    <row r="14" spans="1:6" x14ac:dyDescent="0.3">
      <c r="A14" s="1" t="s">
        <v>11</v>
      </c>
      <c r="B14" s="2">
        <f t="shared" si="0"/>
        <v>-1897061</v>
      </c>
      <c r="C14" s="2">
        <v>0</v>
      </c>
      <c r="D14" s="2">
        <v>0</v>
      </c>
      <c r="E14" s="2">
        <v>1897061</v>
      </c>
      <c r="F14" s="2">
        <v>1077016</v>
      </c>
    </row>
    <row r="15" spans="1:6" ht="17.25" thickBot="1" x14ac:dyDescent="0.35">
      <c r="A15" s="4" t="s">
        <v>13</v>
      </c>
      <c r="B15" s="5">
        <f>SUM(B3:B14)</f>
        <v>-17056147</v>
      </c>
      <c r="C15" s="5">
        <f t="shared" ref="C15:F15" si="1">SUM(C3:C14)</f>
        <v>6299</v>
      </c>
      <c r="D15" s="5">
        <f t="shared" si="1"/>
        <v>2553</v>
      </c>
      <c r="E15" s="5">
        <f t="shared" si="1"/>
        <v>17062446</v>
      </c>
      <c r="F15" s="5">
        <f t="shared" si="1"/>
        <v>9627555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-1365933</v>
      </c>
      <c r="C3" s="2">
        <v>0</v>
      </c>
      <c r="D3" s="2">
        <v>0</v>
      </c>
      <c r="E3" s="2">
        <v>1365933</v>
      </c>
      <c r="F3" s="2">
        <v>732458</v>
      </c>
    </row>
    <row r="4" spans="1:6" x14ac:dyDescent="0.3">
      <c r="A4" s="1" t="s">
        <v>1</v>
      </c>
      <c r="B4" s="2">
        <f t="shared" si="0"/>
        <v>-655344</v>
      </c>
      <c r="C4" s="2">
        <v>0</v>
      </c>
      <c r="D4" s="2">
        <v>0</v>
      </c>
      <c r="E4" s="2">
        <v>655344</v>
      </c>
      <c r="F4" s="2">
        <v>360985</v>
      </c>
    </row>
    <row r="5" spans="1:6" x14ac:dyDescent="0.3">
      <c r="A5" s="1" t="s">
        <v>2</v>
      </c>
      <c r="B5" s="2">
        <f t="shared" si="0"/>
        <v>-1800130</v>
      </c>
      <c r="C5" s="2">
        <v>0</v>
      </c>
      <c r="D5" s="2">
        <v>0</v>
      </c>
      <c r="E5" s="2">
        <v>1800130</v>
      </c>
      <c r="F5" s="2">
        <v>948424</v>
      </c>
    </row>
    <row r="6" spans="1:6" x14ac:dyDescent="0.3">
      <c r="A6" s="1" t="s">
        <v>3</v>
      </c>
      <c r="B6" s="2">
        <f t="shared" si="0"/>
        <v>-1323757</v>
      </c>
      <c r="C6" s="2">
        <v>0</v>
      </c>
      <c r="D6" s="2">
        <v>0</v>
      </c>
      <c r="E6" s="2">
        <v>1323757</v>
      </c>
      <c r="F6" s="2">
        <v>664427</v>
      </c>
    </row>
    <row r="7" spans="1:6" x14ac:dyDescent="0.3">
      <c r="A7" s="1" t="s">
        <v>4</v>
      </c>
      <c r="B7" s="2">
        <f t="shared" si="0"/>
        <v>-1619813</v>
      </c>
      <c r="C7" s="2">
        <v>0</v>
      </c>
      <c r="D7" s="2">
        <v>0</v>
      </c>
      <c r="E7" s="2">
        <v>1619813</v>
      </c>
      <c r="F7" s="2">
        <v>889938</v>
      </c>
    </row>
    <row r="8" spans="1:6" x14ac:dyDescent="0.3">
      <c r="A8" s="1" t="s">
        <v>5</v>
      </c>
      <c r="B8" s="2">
        <f t="shared" si="0"/>
        <v>-1284384</v>
      </c>
      <c r="C8" s="2">
        <v>0</v>
      </c>
      <c r="D8" s="2">
        <v>0</v>
      </c>
      <c r="E8" s="2">
        <v>1284384</v>
      </c>
      <c r="F8" s="2">
        <v>708137</v>
      </c>
    </row>
    <row r="9" spans="1:6" x14ac:dyDescent="0.3">
      <c r="A9" s="1" t="s">
        <v>6</v>
      </c>
      <c r="B9" s="2">
        <f t="shared" si="0"/>
        <v>-1105474</v>
      </c>
      <c r="C9" s="2">
        <v>0</v>
      </c>
      <c r="D9" s="2">
        <v>0</v>
      </c>
      <c r="E9" s="2">
        <v>1105474</v>
      </c>
      <c r="F9" s="2">
        <v>598255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-9154835</v>
      </c>
      <c r="C15" s="5">
        <f t="shared" ref="C15:F15" si="1">SUM(C3:C14)</f>
        <v>0</v>
      </c>
      <c r="D15" s="5">
        <f t="shared" si="1"/>
        <v>0</v>
      </c>
      <c r="E15" s="5">
        <f t="shared" si="1"/>
        <v>9154835</v>
      </c>
      <c r="F15" s="5">
        <f t="shared" si="1"/>
        <v>4902624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2026-09-02T00:58:20Z</dcterms:modified>
</cp:coreProperties>
</file>