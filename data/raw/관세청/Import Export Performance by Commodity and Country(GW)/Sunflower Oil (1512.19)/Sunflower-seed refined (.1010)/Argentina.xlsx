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해바라기유\1512.19(정제유)\.1010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" l="1"/>
  <c r="E15" i="1"/>
  <c r="D15" i="1"/>
  <c r="C15" i="1"/>
  <c r="C15" i="13" l="1"/>
  <c r="D15" i="13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B15" i="17" l="1"/>
  <c r="B15" i="16"/>
  <c r="B15" i="15"/>
  <c r="B15" i="14"/>
  <c r="B15" i="13"/>
  <c r="B15" i="12"/>
  <c r="B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4" i="1"/>
  <c r="B13" i="1"/>
  <c r="B12" i="1"/>
  <c r="B11" i="1"/>
  <c r="B10" i="1"/>
  <c r="B9" i="1"/>
  <c r="B8" i="1"/>
  <c r="B7" i="1"/>
  <c r="B6" i="1"/>
  <c r="B5" i="1"/>
  <c r="B4" i="1"/>
  <c r="B3" i="1"/>
  <c r="B15" i="1" l="1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2"/>
  <c r="C15" i="2"/>
  <c r="F15" i="2"/>
  <c r="E15" i="2"/>
  <c r="B15" i="9" l="1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<sst xmlns="http://schemas.openxmlformats.org/spreadsheetml/2006/main" count="306" uniqueCount="36">
  <si>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</si>
  <si>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</si>
  <si>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</si>
  <si>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</si>
  <si>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</si>
  <si>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</si>
  <si>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</si>
  <si>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</si>
  <si>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</si>
  <si>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</si>
  <si>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</si>
  <si>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</si>
  <si>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</si>
  <si>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</si>
  <si>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</si>
  <si>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</si>
  <si>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</si>
  <si>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</si>
  <si>
    <t>수출액(달러)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</si>
  <si>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</si>
  <si>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</si>
  <si>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</si>
  <si>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</si>
  <si>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</si>
  <si>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수입량(kg)</t>
    <phoneticPr fontId="1" type="noConversion"/>
  </si>
  <si>
    <t>1월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</si>
  <si>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</si>
  <si>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</si>
  <si>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</si>
  <si>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3월</t>
    <phoneticPr fontId="1" type="noConversion"/>
  </si>
  <si>
    <t>총계</t>
    <phoneticPr fontId="1" type="noConversion"/>
  </si>
  <si>
    <t>총계</t>
    <phoneticPr fontId="1" type="noConversion"/>
  </si>
  <si>
    <t>무역수지(달러)</t>
    <phoneticPr fontId="1" type="noConversion"/>
  </si>
  <si>
    <t>무역수지(달러)</t>
    <phoneticPr fontId="1" type="noConversion"/>
  </si>
  <si>
    <t>2월</t>
    <phoneticPr fontId="1" type="noConversion"/>
  </si>
  <si>
    <t>총계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</si>
</sst>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6" fontId="0" fillId="0" borderId="0" xfId="0" quotePrefix="1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26</v>
      </c>
      <c r="B3" s="2">
        <f>C3-E3</f>
        <v>-369320</v>
      </c>
      <c r="C3" s="2">
        <v>0</v>
      </c>
      <c r="D3" s="2">
        <v>0</v>
      </c>
      <c r="E3" s="2">
        <v>369320</v>
      </c>
      <c r="F3" s="2">
        <v>290880</v>
      </c>
    </row>
    <row r="4" spans="1:6" x14ac:dyDescent="0.3">
      <c r="A4" s="1" t="s">
        <v>27</v>
      </c>
      <c r="B4" s="2">
        <f t="shared" ref="B4:B14" si="0">C4-E4</f>
        <v>-203634</v>
      </c>
      <c r="C4" s="2">
        <v>0</v>
      </c>
      <c r="D4" s="2">
        <v>0</v>
      </c>
      <c r="E4" s="2">
        <v>203634</v>
      </c>
      <c r="F4" s="2">
        <v>144518</v>
      </c>
    </row>
    <row r="5" spans="1:6" x14ac:dyDescent="0.3">
      <c r="A5" s="1" t="s">
        <v>29</v>
      </c>
      <c r="B5" s="2">
        <f t="shared" si="0"/>
        <v>-76689</v>
      </c>
      <c r="C5" s="2">
        <v>0</v>
      </c>
      <c r="D5" s="2">
        <v>0</v>
      </c>
      <c r="E5" s="2">
        <v>76689</v>
      </c>
      <c r="F5" s="2">
        <v>34920</v>
      </c>
    </row>
    <row r="6" spans="1:6" x14ac:dyDescent="0.3">
      <c r="A6" s="1" t="s">
        <v>3</v>
      </c>
      <c r="B6" s="2">
        <f t="shared" si="0"/>
        <v>-148063</v>
      </c>
      <c r="C6" s="2">
        <v>0</v>
      </c>
      <c r="D6" s="2">
        <v>0</v>
      </c>
      <c r="E6" s="2">
        <v>148063</v>
      </c>
      <c r="F6" s="2">
        <v>103180</v>
      </c>
    </row>
    <row r="7" spans="1:6" x14ac:dyDescent="0.3">
      <c r="A7" s="1" t="s">
        <v>4</v>
      </c>
      <c r="B7" s="2">
        <f t="shared" si="0"/>
        <v>-153379</v>
      </c>
      <c r="C7" s="2">
        <v>0</v>
      </c>
      <c r="D7" s="2">
        <v>0</v>
      </c>
      <c r="E7" s="2">
        <v>153379</v>
      </c>
      <c r="F7" s="2">
        <v>69841</v>
      </c>
    </row>
    <row r="8" spans="1:6" x14ac:dyDescent="0.3">
      <c r="A8" s="1" t="s">
        <v>5</v>
      </c>
      <c r="B8" s="2">
        <f t="shared" si="0"/>
        <v>-149502</v>
      </c>
      <c r="C8" s="2">
        <v>0</v>
      </c>
      <c r="D8" s="2">
        <v>0</v>
      </c>
      <c r="E8" s="2">
        <v>149502</v>
      </c>
      <c r="F8" s="2">
        <v>108056</v>
      </c>
    </row>
    <row r="9" spans="1:6" x14ac:dyDescent="0.3">
      <c r="A9" s="1" t="s">
        <v>6</v>
      </c>
      <c r="B9" s="2">
        <f t="shared" si="0"/>
        <v>-194971</v>
      </c>
      <c r="C9" s="2">
        <v>0</v>
      </c>
      <c r="D9" s="2">
        <v>0</v>
      </c>
      <c r="E9" s="2">
        <v>194971</v>
      </c>
      <c r="F9" s="2">
        <v>153743</v>
      </c>
    </row>
    <row r="10" spans="1:6" x14ac:dyDescent="0.3">
      <c r="A10" s="1" t="s">
        <v>7</v>
      </c>
      <c r="B10" s="2">
        <f t="shared" si="0"/>
        <v>-142135</v>
      </c>
      <c r="C10" s="2">
        <v>0</v>
      </c>
      <c r="D10" s="2">
        <v>0</v>
      </c>
      <c r="E10" s="2">
        <v>142135</v>
      </c>
      <c r="F10" s="2">
        <v>100578</v>
      </c>
    </row>
    <row r="11" spans="1:6" x14ac:dyDescent="0.3">
      <c r="A11" s="1" t="s">
        <v>8</v>
      </c>
      <c r="B11" s="2">
        <f t="shared" si="0"/>
        <v>-381534</v>
      </c>
      <c r="C11" s="2">
        <v>0</v>
      </c>
      <c r="D11" s="2">
        <v>0</v>
      </c>
      <c r="E11" s="2">
        <v>381534</v>
      </c>
      <c r="F11" s="2">
        <v>286790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-2457</v>
      </c>
      <c r="C13" s="2">
        <v>0</v>
      </c>
      <c r="D13" s="2">
        <v>0</v>
      </c>
      <c r="E13" s="2">
        <v>2457</v>
      </c>
      <c r="F13" s="2">
        <v>1761</v>
      </c>
    </row>
    <row r="14" spans="1:6" x14ac:dyDescent="0.3">
      <c r="A14" s="1" t="s">
        <v>11</v>
      </c>
      <c r="B14" s="2">
        <f t="shared" si="0"/>
        <v>-63843</v>
      </c>
      <c r="C14" s="2">
        <v>0</v>
      </c>
      <c r="D14" s="2">
        <v>0</v>
      </c>
      <c r="E14" s="2">
        <v>63843</v>
      </c>
      <c r="F14" s="2">
        <v>45879</v>
      </c>
    </row>
    <row r="15" spans="1:6" ht="17.25" thickBot="1" x14ac:dyDescent="0.35">
      <c r="A15" s="4" t="s">
        <v>31</v>
      </c>
      <c r="B15" s="5">
        <f>SUM(B3:B14)</f>
        <v>-1885527</v>
      </c>
      <c r="C15" s="5">
        <f t="shared" ref="C15:F15" si="1">SUM(C3:C14)</f>
        <v>0</v>
      </c>
      <c r="D15" s="5">
        <f t="shared" si="1"/>
        <v>0</v>
      </c>
      <c r="E15" s="5">
        <f t="shared" si="1"/>
        <v>1885527</v>
      </c>
      <c r="F15" s="5">
        <f t="shared" si="1"/>
        <v>1340146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26</v>
      </c>
      <c r="B3" s="2">
        <f>C3-E3</f>
        <v>-64341</v>
      </c>
      <c r="C3" s="2">
        <v>0</v>
      </c>
      <c r="D3" s="2">
        <v>0</v>
      </c>
      <c r="E3" s="2">
        <v>64341</v>
      </c>
      <c r="F3" s="2">
        <v>42867</v>
      </c>
    </row>
    <row r="4" spans="1:6" x14ac:dyDescent="0.3">
      <c r="A4" s="1" t="s">
        <v>27</v>
      </c>
      <c r="B4" s="2">
        <f t="shared" ref="B4:B14" si="0">C4-E4</f>
        <v>-563522</v>
      </c>
      <c r="C4" s="2">
        <v>0</v>
      </c>
      <c r="D4" s="2">
        <v>0</v>
      </c>
      <c r="E4" s="2">
        <v>563522</v>
      </c>
      <c r="F4" s="2">
        <v>315753</v>
      </c>
    </row>
    <row r="5" spans="1:6" x14ac:dyDescent="0.3">
      <c r="A5" s="1" t="s">
        <v>29</v>
      </c>
      <c r="B5" s="2">
        <f t="shared" si="0"/>
        <v>-459330</v>
      </c>
      <c r="C5" s="2">
        <v>0</v>
      </c>
      <c r="D5" s="2">
        <v>0</v>
      </c>
      <c r="E5" s="2">
        <v>459330</v>
      </c>
      <c r="F5" s="2">
        <v>253550</v>
      </c>
    </row>
    <row r="6" spans="1:6" x14ac:dyDescent="0.3">
      <c r="A6" s="1" t="s">
        <v>3</v>
      </c>
      <c r="B6" s="2">
        <f t="shared" si="0"/>
        <v>-984909</v>
      </c>
      <c r="C6" s="2">
        <v>0</v>
      </c>
      <c r="D6" s="2">
        <v>0</v>
      </c>
      <c r="E6" s="2">
        <v>984909</v>
      </c>
      <c r="F6" s="2">
        <v>521339</v>
      </c>
    </row>
    <row r="7" spans="1:6" x14ac:dyDescent="0.3">
      <c r="A7" s="1" t="s">
        <v>4</v>
      </c>
      <c r="B7" s="2">
        <f t="shared" si="0"/>
        <v>-25562</v>
      </c>
      <c r="C7" s="2">
        <v>0</v>
      </c>
      <c r="D7" s="2">
        <v>0</v>
      </c>
      <c r="E7" s="2">
        <v>25562</v>
      </c>
      <c r="F7" s="2">
        <v>16074</v>
      </c>
    </row>
    <row r="8" spans="1:6" x14ac:dyDescent="0.3">
      <c r="A8" s="1" t="s">
        <v>5</v>
      </c>
      <c r="B8" s="2">
        <f t="shared" si="0"/>
        <v>-1099342</v>
      </c>
      <c r="C8" s="2">
        <v>0</v>
      </c>
      <c r="D8" s="2">
        <v>0</v>
      </c>
      <c r="E8" s="2">
        <v>1099342</v>
      </c>
      <c r="F8" s="2">
        <v>572357</v>
      </c>
    </row>
    <row r="9" spans="1:6" x14ac:dyDescent="0.3">
      <c r="A9" s="1" t="s">
        <v>6</v>
      </c>
      <c r="B9" s="2">
        <f t="shared" si="0"/>
        <v>-74853</v>
      </c>
      <c r="C9" s="2">
        <v>0</v>
      </c>
      <c r="D9" s="2">
        <v>0</v>
      </c>
      <c r="E9" s="2">
        <v>74853</v>
      </c>
      <c r="F9" s="2">
        <v>42835</v>
      </c>
    </row>
    <row r="10" spans="1:6" x14ac:dyDescent="0.3">
      <c r="A10" s="1" t="s">
        <v>7</v>
      </c>
      <c r="B10" s="2">
        <f t="shared" si="0"/>
        <v>-726162</v>
      </c>
      <c r="C10" s="2">
        <v>0</v>
      </c>
      <c r="D10" s="2">
        <v>0</v>
      </c>
      <c r="E10" s="2">
        <v>726162</v>
      </c>
      <c r="F10" s="2">
        <v>384681</v>
      </c>
    </row>
    <row r="11" spans="1:6" x14ac:dyDescent="0.3">
      <c r="A11" s="1" t="s">
        <v>8</v>
      </c>
      <c r="B11" s="2">
        <f t="shared" si="0"/>
        <v>-191706</v>
      </c>
      <c r="C11" s="2">
        <v>0</v>
      </c>
      <c r="D11" s="2">
        <v>0</v>
      </c>
      <c r="E11" s="2">
        <v>191706</v>
      </c>
      <c r="F11" s="2">
        <v>101534</v>
      </c>
    </row>
    <row r="12" spans="1:6" x14ac:dyDescent="0.3">
      <c r="A12" s="1" t="s">
        <v>9</v>
      </c>
      <c r="B12" s="2">
        <f t="shared" si="0"/>
        <v>-75389</v>
      </c>
      <c r="C12" s="2">
        <v>0</v>
      </c>
      <c r="D12" s="2">
        <v>0</v>
      </c>
      <c r="E12" s="2">
        <v>75389</v>
      </c>
      <c r="F12" s="2">
        <v>38860</v>
      </c>
    </row>
    <row r="13" spans="1:6" x14ac:dyDescent="0.3">
      <c r="A13" s="1" t="s">
        <v>10</v>
      </c>
      <c r="B13" s="2">
        <f t="shared" si="0"/>
        <v>-832897</v>
      </c>
      <c r="C13" s="2">
        <v>0</v>
      </c>
      <c r="D13" s="2">
        <v>0</v>
      </c>
      <c r="E13" s="2">
        <v>832897</v>
      </c>
      <c r="F13" s="2">
        <v>440368</v>
      </c>
    </row>
    <row r="14" spans="1:6" x14ac:dyDescent="0.3">
      <c r="A14" s="1" t="s">
        <v>11</v>
      </c>
      <c r="B14" s="2">
        <f t="shared" si="0"/>
        <v>-219772</v>
      </c>
      <c r="C14" s="2">
        <v>0</v>
      </c>
      <c r="D14" s="2">
        <v>0</v>
      </c>
      <c r="E14" s="2">
        <v>219772</v>
      </c>
      <c r="F14" s="2">
        <v>121138</v>
      </c>
    </row>
    <row r="15" spans="1:6" ht="17.25" thickBot="1" x14ac:dyDescent="0.35">
      <c r="A15" s="4" t="s">
        <v>31</v>
      </c>
      <c r="B15" s="5">
        <f>SUM(B3:B14)</f>
        <v>-5317785</v>
      </c>
      <c r="C15" s="5">
        <f t="shared" ref="C15:F15" si="1">SUM(C3:C14)</f>
        <v>0</v>
      </c>
      <c r="D15" s="5">
        <f t="shared" si="1"/>
        <v>0</v>
      </c>
      <c r="E15" s="5">
        <f t="shared" si="1"/>
        <v>5317785</v>
      </c>
      <c r="F15" s="5">
        <f t="shared" si="1"/>
        <v>2851356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26</v>
      </c>
      <c r="B3" s="2">
        <f>C3-E3</f>
        <v>-70793</v>
      </c>
      <c r="C3" s="2">
        <v>0</v>
      </c>
      <c r="D3" s="2">
        <v>0</v>
      </c>
      <c r="E3" s="2">
        <v>70793</v>
      </c>
      <c r="F3" s="2">
        <v>39639</v>
      </c>
    </row>
    <row r="4" spans="1:6" x14ac:dyDescent="0.3">
      <c r="A4" s="1" t="s">
        <v>27</v>
      </c>
      <c r="B4" s="2">
        <f t="shared" ref="B4:B14" si="0">C4-E4</f>
        <v>-67916</v>
      </c>
      <c r="C4" s="2">
        <v>0</v>
      </c>
      <c r="D4" s="2">
        <v>0</v>
      </c>
      <c r="E4" s="2">
        <v>67916</v>
      </c>
      <c r="F4" s="2">
        <v>40076</v>
      </c>
    </row>
    <row r="5" spans="1:6" x14ac:dyDescent="0.3">
      <c r="A5" s="1" t="s">
        <v>29</v>
      </c>
      <c r="B5" s="2">
        <f t="shared" si="0"/>
        <v>-33682</v>
      </c>
      <c r="C5" s="2">
        <v>0</v>
      </c>
      <c r="D5" s="2">
        <v>0</v>
      </c>
      <c r="E5" s="2">
        <v>33682</v>
      </c>
      <c r="F5" s="2">
        <v>20259</v>
      </c>
    </row>
    <row r="6" spans="1:6" x14ac:dyDescent="0.3">
      <c r="A6" s="1" t="s">
        <v>3</v>
      </c>
      <c r="B6" s="2">
        <f t="shared" si="0"/>
        <v>-221576</v>
      </c>
      <c r="C6" s="2">
        <v>0</v>
      </c>
      <c r="D6" s="2">
        <v>0</v>
      </c>
      <c r="E6" s="2">
        <v>221576</v>
      </c>
      <c r="F6" s="2">
        <v>124300</v>
      </c>
    </row>
    <row r="7" spans="1:6" x14ac:dyDescent="0.3">
      <c r="A7" s="1" t="s">
        <v>4</v>
      </c>
      <c r="B7" s="2">
        <f t="shared" si="0"/>
        <v>-220808</v>
      </c>
      <c r="C7" s="2">
        <v>0</v>
      </c>
      <c r="D7" s="2">
        <v>0</v>
      </c>
      <c r="E7" s="2">
        <v>220808</v>
      </c>
      <c r="F7" s="2">
        <v>123319</v>
      </c>
    </row>
    <row r="8" spans="1:6" x14ac:dyDescent="0.3">
      <c r="A8" s="1" t="s">
        <v>5</v>
      </c>
      <c r="B8" s="2">
        <f t="shared" si="0"/>
        <v>-327339</v>
      </c>
      <c r="C8" s="2">
        <v>0</v>
      </c>
      <c r="D8" s="2">
        <v>0</v>
      </c>
      <c r="E8" s="2">
        <v>327339</v>
      </c>
      <c r="F8" s="2">
        <v>185456</v>
      </c>
    </row>
    <row r="9" spans="1:6" x14ac:dyDescent="0.3">
      <c r="A9" s="1" t="s">
        <v>6</v>
      </c>
      <c r="B9" s="2">
        <f t="shared" si="0"/>
        <v>-479070</v>
      </c>
      <c r="C9" s="2">
        <v>0</v>
      </c>
      <c r="D9" s="2">
        <v>0</v>
      </c>
      <c r="E9" s="2">
        <v>479070</v>
      </c>
      <c r="F9" s="2">
        <v>269036</v>
      </c>
    </row>
    <row r="10" spans="1:6" x14ac:dyDescent="0.3">
      <c r="A10" s="1" t="s">
        <v>7</v>
      </c>
      <c r="B10" s="2">
        <f t="shared" si="0"/>
        <v>-168898</v>
      </c>
      <c r="C10" s="2">
        <v>0</v>
      </c>
      <c r="D10" s="2">
        <v>0</v>
      </c>
      <c r="E10" s="2">
        <v>168898</v>
      </c>
      <c r="F10" s="2">
        <v>99255</v>
      </c>
    </row>
    <row r="11" spans="1:6" x14ac:dyDescent="0.3">
      <c r="A11" s="1" t="s">
        <v>8</v>
      </c>
      <c r="B11" s="2">
        <f t="shared" si="0"/>
        <v>-141256</v>
      </c>
      <c r="C11" s="2">
        <v>0</v>
      </c>
      <c r="D11" s="2">
        <v>0</v>
      </c>
      <c r="E11" s="2">
        <v>141256</v>
      </c>
      <c r="F11" s="2">
        <v>82077</v>
      </c>
    </row>
    <row r="12" spans="1:6" x14ac:dyDescent="0.3">
      <c r="A12" s="1" t="s">
        <v>9</v>
      </c>
      <c r="B12" s="2">
        <f t="shared" si="0"/>
        <v>-33393</v>
      </c>
      <c r="C12" s="2">
        <v>0</v>
      </c>
      <c r="D12" s="2">
        <v>0</v>
      </c>
      <c r="E12" s="2">
        <v>33393</v>
      </c>
      <c r="F12" s="2">
        <v>19820</v>
      </c>
    </row>
    <row r="13" spans="1:6" x14ac:dyDescent="0.3">
      <c r="A13" s="1" t="s">
        <v>10</v>
      </c>
      <c r="B13" s="2">
        <f t="shared" si="0"/>
        <v>-583760</v>
      </c>
      <c r="C13" s="2">
        <v>0</v>
      </c>
      <c r="D13" s="2">
        <v>0</v>
      </c>
      <c r="E13" s="2">
        <v>583760</v>
      </c>
      <c r="F13" s="2">
        <v>332017</v>
      </c>
    </row>
    <row r="14" spans="1:6" x14ac:dyDescent="0.3">
      <c r="A14" s="1" t="s">
        <v>11</v>
      </c>
      <c r="B14" s="2">
        <f t="shared" si="0"/>
        <v>-423166</v>
      </c>
      <c r="C14" s="2">
        <v>0</v>
      </c>
      <c r="D14" s="2">
        <v>0</v>
      </c>
      <c r="E14" s="2">
        <v>423166</v>
      </c>
      <c r="F14" s="2">
        <v>247183</v>
      </c>
    </row>
    <row r="15" spans="1:6" ht="17.25" thickBot="1" x14ac:dyDescent="0.35">
      <c r="A15" s="4" t="s">
        <v>30</v>
      </c>
      <c r="B15" s="5">
        <f>SUM(B3:B14)</f>
        <v>-2771657</v>
      </c>
      <c r="C15" s="5">
        <f t="shared" ref="C15:F15" si="1">SUM(C3:C14)</f>
        <v>0</v>
      </c>
      <c r="D15" s="5">
        <f t="shared" si="1"/>
        <v>0</v>
      </c>
      <c r="E15" s="5">
        <f t="shared" si="1"/>
        <v>2771657</v>
      </c>
      <c r="F15" s="5">
        <f t="shared" si="1"/>
        <v>1582437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32</v>
      </c>
      <c r="C2" s="3" t="s">
        <v>20</v>
      </c>
      <c r="D2" s="3" t="s">
        <v>21</v>
      </c>
      <c r="E2" s="3" t="s">
        <v>22</v>
      </c>
      <c r="F2" s="3" t="s">
        <v>23</v>
      </c>
    </row>
    <row r="3" spans="1:6" x14ac:dyDescent="0.3">
      <c r="A3" s="1" t="s">
        <v>26</v>
      </c>
      <c r="B3" s="2">
        <f t="shared" ref="B3:B14" si="0">C3-E3</f>
        <v>-427542</v>
      </c>
      <c r="C3" s="2">
        <v>0</v>
      </c>
      <c r="D3" s="2">
        <v>0</v>
      </c>
      <c r="E3" s="2">
        <v>427542</v>
      </c>
      <c r="F3" s="2">
        <v>247754</v>
      </c>
    </row>
    <row r="4" spans="1:6" x14ac:dyDescent="0.3">
      <c r="A4" s="1" t="s">
        <v>27</v>
      </c>
      <c r="B4" s="2">
        <f t="shared" si="0"/>
        <v>-67099</v>
      </c>
      <c r="C4" s="2">
        <v>0</v>
      </c>
      <c r="D4" s="2">
        <v>0</v>
      </c>
      <c r="E4" s="2">
        <v>67099</v>
      </c>
      <c r="F4" s="2">
        <v>39636</v>
      </c>
    </row>
    <row r="5" spans="1:6" x14ac:dyDescent="0.3">
      <c r="A5" s="1" t="s">
        <v>29</v>
      </c>
      <c r="B5" s="2">
        <f t="shared" si="0"/>
        <v>-39096</v>
      </c>
      <c r="C5" s="2">
        <v>0</v>
      </c>
      <c r="D5" s="2">
        <v>0</v>
      </c>
      <c r="E5" s="2">
        <v>39096</v>
      </c>
      <c r="F5" s="2">
        <v>20643</v>
      </c>
    </row>
    <row r="6" spans="1:6" x14ac:dyDescent="0.3">
      <c r="A6" s="1" t="s">
        <v>3</v>
      </c>
      <c r="B6" s="2">
        <f t="shared" si="0"/>
        <v>-145785</v>
      </c>
      <c r="C6" s="2">
        <v>0</v>
      </c>
      <c r="D6" s="2">
        <v>0</v>
      </c>
      <c r="E6" s="2">
        <v>145785</v>
      </c>
      <c r="F6" s="2">
        <v>84000</v>
      </c>
    </row>
    <row r="7" spans="1:6" x14ac:dyDescent="0.3">
      <c r="A7" s="1" t="s">
        <v>4</v>
      </c>
      <c r="B7" s="2">
        <f t="shared" si="0"/>
        <v>-685037</v>
      </c>
      <c r="C7" s="2">
        <v>0</v>
      </c>
      <c r="D7" s="2">
        <v>0</v>
      </c>
      <c r="E7" s="2">
        <v>685037</v>
      </c>
      <c r="F7" s="2">
        <v>395008</v>
      </c>
    </row>
    <row r="8" spans="1:6" x14ac:dyDescent="0.3">
      <c r="A8" s="1" t="s">
        <v>5</v>
      </c>
      <c r="B8" s="2">
        <f t="shared" si="0"/>
        <v>-390522</v>
      </c>
      <c r="C8" s="2">
        <v>0</v>
      </c>
      <c r="D8" s="2">
        <v>0</v>
      </c>
      <c r="E8" s="2">
        <v>390522</v>
      </c>
      <c r="F8" s="2">
        <v>227409</v>
      </c>
    </row>
    <row r="9" spans="1:6" x14ac:dyDescent="0.3">
      <c r="A9" s="1" t="s">
        <v>6</v>
      </c>
      <c r="B9" s="2">
        <f t="shared" si="0"/>
        <v>-249201</v>
      </c>
      <c r="C9" s="2">
        <v>0</v>
      </c>
      <c r="D9" s="2">
        <v>0</v>
      </c>
      <c r="E9" s="2">
        <v>249201</v>
      </c>
      <c r="F9" s="2">
        <v>144416</v>
      </c>
    </row>
    <row r="10" spans="1:6" x14ac:dyDescent="0.3">
      <c r="A10" s="1" t="s">
        <v>7</v>
      </c>
      <c r="B10" s="2">
        <f t="shared" si="0"/>
        <v>-570097</v>
      </c>
      <c r="C10" s="2">
        <v>0</v>
      </c>
      <c r="D10" s="2">
        <v>0</v>
      </c>
      <c r="E10" s="2">
        <v>570097</v>
      </c>
      <c r="F10" s="2">
        <v>332739</v>
      </c>
    </row>
    <row r="11" spans="1:6" x14ac:dyDescent="0.3">
      <c r="A11" s="1" t="s">
        <v>8</v>
      </c>
      <c r="B11" s="2">
        <f t="shared" si="0"/>
        <v>-32606</v>
      </c>
      <c r="C11" s="2">
        <v>0</v>
      </c>
      <c r="D11" s="2">
        <v>0</v>
      </c>
      <c r="E11" s="2">
        <v>32606</v>
      </c>
      <c r="F11" s="2">
        <v>19818</v>
      </c>
    </row>
    <row r="12" spans="1:6" x14ac:dyDescent="0.3">
      <c r="A12" s="1" t="s">
        <v>9</v>
      </c>
      <c r="B12" s="2">
        <f t="shared" si="0"/>
        <v>-1001542</v>
      </c>
      <c r="C12" s="2">
        <v>0</v>
      </c>
      <c r="D12" s="2">
        <v>0</v>
      </c>
      <c r="E12" s="2">
        <v>1001542</v>
      </c>
      <c r="F12" s="2">
        <v>580670</v>
      </c>
    </row>
    <row r="13" spans="1:6" x14ac:dyDescent="0.3">
      <c r="A13" s="1" t="s">
        <v>10</v>
      </c>
      <c r="B13" s="2">
        <f t="shared" si="0"/>
        <v>-388470</v>
      </c>
      <c r="C13" s="2">
        <v>0</v>
      </c>
      <c r="D13" s="2">
        <v>0</v>
      </c>
      <c r="E13" s="2">
        <v>388470</v>
      </c>
      <c r="F13" s="2">
        <v>227188</v>
      </c>
    </row>
    <row r="14" spans="1:6" x14ac:dyDescent="0.3">
      <c r="A14" s="1" t="s">
        <v>11</v>
      </c>
      <c r="B14" s="2">
        <f t="shared" si="0"/>
        <v>-64865</v>
      </c>
      <c r="C14" s="2">
        <v>0</v>
      </c>
      <c r="D14" s="2">
        <v>0</v>
      </c>
      <c r="E14" s="2">
        <v>64865</v>
      </c>
      <c r="F14" s="2">
        <v>39637</v>
      </c>
    </row>
    <row r="15" spans="1:6" ht="17.25" thickBot="1" x14ac:dyDescent="0.35">
      <c r="A15" s="4" t="s">
        <v>31</v>
      </c>
      <c r="B15" s="5">
        <f>SUM(B3:B14)</f>
        <v>-4061862</v>
      </c>
      <c r="C15" s="5">
        <f t="shared" ref="C15:F15" si="1">SUM(C3:C14)</f>
        <v>0</v>
      </c>
      <c r="D15" s="5">
        <f t="shared" si="1"/>
        <v>0</v>
      </c>
      <c r="E15" s="5">
        <f t="shared" si="1"/>
        <v>4061862</v>
      </c>
      <c r="F15" s="5">
        <f t="shared" si="1"/>
        <v>2358918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33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26</v>
      </c>
      <c r="B3" s="2">
        <f t="shared" ref="B3:B14" si="0">C3-E3</f>
        <v>-34094</v>
      </c>
      <c r="C3" s="2">
        <v>0</v>
      </c>
      <c r="D3" s="2">
        <v>0</v>
      </c>
      <c r="E3" s="2">
        <v>34094</v>
      </c>
      <c r="F3" s="2">
        <v>20252</v>
      </c>
    </row>
    <row r="4" spans="1:6" x14ac:dyDescent="0.3">
      <c r="A4" s="1" t="s">
        <v>34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29</v>
      </c>
      <c r="B5" s="2">
        <f t="shared" si="0"/>
        <v>-170194</v>
      </c>
      <c r="C5" s="2">
        <v>0</v>
      </c>
      <c r="D5" s="2">
        <v>0</v>
      </c>
      <c r="E5" s="2">
        <v>170194</v>
      </c>
      <c r="F5" s="2">
        <v>103089</v>
      </c>
    </row>
    <row r="6" spans="1:6" x14ac:dyDescent="0.3">
      <c r="A6" s="1" t="s">
        <v>3</v>
      </c>
      <c r="B6" s="2">
        <f t="shared" si="0"/>
        <v>-304714</v>
      </c>
      <c r="C6" s="2">
        <v>0</v>
      </c>
      <c r="D6" s="2">
        <v>0</v>
      </c>
      <c r="E6" s="2">
        <v>304714</v>
      </c>
      <c r="F6" s="2">
        <v>186398</v>
      </c>
    </row>
    <row r="7" spans="1:6" x14ac:dyDescent="0.3">
      <c r="A7" s="1" t="s">
        <v>4</v>
      </c>
      <c r="B7" s="2">
        <f t="shared" si="0"/>
        <v>-551754</v>
      </c>
      <c r="C7" s="2">
        <v>0</v>
      </c>
      <c r="D7" s="2">
        <v>0</v>
      </c>
      <c r="E7" s="2">
        <v>551754</v>
      </c>
      <c r="F7" s="2">
        <v>331869</v>
      </c>
    </row>
    <row r="8" spans="1:6" x14ac:dyDescent="0.3">
      <c r="A8" s="1" t="s">
        <v>5</v>
      </c>
      <c r="B8" s="2">
        <f t="shared" si="0"/>
        <v>-222816</v>
      </c>
      <c r="C8" s="2">
        <v>0</v>
      </c>
      <c r="D8" s="2">
        <v>0</v>
      </c>
      <c r="E8" s="2">
        <v>222816</v>
      </c>
      <c r="F8" s="2">
        <v>143937</v>
      </c>
    </row>
    <row r="9" spans="1:6" x14ac:dyDescent="0.3">
      <c r="A9" s="1" t="s">
        <v>6</v>
      </c>
      <c r="B9" s="2">
        <f t="shared" si="0"/>
        <v>-814915</v>
      </c>
      <c r="C9" s="2">
        <v>0</v>
      </c>
      <c r="D9" s="2">
        <v>0</v>
      </c>
      <c r="E9" s="2">
        <v>814915</v>
      </c>
      <c r="F9" s="2">
        <v>477458</v>
      </c>
    </row>
    <row r="10" spans="1:6" x14ac:dyDescent="0.3">
      <c r="A10" s="1" t="s">
        <v>7</v>
      </c>
      <c r="B10" s="2">
        <f t="shared" si="0"/>
        <v>-1921242</v>
      </c>
      <c r="C10" s="2">
        <v>0</v>
      </c>
      <c r="D10" s="2">
        <v>0</v>
      </c>
      <c r="E10" s="2">
        <v>1921242</v>
      </c>
      <c r="F10" s="2">
        <v>1073154</v>
      </c>
    </row>
    <row r="11" spans="1:6" x14ac:dyDescent="0.3">
      <c r="A11" s="1" t="s">
        <v>8</v>
      </c>
      <c r="B11" s="2">
        <f t="shared" si="0"/>
        <v>-396093</v>
      </c>
      <c r="C11" s="2">
        <v>0</v>
      </c>
      <c r="D11" s="2">
        <v>0</v>
      </c>
      <c r="E11" s="2">
        <v>396093</v>
      </c>
      <c r="F11" s="2">
        <v>227096</v>
      </c>
    </row>
    <row r="12" spans="1:6" x14ac:dyDescent="0.3">
      <c r="A12" s="1" t="s">
        <v>9</v>
      </c>
      <c r="B12" s="2">
        <f t="shared" si="0"/>
        <v>-776214</v>
      </c>
      <c r="C12" s="2">
        <v>0</v>
      </c>
      <c r="D12" s="2">
        <v>0</v>
      </c>
      <c r="E12" s="2">
        <v>776214</v>
      </c>
      <c r="F12" s="2">
        <v>415320</v>
      </c>
    </row>
    <row r="13" spans="1:6" x14ac:dyDescent="0.3">
      <c r="A13" s="1" t="s">
        <v>10</v>
      </c>
      <c r="B13" s="2">
        <f t="shared" si="0"/>
        <v>-28786</v>
      </c>
      <c r="C13" s="2">
        <v>0</v>
      </c>
      <c r="D13" s="2">
        <v>0</v>
      </c>
      <c r="E13" s="2">
        <v>28786</v>
      </c>
      <c r="F13" s="2">
        <v>19818</v>
      </c>
    </row>
    <row r="14" spans="1:6" x14ac:dyDescent="0.3">
      <c r="A14" s="1" t="s">
        <v>11</v>
      </c>
      <c r="B14" s="2">
        <f t="shared" si="0"/>
        <v>-798989</v>
      </c>
      <c r="C14" s="2">
        <v>0</v>
      </c>
      <c r="D14" s="2">
        <v>0</v>
      </c>
      <c r="E14" s="2">
        <v>798989</v>
      </c>
      <c r="F14" s="2">
        <v>475296</v>
      </c>
    </row>
    <row r="15" spans="1:6" ht="17.25" thickBot="1" x14ac:dyDescent="0.35">
      <c r="A15" s="4" t="s">
        <v>35</v>
      </c>
      <c r="B15" s="5">
        <f>SUM(B3:B14)</f>
        <v>-6019811</v>
      </c>
      <c r="C15" s="5">
        <f t="shared" ref="C15:F15" si="1">SUM(C3:C14)</f>
        <v>0</v>
      </c>
      <c r="D15" s="5">
        <f t="shared" si="1"/>
        <v>0</v>
      </c>
      <c r="E15" s="5">
        <f t="shared" si="1"/>
        <v>6019811</v>
      </c>
      <c r="F15" s="5">
        <f t="shared" si="1"/>
        <v>3473687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</row>
    <row r="3" spans="1:6" x14ac:dyDescent="0.3">
      <c r="A3" s="1" t="s">
        <v>26</v>
      </c>
      <c r="B3" s="2">
        <f t="shared" ref="B3:B14" si="0">C3-E3</f>
        <v>-28882</v>
      </c>
      <c r="C3" s="2">
        <v>0</v>
      </c>
      <c r="D3" s="2">
        <v>0</v>
      </c>
      <c r="E3" s="2">
        <v>28882</v>
      </c>
      <c r="F3" s="2">
        <v>19818</v>
      </c>
    </row>
    <row r="4" spans="1:6" x14ac:dyDescent="0.3">
      <c r="A4" s="1" t="s">
        <v>27</v>
      </c>
      <c r="B4" s="2">
        <f t="shared" si="0"/>
        <v>-283626</v>
      </c>
      <c r="C4" s="2">
        <v>0</v>
      </c>
      <c r="D4" s="2">
        <v>0</v>
      </c>
      <c r="E4" s="2">
        <v>283626</v>
      </c>
      <c r="F4" s="2">
        <v>164937</v>
      </c>
    </row>
    <row r="5" spans="1:6" x14ac:dyDescent="0.3">
      <c r="A5" s="1" t="s">
        <v>29</v>
      </c>
      <c r="B5" s="2">
        <f t="shared" si="0"/>
        <v>-58001</v>
      </c>
      <c r="C5" s="2">
        <v>0</v>
      </c>
      <c r="D5" s="2">
        <v>0</v>
      </c>
      <c r="E5" s="2">
        <v>58001</v>
      </c>
      <c r="F5" s="2">
        <v>39638</v>
      </c>
    </row>
    <row r="6" spans="1:6" x14ac:dyDescent="0.3">
      <c r="A6" s="1" t="s">
        <v>3</v>
      </c>
      <c r="B6" s="2">
        <f t="shared" si="0"/>
        <v>-204176</v>
      </c>
      <c r="C6" s="2">
        <v>0</v>
      </c>
      <c r="D6" s="2">
        <v>0</v>
      </c>
      <c r="E6" s="2">
        <v>204176</v>
      </c>
      <c r="F6" s="2">
        <v>125063</v>
      </c>
    </row>
    <row r="7" spans="1:6" x14ac:dyDescent="0.3">
      <c r="A7" s="1" t="s">
        <v>4</v>
      </c>
      <c r="B7" s="2">
        <f t="shared" si="0"/>
        <v>-333676</v>
      </c>
      <c r="C7" s="2">
        <v>0</v>
      </c>
      <c r="D7" s="2">
        <v>0</v>
      </c>
      <c r="E7" s="2">
        <v>333676</v>
      </c>
      <c r="F7" s="2">
        <v>207820</v>
      </c>
    </row>
    <row r="8" spans="1:6" x14ac:dyDescent="0.3">
      <c r="A8" s="1" t="s">
        <v>5</v>
      </c>
      <c r="B8" s="2">
        <f t="shared" si="0"/>
        <v>-228835</v>
      </c>
      <c r="C8" s="2">
        <v>0</v>
      </c>
      <c r="D8" s="2">
        <v>0</v>
      </c>
      <c r="E8" s="2">
        <v>228835</v>
      </c>
      <c r="F8" s="2">
        <v>145039</v>
      </c>
    </row>
    <row r="9" spans="1:6" x14ac:dyDescent="0.3">
      <c r="A9" s="1" t="s">
        <v>6</v>
      </c>
      <c r="B9" s="2">
        <f t="shared" si="0"/>
        <v>-28182</v>
      </c>
      <c r="C9" s="2">
        <v>0</v>
      </c>
      <c r="D9" s="2">
        <v>0</v>
      </c>
      <c r="E9" s="2">
        <v>28182</v>
      </c>
      <c r="F9" s="2">
        <v>19820</v>
      </c>
    </row>
    <row r="10" spans="1:6" x14ac:dyDescent="0.3">
      <c r="A10" s="1" t="s">
        <v>7</v>
      </c>
      <c r="B10" s="2">
        <f t="shared" si="0"/>
        <v>-153952</v>
      </c>
      <c r="C10" s="2">
        <v>0</v>
      </c>
      <c r="D10" s="2">
        <v>0</v>
      </c>
      <c r="E10" s="2">
        <v>153952</v>
      </c>
      <c r="F10" s="2">
        <v>102237</v>
      </c>
    </row>
    <row r="11" spans="1:6" x14ac:dyDescent="0.3">
      <c r="A11" s="1" t="s">
        <v>8</v>
      </c>
      <c r="B11" s="2">
        <f t="shared" si="0"/>
        <v>-347547</v>
      </c>
      <c r="C11" s="2">
        <v>0</v>
      </c>
      <c r="D11" s="2">
        <v>0</v>
      </c>
      <c r="E11" s="2">
        <v>347547</v>
      </c>
      <c r="F11" s="2">
        <v>227978</v>
      </c>
    </row>
    <row r="12" spans="1:6" x14ac:dyDescent="0.3">
      <c r="A12" s="1" t="s">
        <v>9</v>
      </c>
      <c r="B12" s="2">
        <f t="shared" si="0"/>
        <v>-152531</v>
      </c>
      <c r="C12" s="2">
        <v>0</v>
      </c>
      <c r="D12" s="2">
        <v>0</v>
      </c>
      <c r="E12" s="2">
        <v>152531</v>
      </c>
      <c r="F12" s="2">
        <v>102998</v>
      </c>
    </row>
    <row r="13" spans="1:6" x14ac:dyDescent="0.3">
      <c r="A13" s="1" t="s">
        <v>10</v>
      </c>
      <c r="B13" s="2">
        <f t="shared" si="0"/>
        <v>-124740</v>
      </c>
      <c r="C13" s="2">
        <v>0</v>
      </c>
      <c r="D13" s="2">
        <v>0</v>
      </c>
      <c r="E13" s="2">
        <v>124740</v>
      </c>
      <c r="F13" s="2">
        <v>83160</v>
      </c>
    </row>
    <row r="14" spans="1:6" x14ac:dyDescent="0.3">
      <c r="A14" s="1" t="s">
        <v>11</v>
      </c>
      <c r="B14" s="2">
        <f t="shared" si="0"/>
        <v>-25793</v>
      </c>
      <c r="C14" s="2">
        <v>0</v>
      </c>
      <c r="D14" s="2">
        <v>0</v>
      </c>
      <c r="E14" s="2">
        <v>25793</v>
      </c>
      <c r="F14" s="2">
        <v>19818</v>
      </c>
    </row>
    <row r="15" spans="1:6" ht="17.25" thickBot="1" x14ac:dyDescent="0.35">
      <c r="A15" s="4" t="s">
        <v>31</v>
      </c>
      <c r="B15" s="5">
        <f>SUM(B3:B14)</f>
        <v>-1969941</v>
      </c>
      <c r="C15" s="5">
        <f t="shared" ref="C15:F15" si="1">SUM(C3:C14)</f>
        <v>0</v>
      </c>
      <c r="D15" s="5">
        <f t="shared" si="1"/>
        <v>0</v>
      </c>
      <c r="E15" s="5">
        <f t="shared" si="1"/>
        <v>1969941</v>
      </c>
      <c r="F15" s="5">
        <f t="shared" si="1"/>
        <v>1258326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19</v>
      </c>
      <c r="C2" s="3" t="s">
        <v>20</v>
      </c>
      <c r="D2" s="3" t="s">
        <v>21</v>
      </c>
      <c r="E2" s="3" t="s">
        <v>22</v>
      </c>
      <c r="F2" s="3" t="s">
        <v>24</v>
      </c>
    </row>
    <row r="3" spans="1:6" x14ac:dyDescent="0.3">
      <c r="A3" s="1" t="s">
        <v>25</v>
      </c>
      <c r="B3" s="2">
        <f t="shared" ref="B3:B14" si="0">C3-E3</f>
        <v>-73700</v>
      </c>
      <c r="C3" s="2">
        <v>0</v>
      </c>
      <c r="D3" s="2">
        <v>0</v>
      </c>
      <c r="E3" s="2">
        <v>73700</v>
      </c>
      <c r="F3" s="2">
        <v>62421</v>
      </c>
    </row>
    <row r="4" spans="1:6" x14ac:dyDescent="0.3">
      <c r="A4" s="1" t="s">
        <v>27</v>
      </c>
      <c r="B4" s="2">
        <f t="shared" si="0"/>
        <v>-364023</v>
      </c>
      <c r="C4" s="2">
        <v>0</v>
      </c>
      <c r="D4" s="2">
        <v>0</v>
      </c>
      <c r="E4" s="2">
        <v>364023</v>
      </c>
      <c r="F4" s="2">
        <v>291481</v>
      </c>
    </row>
    <row r="5" spans="1:6" x14ac:dyDescent="0.3">
      <c r="A5" s="1" t="s">
        <v>28</v>
      </c>
      <c r="B5" s="2">
        <f t="shared" si="0"/>
        <v>-109706</v>
      </c>
      <c r="C5" s="2">
        <v>0</v>
      </c>
      <c r="D5" s="2">
        <v>0</v>
      </c>
      <c r="E5" s="2">
        <v>109706</v>
      </c>
      <c r="F5" s="2">
        <v>83062</v>
      </c>
    </row>
    <row r="6" spans="1:6" x14ac:dyDescent="0.3">
      <c r="A6" s="1" t="s">
        <v>3</v>
      </c>
      <c r="B6" s="2">
        <f t="shared" si="0"/>
        <v>-329570</v>
      </c>
      <c r="C6" s="2">
        <v>0</v>
      </c>
      <c r="D6" s="2">
        <v>0</v>
      </c>
      <c r="E6" s="2">
        <v>329570</v>
      </c>
      <c r="F6" s="2">
        <v>249620</v>
      </c>
    </row>
    <row r="7" spans="1:6" x14ac:dyDescent="0.3">
      <c r="A7" s="1" t="s">
        <v>4</v>
      </c>
      <c r="B7" s="2">
        <f t="shared" si="0"/>
        <v>-145035</v>
      </c>
      <c r="C7" s="2">
        <v>0</v>
      </c>
      <c r="D7" s="2">
        <v>0</v>
      </c>
      <c r="E7" s="2">
        <v>145035</v>
      </c>
      <c r="F7" s="2">
        <v>124980</v>
      </c>
    </row>
    <row r="8" spans="1:6" x14ac:dyDescent="0.3">
      <c r="A8" s="1" t="s">
        <v>5</v>
      </c>
      <c r="B8" s="2">
        <f t="shared" si="0"/>
        <v>-299682</v>
      </c>
      <c r="C8" s="2">
        <v>0</v>
      </c>
      <c r="D8" s="2">
        <v>0</v>
      </c>
      <c r="E8" s="2">
        <v>299682</v>
      </c>
      <c r="F8" s="2">
        <v>250481</v>
      </c>
    </row>
    <row r="9" spans="1:6" x14ac:dyDescent="0.3">
      <c r="A9" s="1" t="s">
        <v>6</v>
      </c>
      <c r="B9" s="2">
        <f t="shared" si="0"/>
        <v>-178762</v>
      </c>
      <c r="C9" s="2">
        <v>0</v>
      </c>
      <c r="D9" s="2">
        <v>0</v>
      </c>
      <c r="E9" s="2">
        <v>178762</v>
      </c>
      <c r="F9" s="2">
        <v>145462</v>
      </c>
    </row>
    <row r="10" spans="1:6" x14ac:dyDescent="0.3">
      <c r="A10" s="1" t="s">
        <v>7</v>
      </c>
      <c r="B10" s="2">
        <f t="shared" si="0"/>
        <v>-245291</v>
      </c>
      <c r="C10" s="2">
        <v>0</v>
      </c>
      <c r="D10" s="2">
        <v>0</v>
      </c>
      <c r="E10" s="2">
        <v>245291</v>
      </c>
      <c r="F10" s="2">
        <v>208140</v>
      </c>
    </row>
    <row r="11" spans="1:6" x14ac:dyDescent="0.3">
      <c r="A11" s="1" t="s">
        <v>8</v>
      </c>
      <c r="B11" s="2">
        <f t="shared" si="0"/>
        <v>-325828</v>
      </c>
      <c r="C11" s="2">
        <v>0</v>
      </c>
      <c r="D11" s="2">
        <v>0</v>
      </c>
      <c r="E11" s="2">
        <v>325828</v>
      </c>
      <c r="F11" s="2">
        <v>270940</v>
      </c>
    </row>
    <row r="12" spans="1:6" x14ac:dyDescent="0.3">
      <c r="A12" s="1" t="s">
        <v>9</v>
      </c>
      <c r="B12" s="2">
        <f t="shared" si="0"/>
        <v>-15</v>
      </c>
      <c r="C12" s="2">
        <v>0</v>
      </c>
      <c r="D12" s="2">
        <v>0</v>
      </c>
      <c r="E12" s="2">
        <v>15</v>
      </c>
      <c r="F12" s="2">
        <v>1</v>
      </c>
    </row>
    <row r="13" spans="1:6" x14ac:dyDescent="0.3">
      <c r="A13" s="1" t="s">
        <v>10</v>
      </c>
      <c r="B13" s="2">
        <f t="shared" si="0"/>
        <v>-15</v>
      </c>
      <c r="C13" s="2">
        <v>0</v>
      </c>
      <c r="D13" s="2">
        <v>0</v>
      </c>
      <c r="E13" s="2">
        <v>15</v>
      </c>
      <c r="F13" s="2">
        <v>1</v>
      </c>
    </row>
    <row r="14" spans="1:6" x14ac:dyDescent="0.3">
      <c r="A14" s="1" t="s">
        <v>11</v>
      </c>
      <c r="B14" s="2">
        <f t="shared" si="0"/>
        <v>-203526</v>
      </c>
      <c r="C14" s="2">
        <v>0</v>
      </c>
      <c r="D14" s="2">
        <v>0</v>
      </c>
      <c r="E14" s="2">
        <v>203526</v>
      </c>
      <c r="F14" s="2">
        <v>166600</v>
      </c>
    </row>
    <row r="15" spans="1:6" ht="17.25" thickBot="1" x14ac:dyDescent="0.35">
      <c r="A15" s="4" t="s">
        <v>31</v>
      </c>
      <c r="B15" s="5">
        <f>SUM(B3:B14)</f>
        <v>-2275153</v>
      </c>
      <c r="C15" s="5">
        <f t="shared" ref="C15:F15" si="1">SUM(C3:C14)</f>
        <v>0</v>
      </c>
      <c r="D15" s="5">
        <f t="shared" si="1"/>
        <v>0</v>
      </c>
      <c r="E15" s="5">
        <f t="shared" si="1"/>
        <v>2275153</v>
      </c>
      <c r="F15" s="5">
        <f t="shared" si="1"/>
        <v>1853189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18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-72336</v>
      </c>
      <c r="C3" s="2">
        <v>0</v>
      </c>
      <c r="D3" s="2">
        <v>0</v>
      </c>
      <c r="E3" s="2">
        <v>72336</v>
      </c>
      <c r="F3" s="2">
        <v>62321</v>
      </c>
    </row>
    <row r="4" spans="1:6" x14ac:dyDescent="0.3">
      <c r="A4" s="1" t="s">
        <v>1</v>
      </c>
      <c r="B4" s="2">
        <f t="shared" ref="B4:B14" si="0">C4-E4</f>
        <v>-1117891</v>
      </c>
      <c r="C4" s="2">
        <v>0</v>
      </c>
      <c r="D4" s="2">
        <v>0</v>
      </c>
      <c r="E4" s="2">
        <v>1117891</v>
      </c>
      <c r="F4" s="2">
        <v>1153428</v>
      </c>
    </row>
    <row r="5" spans="1:6" x14ac:dyDescent="0.3">
      <c r="A5" s="1" t="s">
        <v>2</v>
      </c>
      <c r="B5" s="2">
        <f t="shared" si="0"/>
        <v>-38</v>
      </c>
      <c r="C5" s="2">
        <v>0</v>
      </c>
      <c r="D5" s="2">
        <v>0</v>
      </c>
      <c r="E5" s="2">
        <v>38</v>
      </c>
      <c r="F5" s="2">
        <v>5</v>
      </c>
    </row>
    <row r="6" spans="1:6" x14ac:dyDescent="0.3">
      <c r="A6" s="1" t="s">
        <v>3</v>
      </c>
      <c r="B6" s="2">
        <f t="shared" si="0"/>
        <v>-250376</v>
      </c>
      <c r="C6" s="2">
        <v>0</v>
      </c>
      <c r="D6" s="2">
        <v>0</v>
      </c>
      <c r="E6" s="2">
        <v>250376</v>
      </c>
      <c r="F6" s="2">
        <v>208481</v>
      </c>
    </row>
    <row r="7" spans="1:6" x14ac:dyDescent="0.3">
      <c r="A7" s="1" t="s">
        <v>4</v>
      </c>
      <c r="B7" s="2">
        <f t="shared" si="0"/>
        <v>-218583</v>
      </c>
      <c r="C7" s="2">
        <v>0</v>
      </c>
      <c r="D7" s="2">
        <v>0</v>
      </c>
      <c r="E7" s="2">
        <v>218583</v>
      </c>
      <c r="F7" s="2">
        <v>187820</v>
      </c>
    </row>
    <row r="8" spans="1:6" x14ac:dyDescent="0.3">
      <c r="A8" s="1" t="s">
        <v>5</v>
      </c>
      <c r="B8" s="2">
        <f t="shared" si="0"/>
        <v>-165646</v>
      </c>
      <c r="C8" s="2">
        <v>0</v>
      </c>
      <c r="D8" s="2">
        <v>0</v>
      </c>
      <c r="E8" s="2">
        <v>165646</v>
      </c>
      <c r="F8" s="2">
        <v>146360</v>
      </c>
    </row>
    <row r="9" spans="1:6" x14ac:dyDescent="0.3">
      <c r="A9" s="1" t="s">
        <v>6</v>
      </c>
      <c r="B9" s="2">
        <f t="shared" si="0"/>
        <v>-234531</v>
      </c>
      <c r="C9" s="2">
        <v>0</v>
      </c>
      <c r="D9" s="2">
        <v>0</v>
      </c>
      <c r="E9" s="2">
        <v>234531</v>
      </c>
      <c r="F9" s="2">
        <v>208280</v>
      </c>
    </row>
    <row r="10" spans="1:6" x14ac:dyDescent="0.3">
      <c r="A10" s="1" t="s">
        <v>7</v>
      </c>
      <c r="B10" s="2">
        <f t="shared" si="0"/>
        <v>-167147</v>
      </c>
      <c r="C10" s="2">
        <v>0</v>
      </c>
      <c r="D10" s="2">
        <v>0</v>
      </c>
      <c r="E10" s="2">
        <v>167147</v>
      </c>
      <c r="F10" s="2">
        <v>148940</v>
      </c>
    </row>
    <row r="11" spans="1:6" x14ac:dyDescent="0.3">
      <c r="A11" s="1" t="s">
        <v>8</v>
      </c>
      <c r="B11" s="2">
        <f t="shared" si="0"/>
        <v>-466088</v>
      </c>
      <c r="C11" s="2">
        <v>0</v>
      </c>
      <c r="D11" s="2">
        <v>0</v>
      </c>
      <c r="E11" s="2">
        <v>466088</v>
      </c>
      <c r="F11" s="2">
        <v>421260</v>
      </c>
    </row>
    <row r="12" spans="1:6" x14ac:dyDescent="0.3">
      <c r="A12" s="1" t="s">
        <v>9</v>
      </c>
      <c r="B12" s="2">
        <f t="shared" si="0"/>
        <v>-230584</v>
      </c>
      <c r="C12" s="2">
        <v>0</v>
      </c>
      <c r="D12" s="2">
        <v>0</v>
      </c>
      <c r="E12" s="2">
        <v>230584</v>
      </c>
      <c r="F12" s="2">
        <v>207640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-74481</v>
      </c>
      <c r="C14" s="2">
        <v>0</v>
      </c>
      <c r="D14" s="2">
        <v>0</v>
      </c>
      <c r="E14" s="2">
        <v>74481</v>
      </c>
      <c r="F14" s="2">
        <v>61020</v>
      </c>
    </row>
    <row r="15" spans="1:6" ht="17.25" thickBot="1" x14ac:dyDescent="0.35">
      <c r="A15" s="4" t="s">
        <v>13</v>
      </c>
      <c r="B15" s="5">
        <f>SUM(B3:B14)</f>
        <v>-2997701</v>
      </c>
      <c r="C15" s="5">
        <f t="shared" ref="C15:F15" si="1">SUM(C3:C14)</f>
        <v>0</v>
      </c>
      <c r="D15" s="5">
        <f t="shared" si="1"/>
        <v>0</v>
      </c>
      <c r="E15" s="5">
        <f t="shared" si="1"/>
        <v>2997701</v>
      </c>
      <c r="F15" s="5">
        <f t="shared" si="1"/>
        <v>2805555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18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-151039</v>
      </c>
      <c r="C3" s="2">
        <v>0</v>
      </c>
      <c r="D3" s="2">
        <v>0</v>
      </c>
      <c r="E3" s="2">
        <v>151039</v>
      </c>
      <c r="F3" s="2">
        <v>123740</v>
      </c>
    </row>
    <row r="4" spans="1:6" x14ac:dyDescent="0.3">
      <c r="A4" s="1" t="s">
        <v>1</v>
      </c>
      <c r="B4" s="2">
        <f t="shared" ref="B4:B14" si="0">C4-E4</f>
        <v>-71511</v>
      </c>
      <c r="C4" s="2">
        <v>0</v>
      </c>
      <c r="D4" s="2">
        <v>0</v>
      </c>
      <c r="E4" s="2">
        <v>71511</v>
      </c>
      <c r="F4" s="2">
        <v>62441</v>
      </c>
    </row>
    <row r="5" spans="1:6" x14ac:dyDescent="0.3">
      <c r="A5" s="1" t="s">
        <v>2</v>
      </c>
      <c r="B5" s="2">
        <f t="shared" si="0"/>
        <v>-67959</v>
      </c>
      <c r="C5" s="2">
        <v>0</v>
      </c>
      <c r="D5" s="2">
        <v>0</v>
      </c>
      <c r="E5" s="2">
        <v>67959</v>
      </c>
      <c r="F5" s="2">
        <v>61182</v>
      </c>
    </row>
    <row r="6" spans="1:6" x14ac:dyDescent="0.3">
      <c r="A6" s="1" t="s">
        <v>3</v>
      </c>
      <c r="B6" s="2">
        <f t="shared" si="0"/>
        <v>-79939</v>
      </c>
      <c r="C6" s="2">
        <v>0</v>
      </c>
      <c r="D6" s="2">
        <v>0</v>
      </c>
      <c r="E6" s="2">
        <v>79939</v>
      </c>
      <c r="F6" s="2">
        <v>62185</v>
      </c>
    </row>
    <row r="7" spans="1:6" x14ac:dyDescent="0.3">
      <c r="A7" s="1" t="s">
        <v>4</v>
      </c>
      <c r="B7" s="2">
        <f t="shared" si="0"/>
        <v>-250765</v>
      </c>
      <c r="C7" s="2">
        <v>0</v>
      </c>
      <c r="D7" s="2">
        <v>0</v>
      </c>
      <c r="E7" s="2">
        <v>250765</v>
      </c>
      <c r="F7" s="2">
        <v>203900</v>
      </c>
    </row>
    <row r="8" spans="1:6" x14ac:dyDescent="0.3">
      <c r="A8" s="1" t="s">
        <v>5</v>
      </c>
      <c r="B8" s="2">
        <f t="shared" si="0"/>
        <v>-133174</v>
      </c>
      <c r="C8" s="2">
        <v>0</v>
      </c>
      <c r="D8" s="2">
        <v>0</v>
      </c>
      <c r="E8" s="2">
        <v>133174</v>
      </c>
      <c r="F8" s="2">
        <v>99345</v>
      </c>
    </row>
    <row r="9" spans="1:6" x14ac:dyDescent="0.3">
      <c r="A9" s="1" t="s">
        <v>6</v>
      </c>
      <c r="B9" s="2">
        <f t="shared" si="0"/>
        <v>-261905</v>
      </c>
      <c r="C9" s="2">
        <v>0</v>
      </c>
      <c r="D9" s="2">
        <v>0</v>
      </c>
      <c r="E9" s="2">
        <v>261905</v>
      </c>
      <c r="F9" s="2">
        <v>204970</v>
      </c>
    </row>
    <row r="10" spans="1:6" x14ac:dyDescent="0.3">
      <c r="A10" s="1" t="s">
        <v>7</v>
      </c>
      <c r="B10" s="2">
        <f t="shared" si="0"/>
        <v>-82917</v>
      </c>
      <c r="C10" s="2">
        <v>0</v>
      </c>
      <c r="D10" s="2">
        <v>0</v>
      </c>
      <c r="E10" s="2">
        <v>82917</v>
      </c>
      <c r="F10" s="2">
        <v>61815</v>
      </c>
    </row>
    <row r="11" spans="1:6" x14ac:dyDescent="0.3">
      <c r="A11" s="1" t="s">
        <v>8</v>
      </c>
      <c r="B11" s="2">
        <f t="shared" si="0"/>
        <v>-244577</v>
      </c>
      <c r="C11" s="2">
        <v>0</v>
      </c>
      <c r="D11" s="2">
        <v>0</v>
      </c>
      <c r="E11" s="2">
        <v>244577</v>
      </c>
      <c r="F11" s="2">
        <v>183800</v>
      </c>
    </row>
    <row r="12" spans="1:6" x14ac:dyDescent="0.3">
      <c r="A12" s="1" t="s">
        <v>9</v>
      </c>
      <c r="B12" s="2">
        <f t="shared" si="0"/>
        <v>-59361</v>
      </c>
      <c r="C12" s="2">
        <v>0</v>
      </c>
      <c r="D12" s="2">
        <v>0</v>
      </c>
      <c r="E12" s="2">
        <v>59361</v>
      </c>
      <c r="F12" s="2">
        <v>43000</v>
      </c>
    </row>
    <row r="13" spans="1:6" x14ac:dyDescent="0.3">
      <c r="A13" s="1" t="s">
        <v>10</v>
      </c>
      <c r="B13" s="2">
        <f t="shared" si="0"/>
        <v>-59361</v>
      </c>
      <c r="C13" s="2">
        <v>0</v>
      </c>
      <c r="D13" s="2">
        <v>0</v>
      </c>
      <c r="E13" s="2">
        <v>59361</v>
      </c>
      <c r="F13" s="2">
        <v>43000</v>
      </c>
    </row>
    <row r="14" spans="1:6" x14ac:dyDescent="0.3">
      <c r="A14" s="1" t="s">
        <v>11</v>
      </c>
      <c r="B14" s="2">
        <f t="shared" si="0"/>
        <v>-12</v>
      </c>
      <c r="C14" s="2">
        <v>0</v>
      </c>
      <c r="D14" s="2">
        <v>0</v>
      </c>
      <c r="E14" s="2">
        <v>12</v>
      </c>
      <c r="F14" s="2">
        <v>1</v>
      </c>
    </row>
    <row r="15" spans="1:6" ht="17.25" thickBot="1" x14ac:dyDescent="0.35">
      <c r="A15" s="4" t="s">
        <v>13</v>
      </c>
      <c r="B15" s="5">
        <f>SUM(B3:B14)</f>
        <v>-1462520</v>
      </c>
      <c r="C15" s="5">
        <f t="shared" ref="C15:F15" si="1">SUM(C3:C14)</f>
        <v>0</v>
      </c>
      <c r="D15" s="5">
        <f t="shared" si="1"/>
        <v>0</v>
      </c>
      <c r="E15" s="5">
        <f t="shared" si="1"/>
        <v>1462520</v>
      </c>
      <c r="F15" s="5">
        <f t="shared" si="1"/>
        <v>1149379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-126459</v>
      </c>
      <c r="C4" s="2">
        <v>0</v>
      </c>
      <c r="D4" s="2">
        <v>0</v>
      </c>
      <c r="E4" s="2">
        <v>126459</v>
      </c>
      <c r="F4" s="2">
        <v>86000</v>
      </c>
    </row>
    <row r="5" spans="1:6" x14ac:dyDescent="0.3">
      <c r="A5" s="1" t="s">
        <v>2</v>
      </c>
      <c r="B5" s="2">
        <f t="shared" si="0"/>
        <v>-19</v>
      </c>
      <c r="C5" s="2">
        <v>0</v>
      </c>
      <c r="D5" s="2">
        <v>0</v>
      </c>
      <c r="E5" s="2">
        <v>19</v>
      </c>
      <c r="F5" s="2">
        <v>2</v>
      </c>
    </row>
    <row r="6" spans="1:6" x14ac:dyDescent="0.3">
      <c r="A6" s="1" t="s">
        <v>3</v>
      </c>
      <c r="B6" s="2">
        <f t="shared" si="0"/>
        <v>-126498</v>
      </c>
      <c r="C6" s="2">
        <v>0</v>
      </c>
      <c r="D6" s="2">
        <v>0</v>
      </c>
      <c r="E6" s="2">
        <v>126498</v>
      </c>
      <c r="F6" s="2">
        <v>86003</v>
      </c>
    </row>
    <row r="7" spans="1:6" x14ac:dyDescent="0.3">
      <c r="A7" s="1" t="s">
        <v>4</v>
      </c>
      <c r="B7" s="2">
        <f t="shared" si="0"/>
        <v>-106565</v>
      </c>
      <c r="C7" s="2">
        <v>0</v>
      </c>
      <c r="D7" s="2">
        <v>0</v>
      </c>
      <c r="E7" s="2">
        <v>106565</v>
      </c>
      <c r="F7" s="2">
        <v>64515</v>
      </c>
    </row>
    <row r="8" spans="1:6" x14ac:dyDescent="0.3">
      <c r="A8" s="1" t="s">
        <v>5</v>
      </c>
      <c r="B8" s="2">
        <f t="shared" si="0"/>
        <v>-627882</v>
      </c>
      <c r="C8" s="2">
        <v>0</v>
      </c>
      <c r="D8" s="2">
        <v>0</v>
      </c>
      <c r="E8" s="2">
        <v>627882</v>
      </c>
      <c r="F8" s="2">
        <v>408503</v>
      </c>
    </row>
    <row r="9" spans="1:6" x14ac:dyDescent="0.3">
      <c r="A9" s="1" t="s">
        <v>6</v>
      </c>
      <c r="B9" s="2">
        <f t="shared" si="0"/>
        <v>-248396</v>
      </c>
      <c r="C9" s="2">
        <v>0</v>
      </c>
      <c r="D9" s="2">
        <v>0</v>
      </c>
      <c r="E9" s="2">
        <v>248396</v>
      </c>
      <c r="F9" s="2">
        <v>150500</v>
      </c>
    </row>
    <row r="10" spans="1:6" x14ac:dyDescent="0.3">
      <c r="A10" s="1" t="s">
        <v>7</v>
      </c>
      <c r="B10" s="2">
        <f t="shared" si="0"/>
        <v>-465481</v>
      </c>
      <c r="C10" s="2">
        <v>0</v>
      </c>
      <c r="D10" s="2">
        <v>0</v>
      </c>
      <c r="E10" s="2">
        <v>465481</v>
      </c>
      <c r="F10" s="2">
        <v>279501</v>
      </c>
    </row>
    <row r="11" spans="1:6" x14ac:dyDescent="0.3">
      <c r="A11" s="1" t="s">
        <v>8</v>
      </c>
      <c r="B11" s="2">
        <f t="shared" si="0"/>
        <v>-808138</v>
      </c>
      <c r="C11" s="2">
        <v>0</v>
      </c>
      <c r="D11" s="2">
        <v>0</v>
      </c>
      <c r="E11" s="2">
        <v>808138</v>
      </c>
      <c r="F11" s="2">
        <v>564280</v>
      </c>
    </row>
    <row r="12" spans="1:6" x14ac:dyDescent="0.3">
      <c r="A12" s="1" t="s">
        <v>9</v>
      </c>
      <c r="B12" s="2">
        <f t="shared" si="0"/>
        <v>-855307</v>
      </c>
      <c r="C12" s="2">
        <v>0</v>
      </c>
      <c r="D12" s="2">
        <v>0</v>
      </c>
      <c r="E12" s="2">
        <v>855307</v>
      </c>
      <c r="F12" s="2">
        <v>522122</v>
      </c>
    </row>
    <row r="13" spans="1:6" x14ac:dyDescent="0.3">
      <c r="A13" s="1" t="s">
        <v>10</v>
      </c>
      <c r="B13" s="2">
        <f t="shared" si="0"/>
        <v>-537185</v>
      </c>
      <c r="C13" s="2">
        <v>0</v>
      </c>
      <c r="D13" s="2">
        <v>0</v>
      </c>
      <c r="E13" s="2">
        <v>537185</v>
      </c>
      <c r="F13" s="2">
        <v>325450</v>
      </c>
    </row>
    <row r="14" spans="1:6" x14ac:dyDescent="0.3">
      <c r="A14" s="1" t="s">
        <v>11</v>
      </c>
      <c r="B14" s="2">
        <f t="shared" si="0"/>
        <v>-150552</v>
      </c>
      <c r="C14" s="2">
        <v>0</v>
      </c>
      <c r="D14" s="2">
        <v>0</v>
      </c>
      <c r="E14" s="2">
        <v>150552</v>
      </c>
      <c r="F14" s="2">
        <v>86000</v>
      </c>
    </row>
    <row r="15" spans="1:6" ht="17.25" thickBot="1" x14ac:dyDescent="0.35">
      <c r="A15" s="4" t="s">
        <v>13</v>
      </c>
      <c r="B15" s="5">
        <f>SUM(B3:B14)</f>
        <v>-4052482</v>
      </c>
      <c r="C15" s="5">
        <f t="shared" ref="C15:F15" si="1">SUM(C3:C14)</f>
        <v>0</v>
      </c>
      <c r="D15" s="5">
        <f t="shared" si="1"/>
        <v>0</v>
      </c>
      <c r="E15" s="5">
        <f t="shared" si="1"/>
        <v>4052482</v>
      </c>
      <c r="F15" s="5">
        <f t="shared" si="1"/>
        <v>2572876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-19</v>
      </c>
      <c r="C3" s="2">
        <v>0</v>
      </c>
      <c r="D3" s="2">
        <v>0</v>
      </c>
      <c r="E3" s="2">
        <v>19</v>
      </c>
      <c r="F3" s="2">
        <v>2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-136352</v>
      </c>
      <c r="C5" s="2">
        <v>0</v>
      </c>
      <c r="D5" s="2">
        <v>0</v>
      </c>
      <c r="E5" s="2">
        <v>136352</v>
      </c>
      <c r="F5" s="2">
        <v>86000</v>
      </c>
    </row>
    <row r="6" spans="1:6" x14ac:dyDescent="0.3">
      <c r="A6" s="1" t="s">
        <v>3</v>
      </c>
      <c r="B6" s="2">
        <f t="shared" si="0"/>
        <v>-17</v>
      </c>
      <c r="C6" s="2">
        <v>0</v>
      </c>
      <c r="D6" s="2">
        <v>0</v>
      </c>
      <c r="E6" s="2">
        <v>17</v>
      </c>
      <c r="F6" s="2">
        <v>2</v>
      </c>
    </row>
    <row r="7" spans="1:6" x14ac:dyDescent="0.3">
      <c r="A7" s="1" t="s">
        <v>4</v>
      </c>
      <c r="B7" s="2">
        <f t="shared" si="0"/>
        <v>-34</v>
      </c>
      <c r="C7" s="2">
        <v>0</v>
      </c>
      <c r="D7" s="2">
        <v>0</v>
      </c>
      <c r="E7" s="2">
        <v>34</v>
      </c>
      <c r="F7" s="2">
        <v>3</v>
      </c>
    </row>
    <row r="8" spans="1:6" x14ac:dyDescent="0.3">
      <c r="A8" s="1" t="s">
        <v>5</v>
      </c>
      <c r="B8" s="2">
        <f t="shared" si="0"/>
        <v>-547878</v>
      </c>
      <c r="C8" s="2">
        <v>0</v>
      </c>
      <c r="D8" s="2">
        <v>0</v>
      </c>
      <c r="E8" s="2">
        <v>547878</v>
      </c>
      <c r="F8" s="2">
        <v>412590</v>
      </c>
    </row>
    <row r="9" spans="1:6" x14ac:dyDescent="0.3">
      <c r="A9" s="1" t="s">
        <v>6</v>
      </c>
      <c r="B9" s="2">
        <f t="shared" si="0"/>
        <v>-332595</v>
      </c>
      <c r="C9" s="2">
        <v>0</v>
      </c>
      <c r="D9" s="2">
        <v>0</v>
      </c>
      <c r="E9" s="2">
        <v>332595</v>
      </c>
      <c r="F9" s="2">
        <v>237612</v>
      </c>
    </row>
    <row r="10" spans="1:6" x14ac:dyDescent="0.3">
      <c r="A10" s="1" t="s">
        <v>7</v>
      </c>
      <c r="B10" s="2">
        <f t="shared" si="0"/>
        <v>-30333</v>
      </c>
      <c r="C10" s="2">
        <v>0</v>
      </c>
      <c r="D10" s="2">
        <v>0</v>
      </c>
      <c r="E10" s="2">
        <v>30333</v>
      </c>
      <c r="F10" s="2">
        <v>21502</v>
      </c>
    </row>
    <row r="11" spans="1:6" x14ac:dyDescent="0.3">
      <c r="A11" s="1" t="s">
        <v>8</v>
      </c>
      <c r="B11" s="2">
        <f t="shared" si="0"/>
        <v>-128181</v>
      </c>
      <c r="C11" s="2">
        <v>0</v>
      </c>
      <c r="D11" s="2">
        <v>0</v>
      </c>
      <c r="E11" s="2">
        <v>128181</v>
      </c>
      <c r="F11" s="2">
        <v>86000</v>
      </c>
    </row>
    <row r="12" spans="1:6" x14ac:dyDescent="0.3">
      <c r="A12" s="1" t="s">
        <v>9</v>
      </c>
      <c r="B12" s="2">
        <f t="shared" si="0"/>
        <v>-352561</v>
      </c>
      <c r="C12" s="2">
        <v>0</v>
      </c>
      <c r="D12" s="2">
        <v>0</v>
      </c>
      <c r="E12" s="2">
        <v>352561</v>
      </c>
      <c r="F12" s="2">
        <v>282342</v>
      </c>
    </row>
    <row r="13" spans="1:6" x14ac:dyDescent="0.3">
      <c r="A13" s="1" t="s">
        <v>10</v>
      </c>
      <c r="B13" s="2">
        <f t="shared" si="0"/>
        <v>-359534</v>
      </c>
      <c r="C13" s="2">
        <v>0</v>
      </c>
      <c r="D13" s="2">
        <v>0</v>
      </c>
      <c r="E13" s="2">
        <v>359534</v>
      </c>
      <c r="F13" s="2">
        <v>304690</v>
      </c>
    </row>
    <row r="14" spans="1:6" x14ac:dyDescent="0.3">
      <c r="A14" s="1" t="s">
        <v>11</v>
      </c>
      <c r="B14" s="2">
        <f t="shared" si="0"/>
        <v>-419671</v>
      </c>
      <c r="C14" s="2">
        <v>0</v>
      </c>
      <c r="D14" s="2">
        <v>0</v>
      </c>
      <c r="E14" s="2">
        <v>419671</v>
      </c>
      <c r="F14" s="2">
        <v>303640</v>
      </c>
    </row>
    <row r="15" spans="1:6" ht="17.25" thickBot="1" x14ac:dyDescent="0.35">
      <c r="A15" s="4" t="s">
        <v>13</v>
      </c>
      <c r="B15" s="5">
        <f>SUM(B3:B14)</f>
        <v>-2307175</v>
      </c>
      <c r="C15" s="5">
        <f t="shared" ref="C15:F15" si="1">SUM(C3:C14)</f>
        <v>0</v>
      </c>
      <c r="D15" s="5">
        <f t="shared" si="1"/>
        <v>0</v>
      </c>
      <c r="E15" s="5">
        <f t="shared" si="1"/>
        <v>2307175</v>
      </c>
      <c r="F15" s="5">
        <f t="shared" si="1"/>
        <v>1734383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-13</v>
      </c>
      <c r="C3" s="2">
        <v>0</v>
      </c>
      <c r="D3" s="2">
        <v>0</v>
      </c>
      <c r="E3" s="2">
        <v>13</v>
      </c>
      <c r="F3" s="2">
        <v>1</v>
      </c>
    </row>
    <row r="4" spans="1:6" x14ac:dyDescent="0.3">
      <c r="A4" s="1" t="s">
        <v>1</v>
      </c>
      <c r="B4" s="2">
        <f t="shared" si="0"/>
        <v>-19</v>
      </c>
      <c r="C4" s="2">
        <v>0</v>
      </c>
      <c r="D4" s="2">
        <v>0</v>
      </c>
      <c r="E4" s="2">
        <v>19</v>
      </c>
      <c r="F4" s="2">
        <v>2</v>
      </c>
    </row>
    <row r="5" spans="1:6" x14ac:dyDescent="0.3">
      <c r="A5" s="1" t="s">
        <v>2</v>
      </c>
      <c r="B5" s="2">
        <f t="shared" si="0"/>
        <v>-436122</v>
      </c>
      <c r="C5" s="2">
        <v>0</v>
      </c>
      <c r="D5" s="2">
        <v>0</v>
      </c>
      <c r="E5" s="2">
        <v>436122</v>
      </c>
      <c r="F5" s="2">
        <v>304980</v>
      </c>
    </row>
    <row r="6" spans="1:6" x14ac:dyDescent="0.3">
      <c r="A6" s="1" t="s">
        <v>3</v>
      </c>
      <c r="B6" s="2">
        <f t="shared" si="0"/>
        <v>-558836</v>
      </c>
      <c r="C6" s="2">
        <v>0</v>
      </c>
      <c r="D6" s="2">
        <v>0</v>
      </c>
      <c r="E6" s="2">
        <v>558836</v>
      </c>
      <c r="F6" s="2">
        <v>391330</v>
      </c>
    </row>
    <row r="7" spans="1:6" x14ac:dyDescent="0.3">
      <c r="A7" s="1" t="s">
        <v>4</v>
      </c>
      <c r="B7" s="2">
        <f t="shared" si="0"/>
        <v>-577961</v>
      </c>
      <c r="C7" s="2">
        <v>0</v>
      </c>
      <c r="D7" s="2">
        <v>0</v>
      </c>
      <c r="E7" s="2">
        <v>577961</v>
      </c>
      <c r="F7" s="2">
        <v>391410</v>
      </c>
    </row>
    <row r="8" spans="1:6" x14ac:dyDescent="0.3">
      <c r="A8" s="1" t="s">
        <v>5</v>
      </c>
      <c r="B8" s="2">
        <f t="shared" si="0"/>
        <v>-655494</v>
      </c>
      <c r="C8" s="2">
        <v>0</v>
      </c>
      <c r="D8" s="2">
        <v>0</v>
      </c>
      <c r="E8" s="2">
        <v>655494</v>
      </c>
      <c r="F8" s="2">
        <v>458372</v>
      </c>
    </row>
    <row r="9" spans="1:6" x14ac:dyDescent="0.3">
      <c r="A9" s="1" t="s">
        <v>6</v>
      </c>
      <c r="B9" s="2">
        <f t="shared" si="0"/>
        <v>-1357211</v>
      </c>
      <c r="C9" s="2">
        <v>0</v>
      </c>
      <c r="D9" s="2">
        <v>0</v>
      </c>
      <c r="E9" s="2">
        <v>1357211</v>
      </c>
      <c r="F9" s="2">
        <v>805482</v>
      </c>
    </row>
    <row r="10" spans="1:6" x14ac:dyDescent="0.3">
      <c r="A10" s="1" t="s">
        <v>7</v>
      </c>
      <c r="B10" s="2">
        <f t="shared" si="0"/>
        <v>-655040</v>
      </c>
      <c r="C10" s="2">
        <v>0</v>
      </c>
      <c r="D10" s="2">
        <v>0</v>
      </c>
      <c r="E10" s="2">
        <v>655040</v>
      </c>
      <c r="F10" s="2">
        <v>458070</v>
      </c>
    </row>
    <row r="11" spans="1:6" x14ac:dyDescent="0.3">
      <c r="A11" s="1" t="s">
        <v>8</v>
      </c>
      <c r="B11" s="2">
        <f t="shared" si="0"/>
        <v>-152336</v>
      </c>
      <c r="C11" s="2">
        <v>0</v>
      </c>
      <c r="D11" s="2">
        <v>0</v>
      </c>
      <c r="E11" s="2">
        <v>152336</v>
      </c>
      <c r="F11" s="2">
        <v>86000</v>
      </c>
    </row>
    <row r="12" spans="1:6" x14ac:dyDescent="0.3">
      <c r="A12" s="1" t="s">
        <v>9</v>
      </c>
      <c r="B12" s="2">
        <f t="shared" si="0"/>
        <v>-280856</v>
      </c>
      <c r="C12" s="2">
        <v>0</v>
      </c>
      <c r="D12" s="2">
        <v>0</v>
      </c>
      <c r="E12" s="2">
        <v>280856</v>
      </c>
      <c r="F12" s="2">
        <v>196392</v>
      </c>
    </row>
    <row r="13" spans="1:6" x14ac:dyDescent="0.3">
      <c r="A13" s="1" t="s">
        <v>10</v>
      </c>
      <c r="B13" s="2">
        <f t="shared" si="0"/>
        <v>-369903</v>
      </c>
      <c r="C13" s="2">
        <v>0</v>
      </c>
      <c r="D13" s="2">
        <v>0</v>
      </c>
      <c r="E13" s="2">
        <v>369903</v>
      </c>
      <c r="F13" s="2">
        <v>217110</v>
      </c>
    </row>
    <row r="14" spans="1:6" x14ac:dyDescent="0.3">
      <c r="A14" s="1" t="s">
        <v>11</v>
      </c>
      <c r="B14" s="2">
        <f t="shared" si="0"/>
        <v>-289019</v>
      </c>
      <c r="C14" s="2">
        <v>0</v>
      </c>
      <c r="D14" s="2">
        <v>0</v>
      </c>
      <c r="E14" s="2">
        <v>289019</v>
      </c>
      <c r="F14" s="2">
        <v>174190</v>
      </c>
    </row>
    <row r="15" spans="1:6" ht="17.25" thickBot="1" x14ac:dyDescent="0.35">
      <c r="A15" s="4" t="s">
        <v>13</v>
      </c>
      <c r="B15" s="5">
        <f>SUM(B3:B14)</f>
        <v>-5332810</v>
      </c>
      <c r="C15" s="5">
        <f t="shared" ref="C15:F15" si="1">SUM(C3:C14)</f>
        <v>0</v>
      </c>
      <c r="D15" s="5">
        <f t="shared" si="1"/>
        <v>0</v>
      </c>
      <c r="E15" s="5">
        <f t="shared" si="1"/>
        <v>5332810</v>
      </c>
      <c r="F15" s="5">
        <f t="shared" si="1"/>
        <v>3483339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-824760</v>
      </c>
      <c r="C3" s="2">
        <v>0</v>
      </c>
      <c r="D3" s="2">
        <v>0</v>
      </c>
      <c r="E3" s="2">
        <v>824760</v>
      </c>
      <c r="F3" s="2">
        <v>522000</v>
      </c>
    </row>
    <row r="4" spans="1:6" x14ac:dyDescent="0.3">
      <c r="A4" s="1" t="s">
        <v>1</v>
      </c>
      <c r="B4" s="2">
        <f t="shared" si="0"/>
        <v>-1589266</v>
      </c>
      <c r="C4" s="2">
        <v>0</v>
      </c>
      <c r="D4" s="2">
        <v>0</v>
      </c>
      <c r="E4" s="2">
        <v>1589266</v>
      </c>
      <c r="F4" s="2">
        <v>913970</v>
      </c>
    </row>
    <row r="5" spans="1:6" x14ac:dyDescent="0.3">
      <c r="A5" s="1" t="s">
        <v>2</v>
      </c>
      <c r="B5" s="2">
        <f t="shared" si="0"/>
        <v>-1092464</v>
      </c>
      <c r="C5" s="2">
        <v>0</v>
      </c>
      <c r="D5" s="2">
        <v>0</v>
      </c>
      <c r="E5" s="2">
        <v>1092464</v>
      </c>
      <c r="F5" s="2">
        <v>609830</v>
      </c>
    </row>
    <row r="6" spans="1:6" x14ac:dyDescent="0.3">
      <c r="A6" s="1" t="s">
        <v>3</v>
      </c>
      <c r="B6" s="2">
        <f t="shared" si="0"/>
        <v>-768765</v>
      </c>
      <c r="C6" s="2">
        <v>0</v>
      </c>
      <c r="D6" s="2">
        <v>0</v>
      </c>
      <c r="E6" s="2">
        <v>768765</v>
      </c>
      <c r="F6" s="2">
        <v>391544</v>
      </c>
    </row>
    <row r="7" spans="1:6" x14ac:dyDescent="0.3">
      <c r="A7" s="1" t="s">
        <v>4</v>
      </c>
      <c r="B7" s="2">
        <f t="shared" si="0"/>
        <v>-912347</v>
      </c>
      <c r="C7" s="2">
        <v>0</v>
      </c>
      <c r="D7" s="2">
        <v>0</v>
      </c>
      <c r="E7" s="2">
        <v>912347</v>
      </c>
      <c r="F7" s="2">
        <v>412074</v>
      </c>
    </row>
    <row r="8" spans="1:6" x14ac:dyDescent="0.3">
      <c r="A8" s="1" t="s">
        <v>5</v>
      </c>
      <c r="B8" s="2">
        <f t="shared" si="0"/>
        <v>-1285040</v>
      </c>
      <c r="C8" s="2">
        <v>0</v>
      </c>
      <c r="D8" s="2">
        <v>0</v>
      </c>
      <c r="E8" s="2">
        <v>1285040</v>
      </c>
      <c r="F8" s="2">
        <v>348243</v>
      </c>
    </row>
    <row r="9" spans="1:6" x14ac:dyDescent="0.3">
      <c r="A9" s="1" t="s">
        <v>6</v>
      </c>
      <c r="B9" s="2">
        <f t="shared" si="0"/>
        <v>-2814133</v>
      </c>
      <c r="C9" s="2">
        <v>0</v>
      </c>
      <c r="D9" s="2">
        <v>0</v>
      </c>
      <c r="E9" s="2">
        <v>2814133</v>
      </c>
      <c r="F9" s="2">
        <v>825050</v>
      </c>
    </row>
    <row r="10" spans="1:6" x14ac:dyDescent="0.3">
      <c r="A10" s="1" t="s">
        <v>7</v>
      </c>
      <c r="B10" s="2">
        <f t="shared" si="0"/>
        <v>-3773969</v>
      </c>
      <c r="C10" s="2">
        <v>0</v>
      </c>
      <c r="D10" s="2">
        <v>0</v>
      </c>
      <c r="E10" s="2">
        <v>3773969</v>
      </c>
      <c r="F10" s="6">
        <v>1065401</v>
      </c>
    </row>
    <row r="11" spans="1:6" x14ac:dyDescent="0.3">
      <c r="A11" s="1" t="s">
        <v>8</v>
      </c>
      <c r="B11" s="2">
        <f t="shared" si="0"/>
        <v>-3350678</v>
      </c>
      <c r="C11" s="2">
        <v>0</v>
      </c>
      <c r="D11" s="2">
        <v>0</v>
      </c>
      <c r="E11" s="2">
        <v>3350678</v>
      </c>
      <c r="F11" s="2">
        <v>997061</v>
      </c>
    </row>
    <row r="12" spans="1:6" x14ac:dyDescent="0.3">
      <c r="A12" s="1" t="s">
        <v>9</v>
      </c>
      <c r="B12" s="2">
        <f t="shared" si="0"/>
        <v>-2960607</v>
      </c>
      <c r="C12" s="2">
        <v>0</v>
      </c>
      <c r="D12" s="2">
        <v>0</v>
      </c>
      <c r="E12" s="2">
        <v>2960607</v>
      </c>
      <c r="F12" s="2">
        <v>867190</v>
      </c>
    </row>
    <row r="13" spans="1:6" x14ac:dyDescent="0.3">
      <c r="A13" s="1" t="s">
        <v>10</v>
      </c>
      <c r="B13" s="2">
        <f t="shared" si="0"/>
        <v>-1373195</v>
      </c>
      <c r="C13" s="2">
        <v>0</v>
      </c>
      <c r="D13" s="2">
        <v>0</v>
      </c>
      <c r="E13" s="2">
        <v>1373195</v>
      </c>
      <c r="F13" s="2">
        <v>412090</v>
      </c>
    </row>
    <row r="14" spans="1:6" x14ac:dyDescent="0.3">
      <c r="A14" s="1" t="s">
        <v>11</v>
      </c>
      <c r="B14" s="2">
        <f t="shared" si="0"/>
        <v>-1827641</v>
      </c>
      <c r="C14" s="2">
        <v>0</v>
      </c>
      <c r="D14" s="2">
        <v>0</v>
      </c>
      <c r="E14" s="2">
        <v>1827641</v>
      </c>
      <c r="F14" s="2">
        <v>563250</v>
      </c>
    </row>
    <row r="15" spans="1:6" ht="17.25" thickBot="1" x14ac:dyDescent="0.35">
      <c r="A15" s="4" t="s">
        <v>13</v>
      </c>
      <c r="B15" s="5">
        <f>SUM(B3:B14)</f>
        <v>-22572865</v>
      </c>
      <c r="C15" s="5">
        <f t="shared" ref="C15:F15" si="1">SUM(C3:C14)</f>
        <v>0</v>
      </c>
      <c r="D15" s="5">
        <f t="shared" si="1"/>
        <v>0</v>
      </c>
      <c r="E15" s="5">
        <f t="shared" si="1"/>
        <v>22572865</v>
      </c>
      <c r="F15" s="5">
        <f t="shared" si="1"/>
        <v>7927703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-508100</v>
      </c>
      <c r="C4" s="2">
        <v>0</v>
      </c>
      <c r="D4" s="2">
        <v>0</v>
      </c>
      <c r="E4" s="2">
        <v>508100</v>
      </c>
      <c r="F4" s="2">
        <v>152321</v>
      </c>
    </row>
    <row r="5" spans="1:6" x14ac:dyDescent="0.3">
      <c r="A5" s="1" t="s">
        <v>2</v>
      </c>
      <c r="B5" s="2">
        <f t="shared" si="0"/>
        <v>-11</v>
      </c>
      <c r="C5" s="2">
        <v>0</v>
      </c>
      <c r="D5" s="2">
        <v>0</v>
      </c>
      <c r="E5" s="2">
        <v>11</v>
      </c>
      <c r="F5" s="2">
        <v>1</v>
      </c>
    </row>
    <row r="6" spans="1:6" x14ac:dyDescent="0.3">
      <c r="A6" s="1" t="s">
        <v>3</v>
      </c>
      <c r="B6" s="2">
        <f t="shared" si="0"/>
        <v>-294765</v>
      </c>
      <c r="C6" s="2">
        <v>0</v>
      </c>
      <c r="D6" s="2">
        <v>0</v>
      </c>
      <c r="E6" s="2">
        <v>294765</v>
      </c>
      <c r="F6" s="2">
        <v>107680</v>
      </c>
    </row>
    <row r="7" spans="1:6" x14ac:dyDescent="0.3">
      <c r="A7" s="1" t="s">
        <v>4</v>
      </c>
      <c r="B7" s="2">
        <f t="shared" si="0"/>
        <v>-230696</v>
      </c>
      <c r="C7" s="2">
        <v>0</v>
      </c>
      <c r="D7" s="2">
        <v>0</v>
      </c>
      <c r="E7" s="2">
        <v>230696</v>
      </c>
      <c r="F7" s="2">
        <v>86000</v>
      </c>
    </row>
    <row r="8" spans="1:6" x14ac:dyDescent="0.3">
      <c r="A8" s="1" t="s">
        <v>5</v>
      </c>
      <c r="B8" s="2">
        <f t="shared" si="0"/>
        <v>-109335</v>
      </c>
      <c r="C8" s="2">
        <v>0</v>
      </c>
      <c r="D8" s="2">
        <v>0</v>
      </c>
      <c r="E8" s="2">
        <v>109335</v>
      </c>
      <c r="F8" s="2">
        <v>43001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-109340</v>
      </c>
      <c r="C10" s="2">
        <v>0</v>
      </c>
      <c r="D10" s="2">
        <v>0</v>
      </c>
      <c r="E10" s="2">
        <v>109340</v>
      </c>
      <c r="F10" s="2">
        <v>43001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-70585</v>
      </c>
      <c r="C12" s="2">
        <v>0</v>
      </c>
      <c r="D12" s="2">
        <v>0</v>
      </c>
      <c r="E12" s="2">
        <v>70585</v>
      </c>
      <c r="F12" s="2">
        <v>43000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-153230</v>
      </c>
      <c r="C14" s="2">
        <v>0</v>
      </c>
      <c r="D14" s="2">
        <v>0</v>
      </c>
      <c r="E14" s="2">
        <v>153230</v>
      </c>
      <c r="F14" s="2">
        <v>86000</v>
      </c>
    </row>
    <row r="15" spans="1:6" ht="17.25" thickBot="1" x14ac:dyDescent="0.35">
      <c r="A15" s="4" t="s">
        <v>13</v>
      </c>
      <c r="B15" s="5">
        <f>SUM(B3:B14)</f>
        <v>-1476062</v>
      </c>
      <c r="C15" s="5">
        <f t="shared" ref="C15:F15" si="1">SUM(C3:C14)</f>
        <v>0</v>
      </c>
      <c r="D15" s="5">
        <f t="shared" si="1"/>
        <v>0</v>
      </c>
      <c r="E15" s="5">
        <f t="shared" si="1"/>
        <v>1476062</v>
      </c>
      <c r="F15" s="5">
        <f t="shared" si="1"/>
        <v>561004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-59200</v>
      </c>
      <c r="C3" s="2">
        <v>0</v>
      </c>
      <c r="D3" s="2">
        <v>0</v>
      </c>
      <c r="E3" s="2">
        <v>59200</v>
      </c>
      <c r="F3" s="2">
        <v>43690</v>
      </c>
    </row>
    <row r="4" spans="1:6" x14ac:dyDescent="0.3">
      <c r="A4" s="1" t="s">
        <v>1</v>
      </c>
      <c r="B4" s="2">
        <f t="shared" si="0"/>
        <v>-326633</v>
      </c>
      <c r="C4" s="2">
        <v>0</v>
      </c>
      <c r="D4" s="2">
        <v>0</v>
      </c>
      <c r="E4" s="2">
        <v>326633</v>
      </c>
      <c r="F4" s="2">
        <v>216310</v>
      </c>
    </row>
    <row r="5" spans="1:6" x14ac:dyDescent="0.3">
      <c r="A5" s="1" t="s">
        <v>2</v>
      </c>
      <c r="B5" s="2">
        <f t="shared" si="0"/>
        <v>-1019094</v>
      </c>
      <c r="C5" s="2">
        <v>0</v>
      </c>
      <c r="D5" s="2">
        <v>0</v>
      </c>
      <c r="E5" s="2">
        <v>1019094</v>
      </c>
      <c r="F5" s="2">
        <v>611081</v>
      </c>
    </row>
    <row r="6" spans="1:6" x14ac:dyDescent="0.3">
      <c r="A6" s="1" t="s">
        <v>3</v>
      </c>
      <c r="B6" s="2">
        <f t="shared" si="0"/>
        <v>-1159129</v>
      </c>
      <c r="C6" s="2">
        <v>0</v>
      </c>
      <c r="D6" s="2">
        <v>0</v>
      </c>
      <c r="E6" s="2">
        <v>1159129</v>
      </c>
      <c r="F6" s="2">
        <v>694991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-137281</v>
      </c>
      <c r="C8" s="2">
        <v>0</v>
      </c>
      <c r="D8" s="2">
        <v>0</v>
      </c>
      <c r="E8" s="2">
        <v>137281</v>
      </c>
      <c r="F8" s="2">
        <v>86000</v>
      </c>
    </row>
    <row r="9" spans="1:6" x14ac:dyDescent="0.3">
      <c r="A9" s="1" t="s">
        <v>6</v>
      </c>
      <c r="B9" s="2">
        <f t="shared" si="0"/>
        <v>-70577</v>
      </c>
      <c r="C9" s="2">
        <v>0</v>
      </c>
      <c r="D9" s="2">
        <v>0</v>
      </c>
      <c r="E9" s="2">
        <v>70577</v>
      </c>
      <c r="F9" s="2">
        <v>43000</v>
      </c>
    </row>
    <row r="10" spans="1:6" x14ac:dyDescent="0.3">
      <c r="A10" s="1" t="s">
        <v>7</v>
      </c>
      <c r="B10" s="2">
        <f t="shared" si="0"/>
        <v>-1589212</v>
      </c>
      <c r="C10" s="2">
        <v>0</v>
      </c>
      <c r="D10" s="2">
        <v>0</v>
      </c>
      <c r="E10" s="2">
        <v>1589212</v>
      </c>
      <c r="F10" s="2">
        <v>1019690</v>
      </c>
    </row>
    <row r="11" spans="1:6" x14ac:dyDescent="0.3">
      <c r="A11" s="1" t="s">
        <v>8</v>
      </c>
      <c r="B11" s="2">
        <f t="shared" si="0"/>
        <v>-1386813</v>
      </c>
      <c r="C11" s="2">
        <v>0</v>
      </c>
      <c r="D11" s="2">
        <v>0</v>
      </c>
      <c r="E11" s="2">
        <v>1386813</v>
      </c>
      <c r="F11" s="2">
        <v>909670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-129107</v>
      </c>
      <c r="C13" s="2">
        <v>0</v>
      </c>
      <c r="D13" s="2">
        <v>0</v>
      </c>
      <c r="E13" s="2">
        <v>129107</v>
      </c>
      <c r="F13" s="2">
        <v>86000</v>
      </c>
    </row>
    <row r="14" spans="1:6" x14ac:dyDescent="0.3">
      <c r="A14" s="1" t="s">
        <v>11</v>
      </c>
      <c r="B14" s="2">
        <f t="shared" si="0"/>
        <v>-1538911</v>
      </c>
      <c r="C14" s="2">
        <v>0</v>
      </c>
      <c r="D14" s="2">
        <v>0</v>
      </c>
      <c r="E14" s="2">
        <v>1538911</v>
      </c>
      <c r="F14" s="2">
        <v>1107150</v>
      </c>
    </row>
    <row r="15" spans="1:6" ht="17.25" thickBot="1" x14ac:dyDescent="0.35">
      <c r="A15" s="4" t="s">
        <v>13</v>
      </c>
      <c r="B15" s="5">
        <f>SUM(B3:B14)</f>
        <v>-7415957</v>
      </c>
      <c r="C15" s="5">
        <f t="shared" ref="C15:F15" si="1">SUM(C3:C14)</f>
        <v>0</v>
      </c>
      <c r="D15" s="5">
        <f t="shared" si="1"/>
        <v>0</v>
      </c>
      <c r="E15" s="5">
        <f t="shared" si="1"/>
        <v>7415957</v>
      </c>
      <c r="F15" s="5">
        <f t="shared" si="1"/>
        <v>4817582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-148457</v>
      </c>
      <c r="C3" s="2">
        <v>0</v>
      </c>
      <c r="D3" s="2">
        <v>0</v>
      </c>
      <c r="E3" s="2">
        <v>148457</v>
      </c>
      <c r="F3" s="2">
        <v>108760</v>
      </c>
    </row>
    <row r="4" spans="1:6" x14ac:dyDescent="0.3">
      <c r="A4" s="1" t="s">
        <v>1</v>
      </c>
      <c r="B4" s="2">
        <f t="shared" si="0"/>
        <v>-880735</v>
      </c>
      <c r="C4" s="2">
        <v>0</v>
      </c>
      <c r="D4" s="2">
        <v>0</v>
      </c>
      <c r="E4" s="2">
        <v>880735</v>
      </c>
      <c r="F4" s="2">
        <v>628800</v>
      </c>
    </row>
    <row r="5" spans="1:6" x14ac:dyDescent="0.3">
      <c r="A5" s="1" t="s">
        <v>2</v>
      </c>
      <c r="B5" s="2">
        <f t="shared" si="0"/>
        <v>-2557210</v>
      </c>
      <c r="C5" s="2">
        <v>0</v>
      </c>
      <c r="D5" s="2">
        <v>0</v>
      </c>
      <c r="E5" s="2">
        <v>2557210</v>
      </c>
      <c r="F5" s="2">
        <v>1501356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-1259951</v>
      </c>
      <c r="C7" s="2">
        <v>0</v>
      </c>
      <c r="D7" s="2">
        <v>0</v>
      </c>
      <c r="E7" s="2">
        <v>1259951</v>
      </c>
      <c r="F7" s="2">
        <v>672979</v>
      </c>
    </row>
    <row r="8" spans="1:6" x14ac:dyDescent="0.3">
      <c r="A8" s="1" t="s">
        <v>5</v>
      </c>
      <c r="B8" s="2">
        <f t="shared" si="0"/>
        <v>-318821</v>
      </c>
      <c r="C8" s="2">
        <v>0</v>
      </c>
      <c r="D8" s="2">
        <v>0</v>
      </c>
      <c r="E8" s="2">
        <v>318821</v>
      </c>
      <c r="F8" s="2">
        <v>137832</v>
      </c>
    </row>
    <row r="9" spans="1:6" x14ac:dyDescent="0.3">
      <c r="A9" s="1" t="s">
        <v>6</v>
      </c>
      <c r="B9" s="2">
        <f t="shared" si="0"/>
        <v>-2083268</v>
      </c>
      <c r="C9" s="2">
        <v>0</v>
      </c>
      <c r="D9" s="2">
        <v>0</v>
      </c>
      <c r="E9" s="2">
        <v>2083268</v>
      </c>
      <c r="F9" s="2">
        <v>1073532</v>
      </c>
    </row>
    <row r="10" spans="1:6" x14ac:dyDescent="0.3">
      <c r="A10" s="1" t="s">
        <v>7</v>
      </c>
      <c r="B10" s="2">
        <f t="shared" si="0"/>
        <v>-610638</v>
      </c>
      <c r="C10" s="2">
        <v>0</v>
      </c>
      <c r="D10" s="2">
        <v>0</v>
      </c>
      <c r="E10" s="2">
        <v>610638</v>
      </c>
      <c r="F10" s="2">
        <v>319068</v>
      </c>
    </row>
    <row r="11" spans="1:6" x14ac:dyDescent="0.3">
      <c r="A11" s="1" t="s">
        <v>8</v>
      </c>
      <c r="B11" s="2">
        <f t="shared" si="0"/>
        <v>-119986</v>
      </c>
      <c r="C11" s="2">
        <v>0</v>
      </c>
      <c r="D11" s="2">
        <v>0</v>
      </c>
      <c r="E11" s="2">
        <v>119986</v>
      </c>
      <c r="F11" s="2">
        <v>36288</v>
      </c>
    </row>
    <row r="12" spans="1:6" x14ac:dyDescent="0.3">
      <c r="A12" s="1" t="s">
        <v>9</v>
      </c>
      <c r="B12" s="2">
        <f t="shared" si="0"/>
        <v>-1043823</v>
      </c>
      <c r="C12" s="2">
        <v>0</v>
      </c>
      <c r="D12" s="2">
        <v>0</v>
      </c>
      <c r="E12" s="2">
        <v>1043823</v>
      </c>
      <c r="F12" s="2">
        <v>601888</v>
      </c>
    </row>
    <row r="13" spans="1:6" x14ac:dyDescent="0.3">
      <c r="A13" s="1" t="s">
        <v>10</v>
      </c>
      <c r="B13" s="2">
        <f t="shared" si="0"/>
        <v>-1756617</v>
      </c>
      <c r="C13" s="2">
        <v>0</v>
      </c>
      <c r="D13" s="2">
        <v>0</v>
      </c>
      <c r="E13" s="2">
        <v>1756617</v>
      </c>
      <c r="F13" s="2">
        <v>884287</v>
      </c>
    </row>
    <row r="14" spans="1:6" x14ac:dyDescent="0.3">
      <c r="A14" s="1" t="s">
        <v>11</v>
      </c>
      <c r="B14" s="2">
        <f t="shared" si="0"/>
        <v>-1441922</v>
      </c>
      <c r="C14" s="2">
        <v>0</v>
      </c>
      <c r="D14" s="2">
        <v>0</v>
      </c>
      <c r="E14" s="2">
        <v>1441922</v>
      </c>
      <c r="F14" s="2">
        <v>668582</v>
      </c>
    </row>
    <row r="15" spans="1:6" ht="17.25" thickBot="1" x14ac:dyDescent="0.35">
      <c r="A15" s="4" t="s">
        <v>13</v>
      </c>
      <c r="B15" s="5">
        <f>SUM(B3:B14)</f>
        <v>-12221428</v>
      </c>
      <c r="C15" s="5">
        <f t="shared" ref="C15:F15" si="1">SUM(C3:C14)</f>
        <v>0</v>
      </c>
      <c r="D15" s="5">
        <f t="shared" si="1"/>
        <v>0</v>
      </c>
      <c r="E15" s="5">
        <f t="shared" si="1"/>
        <v>12221428</v>
      </c>
      <c r="F15" s="5">
        <f t="shared" si="1"/>
        <v>6633372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-1187779</v>
      </c>
      <c r="C3" s="2">
        <v>0</v>
      </c>
      <c r="D3" s="2">
        <v>0</v>
      </c>
      <c r="E3" s="2">
        <v>1187779</v>
      </c>
      <c r="F3" s="2">
        <v>572805</v>
      </c>
    </row>
    <row r="4" spans="1:6" x14ac:dyDescent="0.3">
      <c r="A4" s="1" t="s">
        <v>1</v>
      </c>
      <c r="B4" s="2">
        <f t="shared" si="0"/>
        <v>-586176</v>
      </c>
      <c r="C4" s="2">
        <v>0</v>
      </c>
      <c r="D4" s="2">
        <v>0</v>
      </c>
      <c r="E4" s="2">
        <v>586176</v>
      </c>
      <c r="F4" s="2">
        <v>250421</v>
      </c>
    </row>
    <row r="5" spans="1:6" x14ac:dyDescent="0.3">
      <c r="A5" s="1" t="s">
        <v>2</v>
      </c>
      <c r="B5" s="2">
        <f t="shared" si="0"/>
        <v>-1212593</v>
      </c>
      <c r="C5" s="2">
        <v>0</v>
      </c>
      <c r="D5" s="2">
        <v>0</v>
      </c>
      <c r="E5" s="2">
        <v>1212593</v>
      </c>
      <c r="F5" s="2">
        <v>675580</v>
      </c>
    </row>
    <row r="6" spans="1:6" x14ac:dyDescent="0.3">
      <c r="A6" s="1" t="s">
        <v>3</v>
      </c>
      <c r="B6" s="2">
        <f t="shared" si="0"/>
        <v>-2277388</v>
      </c>
      <c r="C6" s="2">
        <v>0</v>
      </c>
      <c r="D6" s="2">
        <v>0</v>
      </c>
      <c r="E6" s="2">
        <v>2277388</v>
      </c>
      <c r="F6" s="2">
        <v>1226656</v>
      </c>
    </row>
    <row r="7" spans="1:6" x14ac:dyDescent="0.3">
      <c r="A7" s="1" t="s">
        <v>4</v>
      </c>
      <c r="B7" s="2">
        <f t="shared" si="0"/>
        <v>-4286097</v>
      </c>
      <c r="C7" s="2">
        <v>0</v>
      </c>
      <c r="D7" s="2">
        <v>0</v>
      </c>
      <c r="E7" s="2">
        <v>4286097</v>
      </c>
      <c r="F7" s="2">
        <v>2367268</v>
      </c>
    </row>
    <row r="8" spans="1:6" x14ac:dyDescent="0.3">
      <c r="A8" s="1" t="s">
        <v>5</v>
      </c>
      <c r="B8" s="2">
        <f t="shared" si="0"/>
        <v>-2912758</v>
      </c>
      <c r="C8" s="2">
        <v>0</v>
      </c>
      <c r="D8" s="2">
        <v>0</v>
      </c>
      <c r="E8" s="2">
        <v>2912758</v>
      </c>
      <c r="F8" s="2">
        <v>1458794</v>
      </c>
    </row>
    <row r="9" spans="1:6" x14ac:dyDescent="0.3">
      <c r="A9" s="1" t="s">
        <v>6</v>
      </c>
      <c r="B9" s="2">
        <f t="shared" si="0"/>
        <v>-1865838</v>
      </c>
      <c r="C9" s="2">
        <v>0</v>
      </c>
      <c r="D9" s="2">
        <v>0</v>
      </c>
      <c r="E9" s="2">
        <v>1865838</v>
      </c>
      <c r="F9" s="2">
        <v>987465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-14328629</v>
      </c>
      <c r="C15" s="5">
        <f t="shared" ref="C15:F15" si="1">SUM(C3:C14)</f>
        <v>0</v>
      </c>
      <c r="D15" s="5">
        <f t="shared" si="1"/>
        <v>0</v>
      </c>
      <c r="E15" s="5">
        <f t="shared" si="1"/>
        <v>14328629</v>
      </c>
      <c r="F15" s="5">
        <f t="shared" si="1"/>
        <v>7538989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2026-09-01T08:29:33Z</dcterms:modified>
</cp:coreProperties>
</file>