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해바라기유\1512.19(정제유)\.101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B15" i="1" l="1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5" i="17" l="1"/>
  <c r="B15" i="16"/>
  <c r="B15" i="15"/>
  <c r="B15" i="14"/>
  <c r="B15" i="13"/>
  <c r="B15" i="12"/>
  <c r="B15" i="11"/>
  <c r="E15" i="10"/>
  <c r="C15" i="10"/>
  <c r="B14" i="10"/>
  <c r="B13" i="10"/>
  <c r="B12" i="10"/>
  <c r="B11" i="10"/>
  <c r="B10" i="10"/>
  <c r="B9" i="10"/>
  <c r="B8" i="10"/>
  <c r="B7" i="10"/>
  <c r="B6" i="10"/>
  <c r="B5" i="10"/>
  <c r="B4" i="10"/>
  <c r="F15" i="10"/>
  <c r="D15" i="10"/>
  <c r="B3" i="10"/>
  <c r="B15" i="10" l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<sst xmlns="http://schemas.openxmlformats.org/spreadsheetml/2006/main" count="306" uniqueCount="35">
  <si>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</si>
  <si>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</si>
  <si>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</si>
  <si>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</si>
  <si>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</si>
  <si>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</si>
  <si>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</si>
  <si>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</si>
  <si>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</si>
  <si>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</si>
  <si>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</si>
  <si>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</si>
  <si>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</si>
  <si>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</si>
  <si>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</si>
  <si>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</si>
  <si>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</si>
  <si>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</si>
  <si>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무역수지(달러)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</si>
  <si>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</si>
  <si>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</si>
  <si>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</si>
  <si>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</si>
  <si>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</si>
  <si>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</si>
  <si>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</si>
  <si>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</si>
  <si>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</si>
  <si>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</si>
  <si>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</si>
  <si>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</si>
  <si>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1월</t>
    <phoneticPr fontId="1" type="noConversion"/>
  </si>
  <si>
    <t>총계</t>
    <phoneticPr fontId="1" type="noConversion"/>
  </si>
  <si>
    <t>수입액(달러)</t>
    <phoneticPr fontId="1" type="noConversion"/>
  </si>
  <si>
    <t>1월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</si>
</sst>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#,##0.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25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-52865</v>
      </c>
      <c r="C4" s="2">
        <v>0</v>
      </c>
      <c r="D4" s="2">
        <v>0</v>
      </c>
      <c r="E4" s="2">
        <v>52865</v>
      </c>
      <c r="F4" s="2">
        <v>41460</v>
      </c>
    </row>
    <row r="5" spans="1:6" x14ac:dyDescent="0.3">
      <c r="A5" s="1" t="s">
        <v>28</v>
      </c>
      <c r="B5" s="2">
        <f t="shared" si="0"/>
        <v>-1408793</v>
      </c>
      <c r="C5" s="2">
        <v>0</v>
      </c>
      <c r="D5" s="2">
        <v>0</v>
      </c>
      <c r="E5" s="2">
        <v>1408793</v>
      </c>
      <c r="F5" s="2">
        <v>1254270</v>
      </c>
    </row>
    <row r="6" spans="1:6" x14ac:dyDescent="0.3">
      <c r="A6" s="1" t="s">
        <v>3</v>
      </c>
      <c r="B6" s="2">
        <f t="shared" si="0"/>
        <v>-449433</v>
      </c>
      <c r="C6" s="2">
        <v>0</v>
      </c>
      <c r="D6" s="2">
        <v>0</v>
      </c>
      <c r="E6" s="2">
        <v>449433</v>
      </c>
      <c r="F6" s="2">
        <v>425251</v>
      </c>
    </row>
    <row r="7" spans="1:6" x14ac:dyDescent="0.3">
      <c r="A7" s="1" t="s">
        <v>4</v>
      </c>
      <c r="B7" s="2">
        <f t="shared" si="0"/>
        <v>-1423131</v>
      </c>
      <c r="C7" s="2">
        <v>0</v>
      </c>
      <c r="D7" s="2">
        <v>0</v>
      </c>
      <c r="E7" s="2">
        <v>1423131</v>
      </c>
      <c r="F7" s="2">
        <v>1274848</v>
      </c>
    </row>
    <row r="8" spans="1:6" x14ac:dyDescent="0.3">
      <c r="A8" s="1" t="s">
        <v>5</v>
      </c>
      <c r="B8" s="2">
        <f t="shared" si="0"/>
        <v>-26182</v>
      </c>
      <c r="C8" s="2">
        <v>0</v>
      </c>
      <c r="D8" s="2">
        <v>0</v>
      </c>
      <c r="E8" s="2">
        <v>26182</v>
      </c>
      <c r="F8" s="2">
        <v>20510</v>
      </c>
    </row>
    <row r="9" spans="1:6" x14ac:dyDescent="0.3">
      <c r="A9" s="1" t="s">
        <v>6</v>
      </c>
      <c r="B9" s="2">
        <f t="shared" si="0"/>
        <v>-1021148</v>
      </c>
      <c r="C9" s="2">
        <v>0</v>
      </c>
      <c r="D9" s="2">
        <v>0</v>
      </c>
      <c r="E9" s="2">
        <v>1021148</v>
      </c>
      <c r="F9" s="2">
        <v>909993</v>
      </c>
    </row>
    <row r="10" spans="1:6" x14ac:dyDescent="0.3">
      <c r="A10" s="1" t="s">
        <v>7</v>
      </c>
      <c r="B10" s="2">
        <f t="shared" si="0"/>
        <v>-522043</v>
      </c>
      <c r="C10" s="2">
        <v>0</v>
      </c>
      <c r="D10" s="2">
        <v>0</v>
      </c>
      <c r="E10" s="2">
        <v>522043</v>
      </c>
      <c r="F10" s="2">
        <v>444918</v>
      </c>
    </row>
    <row r="11" spans="1:6" x14ac:dyDescent="0.3">
      <c r="A11" s="1" t="s">
        <v>8</v>
      </c>
      <c r="B11" s="2">
        <f t="shared" si="0"/>
        <v>-545037</v>
      </c>
      <c r="C11" s="2">
        <v>0</v>
      </c>
      <c r="D11" s="2">
        <v>0</v>
      </c>
      <c r="E11" s="2">
        <v>545037</v>
      </c>
      <c r="F11" s="2">
        <v>489701</v>
      </c>
    </row>
    <row r="12" spans="1:6" x14ac:dyDescent="0.3">
      <c r="A12" s="1" t="s">
        <v>9</v>
      </c>
      <c r="B12" s="2">
        <f t="shared" si="0"/>
        <v>-239058</v>
      </c>
      <c r="C12" s="2">
        <v>0</v>
      </c>
      <c r="D12" s="2">
        <v>0</v>
      </c>
      <c r="E12" s="2">
        <v>239058</v>
      </c>
      <c r="F12" s="2">
        <v>181450</v>
      </c>
    </row>
    <row r="13" spans="1:6" x14ac:dyDescent="0.3">
      <c r="A13" s="1" t="s">
        <v>10</v>
      </c>
      <c r="B13" s="2">
        <f t="shared" si="0"/>
        <v>-1383626</v>
      </c>
      <c r="C13" s="2">
        <v>0</v>
      </c>
      <c r="D13" s="2">
        <v>0</v>
      </c>
      <c r="E13" s="2">
        <v>1383626</v>
      </c>
      <c r="F13" s="2">
        <v>1043938</v>
      </c>
    </row>
    <row r="14" spans="1:6" x14ac:dyDescent="0.3">
      <c r="A14" s="1" t="s">
        <v>11</v>
      </c>
      <c r="B14" s="2">
        <f t="shared" si="0"/>
        <v>-626763</v>
      </c>
      <c r="C14" s="2">
        <v>0</v>
      </c>
      <c r="D14" s="2">
        <v>0</v>
      </c>
      <c r="E14" s="2">
        <v>626763</v>
      </c>
      <c r="F14" s="2">
        <v>390840</v>
      </c>
    </row>
    <row r="15" spans="1:6" ht="17.25" thickBot="1" x14ac:dyDescent="0.35">
      <c r="A15" s="4" t="s">
        <v>30</v>
      </c>
      <c r="B15" s="5">
        <f>SUM(B3:B14)</f>
        <v>-7698079</v>
      </c>
      <c r="C15" s="5">
        <f t="shared" ref="C15:F15" si="1">SUM(C3:C14)</f>
        <v>0</v>
      </c>
      <c r="D15" s="5">
        <f t="shared" si="1"/>
        <v>0</v>
      </c>
      <c r="E15" s="5">
        <f t="shared" si="1"/>
        <v>7698079</v>
      </c>
      <c r="F15" s="5">
        <f t="shared" si="1"/>
        <v>6477179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31</v>
      </c>
      <c r="B3" s="2">
        <f>C3-E3</f>
        <v>-605466</v>
      </c>
      <c r="C3" s="2">
        <v>0</v>
      </c>
      <c r="D3" s="2">
        <v>0</v>
      </c>
      <c r="E3" s="2">
        <v>605466</v>
      </c>
      <c r="F3" s="2">
        <v>399010</v>
      </c>
    </row>
    <row r="4" spans="1:6" x14ac:dyDescent="0.3">
      <c r="A4" s="1" t="s">
        <v>27</v>
      </c>
      <c r="B4" s="2">
        <f t="shared" ref="B4:B14" si="0">C4-E4</f>
        <v>-1246250</v>
      </c>
      <c r="C4" s="2">
        <v>0</v>
      </c>
      <c r="D4" s="2">
        <v>0</v>
      </c>
      <c r="E4" s="2">
        <v>1246250</v>
      </c>
      <c r="F4" s="2">
        <v>871717</v>
      </c>
    </row>
    <row r="5" spans="1:6" x14ac:dyDescent="0.3">
      <c r="A5" s="1" t="s">
        <v>28</v>
      </c>
      <c r="B5" s="2">
        <f t="shared" si="0"/>
        <v>-277907</v>
      </c>
      <c r="C5" s="2">
        <v>0</v>
      </c>
      <c r="D5" s="2">
        <v>0</v>
      </c>
      <c r="E5" s="2">
        <v>277907</v>
      </c>
      <c r="F5" s="2">
        <v>166900</v>
      </c>
    </row>
    <row r="6" spans="1:6" x14ac:dyDescent="0.3">
      <c r="A6" s="1" t="s">
        <v>3</v>
      </c>
      <c r="B6" s="2">
        <f t="shared" si="0"/>
        <v>-1900999</v>
      </c>
      <c r="C6" s="2">
        <v>0</v>
      </c>
      <c r="D6" s="2">
        <v>0</v>
      </c>
      <c r="E6" s="2">
        <v>1900999</v>
      </c>
      <c r="F6" s="2">
        <v>1195021</v>
      </c>
    </row>
    <row r="7" spans="1:6" x14ac:dyDescent="0.3">
      <c r="A7" s="1" t="s">
        <v>4</v>
      </c>
      <c r="B7" s="2">
        <f t="shared" si="0"/>
        <v>-204248</v>
      </c>
      <c r="C7" s="2">
        <v>0</v>
      </c>
      <c r="D7" s="2">
        <v>0</v>
      </c>
      <c r="E7" s="2">
        <v>204248</v>
      </c>
      <c r="F7" s="2">
        <v>121540</v>
      </c>
    </row>
    <row r="8" spans="1:6" x14ac:dyDescent="0.3">
      <c r="A8" s="1" t="s">
        <v>5</v>
      </c>
      <c r="B8" s="2">
        <f t="shared" si="0"/>
        <v>-1326604</v>
      </c>
      <c r="C8" s="2">
        <v>0</v>
      </c>
      <c r="D8" s="2">
        <v>0</v>
      </c>
      <c r="E8" s="2">
        <v>1326604</v>
      </c>
      <c r="F8" s="2">
        <v>829032</v>
      </c>
    </row>
    <row r="9" spans="1:6" x14ac:dyDescent="0.3">
      <c r="A9" s="1" t="s">
        <v>6</v>
      </c>
      <c r="B9" s="2">
        <f t="shared" si="0"/>
        <v>-791965</v>
      </c>
      <c r="C9" s="2">
        <v>0</v>
      </c>
      <c r="D9" s="2">
        <v>0</v>
      </c>
      <c r="E9" s="2">
        <v>791965</v>
      </c>
      <c r="F9" s="2">
        <v>495110</v>
      </c>
    </row>
    <row r="10" spans="1:6" x14ac:dyDescent="0.3">
      <c r="A10" s="1" t="s">
        <v>7</v>
      </c>
      <c r="B10" s="2">
        <f t="shared" si="0"/>
        <v>-986828</v>
      </c>
      <c r="C10" s="2">
        <v>0</v>
      </c>
      <c r="D10" s="2">
        <v>0</v>
      </c>
      <c r="E10" s="2">
        <v>986828</v>
      </c>
      <c r="F10" s="2">
        <v>617076</v>
      </c>
    </row>
    <row r="11" spans="1:6" x14ac:dyDescent="0.3">
      <c r="A11" s="1" t="s">
        <v>8</v>
      </c>
      <c r="B11" s="2">
        <f t="shared" si="0"/>
        <v>-1264806</v>
      </c>
      <c r="C11" s="2">
        <v>0</v>
      </c>
      <c r="D11" s="2">
        <v>0</v>
      </c>
      <c r="E11" s="2">
        <v>1264806</v>
      </c>
      <c r="F11" s="2">
        <v>793712</v>
      </c>
    </row>
    <row r="12" spans="1:6" x14ac:dyDescent="0.3">
      <c r="A12" s="1" t="s">
        <v>9</v>
      </c>
      <c r="B12" s="2">
        <f t="shared" si="0"/>
        <v>-138784</v>
      </c>
      <c r="C12" s="2">
        <v>0</v>
      </c>
      <c r="D12" s="2">
        <v>0</v>
      </c>
      <c r="E12" s="2">
        <v>138784</v>
      </c>
      <c r="F12" s="2">
        <v>83600</v>
      </c>
    </row>
    <row r="13" spans="1:6" x14ac:dyDescent="0.3">
      <c r="A13" s="1" t="s">
        <v>10</v>
      </c>
      <c r="B13" s="2">
        <f t="shared" si="0"/>
        <v>-186812</v>
      </c>
      <c r="C13" s="2">
        <v>0</v>
      </c>
      <c r="D13" s="2">
        <v>0</v>
      </c>
      <c r="E13" s="2">
        <v>186812</v>
      </c>
      <c r="F13" s="2">
        <v>120000</v>
      </c>
    </row>
    <row r="14" spans="1:6" x14ac:dyDescent="0.3">
      <c r="A14" s="1" t="s">
        <v>11</v>
      </c>
      <c r="B14" s="2">
        <f t="shared" si="0"/>
        <v>-1452575</v>
      </c>
      <c r="C14" s="2">
        <v>0</v>
      </c>
      <c r="D14" s="2">
        <v>0</v>
      </c>
      <c r="E14" s="2">
        <v>1452575</v>
      </c>
      <c r="F14" s="2">
        <v>977892</v>
      </c>
    </row>
    <row r="15" spans="1:6" ht="17.25" thickBot="1" x14ac:dyDescent="0.35">
      <c r="A15" s="4" t="s">
        <v>32</v>
      </c>
      <c r="B15" s="5">
        <f>SUM(B3:B14)</f>
        <v>-10383244</v>
      </c>
      <c r="C15" s="5">
        <f t="shared" ref="C15:F15" si="1">SUM(C3:C14)</f>
        <v>0</v>
      </c>
      <c r="D15" s="5">
        <f t="shared" si="1"/>
        <v>0</v>
      </c>
      <c r="E15" s="5">
        <f t="shared" si="1"/>
        <v>10383244</v>
      </c>
      <c r="F15" s="5">
        <f t="shared" si="1"/>
        <v>6670610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33</v>
      </c>
      <c r="F2" s="3" t="s">
        <v>24</v>
      </c>
    </row>
    <row r="3" spans="1:6" x14ac:dyDescent="0.3">
      <c r="A3" s="1" t="s">
        <v>34</v>
      </c>
      <c r="B3" s="2">
        <f>C3-E3</f>
        <v>-444528</v>
      </c>
      <c r="C3" s="2">
        <v>0</v>
      </c>
      <c r="D3" s="2">
        <v>0</v>
      </c>
      <c r="E3" s="2">
        <v>444528</v>
      </c>
      <c r="F3" s="2">
        <v>300070</v>
      </c>
    </row>
    <row r="4" spans="1:6" x14ac:dyDescent="0.3">
      <c r="A4" s="1" t="s">
        <v>27</v>
      </c>
      <c r="B4" s="2">
        <f t="shared" ref="B4:B14" si="0">C4-E4</f>
        <v>-1743165</v>
      </c>
      <c r="C4" s="2">
        <v>0</v>
      </c>
      <c r="D4" s="2">
        <v>0</v>
      </c>
      <c r="E4" s="2">
        <v>1743165</v>
      </c>
      <c r="F4" s="2">
        <v>1219066</v>
      </c>
    </row>
    <row r="5" spans="1:6" x14ac:dyDescent="0.3">
      <c r="A5" s="1" t="s">
        <v>28</v>
      </c>
      <c r="B5" s="2">
        <f t="shared" si="0"/>
        <v>-294396</v>
      </c>
      <c r="C5" s="2">
        <v>0</v>
      </c>
      <c r="D5" s="2">
        <v>0</v>
      </c>
      <c r="E5" s="2">
        <v>294396</v>
      </c>
      <c r="F5" s="2">
        <v>199400</v>
      </c>
    </row>
    <row r="6" spans="1:6" x14ac:dyDescent="0.3">
      <c r="A6" s="1" t="s">
        <v>3</v>
      </c>
      <c r="B6" s="2">
        <f t="shared" si="0"/>
        <v>-51576</v>
      </c>
      <c r="C6" s="2">
        <v>0</v>
      </c>
      <c r="D6" s="2">
        <v>0</v>
      </c>
      <c r="E6" s="2">
        <v>51576</v>
      </c>
      <c r="F6" s="2">
        <v>30400</v>
      </c>
    </row>
    <row r="7" spans="1:6" x14ac:dyDescent="0.3">
      <c r="A7" s="1" t="s">
        <v>4</v>
      </c>
      <c r="B7" s="2">
        <f t="shared" si="0"/>
        <v>-1375417</v>
      </c>
      <c r="C7" s="2">
        <v>0</v>
      </c>
      <c r="D7" s="2">
        <v>0</v>
      </c>
      <c r="E7" s="2">
        <v>1375417</v>
      </c>
      <c r="F7" s="2">
        <v>994978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-209129</v>
      </c>
      <c r="C9" s="2">
        <v>0</v>
      </c>
      <c r="D9" s="2">
        <v>0</v>
      </c>
      <c r="E9" s="2">
        <v>209129</v>
      </c>
      <c r="F9" s="2">
        <v>145970</v>
      </c>
    </row>
    <row r="10" spans="1:6" x14ac:dyDescent="0.3">
      <c r="A10" s="1" t="s">
        <v>7</v>
      </c>
      <c r="B10" s="2">
        <f t="shared" si="0"/>
        <v>-2555224</v>
      </c>
      <c r="C10" s="2">
        <v>0</v>
      </c>
      <c r="D10" s="2">
        <v>0</v>
      </c>
      <c r="E10" s="2">
        <v>2555224</v>
      </c>
      <c r="F10" s="2">
        <v>1743067</v>
      </c>
    </row>
    <row r="11" spans="1:6" x14ac:dyDescent="0.3">
      <c r="A11" s="1" t="s">
        <v>8</v>
      </c>
      <c r="B11" s="2">
        <f t="shared" si="0"/>
        <v>-218538</v>
      </c>
      <c r="C11" s="2">
        <v>0</v>
      </c>
      <c r="D11" s="2">
        <v>0</v>
      </c>
      <c r="E11" s="2">
        <v>218538</v>
      </c>
      <c r="F11" s="2">
        <v>146620</v>
      </c>
    </row>
    <row r="12" spans="1:6" x14ac:dyDescent="0.3">
      <c r="A12" s="1" t="s">
        <v>9</v>
      </c>
      <c r="B12" s="2">
        <f t="shared" si="0"/>
        <v>-160237</v>
      </c>
      <c r="C12" s="2">
        <v>0</v>
      </c>
      <c r="D12" s="2">
        <v>0</v>
      </c>
      <c r="E12" s="2">
        <v>160237</v>
      </c>
      <c r="F12" s="2">
        <v>104890</v>
      </c>
    </row>
    <row r="13" spans="1:6" x14ac:dyDescent="0.3">
      <c r="A13" s="1" t="s">
        <v>10</v>
      </c>
      <c r="B13" s="2">
        <f t="shared" si="0"/>
        <v>-1847443</v>
      </c>
      <c r="C13" s="2">
        <v>0</v>
      </c>
      <c r="D13" s="2">
        <v>0</v>
      </c>
      <c r="E13" s="2">
        <v>1847443</v>
      </c>
      <c r="F13" s="2">
        <v>1246594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29</v>
      </c>
      <c r="B15" s="5">
        <f>SUM(B3:B14)</f>
        <v>-8899653</v>
      </c>
      <c r="C15" s="5">
        <f t="shared" ref="C15:F15" si="1">SUM(C3:C14)</f>
        <v>0</v>
      </c>
      <c r="D15" s="5">
        <f t="shared" si="1"/>
        <v>0</v>
      </c>
      <c r="E15" s="5">
        <f t="shared" si="1"/>
        <v>8899653</v>
      </c>
      <c r="F15" s="5">
        <f t="shared" si="1"/>
        <v>6131055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-466284</v>
      </c>
      <c r="C3" s="2">
        <v>0</v>
      </c>
      <c r="D3" s="2">
        <v>0</v>
      </c>
      <c r="E3" s="2">
        <v>466284</v>
      </c>
      <c r="F3" s="2">
        <v>313400</v>
      </c>
    </row>
    <row r="4" spans="1:6" x14ac:dyDescent="0.3">
      <c r="A4" s="1" t="s">
        <v>27</v>
      </c>
      <c r="B4" s="2">
        <f t="shared" si="0"/>
        <v>-124907</v>
      </c>
      <c r="C4" s="2">
        <v>0</v>
      </c>
      <c r="D4" s="2">
        <v>0</v>
      </c>
      <c r="E4" s="2">
        <v>124907</v>
      </c>
      <c r="F4" s="2">
        <v>83700</v>
      </c>
    </row>
    <row r="5" spans="1:6" x14ac:dyDescent="0.3">
      <c r="A5" s="1" t="s">
        <v>28</v>
      </c>
      <c r="B5" s="2">
        <f t="shared" si="0"/>
        <v>-2512608</v>
      </c>
      <c r="C5" s="2">
        <v>0</v>
      </c>
      <c r="D5" s="2">
        <v>0</v>
      </c>
      <c r="E5" s="2">
        <v>2512608</v>
      </c>
      <c r="F5" s="2">
        <v>1685631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-1685191</v>
      </c>
      <c r="C8" s="2">
        <v>0</v>
      </c>
      <c r="D8" s="2">
        <v>0</v>
      </c>
      <c r="E8" s="2">
        <v>1685191</v>
      </c>
      <c r="F8" s="2">
        <v>1133663</v>
      </c>
    </row>
    <row r="9" spans="1:6" x14ac:dyDescent="0.3">
      <c r="A9" s="1" t="s">
        <v>6</v>
      </c>
      <c r="B9" s="2">
        <f t="shared" si="0"/>
        <v>-645914</v>
      </c>
      <c r="C9" s="2">
        <v>0</v>
      </c>
      <c r="D9" s="2">
        <v>0</v>
      </c>
      <c r="E9" s="2">
        <v>645914</v>
      </c>
      <c r="F9" s="2">
        <v>435140</v>
      </c>
    </row>
    <row r="10" spans="1:6" x14ac:dyDescent="0.3">
      <c r="A10" s="1" t="s">
        <v>7</v>
      </c>
      <c r="B10" s="2">
        <f t="shared" si="0"/>
        <v>-799316</v>
      </c>
      <c r="C10" s="2">
        <v>0</v>
      </c>
      <c r="D10" s="2">
        <v>0</v>
      </c>
      <c r="E10" s="2">
        <v>799316</v>
      </c>
      <c r="F10" s="2">
        <v>546140</v>
      </c>
    </row>
    <row r="11" spans="1:6" x14ac:dyDescent="0.3">
      <c r="A11" s="1" t="s">
        <v>8</v>
      </c>
      <c r="B11" s="2">
        <f t="shared" si="0"/>
        <v>-2227435</v>
      </c>
      <c r="C11" s="2">
        <v>0</v>
      </c>
      <c r="D11" s="2">
        <v>0</v>
      </c>
      <c r="E11" s="2">
        <v>2227435</v>
      </c>
      <c r="F11" s="2">
        <v>1498086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-1082001</v>
      </c>
      <c r="C14" s="2">
        <v>0</v>
      </c>
      <c r="D14" s="2">
        <v>0</v>
      </c>
      <c r="E14" s="2">
        <v>1082001</v>
      </c>
      <c r="F14" s="2">
        <v>890379</v>
      </c>
    </row>
    <row r="15" spans="1:6" ht="17.25" thickBot="1" x14ac:dyDescent="0.35">
      <c r="A15" s="4" t="s">
        <v>30</v>
      </c>
      <c r="B15" s="5">
        <f>SUM(B3:B14)</f>
        <v>-9543656</v>
      </c>
      <c r="C15" s="5">
        <f t="shared" ref="C15:F15" si="1">SUM(C3:C14)</f>
        <v>0</v>
      </c>
      <c r="D15" s="5">
        <f t="shared" si="1"/>
        <v>0</v>
      </c>
      <c r="E15" s="5">
        <f t="shared" si="1"/>
        <v>9543656</v>
      </c>
      <c r="F15" s="5">
        <f t="shared" si="1"/>
        <v>6586139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18</v>
      </c>
      <c r="C2" s="3" t="s">
        <v>20</v>
      </c>
      <c r="D2" s="3" t="s">
        <v>21</v>
      </c>
      <c r="E2" s="3" t="s">
        <v>33</v>
      </c>
      <c r="F2" s="3" t="s">
        <v>23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-714565</v>
      </c>
      <c r="C4" s="2">
        <v>0</v>
      </c>
      <c r="D4" s="2">
        <v>0</v>
      </c>
      <c r="E4" s="2">
        <v>714565</v>
      </c>
      <c r="F4" s="2">
        <v>599759</v>
      </c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-995149</v>
      </c>
      <c r="C6" s="2">
        <v>0</v>
      </c>
      <c r="D6" s="2">
        <v>0</v>
      </c>
      <c r="E6" s="2">
        <v>995149</v>
      </c>
      <c r="F6" s="2">
        <v>896658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-620558</v>
      </c>
      <c r="C8" s="2">
        <v>0</v>
      </c>
      <c r="D8" s="2">
        <v>0</v>
      </c>
      <c r="E8" s="2">
        <v>620558</v>
      </c>
      <c r="F8" s="2">
        <v>528752</v>
      </c>
    </row>
    <row r="9" spans="1:6" x14ac:dyDescent="0.3">
      <c r="A9" s="1" t="s">
        <v>6</v>
      </c>
      <c r="B9" s="2">
        <f t="shared" si="0"/>
        <v>-1154940</v>
      </c>
      <c r="C9" s="2">
        <v>0</v>
      </c>
      <c r="D9" s="2">
        <v>0</v>
      </c>
      <c r="E9" s="2">
        <v>1154940</v>
      </c>
      <c r="F9" s="2">
        <v>1037796</v>
      </c>
    </row>
    <row r="10" spans="1:6" x14ac:dyDescent="0.3">
      <c r="A10" s="1" t="s">
        <v>7</v>
      </c>
      <c r="B10" s="2">
        <f t="shared" si="0"/>
        <v>-1113748</v>
      </c>
      <c r="C10" s="2">
        <v>0</v>
      </c>
      <c r="D10" s="2">
        <v>0</v>
      </c>
      <c r="E10" s="2">
        <v>1113748</v>
      </c>
      <c r="F10" s="2">
        <v>997547</v>
      </c>
    </row>
    <row r="11" spans="1:6" x14ac:dyDescent="0.3">
      <c r="A11" s="1" t="s">
        <v>8</v>
      </c>
      <c r="B11" s="2">
        <f t="shared" si="0"/>
        <v>-75183</v>
      </c>
      <c r="C11" s="2">
        <v>334</v>
      </c>
      <c r="D11" s="2">
        <v>108</v>
      </c>
      <c r="E11" s="2">
        <v>75517</v>
      </c>
      <c r="F11" s="2">
        <v>41950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-1127604</v>
      </c>
      <c r="C13" s="2">
        <v>0</v>
      </c>
      <c r="D13" s="2">
        <v>0</v>
      </c>
      <c r="E13" s="2">
        <v>1127604</v>
      </c>
      <c r="F13" s="2">
        <v>1012838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-5801747</v>
      </c>
      <c r="C15" s="5">
        <f t="shared" ref="C15:F15" si="1">SUM(C3:C14)</f>
        <v>334</v>
      </c>
      <c r="D15" s="5">
        <f t="shared" si="1"/>
        <v>108</v>
      </c>
      <c r="E15" s="5">
        <f t="shared" si="1"/>
        <v>5802081</v>
      </c>
      <c r="F15" s="5">
        <f t="shared" si="1"/>
        <v>5115300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-1031878</v>
      </c>
      <c r="C4" s="2">
        <v>98</v>
      </c>
      <c r="D4" s="2">
        <v>24</v>
      </c>
      <c r="E4" s="2">
        <v>1031976</v>
      </c>
      <c r="F4" s="2">
        <v>995623</v>
      </c>
    </row>
    <row r="5" spans="1:6" x14ac:dyDescent="0.3">
      <c r="A5" s="1" t="s">
        <v>28</v>
      </c>
      <c r="B5" s="2">
        <f t="shared" si="0"/>
        <v>-23710</v>
      </c>
      <c r="C5" s="2">
        <v>0</v>
      </c>
      <c r="D5" s="2">
        <v>0</v>
      </c>
      <c r="E5" s="2">
        <v>23710</v>
      </c>
      <c r="F5" s="2">
        <v>15200</v>
      </c>
    </row>
    <row r="6" spans="1:6" x14ac:dyDescent="0.3">
      <c r="A6" s="1" t="s">
        <v>3</v>
      </c>
      <c r="B6" s="2">
        <f t="shared" si="0"/>
        <v>-1151924</v>
      </c>
      <c r="C6" s="2">
        <v>0</v>
      </c>
      <c r="D6" s="2">
        <v>0</v>
      </c>
      <c r="E6" s="2">
        <v>1151924</v>
      </c>
      <c r="F6" s="2">
        <v>1095428</v>
      </c>
    </row>
    <row r="7" spans="1:6" x14ac:dyDescent="0.3">
      <c r="A7" s="1" t="s">
        <v>4</v>
      </c>
      <c r="B7" s="2">
        <f t="shared" si="0"/>
        <v>-119096</v>
      </c>
      <c r="C7" s="2">
        <v>0</v>
      </c>
      <c r="D7" s="2">
        <v>0</v>
      </c>
      <c r="E7" s="2">
        <v>119096</v>
      </c>
      <c r="F7" s="2">
        <v>107070</v>
      </c>
    </row>
    <row r="8" spans="1:6" x14ac:dyDescent="0.3">
      <c r="A8" s="1" t="s">
        <v>5</v>
      </c>
      <c r="B8" s="2">
        <f t="shared" si="0"/>
        <v>-1056387</v>
      </c>
      <c r="C8" s="2">
        <v>48</v>
      </c>
      <c r="D8" s="2">
        <v>20</v>
      </c>
      <c r="E8" s="2">
        <v>1056435</v>
      </c>
      <c r="F8" s="2">
        <v>1012404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-721619</v>
      </c>
      <c r="C10" s="2">
        <v>0</v>
      </c>
      <c r="D10" s="2">
        <v>0</v>
      </c>
      <c r="E10" s="2">
        <v>721619</v>
      </c>
      <c r="F10" s="2">
        <v>697275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-1052496</v>
      </c>
      <c r="C13" s="2">
        <v>0</v>
      </c>
      <c r="D13" s="2">
        <v>0</v>
      </c>
      <c r="E13" s="2">
        <v>1052496</v>
      </c>
      <c r="F13" s="2">
        <v>995876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-5157110</v>
      </c>
      <c r="C15" s="5">
        <f t="shared" ref="C15:F15" si="1">SUM(C3:C14)</f>
        <v>146</v>
      </c>
      <c r="D15" s="5">
        <f t="shared" si="1"/>
        <v>44</v>
      </c>
      <c r="E15" s="5">
        <f t="shared" si="1"/>
        <v>5157256</v>
      </c>
      <c r="F15" s="5">
        <f t="shared" si="1"/>
        <v>4918876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-525383</v>
      </c>
      <c r="C3" s="2">
        <v>27</v>
      </c>
      <c r="D3" s="2">
        <v>11</v>
      </c>
      <c r="E3" s="2">
        <v>525410</v>
      </c>
      <c r="F3" s="2">
        <v>492850</v>
      </c>
    </row>
    <row r="4" spans="1:6" x14ac:dyDescent="0.3">
      <c r="A4" s="1" t="s">
        <v>26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-1038861</v>
      </c>
      <c r="C6" s="2">
        <v>0</v>
      </c>
      <c r="D6" s="2">
        <v>0</v>
      </c>
      <c r="E6" s="2">
        <v>1038861</v>
      </c>
      <c r="F6" s="2">
        <v>996526</v>
      </c>
    </row>
    <row r="7" spans="1:6" x14ac:dyDescent="0.3">
      <c r="A7" s="1" t="s">
        <v>4</v>
      </c>
      <c r="B7" s="2">
        <f t="shared" si="0"/>
        <v>-45140</v>
      </c>
      <c r="C7" s="2">
        <v>0</v>
      </c>
      <c r="D7" s="2">
        <v>0</v>
      </c>
      <c r="E7" s="2">
        <v>45140</v>
      </c>
      <c r="F7" s="2">
        <v>30400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-13</v>
      </c>
      <c r="C14" s="2">
        <v>0</v>
      </c>
      <c r="D14" s="2">
        <v>0</v>
      </c>
      <c r="E14" s="2">
        <v>13</v>
      </c>
      <c r="F14" s="2">
        <v>2</v>
      </c>
    </row>
    <row r="15" spans="1:6" ht="17.25" thickBot="1" x14ac:dyDescent="0.35">
      <c r="A15" s="4" t="s">
        <v>30</v>
      </c>
      <c r="B15" s="5">
        <f>SUM(B3:B14)</f>
        <v>-1609397</v>
      </c>
      <c r="C15" s="5">
        <f t="shared" ref="C15:F15" si="1">SUM(C3:C14)</f>
        <v>27</v>
      </c>
      <c r="D15" s="5">
        <f t="shared" si="1"/>
        <v>11</v>
      </c>
      <c r="E15" s="5">
        <f t="shared" si="1"/>
        <v>1609424</v>
      </c>
      <c r="F15" s="5">
        <f t="shared" si="1"/>
        <v>1519778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-82590</v>
      </c>
      <c r="C5" s="2">
        <v>0</v>
      </c>
      <c r="D5" s="2">
        <v>0</v>
      </c>
      <c r="E5" s="2">
        <v>82590</v>
      </c>
      <c r="F5" s="2">
        <v>74257</v>
      </c>
    </row>
    <row r="6" spans="1:6" x14ac:dyDescent="0.3">
      <c r="A6" s="1" t="s">
        <v>3</v>
      </c>
      <c r="B6" s="2">
        <f t="shared" si="0"/>
        <v>-21900</v>
      </c>
      <c r="C6" s="2">
        <v>0</v>
      </c>
      <c r="D6" s="2">
        <v>0</v>
      </c>
      <c r="E6" s="2">
        <v>21900</v>
      </c>
      <c r="F6" s="2">
        <v>21360</v>
      </c>
    </row>
    <row r="7" spans="1:6" x14ac:dyDescent="0.3">
      <c r="A7" s="1" t="s">
        <v>4</v>
      </c>
      <c r="B7" s="2">
        <f t="shared" si="0"/>
        <v>-1228</v>
      </c>
      <c r="C7" s="2">
        <v>0</v>
      </c>
      <c r="D7" s="2">
        <v>0</v>
      </c>
      <c r="E7" s="2">
        <v>1228</v>
      </c>
      <c r="F7" s="2">
        <v>972</v>
      </c>
    </row>
    <row r="8" spans="1:6" x14ac:dyDescent="0.3">
      <c r="A8" s="1" t="s">
        <v>5</v>
      </c>
      <c r="B8" s="2">
        <f t="shared" si="0"/>
        <v>-115892</v>
      </c>
      <c r="C8" s="2">
        <v>0</v>
      </c>
      <c r="D8" s="2">
        <v>0</v>
      </c>
      <c r="E8" s="2">
        <v>115892</v>
      </c>
      <c r="F8" s="2">
        <v>104976</v>
      </c>
    </row>
    <row r="9" spans="1:6" x14ac:dyDescent="0.3">
      <c r="A9" s="1" t="s">
        <v>6</v>
      </c>
      <c r="B9" s="2">
        <f t="shared" si="0"/>
        <v>-181838</v>
      </c>
      <c r="C9" s="2">
        <v>0</v>
      </c>
      <c r="D9" s="2">
        <v>0</v>
      </c>
      <c r="E9" s="2">
        <v>181838</v>
      </c>
      <c r="F9" s="2">
        <v>170649</v>
      </c>
    </row>
    <row r="10" spans="1:6" x14ac:dyDescent="0.3">
      <c r="A10" s="1" t="s">
        <v>7</v>
      </c>
      <c r="B10" s="2">
        <f t="shared" si="0"/>
        <v>-940704</v>
      </c>
      <c r="C10" s="2">
        <v>0</v>
      </c>
      <c r="D10" s="2">
        <v>0</v>
      </c>
      <c r="E10" s="2">
        <v>940704</v>
      </c>
      <c r="F10" s="2">
        <v>997599</v>
      </c>
    </row>
    <row r="11" spans="1:6" x14ac:dyDescent="0.3">
      <c r="A11" s="1" t="s">
        <v>8</v>
      </c>
      <c r="B11" s="2">
        <f t="shared" si="0"/>
        <v>-41634</v>
      </c>
      <c r="C11" s="2">
        <v>0</v>
      </c>
      <c r="D11" s="2">
        <v>0</v>
      </c>
      <c r="E11" s="2">
        <v>41634</v>
      </c>
      <c r="F11" s="2">
        <v>37195</v>
      </c>
    </row>
    <row r="12" spans="1:6" x14ac:dyDescent="0.3">
      <c r="A12" s="1" t="s">
        <v>9</v>
      </c>
      <c r="B12" s="2">
        <f t="shared" si="0"/>
        <v>-18392</v>
      </c>
      <c r="C12" s="2">
        <v>0</v>
      </c>
      <c r="D12" s="2">
        <v>0</v>
      </c>
      <c r="E12" s="2">
        <v>18392</v>
      </c>
      <c r="F12" s="2">
        <v>15200</v>
      </c>
    </row>
    <row r="13" spans="1:6" x14ac:dyDescent="0.3">
      <c r="A13" s="1" t="s">
        <v>10</v>
      </c>
      <c r="B13" s="2">
        <f t="shared" si="0"/>
        <v>-10</v>
      </c>
      <c r="C13" s="2">
        <v>0</v>
      </c>
      <c r="D13" s="2">
        <v>0</v>
      </c>
      <c r="E13" s="2">
        <v>10</v>
      </c>
      <c r="F13" s="2">
        <v>1</v>
      </c>
    </row>
    <row r="14" spans="1:6" x14ac:dyDescent="0.3">
      <c r="A14" s="1" t="s">
        <v>11</v>
      </c>
      <c r="B14" s="2">
        <f t="shared" si="0"/>
        <v>-45360</v>
      </c>
      <c r="C14" s="2">
        <v>0</v>
      </c>
      <c r="D14" s="2">
        <v>0</v>
      </c>
      <c r="E14" s="2">
        <v>45360</v>
      </c>
      <c r="F14" s="2">
        <v>41990</v>
      </c>
    </row>
    <row r="15" spans="1:6" ht="17.25" thickBot="1" x14ac:dyDescent="0.35">
      <c r="A15" s="4" t="s">
        <v>13</v>
      </c>
      <c r="B15" s="5">
        <f>SUM(B3:B14)</f>
        <v>-1449548</v>
      </c>
      <c r="C15" s="5">
        <f t="shared" ref="C15:F15" si="1">SUM(C3:C14)</f>
        <v>0</v>
      </c>
      <c r="D15" s="5">
        <f t="shared" si="1"/>
        <v>0</v>
      </c>
      <c r="E15" s="5">
        <f t="shared" si="1"/>
        <v>1449548</v>
      </c>
      <c r="F15" s="5">
        <f t="shared" si="1"/>
        <v>1464199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-68968</v>
      </c>
      <c r="C3" s="2">
        <v>0</v>
      </c>
      <c r="D3" s="2">
        <v>0</v>
      </c>
      <c r="E3" s="2">
        <v>68968</v>
      </c>
      <c r="F3" s="2">
        <v>63115</v>
      </c>
    </row>
    <row r="4" spans="1:6" x14ac:dyDescent="0.3">
      <c r="A4" s="1" t="s">
        <v>1</v>
      </c>
      <c r="B4" s="2">
        <f t="shared" ref="B4:B14" si="0">C4-E4</f>
        <v>-88390</v>
      </c>
      <c r="C4" s="2">
        <v>0</v>
      </c>
      <c r="D4" s="2">
        <v>0</v>
      </c>
      <c r="E4" s="2">
        <v>88390</v>
      </c>
      <c r="F4" s="2">
        <v>84110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-22470</v>
      </c>
      <c r="C6" s="2">
        <v>0</v>
      </c>
      <c r="D6" s="2">
        <v>0</v>
      </c>
      <c r="E6" s="2">
        <v>22470</v>
      </c>
      <c r="F6" s="2">
        <v>21400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-65728</v>
      </c>
      <c r="C8" s="2">
        <v>0</v>
      </c>
      <c r="D8" s="2">
        <v>0</v>
      </c>
      <c r="E8" s="2">
        <v>65728</v>
      </c>
      <c r="F8" s="2">
        <v>57594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-10</v>
      </c>
      <c r="C10" s="2">
        <v>0</v>
      </c>
      <c r="D10" s="2">
        <v>0</v>
      </c>
      <c r="E10" s="2">
        <v>10</v>
      </c>
      <c r="F10" s="2">
        <v>1</v>
      </c>
    </row>
    <row r="11" spans="1:6" x14ac:dyDescent="0.3">
      <c r="A11" s="1" t="s">
        <v>8</v>
      </c>
      <c r="B11" s="2">
        <f t="shared" si="0"/>
        <v>-235183</v>
      </c>
      <c r="C11" s="2">
        <v>0</v>
      </c>
      <c r="D11" s="2">
        <v>0</v>
      </c>
      <c r="E11" s="2">
        <v>235183</v>
      </c>
      <c r="F11" s="2">
        <v>232800</v>
      </c>
    </row>
    <row r="12" spans="1:6" x14ac:dyDescent="0.3">
      <c r="A12" s="1" t="s">
        <v>9</v>
      </c>
      <c r="B12" s="2">
        <f t="shared" si="0"/>
        <v>-21637</v>
      </c>
      <c r="C12" s="2">
        <v>0</v>
      </c>
      <c r="D12" s="2">
        <v>0</v>
      </c>
      <c r="E12" s="2">
        <v>21637</v>
      </c>
      <c r="F12" s="2">
        <v>21380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-44010</v>
      </c>
      <c r="C14" s="2">
        <v>0</v>
      </c>
      <c r="D14" s="2">
        <v>0</v>
      </c>
      <c r="E14" s="2">
        <v>44010</v>
      </c>
      <c r="F14" s="2">
        <v>43740</v>
      </c>
    </row>
    <row r="15" spans="1:6" ht="17.25" thickBot="1" x14ac:dyDescent="0.35">
      <c r="A15" s="4" t="s">
        <v>13</v>
      </c>
      <c r="B15" s="5">
        <f>SUM(B3:B14)</f>
        <v>-546396</v>
      </c>
      <c r="C15" s="5">
        <f t="shared" ref="C15:F15" si="1">SUM(C3:C14)</f>
        <v>0</v>
      </c>
      <c r="D15" s="5">
        <f t="shared" si="1"/>
        <v>0</v>
      </c>
      <c r="E15" s="5">
        <f t="shared" si="1"/>
        <v>546396</v>
      </c>
      <c r="F15" s="5">
        <f t="shared" si="1"/>
        <v>524140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-43740</v>
      </c>
      <c r="C4" s="2">
        <v>0</v>
      </c>
      <c r="D4" s="2">
        <v>0</v>
      </c>
      <c r="E4" s="2">
        <v>43740</v>
      </c>
      <c r="F4" s="2">
        <v>43740</v>
      </c>
    </row>
    <row r="5" spans="1:6" x14ac:dyDescent="0.3">
      <c r="A5" s="1" t="s">
        <v>2</v>
      </c>
      <c r="B5" s="2">
        <f t="shared" si="0"/>
        <v>-44842</v>
      </c>
      <c r="C5" s="2">
        <v>0</v>
      </c>
      <c r="D5" s="2">
        <v>0</v>
      </c>
      <c r="E5" s="2">
        <v>44842</v>
      </c>
      <c r="F5" s="2">
        <v>41990</v>
      </c>
    </row>
    <row r="6" spans="1:6" x14ac:dyDescent="0.3">
      <c r="A6" s="1" t="s">
        <v>3</v>
      </c>
      <c r="B6" s="2">
        <f t="shared" si="0"/>
        <v>-33286</v>
      </c>
      <c r="C6" s="2">
        <v>0</v>
      </c>
      <c r="D6" s="2">
        <v>0</v>
      </c>
      <c r="E6" s="2">
        <v>33286</v>
      </c>
      <c r="F6" s="2">
        <v>29197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-84812</v>
      </c>
      <c r="C8" s="2">
        <v>0</v>
      </c>
      <c r="D8" s="2">
        <v>0</v>
      </c>
      <c r="E8" s="2">
        <v>84812</v>
      </c>
      <c r="F8" s="2">
        <v>85293</v>
      </c>
    </row>
    <row r="9" spans="1:6" x14ac:dyDescent="0.3">
      <c r="A9" s="1" t="s">
        <v>6</v>
      </c>
      <c r="B9" s="2">
        <f t="shared" si="0"/>
        <v>-33038</v>
      </c>
      <c r="C9" s="2">
        <v>0</v>
      </c>
      <c r="D9" s="2">
        <v>0</v>
      </c>
      <c r="E9" s="2">
        <v>33038</v>
      </c>
      <c r="F9" s="2">
        <v>29197</v>
      </c>
    </row>
    <row r="10" spans="1:6" x14ac:dyDescent="0.3">
      <c r="A10" s="1" t="s">
        <v>7</v>
      </c>
      <c r="B10" s="2">
        <f t="shared" si="0"/>
        <v>-58097</v>
      </c>
      <c r="C10" s="2">
        <v>0</v>
      </c>
      <c r="D10" s="2">
        <v>0</v>
      </c>
      <c r="E10" s="2">
        <v>58097</v>
      </c>
      <c r="F10" s="2">
        <v>56627</v>
      </c>
    </row>
    <row r="11" spans="1:6" x14ac:dyDescent="0.3">
      <c r="A11" s="1" t="s">
        <v>8</v>
      </c>
      <c r="B11" s="2">
        <f t="shared" si="0"/>
        <v>-32976</v>
      </c>
      <c r="C11" s="2">
        <v>0</v>
      </c>
      <c r="D11" s="2">
        <v>0</v>
      </c>
      <c r="E11" s="2">
        <v>32976</v>
      </c>
      <c r="F11" s="2">
        <v>27994</v>
      </c>
    </row>
    <row r="12" spans="1:6" x14ac:dyDescent="0.3">
      <c r="A12" s="1" t="s">
        <v>9</v>
      </c>
      <c r="B12" s="2">
        <f t="shared" si="0"/>
        <v>-42394</v>
      </c>
      <c r="C12" s="2">
        <v>0</v>
      </c>
      <c r="D12" s="2">
        <v>0</v>
      </c>
      <c r="E12" s="2">
        <v>42394</v>
      </c>
      <c r="F12" s="2">
        <v>42865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-373185</v>
      </c>
      <c r="C15" s="5">
        <f t="shared" ref="C15:F15" si="1">SUM(C3:C14)</f>
        <v>0</v>
      </c>
      <c r="D15" s="5">
        <f t="shared" si="1"/>
        <v>0</v>
      </c>
      <c r="E15" s="5">
        <f t="shared" si="1"/>
        <v>373185</v>
      </c>
      <c r="F15" s="5">
        <f t="shared" si="1"/>
        <v>356903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-94276</v>
      </c>
      <c r="C3" s="2">
        <v>0</v>
      </c>
      <c r="D3" s="2">
        <v>0</v>
      </c>
      <c r="E3" s="2">
        <v>94276</v>
      </c>
      <c r="F3" s="2">
        <v>92730</v>
      </c>
    </row>
    <row r="4" spans="1:6" x14ac:dyDescent="0.3">
      <c r="A4" s="1" t="s">
        <v>1</v>
      </c>
      <c r="B4" s="2">
        <f t="shared" si="0"/>
        <v>-36886</v>
      </c>
      <c r="C4" s="2">
        <v>0</v>
      </c>
      <c r="D4" s="2">
        <v>0</v>
      </c>
      <c r="E4" s="2">
        <v>36886</v>
      </c>
      <c r="F4" s="2">
        <v>34992</v>
      </c>
    </row>
    <row r="5" spans="1:6" x14ac:dyDescent="0.3">
      <c r="A5" s="1" t="s">
        <v>2</v>
      </c>
      <c r="B5" s="2">
        <f t="shared" si="0"/>
        <v>-42380</v>
      </c>
      <c r="C5" s="2">
        <v>0</v>
      </c>
      <c r="D5" s="2">
        <v>0</v>
      </c>
      <c r="E5" s="2">
        <v>42380</v>
      </c>
      <c r="F5" s="2">
        <v>41990</v>
      </c>
    </row>
    <row r="6" spans="1:6" x14ac:dyDescent="0.3">
      <c r="A6" s="1" t="s">
        <v>3</v>
      </c>
      <c r="B6" s="2">
        <f t="shared" si="0"/>
        <v>-56545</v>
      </c>
      <c r="C6" s="2">
        <v>0</v>
      </c>
      <c r="D6" s="2">
        <v>0</v>
      </c>
      <c r="E6" s="2">
        <v>56545</v>
      </c>
      <c r="F6" s="2">
        <v>50647</v>
      </c>
    </row>
    <row r="7" spans="1:6" x14ac:dyDescent="0.3">
      <c r="A7" s="1" t="s">
        <v>4</v>
      </c>
      <c r="B7" s="2">
        <f t="shared" si="0"/>
        <v>-49795</v>
      </c>
      <c r="C7" s="2">
        <v>0</v>
      </c>
      <c r="D7" s="2">
        <v>0</v>
      </c>
      <c r="E7" s="2">
        <v>49795</v>
      </c>
      <c r="F7" s="2">
        <v>43194</v>
      </c>
    </row>
    <row r="8" spans="1:6" x14ac:dyDescent="0.3">
      <c r="A8" s="1" t="s">
        <v>5</v>
      </c>
      <c r="B8" s="2">
        <f t="shared" si="0"/>
        <v>-42294</v>
      </c>
      <c r="C8" s="2">
        <v>0</v>
      </c>
      <c r="D8" s="2">
        <v>0</v>
      </c>
      <c r="E8" s="2">
        <v>42294</v>
      </c>
      <c r="F8" s="2">
        <v>43550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-17568</v>
      </c>
      <c r="C10" s="2">
        <v>0</v>
      </c>
      <c r="D10" s="2">
        <v>0</v>
      </c>
      <c r="E10" s="2">
        <v>17568</v>
      </c>
      <c r="F10" s="2">
        <v>13997</v>
      </c>
    </row>
    <row r="11" spans="1:6" x14ac:dyDescent="0.3">
      <c r="A11" s="1" t="s">
        <v>8</v>
      </c>
      <c r="B11" s="2">
        <f t="shared" si="0"/>
        <v>-17280</v>
      </c>
      <c r="C11" s="2">
        <v>0</v>
      </c>
      <c r="D11" s="2">
        <v>0</v>
      </c>
      <c r="E11" s="2">
        <v>17280</v>
      </c>
      <c r="F11" s="2">
        <v>13997</v>
      </c>
    </row>
    <row r="12" spans="1:6" x14ac:dyDescent="0.3">
      <c r="A12" s="1" t="s">
        <v>9</v>
      </c>
      <c r="B12" s="2">
        <f t="shared" si="0"/>
        <v>-41136</v>
      </c>
      <c r="C12" s="2">
        <v>0</v>
      </c>
      <c r="D12" s="2">
        <v>0</v>
      </c>
      <c r="E12" s="2">
        <v>41136</v>
      </c>
      <c r="F12" s="2">
        <v>35079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-398160</v>
      </c>
      <c r="C15" s="5">
        <f t="shared" ref="C15:F15" si="1">SUM(C3:C14)</f>
        <v>0</v>
      </c>
      <c r="D15" s="5">
        <f t="shared" si="1"/>
        <v>0</v>
      </c>
      <c r="E15" s="5">
        <f t="shared" si="1"/>
        <v>398160</v>
      </c>
      <c r="F15" s="5">
        <f t="shared" si="1"/>
        <v>370176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-48909</v>
      </c>
      <c r="C5" s="2">
        <v>0</v>
      </c>
      <c r="D5" s="2">
        <v>0</v>
      </c>
      <c r="E5" s="2">
        <v>48909</v>
      </c>
      <c r="F5" s="2">
        <v>29284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-29640</v>
      </c>
      <c r="C7" s="2">
        <v>0</v>
      </c>
      <c r="D7" s="2">
        <v>0</v>
      </c>
      <c r="E7" s="2">
        <v>29640</v>
      </c>
      <c r="F7" s="2">
        <v>15200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-14103</v>
      </c>
      <c r="C10" s="2">
        <v>0</v>
      </c>
      <c r="D10" s="2">
        <v>0</v>
      </c>
      <c r="E10" s="2">
        <v>14103</v>
      </c>
      <c r="F10" s="2">
        <v>6736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36</v>
      </c>
      <c r="C12" s="2">
        <v>36</v>
      </c>
      <c r="D12" s="2">
        <v>11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-41</v>
      </c>
      <c r="C13" s="2">
        <v>0</v>
      </c>
      <c r="D13" s="2">
        <v>0</v>
      </c>
      <c r="E13" s="2">
        <v>41</v>
      </c>
      <c r="F13" s="2">
        <v>5</v>
      </c>
    </row>
    <row r="14" spans="1:6" x14ac:dyDescent="0.3">
      <c r="A14" s="1" t="s">
        <v>11</v>
      </c>
      <c r="B14" s="2">
        <f t="shared" si="0"/>
        <v>-26517</v>
      </c>
      <c r="C14" s="2">
        <v>0</v>
      </c>
      <c r="D14" s="2">
        <v>0</v>
      </c>
      <c r="E14" s="2">
        <v>26517</v>
      </c>
      <c r="F14" s="2">
        <v>14084</v>
      </c>
    </row>
    <row r="15" spans="1:6" ht="17.25" thickBot="1" x14ac:dyDescent="0.35">
      <c r="A15" s="4" t="s">
        <v>13</v>
      </c>
      <c r="B15" s="5">
        <f>SUM(B3:B14)</f>
        <v>-119174</v>
      </c>
      <c r="C15" s="5">
        <f t="shared" ref="C15:F15" si="1">SUM(C3:C14)</f>
        <v>36</v>
      </c>
      <c r="D15" s="5">
        <f t="shared" si="1"/>
        <v>11</v>
      </c>
      <c r="E15" s="5">
        <f t="shared" si="1"/>
        <v>119210</v>
      </c>
      <c r="F15" s="5">
        <f t="shared" si="1"/>
        <v>65309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-59397</v>
      </c>
      <c r="C3" s="2">
        <v>0</v>
      </c>
      <c r="D3" s="2">
        <v>0</v>
      </c>
      <c r="E3" s="2">
        <v>59397</v>
      </c>
      <c r="F3" s="2">
        <v>31928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6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-67246</v>
      </c>
      <c r="C7" s="2">
        <v>0</v>
      </c>
      <c r="D7" s="2">
        <v>0</v>
      </c>
      <c r="E7" s="2">
        <v>67246</v>
      </c>
      <c r="F7" s="2">
        <v>35079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-1491057</v>
      </c>
      <c r="C9" s="2">
        <v>0</v>
      </c>
      <c r="D9" s="2">
        <v>0</v>
      </c>
      <c r="E9" s="2">
        <v>1491057</v>
      </c>
      <c r="F9" s="2">
        <v>543920</v>
      </c>
    </row>
    <row r="10" spans="1:6" x14ac:dyDescent="0.3">
      <c r="A10" s="1" t="s">
        <v>7</v>
      </c>
      <c r="B10" s="2">
        <f t="shared" si="0"/>
        <v>340</v>
      </c>
      <c r="C10" s="2">
        <v>340</v>
      </c>
      <c r="D10" s="2">
        <v>60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-1617360</v>
      </c>
      <c r="C15" s="5">
        <f t="shared" ref="C15:F15" si="1">SUM(C3:C14)</f>
        <v>340</v>
      </c>
      <c r="D15" s="5">
        <f t="shared" si="1"/>
        <v>60</v>
      </c>
      <c r="E15" s="5">
        <f t="shared" si="1"/>
        <v>1617700</v>
      </c>
      <c r="F15" s="5">
        <f t="shared" si="1"/>
        <v>610927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-28265</v>
      </c>
      <c r="C4" s="2">
        <v>0</v>
      </c>
      <c r="D4" s="2">
        <v>0</v>
      </c>
      <c r="E4" s="2">
        <v>28265</v>
      </c>
      <c r="F4" s="2">
        <v>14085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-86506</v>
      </c>
      <c r="C7" s="2">
        <v>0</v>
      </c>
      <c r="D7" s="2">
        <v>0</v>
      </c>
      <c r="E7" s="2">
        <v>86506</v>
      </c>
      <c r="F7" s="2">
        <v>60544</v>
      </c>
    </row>
    <row r="8" spans="1:6" x14ac:dyDescent="0.3">
      <c r="A8" s="1" t="s">
        <v>5</v>
      </c>
      <c r="B8" s="2">
        <f t="shared" si="0"/>
        <v>-185</v>
      </c>
      <c r="C8" s="2">
        <v>0</v>
      </c>
      <c r="D8" s="2">
        <v>0</v>
      </c>
      <c r="E8" s="2">
        <v>185</v>
      </c>
      <c r="F8" s="2">
        <v>45</v>
      </c>
    </row>
    <row r="9" spans="1:6" x14ac:dyDescent="0.3">
      <c r="A9" s="1" t="s">
        <v>6</v>
      </c>
      <c r="B9" s="2">
        <f t="shared" si="0"/>
        <v>-151752</v>
      </c>
      <c r="C9" s="2">
        <v>0</v>
      </c>
      <c r="D9" s="2">
        <v>0</v>
      </c>
      <c r="E9" s="2">
        <v>151752</v>
      </c>
      <c r="F9" s="2">
        <v>115014</v>
      </c>
    </row>
    <row r="10" spans="1:6" x14ac:dyDescent="0.3">
      <c r="A10" s="1" t="s">
        <v>7</v>
      </c>
      <c r="B10" s="2">
        <f t="shared" si="0"/>
        <v>-29660</v>
      </c>
      <c r="C10" s="2">
        <v>0</v>
      </c>
      <c r="D10" s="2">
        <v>0</v>
      </c>
      <c r="E10" s="2">
        <v>29660</v>
      </c>
      <c r="F10" s="2">
        <v>21400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-48284</v>
      </c>
      <c r="C13" s="2">
        <v>0</v>
      </c>
      <c r="D13" s="2">
        <v>0</v>
      </c>
      <c r="E13" s="2">
        <v>48284</v>
      </c>
      <c r="F13" s="2">
        <v>34284</v>
      </c>
    </row>
    <row r="14" spans="1:6" x14ac:dyDescent="0.3">
      <c r="A14" s="1" t="s">
        <v>11</v>
      </c>
      <c r="B14" s="2">
        <f t="shared" si="0"/>
        <v>-12</v>
      </c>
      <c r="C14" s="2">
        <v>0</v>
      </c>
      <c r="D14" s="2">
        <v>0</v>
      </c>
      <c r="E14" s="2">
        <v>12</v>
      </c>
      <c r="F14" s="2">
        <v>1</v>
      </c>
    </row>
    <row r="15" spans="1:6" ht="17.25" thickBot="1" x14ac:dyDescent="0.35">
      <c r="A15" s="4" t="s">
        <v>13</v>
      </c>
      <c r="B15" s="5">
        <f>SUM(B3:B14)</f>
        <v>-344664</v>
      </c>
      <c r="C15" s="5">
        <f t="shared" ref="C15:F15" si="1">SUM(C3:C14)</f>
        <v>0</v>
      </c>
      <c r="D15" s="5">
        <f t="shared" si="1"/>
        <v>0</v>
      </c>
      <c r="E15" s="5">
        <f t="shared" si="1"/>
        <v>344664</v>
      </c>
      <c r="F15" s="5">
        <f t="shared" si="1"/>
        <v>245373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-135517</v>
      </c>
      <c r="C3" s="2">
        <v>0</v>
      </c>
      <c r="D3" s="2">
        <v>0</v>
      </c>
      <c r="E3" s="2">
        <v>135517</v>
      </c>
      <c r="F3" s="2">
        <v>104220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6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-131983</v>
      </c>
      <c r="C7" s="2">
        <v>0</v>
      </c>
      <c r="D7" s="2">
        <v>0</v>
      </c>
      <c r="E7" s="2">
        <v>131983</v>
      </c>
      <c r="F7" s="6">
        <v>104320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-9563</v>
      </c>
      <c r="C10" s="2">
        <v>0</v>
      </c>
      <c r="D10" s="2">
        <v>0</v>
      </c>
      <c r="E10" s="2">
        <v>9563</v>
      </c>
      <c r="F10" s="6">
        <v>6736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6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-30620</v>
      </c>
      <c r="C13" s="2">
        <v>110</v>
      </c>
      <c r="D13" s="2">
        <v>50</v>
      </c>
      <c r="E13" s="2">
        <v>30730</v>
      </c>
      <c r="F13" s="2">
        <v>19800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-307683</v>
      </c>
      <c r="C15" s="5">
        <f t="shared" ref="C15:F15" si="1">SUM(C3:C14)</f>
        <v>110</v>
      </c>
      <c r="D15" s="5">
        <f t="shared" si="1"/>
        <v>50</v>
      </c>
      <c r="E15" s="5">
        <f t="shared" si="1"/>
        <v>307793</v>
      </c>
      <c r="F15" s="5">
        <f t="shared" si="1"/>
        <v>235076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-31361</v>
      </c>
      <c r="C3" s="2">
        <v>0</v>
      </c>
      <c r="D3" s="2">
        <v>0</v>
      </c>
      <c r="E3" s="2">
        <v>31361</v>
      </c>
      <c r="F3" s="2">
        <v>21480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-33377</v>
      </c>
      <c r="C9" s="2">
        <v>0</v>
      </c>
      <c r="D9" s="2">
        <v>0</v>
      </c>
      <c r="E9" s="2">
        <v>33377</v>
      </c>
      <c r="F9" s="2">
        <v>19801</v>
      </c>
    </row>
    <row r="10" spans="1:6" x14ac:dyDescent="0.3">
      <c r="A10" s="1" t="s">
        <v>7</v>
      </c>
      <c r="B10" s="2">
        <f t="shared" si="0"/>
        <v>-196972</v>
      </c>
      <c r="C10" s="2">
        <v>0</v>
      </c>
      <c r="D10" s="2">
        <v>0</v>
      </c>
      <c r="E10" s="2">
        <v>196972</v>
      </c>
      <c r="F10" s="2">
        <v>123111</v>
      </c>
    </row>
    <row r="11" spans="1:6" x14ac:dyDescent="0.3">
      <c r="A11" s="1" t="s">
        <v>8</v>
      </c>
      <c r="B11" s="2">
        <f t="shared" si="0"/>
        <v>-101028</v>
      </c>
      <c r="C11" s="2">
        <v>0</v>
      </c>
      <c r="D11" s="2">
        <v>0</v>
      </c>
      <c r="E11" s="2">
        <v>101028</v>
      </c>
      <c r="F11" s="2">
        <v>62520</v>
      </c>
    </row>
    <row r="12" spans="1:6" x14ac:dyDescent="0.3">
      <c r="A12" s="1" t="s">
        <v>9</v>
      </c>
      <c r="B12" s="2">
        <f t="shared" si="0"/>
        <v>-1773</v>
      </c>
      <c r="C12" s="2">
        <v>0</v>
      </c>
      <c r="D12" s="2">
        <v>0</v>
      </c>
      <c r="E12" s="2">
        <v>1773</v>
      </c>
      <c r="F12" s="2">
        <v>762</v>
      </c>
    </row>
    <row r="13" spans="1:6" x14ac:dyDescent="0.3">
      <c r="A13" s="1" t="s">
        <v>10</v>
      </c>
      <c r="B13" s="2">
        <f t="shared" si="0"/>
        <v>-98927</v>
      </c>
      <c r="C13" s="2">
        <v>109</v>
      </c>
      <c r="D13" s="2">
        <v>50</v>
      </c>
      <c r="E13" s="2">
        <v>99036</v>
      </c>
      <c r="F13" s="2">
        <v>60752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-463438</v>
      </c>
      <c r="C15" s="5">
        <f t="shared" ref="C15:F15" si="1">SUM(C3:C14)</f>
        <v>109</v>
      </c>
      <c r="D15" s="5">
        <f t="shared" si="1"/>
        <v>50</v>
      </c>
      <c r="E15" s="5">
        <f t="shared" si="1"/>
        <v>463547</v>
      </c>
      <c r="F15" s="5">
        <f t="shared" si="1"/>
        <v>288426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-9</v>
      </c>
      <c r="C4" s="2">
        <v>0</v>
      </c>
      <c r="D4" s="2">
        <v>0</v>
      </c>
      <c r="E4" s="2">
        <v>9</v>
      </c>
      <c r="F4" s="2">
        <v>1</v>
      </c>
    </row>
    <row r="5" spans="1:6" x14ac:dyDescent="0.3">
      <c r="A5" s="1" t="s">
        <v>2</v>
      </c>
      <c r="B5" s="2">
        <f t="shared" si="0"/>
        <v>-312445</v>
      </c>
      <c r="C5" s="2">
        <v>0</v>
      </c>
      <c r="D5" s="2">
        <v>0</v>
      </c>
      <c r="E5" s="2">
        <v>312445</v>
      </c>
      <c r="F5" s="2">
        <v>212520</v>
      </c>
    </row>
    <row r="6" spans="1:6" x14ac:dyDescent="0.3">
      <c r="A6" s="1" t="s">
        <v>3</v>
      </c>
      <c r="B6" s="2">
        <f t="shared" si="0"/>
        <v>-516317</v>
      </c>
      <c r="C6" s="2">
        <v>0</v>
      </c>
      <c r="D6" s="2">
        <v>0</v>
      </c>
      <c r="E6" s="2">
        <v>516317</v>
      </c>
      <c r="F6" s="2">
        <v>319110</v>
      </c>
    </row>
    <row r="7" spans="1:6" x14ac:dyDescent="0.3">
      <c r="A7" s="1" t="s">
        <v>4</v>
      </c>
      <c r="B7" s="2">
        <f t="shared" si="0"/>
        <v>-67343</v>
      </c>
      <c r="C7" s="2">
        <v>0</v>
      </c>
      <c r="D7" s="2">
        <v>0</v>
      </c>
      <c r="E7" s="2">
        <v>67343</v>
      </c>
      <c r="F7" s="2">
        <v>41570</v>
      </c>
    </row>
    <row r="8" spans="1:6" x14ac:dyDescent="0.3">
      <c r="A8" s="1" t="s">
        <v>5</v>
      </c>
      <c r="B8" s="2">
        <f t="shared" si="0"/>
        <v>-102306</v>
      </c>
      <c r="C8" s="2">
        <v>224</v>
      </c>
      <c r="D8" s="2">
        <v>99</v>
      </c>
      <c r="E8" s="2">
        <v>102530</v>
      </c>
      <c r="F8" s="2">
        <v>63290</v>
      </c>
    </row>
    <row r="9" spans="1:6" x14ac:dyDescent="0.3">
      <c r="A9" s="1" t="s">
        <v>6</v>
      </c>
      <c r="B9" s="2">
        <f t="shared" si="0"/>
        <v>-12</v>
      </c>
      <c r="C9" s="2">
        <v>0</v>
      </c>
      <c r="D9" s="2">
        <v>0</v>
      </c>
      <c r="E9" s="2">
        <v>12</v>
      </c>
      <c r="F9" s="2">
        <v>1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-998432</v>
      </c>
      <c r="C15" s="5">
        <f t="shared" ref="C15:F15" si="1">SUM(C3:C14)</f>
        <v>224</v>
      </c>
      <c r="D15" s="5">
        <f t="shared" si="1"/>
        <v>99</v>
      </c>
      <c r="E15" s="5">
        <f t="shared" si="1"/>
        <v>998656</v>
      </c>
      <c r="F15" s="5">
        <f t="shared" si="1"/>
        <v>636492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2026-09-01T10:22:26Z</dcterms:modified>
</cp:coreProperties>
</file>