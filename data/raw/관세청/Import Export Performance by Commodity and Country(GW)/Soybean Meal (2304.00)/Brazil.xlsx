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박\2304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<sst xmlns="http://schemas.openxmlformats.org/spreadsheetml/2006/main" count="306" uniqueCount="18">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</sst>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-2827086</v>
      </c>
      <c r="C3" s="2">
        <v>0</v>
      </c>
      <c r="D3" s="2">
        <v>0</v>
      </c>
      <c r="E3" s="2">
        <v>2827086</v>
      </c>
      <c r="F3" s="2">
        <v>6019480</v>
      </c>
    </row>
    <row r="4" spans="1:6" x14ac:dyDescent="0.3">
      <c r="A4" s="1" t="s">
        <v>1</v>
      </c>
      <c r="B4" s="2">
        <f t="shared" ref="B4:B14" si="0">C4-E4</f>
        <v>-1136814</v>
      </c>
      <c r="C4" s="2">
        <v>0</v>
      </c>
      <c r="D4" s="2">
        <v>0</v>
      </c>
      <c r="E4" s="2">
        <v>1136814</v>
      </c>
      <c r="F4" s="2">
        <v>2423963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-211542</v>
      </c>
      <c r="C6" s="2">
        <v>0</v>
      </c>
      <c r="D6" s="2">
        <v>0</v>
      </c>
      <c r="E6" s="2">
        <v>211542</v>
      </c>
      <c r="F6" s="2">
        <v>440981</v>
      </c>
    </row>
    <row r="7" spans="1:6" x14ac:dyDescent="0.3">
      <c r="A7" s="1" t="s">
        <v>4</v>
      </c>
      <c r="B7" s="2">
        <f t="shared" si="0"/>
        <v>-28360273</v>
      </c>
      <c r="C7" s="2">
        <v>0</v>
      </c>
      <c r="D7" s="2">
        <v>0</v>
      </c>
      <c r="E7" s="2">
        <v>28360273</v>
      </c>
      <c r="F7" s="2">
        <v>74696630</v>
      </c>
    </row>
    <row r="8" spans="1:6" x14ac:dyDescent="0.3">
      <c r="A8" s="1" t="s">
        <v>5</v>
      </c>
      <c r="B8" s="2">
        <f t="shared" si="0"/>
        <v>-57620494</v>
      </c>
      <c r="C8" s="2">
        <v>0</v>
      </c>
      <c r="D8" s="2">
        <v>0</v>
      </c>
      <c r="E8" s="2">
        <v>57620494</v>
      </c>
      <c r="F8" s="2">
        <v>149794062</v>
      </c>
    </row>
    <row r="9" spans="1:6" x14ac:dyDescent="0.3">
      <c r="A9" s="1" t="s">
        <v>6</v>
      </c>
      <c r="B9" s="2">
        <f t="shared" si="0"/>
        <v>-55684343</v>
      </c>
      <c r="C9" s="2">
        <v>0</v>
      </c>
      <c r="D9" s="2">
        <v>0</v>
      </c>
      <c r="E9" s="2">
        <v>55684343</v>
      </c>
      <c r="F9" s="2">
        <v>144018131</v>
      </c>
    </row>
    <row r="10" spans="1:6" x14ac:dyDescent="0.3">
      <c r="A10" s="1" t="s">
        <v>7</v>
      </c>
      <c r="B10" s="2">
        <f t="shared" si="0"/>
        <v>-27066436</v>
      </c>
      <c r="C10" s="2">
        <v>0</v>
      </c>
      <c r="D10" s="2">
        <v>0</v>
      </c>
      <c r="E10" s="2">
        <v>27066436</v>
      </c>
      <c r="F10" s="2">
        <v>72722157</v>
      </c>
    </row>
    <row r="11" spans="1:6" x14ac:dyDescent="0.3">
      <c r="A11" s="1" t="s">
        <v>8</v>
      </c>
      <c r="B11" s="2">
        <f t="shared" si="0"/>
        <v>-42796694</v>
      </c>
      <c r="C11" s="2">
        <v>0</v>
      </c>
      <c r="D11" s="2">
        <v>0</v>
      </c>
      <c r="E11" s="2">
        <v>42796694</v>
      </c>
      <c r="F11" s="2">
        <v>118929912</v>
      </c>
    </row>
    <row r="12" spans="1:6" x14ac:dyDescent="0.3">
      <c r="A12" s="1" t="s">
        <v>9</v>
      </c>
      <c r="B12" s="2">
        <f t="shared" si="0"/>
        <v>-26790292</v>
      </c>
      <c r="C12" s="2">
        <v>0</v>
      </c>
      <c r="D12" s="2">
        <v>0</v>
      </c>
      <c r="E12" s="2">
        <v>26790292</v>
      </c>
      <c r="F12" s="2">
        <v>76692848</v>
      </c>
    </row>
    <row r="13" spans="1:6" x14ac:dyDescent="0.3">
      <c r="A13" s="1" t="s">
        <v>10</v>
      </c>
      <c r="B13" s="2">
        <f t="shared" si="0"/>
        <v>-36112300</v>
      </c>
      <c r="C13" s="2">
        <v>0</v>
      </c>
      <c r="D13" s="2">
        <v>0</v>
      </c>
      <c r="E13" s="2">
        <v>36112300</v>
      </c>
      <c r="F13" s="2">
        <v>102751839</v>
      </c>
    </row>
    <row r="14" spans="1:6" x14ac:dyDescent="0.3">
      <c r="A14" s="1" t="s">
        <v>11</v>
      </c>
      <c r="B14" s="2">
        <f t="shared" si="0"/>
        <v>-40326942</v>
      </c>
      <c r="C14" s="2">
        <v>0</v>
      </c>
      <c r="D14" s="2">
        <v>0</v>
      </c>
      <c r="E14" s="2">
        <v>40326942</v>
      </c>
      <c r="F14" s="2">
        <v>115471200</v>
      </c>
    </row>
    <row r="15" spans="1:6" ht="17.25" thickBot="1" x14ac:dyDescent="0.35">
      <c r="A15" s="4" t="s">
        <v>13</v>
      </c>
      <c r="B15" s="5">
        <f>SUM(B3:B14)</f>
        <v>-318933216</v>
      </c>
      <c r="C15" s="5">
        <f t="shared" ref="C15:F15" si="1">SUM(C3:C14)</f>
        <v>0</v>
      </c>
      <c r="D15" s="5">
        <f t="shared" si="1"/>
        <v>0</v>
      </c>
      <c r="E15" s="5">
        <f t="shared" si="1"/>
        <v>318933216</v>
      </c>
      <c r="F15" s="5">
        <f t="shared" si="1"/>
        <v>863961203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>
      <selection activeCell="E15" sqref="E15"/>
    </sheetView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-13418063</v>
      </c>
      <c r="C3" s="2">
        <v>0</v>
      </c>
      <c r="D3" s="2">
        <v>0</v>
      </c>
      <c r="E3" s="2">
        <v>13418063</v>
      </c>
      <c r="F3" s="2">
        <v>37076221</v>
      </c>
    </row>
    <row r="4" spans="1:6" x14ac:dyDescent="0.3">
      <c r="A4" s="1" t="s">
        <v>1</v>
      </c>
      <c r="B4" s="2">
        <f t="shared" ref="B4:B14" si="0">C4-E4</f>
        <v>-32632774</v>
      </c>
      <c r="C4" s="2">
        <v>0</v>
      </c>
      <c r="D4" s="2">
        <v>0</v>
      </c>
      <c r="E4" s="2">
        <v>32632774</v>
      </c>
      <c r="F4" s="2">
        <v>79563120</v>
      </c>
    </row>
    <row r="5" spans="1:6" x14ac:dyDescent="0.3">
      <c r="A5" s="1" t="s">
        <v>2</v>
      </c>
      <c r="B5" s="2">
        <f t="shared" si="0"/>
        <v>-16486086</v>
      </c>
      <c r="C5" s="2">
        <v>0</v>
      </c>
      <c r="D5" s="2">
        <v>0</v>
      </c>
      <c r="E5" s="2">
        <v>16486086</v>
      </c>
      <c r="F5" s="2">
        <v>39598997</v>
      </c>
    </row>
    <row r="6" spans="1:6" x14ac:dyDescent="0.3">
      <c r="A6" s="1" t="s">
        <v>3</v>
      </c>
      <c r="B6" s="2">
        <f t="shared" si="0"/>
        <v>-6258006</v>
      </c>
      <c r="C6" s="2">
        <v>0</v>
      </c>
      <c r="D6" s="2">
        <v>0</v>
      </c>
      <c r="E6" s="2">
        <v>6258006</v>
      </c>
      <c r="F6" s="2">
        <v>15384851</v>
      </c>
    </row>
    <row r="7" spans="1:6" x14ac:dyDescent="0.3">
      <c r="A7" s="1" t="s">
        <v>4</v>
      </c>
      <c r="B7" s="2">
        <f t="shared" si="0"/>
        <v>-1721658</v>
      </c>
      <c r="C7" s="2">
        <v>0</v>
      </c>
      <c r="D7" s="2">
        <v>0</v>
      </c>
      <c r="E7" s="2">
        <v>1721658</v>
      </c>
      <c r="F7" s="2">
        <v>4279857</v>
      </c>
    </row>
    <row r="8" spans="1:6" x14ac:dyDescent="0.3">
      <c r="A8" s="1" t="s">
        <v>5</v>
      </c>
      <c r="B8" s="2">
        <f t="shared" si="0"/>
        <v>-47135840</v>
      </c>
      <c r="C8" s="2">
        <v>0</v>
      </c>
      <c r="D8" s="2">
        <v>0</v>
      </c>
      <c r="E8" s="2">
        <v>47135840</v>
      </c>
      <c r="F8" s="2">
        <v>108468290</v>
      </c>
    </row>
    <row r="9" spans="1:6" x14ac:dyDescent="0.3">
      <c r="A9" s="1" t="s">
        <v>6</v>
      </c>
      <c r="B9" s="2">
        <f t="shared" si="0"/>
        <v>-19344763</v>
      </c>
      <c r="C9" s="2">
        <v>0</v>
      </c>
      <c r="D9" s="2">
        <v>0</v>
      </c>
      <c r="E9" s="2">
        <v>19344763</v>
      </c>
      <c r="F9" s="2">
        <v>44277052</v>
      </c>
    </row>
    <row r="10" spans="1:6" x14ac:dyDescent="0.3">
      <c r="A10" s="1" t="s">
        <v>7</v>
      </c>
      <c r="B10" s="2">
        <f t="shared" si="0"/>
        <v>-32244107</v>
      </c>
      <c r="C10" s="2">
        <v>0</v>
      </c>
      <c r="D10" s="2">
        <v>0</v>
      </c>
      <c r="E10" s="2">
        <v>32244107</v>
      </c>
      <c r="F10" s="2">
        <v>73819436</v>
      </c>
    </row>
    <row r="11" spans="1:6" x14ac:dyDescent="0.3">
      <c r="A11" s="1" t="s">
        <v>8</v>
      </c>
      <c r="B11" s="2">
        <f t="shared" si="0"/>
        <v>-36607572</v>
      </c>
      <c r="C11" s="2">
        <v>0</v>
      </c>
      <c r="D11" s="2">
        <v>0</v>
      </c>
      <c r="E11" s="2">
        <v>36607572</v>
      </c>
      <c r="F11" s="2">
        <v>84531635</v>
      </c>
    </row>
    <row r="12" spans="1:6" x14ac:dyDescent="0.3">
      <c r="A12" s="1" t="s">
        <v>9</v>
      </c>
      <c r="B12" s="2">
        <f t="shared" si="0"/>
        <v>-28734617</v>
      </c>
      <c r="C12" s="2">
        <v>0</v>
      </c>
      <c r="D12" s="2">
        <v>0</v>
      </c>
      <c r="E12" s="2">
        <v>28734617</v>
      </c>
      <c r="F12" s="2">
        <v>66322263</v>
      </c>
    </row>
    <row r="13" spans="1:6" x14ac:dyDescent="0.3">
      <c r="A13" s="1" t="s">
        <v>10</v>
      </c>
      <c r="B13" s="2">
        <f t="shared" si="0"/>
        <v>-48041132</v>
      </c>
      <c r="C13" s="2">
        <v>0</v>
      </c>
      <c r="D13" s="2">
        <v>0</v>
      </c>
      <c r="E13" s="2">
        <v>48041132</v>
      </c>
      <c r="F13" s="2">
        <v>113920873</v>
      </c>
    </row>
    <row r="14" spans="1:6" x14ac:dyDescent="0.3">
      <c r="A14" s="1" t="s">
        <v>11</v>
      </c>
      <c r="B14" s="2">
        <f t="shared" si="0"/>
        <v>-25513879</v>
      </c>
      <c r="C14" s="2">
        <v>0</v>
      </c>
      <c r="D14" s="2">
        <v>0</v>
      </c>
      <c r="E14" s="2">
        <v>25513879</v>
      </c>
      <c r="F14" s="2">
        <v>60878351</v>
      </c>
    </row>
    <row r="15" spans="1:6" ht="17.25" thickBot="1" x14ac:dyDescent="0.35">
      <c r="A15" s="4" t="s">
        <v>13</v>
      </c>
      <c r="B15" s="5">
        <f>SUM(B3:B14)</f>
        <v>-308138497</v>
      </c>
      <c r="C15" s="5">
        <f t="shared" ref="C15:F15" si="1">SUM(C3:C14)</f>
        <v>0</v>
      </c>
      <c r="D15" s="5">
        <f t="shared" si="1"/>
        <v>0</v>
      </c>
      <c r="E15" s="5">
        <f t="shared" si="1"/>
        <v>308138497</v>
      </c>
      <c r="F15" s="5">
        <f t="shared" si="1"/>
        <v>728120946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-24429748</v>
      </c>
      <c r="C3" s="2">
        <v>0</v>
      </c>
      <c r="D3" s="2">
        <v>0</v>
      </c>
      <c r="E3" s="2">
        <v>24429748</v>
      </c>
      <c r="F3" s="2">
        <v>58440986</v>
      </c>
    </row>
    <row r="4" spans="1:6" x14ac:dyDescent="0.3">
      <c r="A4" s="1" t="s">
        <v>1</v>
      </c>
      <c r="B4" s="2">
        <f t="shared" ref="B4:B14" si="0">C4-E4</f>
        <v>-15359576</v>
      </c>
      <c r="C4" s="2">
        <v>0</v>
      </c>
      <c r="D4" s="2">
        <v>0</v>
      </c>
      <c r="E4" s="2">
        <v>15359576</v>
      </c>
      <c r="F4" s="2">
        <v>36605067</v>
      </c>
    </row>
    <row r="5" spans="1:6" x14ac:dyDescent="0.3">
      <c r="A5" s="1" t="s">
        <v>2</v>
      </c>
      <c r="B5" s="2">
        <f t="shared" si="0"/>
        <v>-26027243</v>
      </c>
      <c r="C5" s="2">
        <v>0</v>
      </c>
      <c r="D5" s="2">
        <v>0</v>
      </c>
      <c r="E5" s="2">
        <v>26027243</v>
      </c>
      <c r="F5" s="2">
        <v>63768778</v>
      </c>
    </row>
    <row r="6" spans="1:6" x14ac:dyDescent="0.3">
      <c r="A6" s="1" t="s">
        <v>3</v>
      </c>
      <c r="B6" s="2">
        <f t="shared" si="0"/>
        <v>-32343758</v>
      </c>
      <c r="C6" s="2">
        <v>0</v>
      </c>
      <c r="D6" s="2">
        <v>0</v>
      </c>
      <c r="E6" s="2">
        <v>32343758</v>
      </c>
      <c r="F6" s="2">
        <v>81438973</v>
      </c>
    </row>
    <row r="7" spans="1:6" x14ac:dyDescent="0.3">
      <c r="A7" s="1" t="s">
        <v>4</v>
      </c>
      <c r="B7" s="2">
        <f t="shared" si="0"/>
        <v>-26278596</v>
      </c>
      <c r="C7" s="2">
        <v>0</v>
      </c>
      <c r="D7" s="2">
        <v>0</v>
      </c>
      <c r="E7" s="2">
        <v>26278596</v>
      </c>
      <c r="F7" s="2">
        <v>66403147</v>
      </c>
    </row>
    <row r="8" spans="1:6" x14ac:dyDescent="0.3">
      <c r="A8" s="1" t="s">
        <v>5</v>
      </c>
      <c r="B8" s="2">
        <f t="shared" si="0"/>
        <v>-50947469</v>
      </c>
      <c r="C8" s="2">
        <v>0</v>
      </c>
      <c r="D8" s="2">
        <v>0</v>
      </c>
      <c r="E8" s="2">
        <v>50947469</v>
      </c>
      <c r="F8" s="2">
        <v>130595782</v>
      </c>
    </row>
    <row r="9" spans="1:6" x14ac:dyDescent="0.3">
      <c r="A9" s="1" t="s">
        <v>6</v>
      </c>
      <c r="B9" s="2">
        <f t="shared" si="0"/>
        <v>-25485541</v>
      </c>
      <c r="C9" s="2">
        <v>0</v>
      </c>
      <c r="D9" s="2">
        <v>0</v>
      </c>
      <c r="E9" s="2">
        <v>25485541</v>
      </c>
      <c r="F9" s="2">
        <v>61902531</v>
      </c>
    </row>
    <row r="10" spans="1:6" x14ac:dyDescent="0.3">
      <c r="A10" s="1" t="s">
        <v>7</v>
      </c>
      <c r="B10" s="2">
        <f t="shared" si="0"/>
        <v>-55289346</v>
      </c>
      <c r="C10" s="2">
        <v>0</v>
      </c>
      <c r="D10" s="2">
        <v>0</v>
      </c>
      <c r="E10" s="2">
        <v>55289346</v>
      </c>
      <c r="F10" s="2">
        <v>121019623</v>
      </c>
    </row>
    <row r="11" spans="1:6" x14ac:dyDescent="0.3">
      <c r="A11" s="1" t="s">
        <v>8</v>
      </c>
      <c r="B11" s="2">
        <f t="shared" si="0"/>
        <v>-45807630</v>
      </c>
      <c r="C11" s="2">
        <v>0</v>
      </c>
      <c r="D11" s="2">
        <v>0</v>
      </c>
      <c r="E11" s="2">
        <v>45807630</v>
      </c>
      <c r="F11" s="2">
        <v>93750644</v>
      </c>
    </row>
    <row r="12" spans="1:6" x14ac:dyDescent="0.3">
      <c r="A12" s="1" t="s">
        <v>9</v>
      </c>
      <c r="B12" s="2">
        <f t="shared" si="0"/>
        <v>-26937421</v>
      </c>
      <c r="C12" s="2">
        <v>0</v>
      </c>
      <c r="D12" s="2">
        <v>0</v>
      </c>
      <c r="E12" s="2">
        <v>26937421</v>
      </c>
      <c r="F12" s="2">
        <v>53085006</v>
      </c>
    </row>
    <row r="13" spans="1:6" x14ac:dyDescent="0.3">
      <c r="A13" s="1" t="s">
        <v>10</v>
      </c>
      <c r="B13" s="2">
        <f t="shared" si="0"/>
        <v>-26520959</v>
      </c>
      <c r="C13" s="2">
        <v>0</v>
      </c>
      <c r="D13" s="2">
        <v>0</v>
      </c>
      <c r="E13" s="2">
        <v>26520959</v>
      </c>
      <c r="F13" s="2">
        <v>52464030</v>
      </c>
    </row>
    <row r="14" spans="1:6" x14ac:dyDescent="0.3">
      <c r="A14" s="1" t="s">
        <v>11</v>
      </c>
      <c r="B14" s="2">
        <f t="shared" si="0"/>
        <v>-11079793</v>
      </c>
      <c r="C14" s="2">
        <v>0</v>
      </c>
      <c r="D14" s="2">
        <v>0</v>
      </c>
      <c r="E14" s="2">
        <v>11079793</v>
      </c>
      <c r="F14" s="2">
        <v>21652934</v>
      </c>
    </row>
    <row r="15" spans="1:6" ht="17.25" thickBot="1" x14ac:dyDescent="0.35">
      <c r="A15" s="4" t="s">
        <v>13</v>
      </c>
      <c r="B15" s="5">
        <f>SUM(B3:B14)</f>
        <v>-366507080</v>
      </c>
      <c r="C15" s="5">
        <f t="shared" ref="C15:F15" si="1">SUM(C3:C14)</f>
        <v>0</v>
      </c>
      <c r="D15" s="5">
        <f t="shared" si="1"/>
        <v>0</v>
      </c>
      <c r="E15" s="5">
        <f t="shared" si="1"/>
        <v>366507080</v>
      </c>
      <c r="F15" s="5">
        <f t="shared" si="1"/>
        <v>841127501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-14587240</v>
      </c>
      <c r="C3" s="2">
        <v>0</v>
      </c>
      <c r="D3" s="2">
        <v>0</v>
      </c>
      <c r="E3" s="2">
        <v>14587240</v>
      </c>
      <c r="F3" s="2">
        <v>28240252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-103</v>
      </c>
      <c r="C5" s="2">
        <v>0</v>
      </c>
      <c r="D5" s="2">
        <v>0</v>
      </c>
      <c r="E5" s="2">
        <v>103</v>
      </c>
      <c r="F5" s="2">
        <v>4127</v>
      </c>
    </row>
    <row r="6" spans="1:6" x14ac:dyDescent="0.3">
      <c r="A6" s="1" t="s">
        <v>3</v>
      </c>
      <c r="B6" s="2">
        <f t="shared" si="0"/>
        <v>-21</v>
      </c>
      <c r="C6" s="2">
        <v>0</v>
      </c>
      <c r="D6" s="2">
        <v>0</v>
      </c>
      <c r="E6" s="2">
        <v>21</v>
      </c>
      <c r="F6" s="2">
        <v>2</v>
      </c>
    </row>
    <row r="7" spans="1:6" x14ac:dyDescent="0.3">
      <c r="A7" s="1" t="s">
        <v>4</v>
      </c>
      <c r="B7" s="2">
        <f t="shared" si="0"/>
        <v>-59003408</v>
      </c>
      <c r="C7" s="2">
        <v>0</v>
      </c>
      <c r="D7" s="2">
        <v>0</v>
      </c>
      <c r="E7" s="2">
        <v>59003408</v>
      </c>
      <c r="F7" s="2">
        <v>116216575</v>
      </c>
    </row>
    <row r="8" spans="1:6" x14ac:dyDescent="0.3">
      <c r="A8" s="1" t="s">
        <v>5</v>
      </c>
      <c r="B8" s="2">
        <f t="shared" si="0"/>
        <v>-50542591</v>
      </c>
      <c r="C8" s="2">
        <v>0</v>
      </c>
      <c r="D8" s="2">
        <v>0</v>
      </c>
      <c r="E8" s="2">
        <v>50542591</v>
      </c>
      <c r="F8" s="2">
        <v>101552001</v>
      </c>
    </row>
    <row r="9" spans="1:6" x14ac:dyDescent="0.3">
      <c r="A9" s="1" t="s">
        <v>6</v>
      </c>
      <c r="B9" s="2">
        <f t="shared" si="0"/>
        <v>-100508564</v>
      </c>
      <c r="C9" s="2">
        <v>0</v>
      </c>
      <c r="D9" s="2">
        <v>0</v>
      </c>
      <c r="E9" s="2">
        <v>100508564</v>
      </c>
      <c r="F9" s="2">
        <v>205164147</v>
      </c>
    </row>
    <row r="10" spans="1:6" x14ac:dyDescent="0.3">
      <c r="A10" s="1" t="s">
        <v>7</v>
      </c>
      <c r="B10" s="2">
        <f t="shared" si="0"/>
        <v>-51609851</v>
      </c>
      <c r="C10" s="2">
        <v>0</v>
      </c>
      <c r="D10" s="2">
        <v>0</v>
      </c>
      <c r="E10" s="2">
        <v>51609851</v>
      </c>
      <c r="F10" s="2">
        <v>106809962</v>
      </c>
    </row>
    <row r="11" spans="1:6" x14ac:dyDescent="0.3">
      <c r="A11" s="1" t="s">
        <v>8</v>
      </c>
      <c r="B11" s="2">
        <f t="shared" si="0"/>
        <v>-57550326</v>
      </c>
      <c r="C11" s="2">
        <v>0</v>
      </c>
      <c r="D11" s="2">
        <v>0</v>
      </c>
      <c r="E11" s="2">
        <v>57550326</v>
      </c>
      <c r="F11" s="2">
        <v>119467374</v>
      </c>
    </row>
    <row r="12" spans="1:6" x14ac:dyDescent="0.3">
      <c r="A12" s="1" t="s">
        <v>9</v>
      </c>
      <c r="B12" s="2">
        <f t="shared" si="0"/>
        <v>-34671360</v>
      </c>
      <c r="C12" s="2">
        <v>0</v>
      </c>
      <c r="D12" s="2">
        <v>0</v>
      </c>
      <c r="E12" s="2">
        <v>34671360</v>
      </c>
      <c r="F12" s="2">
        <v>71497921</v>
      </c>
    </row>
    <row r="13" spans="1:6" x14ac:dyDescent="0.3">
      <c r="A13" s="1" t="s">
        <v>10</v>
      </c>
      <c r="B13" s="2">
        <f t="shared" si="0"/>
        <v>-53976438</v>
      </c>
      <c r="C13" s="2">
        <v>0</v>
      </c>
      <c r="D13" s="2">
        <v>0</v>
      </c>
      <c r="E13" s="2">
        <v>53976438</v>
      </c>
      <c r="F13" s="2">
        <v>102428702</v>
      </c>
    </row>
    <row r="14" spans="1:6" x14ac:dyDescent="0.3">
      <c r="A14" s="1" t="s">
        <v>11</v>
      </c>
      <c r="B14" s="2">
        <f t="shared" si="0"/>
        <v>-73683118</v>
      </c>
      <c r="C14" s="2">
        <v>0</v>
      </c>
      <c r="D14" s="2">
        <v>0</v>
      </c>
      <c r="E14" s="2">
        <v>73683118</v>
      </c>
      <c r="F14" s="2">
        <v>143982665</v>
      </c>
    </row>
    <row r="15" spans="1:6" ht="17.25" thickBot="1" x14ac:dyDescent="0.35">
      <c r="A15" s="4" t="s">
        <v>13</v>
      </c>
      <c r="B15" s="5">
        <f>SUM(B3:B14)</f>
        <v>-496133020</v>
      </c>
      <c r="C15" s="5">
        <f t="shared" ref="C15:F15" si="1">SUM(C3:C14)</f>
        <v>0</v>
      </c>
      <c r="D15" s="5">
        <f t="shared" si="1"/>
        <v>0</v>
      </c>
      <c r="E15" s="5">
        <f t="shared" si="1"/>
        <v>496133020</v>
      </c>
      <c r="F15" s="5">
        <f t="shared" si="1"/>
        <v>995363728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-41379369</v>
      </c>
      <c r="C3" s="2">
        <v>0</v>
      </c>
      <c r="D3" s="2">
        <v>0</v>
      </c>
      <c r="E3" s="2">
        <v>41379369</v>
      </c>
      <c r="F3" s="2">
        <v>81253050</v>
      </c>
    </row>
    <row r="4" spans="1:6" x14ac:dyDescent="0.3">
      <c r="A4" s="1" t="s">
        <v>1</v>
      </c>
      <c r="B4" s="2">
        <f t="shared" si="0"/>
        <v>-50089056</v>
      </c>
      <c r="C4" s="2">
        <v>0</v>
      </c>
      <c r="D4" s="2">
        <v>0</v>
      </c>
      <c r="E4" s="2">
        <v>50089056</v>
      </c>
      <c r="F4" s="2">
        <v>89367971</v>
      </c>
    </row>
    <row r="5" spans="1:6" x14ac:dyDescent="0.3">
      <c r="A5" s="1" t="s">
        <v>2</v>
      </c>
      <c r="B5" s="2">
        <f t="shared" si="0"/>
        <v>-10339437</v>
      </c>
      <c r="C5" s="2">
        <v>0</v>
      </c>
      <c r="D5" s="2">
        <v>0</v>
      </c>
      <c r="E5" s="2">
        <v>10339437</v>
      </c>
      <c r="F5" s="2">
        <v>19169650</v>
      </c>
    </row>
    <row r="6" spans="1:6" x14ac:dyDescent="0.3">
      <c r="A6" s="1" t="s">
        <v>3</v>
      </c>
      <c r="B6" s="2">
        <f t="shared" si="0"/>
        <v>-4245772</v>
      </c>
      <c r="C6" s="2">
        <v>0</v>
      </c>
      <c r="D6" s="2">
        <v>0</v>
      </c>
      <c r="E6" s="2">
        <v>4245772</v>
      </c>
      <c r="F6" s="2">
        <v>7400407</v>
      </c>
    </row>
    <row r="7" spans="1:6" x14ac:dyDescent="0.3">
      <c r="A7" s="1" t="s">
        <v>4</v>
      </c>
      <c r="B7" s="2">
        <f t="shared" si="0"/>
        <v>-1327892</v>
      </c>
      <c r="C7" s="2">
        <v>0</v>
      </c>
      <c r="D7" s="2">
        <v>0</v>
      </c>
      <c r="E7" s="2">
        <v>1327892</v>
      </c>
      <c r="F7" s="2">
        <v>2603864</v>
      </c>
    </row>
    <row r="8" spans="1:6" x14ac:dyDescent="0.3">
      <c r="A8" s="1" t="s">
        <v>5</v>
      </c>
      <c r="B8" s="2">
        <f t="shared" si="0"/>
        <v>-9955936</v>
      </c>
      <c r="C8" s="2">
        <v>0</v>
      </c>
      <c r="D8" s="2">
        <v>0</v>
      </c>
      <c r="E8" s="2">
        <v>9955936</v>
      </c>
      <c r="F8" s="2">
        <v>18143974</v>
      </c>
    </row>
    <row r="9" spans="1:6" x14ac:dyDescent="0.3">
      <c r="A9" s="1" t="s">
        <v>6</v>
      </c>
      <c r="B9" s="2">
        <f t="shared" si="0"/>
        <v>-76313234</v>
      </c>
      <c r="C9" s="2">
        <v>0</v>
      </c>
      <c r="D9" s="2">
        <v>0</v>
      </c>
      <c r="E9" s="2">
        <v>76313234</v>
      </c>
      <c r="F9" s="2">
        <v>138239882</v>
      </c>
    </row>
    <row r="10" spans="1:6" x14ac:dyDescent="0.3">
      <c r="A10" s="1" t="s">
        <v>7</v>
      </c>
      <c r="B10" s="2">
        <f t="shared" si="0"/>
        <v>-83831234</v>
      </c>
      <c r="C10" s="2">
        <v>0</v>
      </c>
      <c r="D10" s="2">
        <v>0</v>
      </c>
      <c r="E10" s="2">
        <v>83831234</v>
      </c>
      <c r="F10" s="2">
        <v>151427201</v>
      </c>
    </row>
    <row r="11" spans="1:6" x14ac:dyDescent="0.3">
      <c r="A11" s="1" t="s">
        <v>8</v>
      </c>
      <c r="B11" s="2">
        <f t="shared" si="0"/>
        <v>-56534102</v>
      </c>
      <c r="C11" s="2">
        <v>0</v>
      </c>
      <c r="D11" s="2">
        <v>0</v>
      </c>
      <c r="E11" s="2">
        <v>56534102</v>
      </c>
      <c r="F11" s="2">
        <v>102169342</v>
      </c>
    </row>
    <row r="12" spans="1:6" x14ac:dyDescent="0.3">
      <c r="A12" s="1" t="s">
        <v>9</v>
      </c>
      <c r="B12" s="2">
        <f t="shared" si="0"/>
        <v>-87703528</v>
      </c>
      <c r="C12" s="2">
        <v>0</v>
      </c>
      <c r="D12" s="2">
        <v>0</v>
      </c>
      <c r="E12" s="2">
        <v>87703528</v>
      </c>
      <c r="F12" s="2">
        <v>158424089</v>
      </c>
    </row>
    <row r="13" spans="1:6" x14ac:dyDescent="0.3">
      <c r="A13" s="1" t="s">
        <v>10</v>
      </c>
      <c r="B13" s="2">
        <f t="shared" si="0"/>
        <v>-52622522</v>
      </c>
      <c r="C13" s="2">
        <v>0</v>
      </c>
      <c r="D13" s="2">
        <v>0</v>
      </c>
      <c r="E13" s="2">
        <v>52622522</v>
      </c>
      <c r="F13" s="2">
        <v>95408249</v>
      </c>
    </row>
    <row r="14" spans="1:6" x14ac:dyDescent="0.3">
      <c r="A14" s="1" t="s">
        <v>11</v>
      </c>
      <c r="B14" s="2">
        <f t="shared" si="0"/>
        <v>-69010673</v>
      </c>
      <c r="C14" s="2">
        <v>0</v>
      </c>
      <c r="D14" s="2">
        <v>0</v>
      </c>
      <c r="E14" s="2">
        <v>69010673</v>
      </c>
      <c r="F14" s="2">
        <v>130886172</v>
      </c>
    </row>
    <row r="15" spans="1:6" ht="17.25" thickBot="1" x14ac:dyDescent="0.35">
      <c r="A15" s="4" t="s">
        <v>13</v>
      </c>
      <c r="B15" s="5">
        <f>SUM(B3:B14)</f>
        <v>-543352755</v>
      </c>
      <c r="C15" s="5">
        <f t="shared" ref="C15:F15" si="1">SUM(C3:C14)</f>
        <v>0</v>
      </c>
      <c r="D15" s="5">
        <f t="shared" si="1"/>
        <v>0</v>
      </c>
      <c r="E15" s="5">
        <f t="shared" si="1"/>
        <v>543352755</v>
      </c>
      <c r="F15" s="5">
        <f t="shared" si="1"/>
        <v>994493851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-16429056</v>
      </c>
      <c r="C3" s="2">
        <v>0</v>
      </c>
      <c r="D3" s="2">
        <v>0</v>
      </c>
      <c r="E3" s="2">
        <v>16429056</v>
      </c>
      <c r="F3" s="2">
        <v>30478477</v>
      </c>
    </row>
    <row r="4" spans="1:6" x14ac:dyDescent="0.3">
      <c r="A4" s="1" t="s">
        <v>1</v>
      </c>
      <c r="B4" s="2">
        <f t="shared" si="0"/>
        <v>-5915152</v>
      </c>
      <c r="C4" s="2">
        <v>0</v>
      </c>
      <c r="D4" s="2">
        <v>0</v>
      </c>
      <c r="E4" s="2">
        <v>5915152</v>
      </c>
      <c r="F4" s="2">
        <v>11908744</v>
      </c>
    </row>
    <row r="5" spans="1:6" x14ac:dyDescent="0.3">
      <c r="A5" s="1" t="s">
        <v>2</v>
      </c>
      <c r="B5" s="2">
        <f t="shared" si="0"/>
        <v>-45303193</v>
      </c>
      <c r="C5" s="2">
        <v>0</v>
      </c>
      <c r="D5" s="2">
        <v>0</v>
      </c>
      <c r="E5" s="2">
        <v>45303193</v>
      </c>
      <c r="F5" s="2">
        <v>98826115</v>
      </c>
    </row>
    <row r="6" spans="1:6" x14ac:dyDescent="0.3">
      <c r="A6" s="1" t="s">
        <v>3</v>
      </c>
      <c r="B6" s="2">
        <f t="shared" si="0"/>
        <v>-10214736</v>
      </c>
      <c r="C6" s="2">
        <v>0</v>
      </c>
      <c r="D6" s="2">
        <v>0</v>
      </c>
      <c r="E6" s="2">
        <v>10214736</v>
      </c>
      <c r="F6" s="2">
        <v>22622481</v>
      </c>
    </row>
    <row r="7" spans="1:6" x14ac:dyDescent="0.3">
      <c r="A7" s="1" t="s">
        <v>4</v>
      </c>
      <c r="B7" s="2">
        <f t="shared" si="0"/>
        <v>-54790759</v>
      </c>
      <c r="C7" s="2">
        <v>0</v>
      </c>
      <c r="D7" s="2">
        <v>0</v>
      </c>
      <c r="E7" s="2">
        <v>54790759</v>
      </c>
      <c r="F7" s="2">
        <v>119669228</v>
      </c>
    </row>
    <row r="8" spans="1:6" x14ac:dyDescent="0.3">
      <c r="A8" s="1" t="s">
        <v>5</v>
      </c>
      <c r="B8" s="2">
        <f t="shared" si="0"/>
        <v>-54898699</v>
      </c>
      <c r="C8" s="2">
        <v>0</v>
      </c>
      <c r="D8" s="2">
        <v>0</v>
      </c>
      <c r="E8" s="2">
        <v>54898699</v>
      </c>
      <c r="F8" s="2">
        <v>122719530</v>
      </c>
    </row>
    <row r="9" spans="1:6" x14ac:dyDescent="0.3">
      <c r="A9" s="1" t="s">
        <v>6</v>
      </c>
      <c r="B9" s="2">
        <f t="shared" si="0"/>
        <v>-26616254</v>
      </c>
      <c r="C9" s="2">
        <v>0</v>
      </c>
      <c r="D9" s="2">
        <v>0</v>
      </c>
      <c r="E9" s="2">
        <v>26616254</v>
      </c>
      <c r="F9" s="2">
        <v>60527509</v>
      </c>
    </row>
    <row r="10" spans="1:6" x14ac:dyDescent="0.3">
      <c r="A10" s="1" t="s">
        <v>7</v>
      </c>
      <c r="B10" s="2">
        <f t="shared" si="0"/>
        <v>-25372424</v>
      </c>
      <c r="C10" s="2">
        <v>0</v>
      </c>
      <c r="D10" s="2">
        <v>0</v>
      </c>
      <c r="E10" s="2">
        <v>25372424</v>
      </c>
      <c r="F10" s="2">
        <v>60195864</v>
      </c>
    </row>
    <row r="11" spans="1:6" x14ac:dyDescent="0.3">
      <c r="A11" s="1" t="s">
        <v>8</v>
      </c>
      <c r="B11" s="2">
        <f t="shared" si="0"/>
        <v>-24214358</v>
      </c>
      <c r="C11" s="2">
        <v>0</v>
      </c>
      <c r="D11" s="2">
        <v>0</v>
      </c>
      <c r="E11" s="2">
        <v>24214358</v>
      </c>
      <c r="F11" s="2">
        <v>59164685</v>
      </c>
    </row>
    <row r="12" spans="1:6" x14ac:dyDescent="0.3">
      <c r="A12" s="1" t="s">
        <v>9</v>
      </c>
      <c r="B12" s="2">
        <f t="shared" si="0"/>
        <v>-40063378</v>
      </c>
      <c r="C12" s="2">
        <v>0</v>
      </c>
      <c r="D12" s="2">
        <v>0</v>
      </c>
      <c r="E12" s="2">
        <v>40063378</v>
      </c>
      <c r="F12" s="2">
        <v>101209106</v>
      </c>
    </row>
    <row r="13" spans="1:6" x14ac:dyDescent="0.3">
      <c r="A13" s="1" t="s">
        <v>10</v>
      </c>
      <c r="B13" s="2">
        <f t="shared" si="0"/>
        <v>-54557888</v>
      </c>
      <c r="C13" s="2">
        <v>0</v>
      </c>
      <c r="D13" s="2">
        <v>0</v>
      </c>
      <c r="E13" s="2">
        <v>54557888</v>
      </c>
      <c r="F13" s="2">
        <v>141120569</v>
      </c>
    </row>
    <row r="14" spans="1:6" x14ac:dyDescent="0.3">
      <c r="A14" s="1" t="s">
        <v>11</v>
      </c>
      <c r="B14" s="2">
        <f t="shared" si="0"/>
        <v>-36256196</v>
      </c>
      <c r="C14" s="2">
        <v>0</v>
      </c>
      <c r="D14" s="2">
        <v>0</v>
      </c>
      <c r="E14" s="2">
        <v>36256196</v>
      </c>
      <c r="F14" s="2">
        <v>95118853</v>
      </c>
    </row>
    <row r="15" spans="1:6" ht="17.25" thickBot="1" x14ac:dyDescent="0.35">
      <c r="A15" s="4" t="s">
        <v>13</v>
      </c>
      <c r="B15" s="5">
        <f>SUM(B3:B14)</f>
        <v>-394632093</v>
      </c>
      <c r="C15" s="5">
        <f t="shared" ref="C15:F15" si="1">SUM(C3:C14)</f>
        <v>0</v>
      </c>
      <c r="D15" s="5">
        <f t="shared" si="1"/>
        <v>0</v>
      </c>
      <c r="E15" s="5">
        <f t="shared" si="1"/>
        <v>394632093</v>
      </c>
      <c r="F15" s="5">
        <f t="shared" si="1"/>
        <v>923561161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-26827727</v>
      </c>
      <c r="C3" s="2">
        <v>0</v>
      </c>
      <c r="D3" s="2">
        <v>0</v>
      </c>
      <c r="E3" s="2">
        <v>26827727</v>
      </c>
      <c r="F3" s="2">
        <v>68545694</v>
      </c>
    </row>
    <row r="4" spans="1:6" x14ac:dyDescent="0.3">
      <c r="A4" s="1" t="s">
        <v>1</v>
      </c>
      <c r="B4" s="2">
        <f t="shared" si="0"/>
        <v>-38750740</v>
      </c>
      <c r="C4" s="2">
        <v>0</v>
      </c>
      <c r="D4" s="2">
        <v>0</v>
      </c>
      <c r="E4" s="2">
        <v>38750740</v>
      </c>
      <c r="F4" s="2">
        <v>98011308</v>
      </c>
    </row>
    <row r="5" spans="1:6" x14ac:dyDescent="0.3">
      <c r="A5" s="1" t="s">
        <v>2</v>
      </c>
      <c r="B5" s="2">
        <f t="shared" si="0"/>
        <v>-25977275</v>
      </c>
      <c r="C5" s="2">
        <v>0</v>
      </c>
      <c r="D5" s="2">
        <v>0</v>
      </c>
      <c r="E5" s="2">
        <v>25977275</v>
      </c>
      <c r="F5" s="2">
        <v>66573876</v>
      </c>
    </row>
    <row r="6" spans="1:6" x14ac:dyDescent="0.3">
      <c r="A6" s="1" t="s">
        <v>3</v>
      </c>
      <c r="B6" s="2">
        <f t="shared" si="0"/>
        <v>-39193205</v>
      </c>
      <c r="C6" s="2">
        <v>0</v>
      </c>
      <c r="D6" s="2">
        <v>0</v>
      </c>
      <c r="E6" s="2">
        <v>39193205</v>
      </c>
      <c r="F6" s="2">
        <v>101776032</v>
      </c>
    </row>
    <row r="7" spans="1:6" x14ac:dyDescent="0.3">
      <c r="A7" s="1" t="s">
        <v>4</v>
      </c>
      <c r="B7" s="2">
        <f t="shared" si="0"/>
        <v>-76387798</v>
      </c>
      <c r="C7" s="2">
        <v>0</v>
      </c>
      <c r="D7" s="2">
        <v>0</v>
      </c>
      <c r="E7" s="2">
        <v>76387798</v>
      </c>
      <c r="F7" s="2">
        <v>205053620</v>
      </c>
    </row>
    <row r="8" spans="1:6" x14ac:dyDescent="0.3">
      <c r="A8" s="1" t="s">
        <v>5</v>
      </c>
      <c r="B8" s="2">
        <f t="shared" si="0"/>
        <v>-60322897</v>
      </c>
      <c r="C8" s="2">
        <v>0</v>
      </c>
      <c r="D8" s="2">
        <v>0</v>
      </c>
      <c r="E8" s="2">
        <v>60322897</v>
      </c>
      <c r="F8" s="2">
        <v>164987665</v>
      </c>
    </row>
    <row r="9" spans="1:6" x14ac:dyDescent="0.3">
      <c r="A9" s="1" t="s">
        <v>6</v>
      </c>
      <c r="B9" s="2">
        <f t="shared" si="0"/>
        <v>-43744238</v>
      </c>
      <c r="C9" s="2">
        <v>0</v>
      </c>
      <c r="D9" s="2">
        <v>0</v>
      </c>
      <c r="E9" s="2">
        <v>43744238</v>
      </c>
      <c r="F9" s="2">
        <v>124952825</v>
      </c>
    </row>
    <row r="10" spans="1:6" x14ac:dyDescent="0.3">
      <c r="A10" s="1" t="s">
        <v>7</v>
      </c>
      <c r="B10" s="2">
        <f t="shared" si="0"/>
        <v>-48603525</v>
      </c>
      <c r="C10" s="2">
        <v>0</v>
      </c>
      <c r="D10" s="2">
        <v>0</v>
      </c>
      <c r="E10" s="2">
        <v>48603525</v>
      </c>
      <c r="F10" s="2">
        <v>142636411</v>
      </c>
    </row>
    <row r="11" spans="1:6" x14ac:dyDescent="0.3">
      <c r="A11" s="1" t="s">
        <v>8</v>
      </c>
      <c r="B11" s="2">
        <f t="shared" si="0"/>
        <v>-44011838</v>
      </c>
      <c r="C11" s="2">
        <v>0</v>
      </c>
      <c r="D11" s="2">
        <v>0</v>
      </c>
      <c r="E11" s="2">
        <v>44011838</v>
      </c>
      <c r="F11" s="2">
        <v>127086367</v>
      </c>
    </row>
    <row r="12" spans="1:6" x14ac:dyDescent="0.3">
      <c r="A12" s="1" t="s">
        <v>9</v>
      </c>
      <c r="B12" s="2">
        <f t="shared" si="0"/>
        <v>-44132555</v>
      </c>
      <c r="C12" s="2">
        <v>0</v>
      </c>
      <c r="D12" s="2">
        <v>0</v>
      </c>
      <c r="E12" s="2">
        <v>44132555</v>
      </c>
      <c r="F12" s="2">
        <v>117859424</v>
      </c>
    </row>
    <row r="13" spans="1:6" x14ac:dyDescent="0.3">
      <c r="A13" s="1" t="s">
        <v>10</v>
      </c>
      <c r="B13" s="2">
        <f t="shared" si="0"/>
        <v>-62273978</v>
      </c>
      <c r="C13" s="2">
        <v>0</v>
      </c>
      <c r="D13" s="2">
        <v>0</v>
      </c>
      <c r="E13" s="2">
        <v>62273978</v>
      </c>
      <c r="F13" s="2">
        <v>144459988</v>
      </c>
    </row>
    <row r="14" spans="1:6" x14ac:dyDescent="0.3">
      <c r="A14" s="1" t="s">
        <v>11</v>
      </c>
      <c r="B14" s="2">
        <f t="shared" si="0"/>
        <v>-52835375</v>
      </c>
      <c r="C14" s="2">
        <v>0</v>
      </c>
      <c r="D14" s="2">
        <v>0</v>
      </c>
      <c r="E14" s="2">
        <v>52835375</v>
      </c>
      <c r="F14" s="2">
        <v>121223299</v>
      </c>
    </row>
    <row r="15" spans="1:6" ht="17.25" thickBot="1" x14ac:dyDescent="0.35">
      <c r="A15" s="4" t="s">
        <v>13</v>
      </c>
      <c r="B15" s="5">
        <f>SUM(B3:B14)</f>
        <v>-563061151</v>
      </c>
      <c r="C15" s="5">
        <f t="shared" ref="C15:F15" si="1">SUM(C3:C14)</f>
        <v>0</v>
      </c>
      <c r="D15" s="5">
        <f t="shared" si="1"/>
        <v>0</v>
      </c>
      <c r="E15" s="5">
        <f t="shared" si="1"/>
        <v>563061151</v>
      </c>
      <c r="F15" s="5">
        <f t="shared" si="1"/>
        <v>1483166509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25835213</v>
      </c>
      <c r="C3" s="2">
        <v>0</v>
      </c>
      <c r="D3" s="2">
        <v>0</v>
      </c>
      <c r="E3" s="2">
        <v>25835213</v>
      </c>
      <c r="F3" s="2">
        <v>61609722</v>
      </c>
    </row>
    <row r="4" spans="1:6" x14ac:dyDescent="0.3">
      <c r="A4" s="1" t="s">
        <v>1</v>
      </c>
      <c r="B4" s="2">
        <f t="shared" ref="B4:B15" si="0">E4-C4</f>
        <v>29547749</v>
      </c>
      <c r="C4" s="2">
        <v>0</v>
      </c>
      <c r="D4" s="2">
        <v>0</v>
      </c>
      <c r="E4" s="2">
        <v>29547749</v>
      </c>
      <c r="F4" s="2">
        <v>75770062</v>
      </c>
    </row>
    <row r="5" spans="1:6" x14ac:dyDescent="0.3">
      <c r="A5" s="1" t="s">
        <v>2</v>
      </c>
      <c r="B5" s="2">
        <f t="shared" si="0"/>
        <v>56433852</v>
      </c>
      <c r="C5" s="2">
        <v>0</v>
      </c>
      <c r="D5" s="2">
        <v>0</v>
      </c>
      <c r="E5" s="2">
        <v>56433852</v>
      </c>
      <c r="F5" s="2">
        <v>152000795</v>
      </c>
    </row>
    <row r="6" spans="1:6" x14ac:dyDescent="0.3">
      <c r="A6" s="1" t="s">
        <v>3</v>
      </c>
      <c r="B6" s="2">
        <f t="shared" si="0"/>
        <v>51119947</v>
      </c>
      <c r="C6" s="2">
        <v>0</v>
      </c>
      <c r="D6" s="2">
        <v>0</v>
      </c>
      <c r="E6" s="2">
        <v>51119947</v>
      </c>
      <c r="F6" s="2">
        <v>139449463</v>
      </c>
    </row>
    <row r="7" spans="1:6" x14ac:dyDescent="0.3">
      <c r="A7" s="1" t="s">
        <v>4</v>
      </c>
      <c r="B7" s="2">
        <f t="shared" si="0"/>
        <v>28559062</v>
      </c>
      <c r="C7" s="2">
        <v>0</v>
      </c>
      <c r="D7" s="2">
        <v>0</v>
      </c>
      <c r="E7" s="2">
        <v>28559062</v>
      </c>
      <c r="F7" s="2">
        <v>77839347</v>
      </c>
    </row>
    <row r="8" spans="1:6" x14ac:dyDescent="0.3">
      <c r="A8" s="1" t="s">
        <v>5</v>
      </c>
      <c r="B8" s="2">
        <f t="shared" si="0"/>
        <v>62621770</v>
      </c>
      <c r="C8" s="2">
        <v>0</v>
      </c>
      <c r="D8" s="2">
        <v>0</v>
      </c>
      <c r="E8" s="2">
        <v>62621770</v>
      </c>
      <c r="F8" s="2">
        <v>166560939</v>
      </c>
    </row>
    <row r="9" spans="1:6" x14ac:dyDescent="0.3">
      <c r="A9" s="1" t="s">
        <v>6</v>
      </c>
      <c r="B9" s="2">
        <f t="shared" si="0"/>
        <v>48492440</v>
      </c>
      <c r="C9" s="2">
        <v>0</v>
      </c>
      <c r="D9" s="2">
        <v>0</v>
      </c>
      <c r="E9" s="2">
        <v>48492440</v>
      </c>
      <c r="F9" s="2">
        <v>127790427</v>
      </c>
    </row>
    <row r="10" spans="1:6" x14ac:dyDescent="0.3">
      <c r="A10" s="1" t="s">
        <v>7</v>
      </c>
      <c r="B10" s="2">
        <f t="shared" si="0"/>
        <v>45143710</v>
      </c>
      <c r="C10" s="2">
        <v>0</v>
      </c>
      <c r="D10" s="2">
        <v>0</v>
      </c>
      <c r="E10" s="2">
        <v>45143710</v>
      </c>
      <c r="F10" s="2">
        <v>120471404</v>
      </c>
    </row>
    <row r="11" spans="1:6" x14ac:dyDescent="0.3">
      <c r="A11" s="1" t="s">
        <v>8</v>
      </c>
      <c r="B11" s="2">
        <f t="shared" si="0"/>
        <v>50264463</v>
      </c>
      <c r="C11" s="2">
        <v>0</v>
      </c>
      <c r="D11" s="2">
        <v>0</v>
      </c>
      <c r="E11" s="2">
        <v>50264463</v>
      </c>
      <c r="F11" s="2">
        <v>137605535</v>
      </c>
    </row>
    <row r="12" spans="1:6" x14ac:dyDescent="0.3">
      <c r="A12" s="1" t="s">
        <v>9</v>
      </c>
      <c r="B12" s="2">
        <f t="shared" si="0"/>
        <v>46912959</v>
      </c>
      <c r="C12" s="2">
        <v>0</v>
      </c>
      <c r="D12" s="2">
        <v>0</v>
      </c>
      <c r="E12" s="2">
        <v>46912959</v>
      </c>
      <c r="F12" s="2">
        <v>127949093</v>
      </c>
    </row>
    <row r="13" spans="1:6" x14ac:dyDescent="0.3">
      <c r="A13" s="1" t="s">
        <v>10</v>
      </c>
      <c r="B13" s="2">
        <f t="shared" si="0"/>
        <v>46692705</v>
      </c>
      <c r="C13" s="2">
        <v>0</v>
      </c>
      <c r="D13" s="2">
        <v>0</v>
      </c>
      <c r="E13" s="2">
        <v>46692705</v>
      </c>
      <c r="F13" s="2">
        <v>131839485</v>
      </c>
    </row>
    <row r="14" spans="1:6" x14ac:dyDescent="0.3">
      <c r="A14" s="1" t="s">
        <v>11</v>
      </c>
      <c r="B14" s="2">
        <f t="shared" si="0"/>
        <v>62807123</v>
      </c>
      <c r="C14" s="2">
        <v>0</v>
      </c>
      <c r="D14" s="2">
        <v>0</v>
      </c>
      <c r="E14" s="2">
        <v>62807123</v>
      </c>
      <c r="F14" s="2">
        <v>177253513</v>
      </c>
    </row>
    <row r="15" spans="1:6" ht="17.25" thickBot="1" x14ac:dyDescent="0.35">
      <c r="A15" s="4" t="s">
        <v>13</v>
      </c>
      <c r="B15" s="5">
        <f t="shared" si="0"/>
        <v>554430993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554430993</v>
      </c>
      <c r="F15" s="5">
        <f t="shared" si="3"/>
        <v>1496139785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-43577757</v>
      </c>
      <c r="C3" s="2">
        <v>0</v>
      </c>
      <c r="D3" s="2">
        <v>0</v>
      </c>
      <c r="E3" s="2">
        <v>43577757</v>
      </c>
      <c r="F3" s="2">
        <v>122566662</v>
      </c>
    </row>
    <row r="4" spans="1:6" x14ac:dyDescent="0.3">
      <c r="A4" s="1" t="s">
        <v>1</v>
      </c>
      <c r="B4" s="2">
        <f t="shared" ref="B4:B14" si="0">C4-E4</f>
        <v>-48701560</v>
      </c>
      <c r="C4" s="2">
        <v>0</v>
      </c>
      <c r="D4" s="2">
        <v>0</v>
      </c>
      <c r="E4" s="2">
        <v>48701560</v>
      </c>
      <c r="F4" s="2">
        <v>137953656</v>
      </c>
    </row>
    <row r="5" spans="1:6" x14ac:dyDescent="0.3">
      <c r="A5" s="1" t="s">
        <v>2</v>
      </c>
      <c r="B5" s="2">
        <f t="shared" si="0"/>
        <v>-48000037</v>
      </c>
      <c r="C5" s="2">
        <v>0</v>
      </c>
      <c r="D5" s="2">
        <v>0</v>
      </c>
      <c r="E5" s="2">
        <v>48000037</v>
      </c>
      <c r="F5" s="2">
        <v>136233856</v>
      </c>
    </row>
    <row r="6" spans="1:6" x14ac:dyDescent="0.3">
      <c r="A6" s="1" t="s">
        <v>3</v>
      </c>
      <c r="B6" s="2">
        <f t="shared" si="0"/>
        <v>-65774653</v>
      </c>
      <c r="C6" s="2">
        <v>0</v>
      </c>
      <c r="D6" s="2">
        <v>0</v>
      </c>
      <c r="E6" s="2">
        <v>65774653</v>
      </c>
      <c r="F6" s="2">
        <v>181962550</v>
      </c>
    </row>
    <row r="7" spans="1:6" x14ac:dyDescent="0.3">
      <c r="A7" s="1" t="s">
        <v>4</v>
      </c>
      <c r="B7" s="2">
        <f t="shared" si="0"/>
        <v>-48987989</v>
      </c>
      <c r="C7" s="2">
        <v>0</v>
      </c>
      <c r="D7" s="2">
        <v>0</v>
      </c>
      <c r="E7" s="2">
        <v>48987989</v>
      </c>
      <c r="F7" s="2">
        <v>134317885</v>
      </c>
    </row>
    <row r="8" spans="1:6" x14ac:dyDescent="0.3">
      <c r="A8" s="1" t="s">
        <v>5</v>
      </c>
      <c r="B8" s="2">
        <f t="shared" si="0"/>
        <v>-65649250</v>
      </c>
      <c r="C8" s="2">
        <v>0</v>
      </c>
      <c r="D8" s="2">
        <v>0</v>
      </c>
      <c r="E8" s="2">
        <v>65649250</v>
      </c>
      <c r="F8" s="2">
        <v>178826795</v>
      </c>
    </row>
    <row r="9" spans="1:6" x14ac:dyDescent="0.3">
      <c r="A9" s="1" t="s">
        <v>6</v>
      </c>
      <c r="B9" s="2">
        <f t="shared" si="0"/>
        <v>-58311775</v>
      </c>
      <c r="C9" s="2">
        <v>0</v>
      </c>
      <c r="D9" s="2">
        <v>0</v>
      </c>
      <c r="E9" s="2">
        <v>58311775</v>
      </c>
      <c r="F9" s="2">
        <v>136444440</v>
      </c>
    </row>
    <row r="10" spans="1:6" x14ac:dyDescent="0.3">
      <c r="A10" s="1" t="s">
        <v>7</v>
      </c>
      <c r="B10" s="2">
        <f t="shared" si="0"/>
        <v>-63538181</v>
      </c>
      <c r="C10" s="2">
        <v>0</v>
      </c>
      <c r="D10" s="2">
        <v>0</v>
      </c>
      <c r="E10" s="2">
        <v>63538181</v>
      </c>
      <c r="F10" s="2">
        <v>137189705</v>
      </c>
    </row>
    <row r="11" spans="1:6" x14ac:dyDescent="0.3">
      <c r="A11" s="1" t="s">
        <v>8</v>
      </c>
      <c r="B11" s="2">
        <f t="shared" si="0"/>
        <v>-48308967</v>
      </c>
      <c r="C11" s="2">
        <v>0</v>
      </c>
      <c r="D11" s="2">
        <v>0</v>
      </c>
      <c r="E11" s="2">
        <v>48308967</v>
      </c>
      <c r="F11" s="2">
        <v>103919556</v>
      </c>
    </row>
    <row r="12" spans="1:6" x14ac:dyDescent="0.3">
      <c r="A12" s="1" t="s">
        <v>9</v>
      </c>
      <c r="B12" s="2">
        <f t="shared" si="0"/>
        <v>-73555423</v>
      </c>
      <c r="C12" s="2">
        <v>0</v>
      </c>
      <c r="D12" s="2">
        <v>0</v>
      </c>
      <c r="E12" s="2">
        <v>73555423</v>
      </c>
      <c r="F12" s="2">
        <v>159842258</v>
      </c>
    </row>
    <row r="13" spans="1:6" x14ac:dyDescent="0.3">
      <c r="A13" s="1" t="s">
        <v>10</v>
      </c>
      <c r="B13" s="2">
        <f t="shared" si="0"/>
        <v>-66043395</v>
      </c>
      <c r="C13" s="2">
        <v>0</v>
      </c>
      <c r="D13" s="2">
        <v>0</v>
      </c>
      <c r="E13" s="2">
        <v>66043395</v>
      </c>
      <c r="F13" s="2">
        <v>143784961</v>
      </c>
    </row>
    <row r="14" spans="1:6" x14ac:dyDescent="0.3">
      <c r="A14" s="1" t="s">
        <v>11</v>
      </c>
      <c r="B14" s="2">
        <f t="shared" si="0"/>
        <v>-68087248</v>
      </c>
      <c r="C14" s="2">
        <v>0</v>
      </c>
      <c r="D14" s="2">
        <v>0</v>
      </c>
      <c r="E14" s="2">
        <v>68087248</v>
      </c>
      <c r="F14" s="2">
        <v>149073782</v>
      </c>
    </row>
    <row r="15" spans="1:6" ht="17.25" thickBot="1" x14ac:dyDescent="0.35">
      <c r="A15" s="4" t="s">
        <v>13</v>
      </c>
      <c r="B15" s="5">
        <f>SUM(B3:B14)</f>
        <v>-698536235</v>
      </c>
      <c r="C15" s="5">
        <f t="shared" ref="C15:F15" si="1">SUM(C3:C14)</f>
        <v>0</v>
      </c>
      <c r="D15" s="5">
        <f t="shared" si="1"/>
        <v>0</v>
      </c>
      <c r="E15" s="5">
        <f t="shared" si="1"/>
        <v>698536235</v>
      </c>
      <c r="F15" s="5">
        <f t="shared" si="1"/>
        <v>1722116106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-69809976</v>
      </c>
      <c r="C3" s="2">
        <v>0</v>
      </c>
      <c r="D3" s="2">
        <v>0</v>
      </c>
      <c r="E3" s="2">
        <v>69809976</v>
      </c>
      <c r="F3" s="2">
        <v>155094831</v>
      </c>
    </row>
    <row r="4" spans="1:6" x14ac:dyDescent="0.3">
      <c r="A4" s="1" t="s">
        <v>1</v>
      </c>
      <c r="B4" s="2">
        <f t="shared" si="0"/>
        <v>-46444439</v>
      </c>
      <c r="C4" s="2">
        <v>0</v>
      </c>
      <c r="D4" s="2">
        <v>0</v>
      </c>
      <c r="E4" s="2">
        <v>46444439</v>
      </c>
      <c r="F4" s="2">
        <v>105917585</v>
      </c>
    </row>
    <row r="5" spans="1:6" x14ac:dyDescent="0.3">
      <c r="A5" s="1" t="s">
        <v>2</v>
      </c>
      <c r="B5" s="2">
        <f t="shared" si="0"/>
        <v>-48637458</v>
      </c>
      <c r="C5" s="2">
        <v>0</v>
      </c>
      <c r="D5" s="2">
        <v>0</v>
      </c>
      <c r="E5" s="2">
        <v>48637458</v>
      </c>
      <c r="F5" s="2">
        <v>112295089</v>
      </c>
    </row>
    <row r="6" spans="1:6" x14ac:dyDescent="0.3">
      <c r="A6" s="1" t="s">
        <v>3</v>
      </c>
      <c r="B6" s="2">
        <f t="shared" si="0"/>
        <v>-58604196</v>
      </c>
      <c r="C6" s="2">
        <v>0</v>
      </c>
      <c r="D6" s="2">
        <v>0</v>
      </c>
      <c r="E6" s="2">
        <v>58604196</v>
      </c>
      <c r="F6" s="2">
        <v>141843324</v>
      </c>
    </row>
    <row r="7" spans="1:6" x14ac:dyDescent="0.3">
      <c r="A7" s="1" t="s">
        <v>4</v>
      </c>
      <c r="B7" s="2">
        <f t="shared" si="0"/>
        <v>-57044678</v>
      </c>
      <c r="C7" s="2">
        <v>0</v>
      </c>
      <c r="D7" s="2">
        <v>0</v>
      </c>
      <c r="E7" s="2">
        <v>57044678</v>
      </c>
      <c r="F7" s="2">
        <v>144623531</v>
      </c>
    </row>
    <row r="8" spans="1:6" x14ac:dyDescent="0.3">
      <c r="A8" s="1" t="s">
        <v>5</v>
      </c>
      <c r="B8" s="2">
        <f t="shared" si="0"/>
        <v>-46413063</v>
      </c>
      <c r="C8" s="2">
        <v>0</v>
      </c>
      <c r="D8" s="2">
        <v>0</v>
      </c>
      <c r="E8" s="2">
        <v>46413063</v>
      </c>
      <c r="F8" s="2">
        <v>121287237</v>
      </c>
    </row>
    <row r="9" spans="1:6" x14ac:dyDescent="0.3">
      <c r="A9" s="1" t="s">
        <v>6</v>
      </c>
      <c r="B9" s="2">
        <f t="shared" si="0"/>
        <v>-57951351</v>
      </c>
      <c r="C9" s="2">
        <v>0</v>
      </c>
      <c r="D9" s="2">
        <v>0</v>
      </c>
      <c r="E9" s="2">
        <v>57951351</v>
      </c>
      <c r="F9" s="2">
        <v>155293379</v>
      </c>
    </row>
    <row r="10" spans="1:6" x14ac:dyDescent="0.3">
      <c r="A10" s="1" t="s">
        <v>7</v>
      </c>
      <c r="B10" s="2">
        <f t="shared" si="0"/>
        <v>-43429768</v>
      </c>
      <c r="C10" s="2">
        <v>0</v>
      </c>
      <c r="D10" s="2">
        <v>0</v>
      </c>
      <c r="E10" s="2">
        <v>43429768</v>
      </c>
      <c r="F10" s="2">
        <v>118577012</v>
      </c>
    </row>
    <row r="11" spans="1:6" x14ac:dyDescent="0.3">
      <c r="A11" s="1" t="s">
        <v>8</v>
      </c>
      <c r="B11" s="2">
        <f t="shared" si="0"/>
        <v>-46622912</v>
      </c>
      <c r="C11" s="2">
        <v>0</v>
      </c>
      <c r="D11" s="2">
        <v>0</v>
      </c>
      <c r="E11" s="2">
        <v>46622912</v>
      </c>
      <c r="F11" s="2">
        <v>128635196</v>
      </c>
    </row>
    <row r="12" spans="1:6" x14ac:dyDescent="0.3">
      <c r="A12" s="1" t="s">
        <v>9</v>
      </c>
      <c r="B12" s="2">
        <f t="shared" si="0"/>
        <v>-63095099</v>
      </c>
      <c r="C12" s="2">
        <v>0</v>
      </c>
      <c r="D12" s="2">
        <v>0</v>
      </c>
      <c r="E12" s="2">
        <v>63095099</v>
      </c>
      <c r="F12" s="2">
        <v>180068583</v>
      </c>
    </row>
    <row r="13" spans="1:6" x14ac:dyDescent="0.3">
      <c r="A13" s="1" t="s">
        <v>10</v>
      </c>
      <c r="B13" s="2">
        <f t="shared" si="0"/>
        <v>-53505613</v>
      </c>
      <c r="C13" s="2">
        <v>0</v>
      </c>
      <c r="D13" s="2">
        <v>0</v>
      </c>
      <c r="E13" s="2">
        <v>53505613</v>
      </c>
      <c r="F13" s="2">
        <v>149986913</v>
      </c>
    </row>
    <row r="14" spans="1:6" x14ac:dyDescent="0.3">
      <c r="A14" s="1" t="s">
        <v>11</v>
      </c>
      <c r="B14" s="2">
        <f t="shared" si="0"/>
        <v>-45747658</v>
      </c>
      <c r="C14" s="2">
        <v>0</v>
      </c>
      <c r="D14" s="2">
        <v>0</v>
      </c>
      <c r="E14" s="2">
        <v>45747658</v>
      </c>
      <c r="F14" s="2">
        <v>127043562</v>
      </c>
    </row>
    <row r="15" spans="1:6" ht="17.25" thickBot="1" x14ac:dyDescent="0.35">
      <c r="A15" s="4" t="s">
        <v>13</v>
      </c>
      <c r="B15" s="5">
        <f>SUM(B3:B14)</f>
        <v>-637306211</v>
      </c>
      <c r="C15" s="5">
        <f t="shared" ref="C15:F15" si="1">SUM(C3:C14)</f>
        <v>0</v>
      </c>
      <c r="D15" s="5">
        <f t="shared" si="1"/>
        <v>0</v>
      </c>
      <c r="E15" s="5">
        <f t="shared" si="1"/>
        <v>637306211</v>
      </c>
      <c r="F15" s="5">
        <f t="shared" si="1"/>
        <v>1640666242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-31402053</v>
      </c>
      <c r="C3" s="2">
        <v>0</v>
      </c>
      <c r="D3" s="2">
        <v>0</v>
      </c>
      <c r="E3" s="2">
        <v>31402053</v>
      </c>
      <c r="F3" s="2">
        <v>85375776</v>
      </c>
    </row>
    <row r="4" spans="1:6" x14ac:dyDescent="0.3">
      <c r="A4" s="1" t="s">
        <v>1</v>
      </c>
      <c r="B4" s="2">
        <f t="shared" si="0"/>
        <v>-39083498</v>
      </c>
      <c r="C4" s="2">
        <v>0</v>
      </c>
      <c r="D4" s="2">
        <v>0</v>
      </c>
      <c r="E4" s="2">
        <v>39083498</v>
      </c>
      <c r="F4" s="2">
        <v>106800383</v>
      </c>
    </row>
    <row r="5" spans="1:6" x14ac:dyDescent="0.3">
      <c r="A5" s="1" t="s">
        <v>2</v>
      </c>
      <c r="B5" s="2">
        <f t="shared" si="0"/>
        <v>-38122843</v>
      </c>
      <c r="C5" s="2">
        <v>0</v>
      </c>
      <c r="D5" s="2">
        <v>0</v>
      </c>
      <c r="E5" s="2">
        <v>38122843</v>
      </c>
      <c r="F5" s="2">
        <v>106340758</v>
      </c>
    </row>
    <row r="6" spans="1:6" x14ac:dyDescent="0.3">
      <c r="A6" s="1" t="s">
        <v>3</v>
      </c>
      <c r="B6" s="2">
        <f t="shared" si="0"/>
        <v>-38578477</v>
      </c>
      <c r="C6" s="2">
        <v>0</v>
      </c>
      <c r="D6" s="2">
        <v>0</v>
      </c>
      <c r="E6" s="2">
        <v>38578477</v>
      </c>
      <c r="F6" s="2">
        <v>107788549</v>
      </c>
    </row>
    <row r="7" spans="1:6" x14ac:dyDescent="0.3">
      <c r="A7" s="1" t="s">
        <v>4</v>
      </c>
      <c r="B7" s="2">
        <f t="shared" si="0"/>
        <v>-53161227</v>
      </c>
      <c r="C7" s="2">
        <v>0</v>
      </c>
      <c r="D7" s="2">
        <v>0</v>
      </c>
      <c r="E7" s="2">
        <v>53161227</v>
      </c>
      <c r="F7" s="2">
        <v>146434575</v>
      </c>
    </row>
    <row r="8" spans="1:6" x14ac:dyDescent="0.3">
      <c r="A8" s="1" t="s">
        <v>5</v>
      </c>
      <c r="B8" s="2">
        <f t="shared" si="0"/>
        <v>-57089292</v>
      </c>
      <c r="C8" s="2">
        <v>0</v>
      </c>
      <c r="D8" s="2">
        <v>0</v>
      </c>
      <c r="E8" s="2">
        <v>57089292</v>
      </c>
      <c r="F8" s="2">
        <v>157697003</v>
      </c>
    </row>
    <row r="9" spans="1:6" x14ac:dyDescent="0.3">
      <c r="A9" s="1" t="s">
        <v>6</v>
      </c>
      <c r="B9" s="2">
        <f t="shared" si="0"/>
        <v>-59644756</v>
      </c>
      <c r="C9" s="2">
        <v>0</v>
      </c>
      <c r="D9" s="2">
        <v>0</v>
      </c>
      <c r="E9" s="2">
        <v>59644756</v>
      </c>
      <c r="F9" s="2">
        <v>166400686</v>
      </c>
    </row>
    <row r="10" spans="1:6" x14ac:dyDescent="0.3">
      <c r="A10" s="1" t="s">
        <v>7</v>
      </c>
      <c r="B10" s="2">
        <f t="shared" si="0"/>
        <v>-39299416</v>
      </c>
      <c r="C10" s="2">
        <v>0</v>
      </c>
      <c r="D10" s="2">
        <v>0</v>
      </c>
      <c r="E10" s="2">
        <v>39299416</v>
      </c>
      <c r="F10" s="2">
        <v>109965631</v>
      </c>
    </row>
    <row r="11" spans="1:6" x14ac:dyDescent="0.3">
      <c r="A11" s="1" t="s">
        <v>8</v>
      </c>
      <c r="B11" s="2">
        <f t="shared" si="0"/>
        <v>-71559923</v>
      </c>
      <c r="C11" s="2">
        <v>0</v>
      </c>
      <c r="D11" s="2">
        <v>0</v>
      </c>
      <c r="E11" s="2">
        <v>71559923</v>
      </c>
      <c r="F11" s="2">
        <v>201926086</v>
      </c>
    </row>
    <row r="12" spans="1:6" x14ac:dyDescent="0.3">
      <c r="A12" s="1" t="s">
        <v>9</v>
      </c>
      <c r="B12" s="2">
        <f t="shared" si="0"/>
        <v>-40490161</v>
      </c>
      <c r="C12" s="2">
        <v>0</v>
      </c>
      <c r="D12" s="2">
        <v>0</v>
      </c>
      <c r="E12" s="2">
        <v>40490161</v>
      </c>
      <c r="F12" s="2">
        <v>116038256</v>
      </c>
    </row>
    <row r="13" spans="1:6" x14ac:dyDescent="0.3">
      <c r="A13" s="1" t="s">
        <v>10</v>
      </c>
      <c r="B13" s="2">
        <f t="shared" si="0"/>
        <v>-50926032</v>
      </c>
      <c r="C13" s="2">
        <v>0</v>
      </c>
      <c r="D13" s="2">
        <v>0</v>
      </c>
      <c r="E13" s="2">
        <v>50926032</v>
      </c>
      <c r="F13" s="2">
        <v>146745074</v>
      </c>
    </row>
    <row r="14" spans="1:6" x14ac:dyDescent="0.3">
      <c r="A14" s="1" t="s">
        <v>11</v>
      </c>
      <c r="B14" s="2">
        <f t="shared" si="0"/>
        <v>-53805081</v>
      </c>
      <c r="C14" s="2">
        <v>0</v>
      </c>
      <c r="D14" s="2">
        <v>0</v>
      </c>
      <c r="E14" s="2">
        <v>53805081</v>
      </c>
      <c r="F14" s="2">
        <v>150171974</v>
      </c>
    </row>
    <row r="15" spans="1:6" ht="17.25" thickBot="1" x14ac:dyDescent="0.35">
      <c r="A15" s="4" t="s">
        <v>13</v>
      </c>
      <c r="B15" s="5">
        <f>SUM(B3:B14)</f>
        <v>-573162759</v>
      </c>
      <c r="C15" s="5">
        <f t="shared" ref="C15:F15" si="1">SUM(C3:C14)</f>
        <v>0</v>
      </c>
      <c r="D15" s="5">
        <f t="shared" si="1"/>
        <v>0</v>
      </c>
      <c r="E15" s="5">
        <f t="shared" si="1"/>
        <v>573162759</v>
      </c>
      <c r="F15" s="5">
        <f t="shared" si="1"/>
        <v>1601684751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-53518385</v>
      </c>
      <c r="C3" s="2">
        <v>0</v>
      </c>
      <c r="D3" s="2">
        <v>0</v>
      </c>
      <c r="E3" s="2">
        <v>53518385</v>
      </c>
      <c r="F3" s="2">
        <v>146761846</v>
      </c>
    </row>
    <row r="4" spans="1:6" x14ac:dyDescent="0.3">
      <c r="A4" s="1" t="s">
        <v>1</v>
      </c>
      <c r="B4" s="2">
        <f t="shared" si="0"/>
        <v>-59816218</v>
      </c>
      <c r="C4" s="2">
        <v>0</v>
      </c>
      <c r="D4" s="2">
        <v>0</v>
      </c>
      <c r="E4" s="2">
        <v>59816218</v>
      </c>
      <c r="F4" s="2">
        <v>147647564</v>
      </c>
    </row>
    <row r="5" spans="1:6" x14ac:dyDescent="0.3">
      <c r="A5" s="1" t="s">
        <v>2</v>
      </c>
      <c r="B5" s="2">
        <f t="shared" si="0"/>
        <v>-33248601</v>
      </c>
      <c r="C5" s="2">
        <v>0</v>
      </c>
      <c r="D5" s="2">
        <v>0</v>
      </c>
      <c r="E5" s="2">
        <v>33248601</v>
      </c>
      <c r="F5" s="2">
        <v>76815136</v>
      </c>
    </row>
    <row r="6" spans="1:6" x14ac:dyDescent="0.3">
      <c r="A6" s="1" t="s">
        <v>3</v>
      </c>
      <c r="B6" s="2">
        <f t="shared" si="0"/>
        <v>-45939824</v>
      </c>
      <c r="C6" s="2">
        <v>0</v>
      </c>
      <c r="D6" s="2">
        <v>0</v>
      </c>
      <c r="E6" s="2">
        <v>45939824</v>
      </c>
      <c r="F6" s="2">
        <v>103009600</v>
      </c>
    </row>
    <row r="7" spans="1:6" x14ac:dyDescent="0.3">
      <c r="A7" s="1" t="s">
        <v>4</v>
      </c>
      <c r="B7" s="2">
        <f t="shared" si="0"/>
        <v>-61967155</v>
      </c>
      <c r="C7" s="2">
        <v>0</v>
      </c>
      <c r="D7" s="2">
        <v>0</v>
      </c>
      <c r="E7" s="2">
        <v>61967155</v>
      </c>
      <c r="F7" s="2">
        <v>135513053</v>
      </c>
    </row>
    <row r="8" spans="1:6" x14ac:dyDescent="0.3">
      <c r="A8" s="1" t="s">
        <v>5</v>
      </c>
      <c r="B8" s="2">
        <f t="shared" si="0"/>
        <v>-64264951</v>
      </c>
      <c r="C8" s="2">
        <v>0</v>
      </c>
      <c r="D8" s="2">
        <v>0</v>
      </c>
      <c r="E8" s="2">
        <v>64264951</v>
      </c>
      <c r="F8" s="2">
        <v>141628465</v>
      </c>
    </row>
    <row r="9" spans="1:6" x14ac:dyDescent="0.3">
      <c r="A9" s="1" t="s">
        <v>6</v>
      </c>
      <c r="B9" s="2">
        <f t="shared" si="0"/>
        <v>-74599465</v>
      </c>
      <c r="C9" s="2">
        <v>0</v>
      </c>
      <c r="D9" s="2">
        <v>0</v>
      </c>
      <c r="E9" s="2">
        <v>74599465</v>
      </c>
      <c r="F9" s="2">
        <v>161246269</v>
      </c>
    </row>
    <row r="10" spans="1:6" x14ac:dyDescent="0.3">
      <c r="A10" s="1" t="s">
        <v>7</v>
      </c>
      <c r="B10" s="2">
        <f t="shared" si="0"/>
        <v>-72862478</v>
      </c>
      <c r="C10" s="2">
        <v>0</v>
      </c>
      <c r="D10" s="2">
        <v>0</v>
      </c>
      <c r="E10" s="2">
        <v>72862478</v>
      </c>
      <c r="F10" s="2">
        <v>153332843</v>
      </c>
    </row>
    <row r="11" spans="1:6" x14ac:dyDescent="0.3">
      <c r="A11" s="1" t="s">
        <v>8</v>
      </c>
      <c r="B11" s="2">
        <f t="shared" si="0"/>
        <v>-62366759</v>
      </c>
      <c r="C11" s="2">
        <v>0</v>
      </c>
      <c r="D11" s="2">
        <v>0</v>
      </c>
      <c r="E11" s="2">
        <v>62366759</v>
      </c>
      <c r="F11" s="2">
        <v>128846261</v>
      </c>
    </row>
    <row r="12" spans="1:6" x14ac:dyDescent="0.3">
      <c r="A12" s="1" t="s">
        <v>9</v>
      </c>
      <c r="B12" s="2">
        <f t="shared" si="0"/>
        <v>-72204453</v>
      </c>
      <c r="C12" s="2">
        <v>0</v>
      </c>
      <c r="D12" s="2">
        <v>0</v>
      </c>
      <c r="E12" s="2">
        <v>72204453</v>
      </c>
      <c r="F12" s="2">
        <v>148933307</v>
      </c>
    </row>
    <row r="13" spans="1:6" x14ac:dyDescent="0.3">
      <c r="A13" s="1" t="s">
        <v>10</v>
      </c>
      <c r="B13" s="2">
        <f t="shared" si="0"/>
        <v>-60697339</v>
      </c>
      <c r="C13" s="2">
        <v>0</v>
      </c>
      <c r="D13" s="2">
        <v>0</v>
      </c>
      <c r="E13" s="2">
        <v>60697339</v>
      </c>
      <c r="F13" s="2">
        <v>125298800</v>
      </c>
    </row>
    <row r="14" spans="1:6" x14ac:dyDescent="0.3">
      <c r="A14" s="1" t="s">
        <v>11</v>
      </c>
      <c r="B14" s="2">
        <f t="shared" si="0"/>
        <v>-58691363</v>
      </c>
      <c r="C14" s="2">
        <v>0</v>
      </c>
      <c r="D14" s="2">
        <v>0</v>
      </c>
      <c r="E14" s="2">
        <v>58691363</v>
      </c>
      <c r="F14" s="2">
        <v>121026252</v>
      </c>
    </row>
    <row r="15" spans="1:6" ht="17.25" thickBot="1" x14ac:dyDescent="0.35">
      <c r="A15" s="4" t="s">
        <v>13</v>
      </c>
      <c r="B15" s="5">
        <f>SUM(B3:B14)</f>
        <v>-720176991</v>
      </c>
      <c r="C15" s="5">
        <f t="shared" ref="C15:F15" si="1">SUM(C3:C14)</f>
        <v>0</v>
      </c>
      <c r="D15" s="5">
        <f t="shared" si="1"/>
        <v>0</v>
      </c>
      <c r="E15" s="5">
        <f t="shared" si="1"/>
        <v>720176991</v>
      </c>
      <c r="F15" s="5">
        <f t="shared" si="1"/>
        <v>1590059396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-31818393</v>
      </c>
      <c r="C3" s="2">
        <v>0</v>
      </c>
      <c r="D3" s="2">
        <v>0</v>
      </c>
      <c r="E3" s="2">
        <v>31818393</v>
      </c>
      <c r="F3" s="2">
        <v>65671579</v>
      </c>
    </row>
    <row r="4" spans="1:6" x14ac:dyDescent="0.3">
      <c r="A4" s="1" t="s">
        <v>1</v>
      </c>
      <c r="B4" s="2">
        <f t="shared" si="0"/>
        <v>-64662512</v>
      </c>
      <c r="C4" s="2">
        <v>0</v>
      </c>
      <c r="D4" s="2">
        <v>0</v>
      </c>
      <c r="E4" s="2">
        <v>64662512</v>
      </c>
      <c r="F4" s="2">
        <v>134300267</v>
      </c>
    </row>
    <row r="5" spans="1:6" x14ac:dyDescent="0.3">
      <c r="A5" s="1" t="s">
        <v>2</v>
      </c>
      <c r="B5" s="2">
        <f t="shared" si="0"/>
        <v>-45097990</v>
      </c>
      <c r="C5" s="2">
        <v>0</v>
      </c>
      <c r="D5" s="2">
        <v>0</v>
      </c>
      <c r="E5" s="2">
        <v>45097990</v>
      </c>
      <c r="F5" s="2">
        <v>94250121</v>
      </c>
    </row>
    <row r="6" spans="1:6" x14ac:dyDescent="0.3">
      <c r="A6" s="1" t="s">
        <v>3</v>
      </c>
      <c r="B6" s="2">
        <f t="shared" si="0"/>
        <v>-64822702</v>
      </c>
      <c r="C6" s="2">
        <v>0</v>
      </c>
      <c r="D6" s="2">
        <v>0</v>
      </c>
      <c r="E6" s="2">
        <v>64822702</v>
      </c>
      <c r="F6" s="2">
        <v>141695294</v>
      </c>
    </row>
    <row r="7" spans="1:6" x14ac:dyDescent="0.3">
      <c r="A7" s="1" t="s">
        <v>4</v>
      </c>
      <c r="B7" s="2">
        <f t="shared" si="0"/>
        <v>-50792602</v>
      </c>
      <c r="C7" s="2">
        <v>0</v>
      </c>
      <c r="D7" s="2">
        <v>0</v>
      </c>
      <c r="E7" s="2">
        <v>50792602</v>
      </c>
      <c r="F7" s="2">
        <v>103137046</v>
      </c>
    </row>
    <row r="8" spans="1:6" x14ac:dyDescent="0.3">
      <c r="A8" s="1" t="s">
        <v>5</v>
      </c>
      <c r="B8" s="2">
        <f t="shared" si="0"/>
        <v>-60128565</v>
      </c>
      <c r="C8" s="2">
        <v>0</v>
      </c>
      <c r="D8" s="2">
        <v>0</v>
      </c>
      <c r="E8" s="2">
        <v>60128565</v>
      </c>
      <c r="F8" s="2">
        <v>107963565</v>
      </c>
    </row>
    <row r="9" spans="1:6" x14ac:dyDescent="0.3">
      <c r="A9" s="1" t="s">
        <v>6</v>
      </c>
      <c r="B9" s="2">
        <f t="shared" si="0"/>
        <v>-49832747</v>
      </c>
      <c r="C9" s="2">
        <v>0</v>
      </c>
      <c r="D9" s="2">
        <v>0</v>
      </c>
      <c r="E9" s="2">
        <v>49832747</v>
      </c>
      <c r="F9" s="2">
        <v>81892258</v>
      </c>
    </row>
    <row r="10" spans="1:6" x14ac:dyDescent="0.3">
      <c r="A10" s="1" t="s">
        <v>7</v>
      </c>
      <c r="B10" s="2">
        <f t="shared" si="0"/>
        <v>-62500755</v>
      </c>
      <c r="C10" s="2">
        <v>0</v>
      </c>
      <c r="D10" s="2">
        <v>0</v>
      </c>
      <c r="E10" s="2">
        <v>62500755</v>
      </c>
      <c r="F10" s="2">
        <v>103919890</v>
      </c>
    </row>
    <row r="11" spans="1:6" x14ac:dyDescent="0.3">
      <c r="A11" s="1" t="s">
        <v>8</v>
      </c>
      <c r="B11" s="2">
        <f t="shared" si="0"/>
        <v>-85070898</v>
      </c>
      <c r="C11" s="2">
        <v>0</v>
      </c>
      <c r="D11" s="2">
        <v>0</v>
      </c>
      <c r="E11" s="2">
        <v>85070898</v>
      </c>
      <c r="F11" s="2">
        <v>144341234</v>
      </c>
    </row>
    <row r="12" spans="1:6" x14ac:dyDescent="0.3">
      <c r="A12" s="1" t="s">
        <v>9</v>
      </c>
      <c r="B12" s="2">
        <f t="shared" si="0"/>
        <v>-67285999</v>
      </c>
      <c r="C12" s="2">
        <v>0</v>
      </c>
      <c r="D12" s="2">
        <v>0</v>
      </c>
      <c r="E12" s="2">
        <v>67285999</v>
      </c>
      <c r="F12" s="2">
        <v>119023603</v>
      </c>
    </row>
    <row r="13" spans="1:6" x14ac:dyDescent="0.3">
      <c r="A13" s="1" t="s">
        <v>10</v>
      </c>
      <c r="B13" s="2">
        <f t="shared" si="0"/>
        <v>-68356936</v>
      </c>
      <c r="C13" s="2">
        <v>0</v>
      </c>
      <c r="D13" s="2">
        <v>0</v>
      </c>
      <c r="E13" s="2">
        <v>68356936</v>
      </c>
      <c r="F13" s="2">
        <v>123573033</v>
      </c>
    </row>
    <row r="14" spans="1:6" x14ac:dyDescent="0.3">
      <c r="A14" s="1" t="s">
        <v>11</v>
      </c>
      <c r="B14" s="2">
        <f t="shared" si="0"/>
        <v>-91404715</v>
      </c>
      <c r="C14" s="2">
        <v>0</v>
      </c>
      <c r="D14" s="2">
        <v>0</v>
      </c>
      <c r="E14" s="2">
        <v>91404715</v>
      </c>
      <c r="F14" s="2">
        <v>168824618</v>
      </c>
    </row>
    <row r="15" spans="1:6" ht="17.25" thickBot="1" x14ac:dyDescent="0.35">
      <c r="A15" s="4" t="s">
        <v>13</v>
      </c>
      <c r="B15" s="5">
        <f>SUM(B3:B14)</f>
        <v>-741774814</v>
      </c>
      <c r="C15" s="5">
        <f t="shared" ref="C15:F15" si="1">SUM(C3:C14)</f>
        <v>0</v>
      </c>
      <c r="D15" s="5">
        <f t="shared" si="1"/>
        <v>0</v>
      </c>
      <c r="E15" s="5">
        <f t="shared" si="1"/>
        <v>741774814</v>
      </c>
      <c r="F15" s="5">
        <f t="shared" si="1"/>
        <v>1388592508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-51551357</v>
      </c>
      <c r="C3" s="2">
        <v>0</v>
      </c>
      <c r="D3" s="2">
        <v>0</v>
      </c>
      <c r="E3" s="2">
        <v>51551357</v>
      </c>
      <c r="F3" s="2">
        <v>96450970</v>
      </c>
    </row>
    <row r="4" spans="1:6" x14ac:dyDescent="0.3">
      <c r="A4" s="1" t="s">
        <v>1</v>
      </c>
      <c r="B4" s="2">
        <f t="shared" si="0"/>
        <v>-39895869</v>
      </c>
      <c r="C4" s="2">
        <v>0</v>
      </c>
      <c r="D4" s="2">
        <v>0</v>
      </c>
      <c r="E4" s="2">
        <v>39895869</v>
      </c>
      <c r="F4" s="2">
        <v>74627903</v>
      </c>
    </row>
    <row r="5" spans="1:6" x14ac:dyDescent="0.3">
      <c r="A5" s="1" t="s">
        <v>2</v>
      </c>
      <c r="B5" s="2">
        <f t="shared" si="0"/>
        <v>-35254604</v>
      </c>
      <c r="C5" s="2">
        <v>0</v>
      </c>
      <c r="D5" s="2">
        <v>0</v>
      </c>
      <c r="E5" s="2">
        <v>35254604</v>
      </c>
      <c r="F5" s="2">
        <v>66094181</v>
      </c>
    </row>
    <row r="6" spans="1:6" x14ac:dyDescent="0.3">
      <c r="A6" s="1" t="s">
        <v>3</v>
      </c>
      <c r="B6" s="2">
        <f t="shared" si="0"/>
        <v>-19161278</v>
      </c>
      <c r="C6" s="2">
        <v>0</v>
      </c>
      <c r="D6" s="2">
        <v>0</v>
      </c>
      <c r="E6" s="2">
        <v>19161278</v>
      </c>
      <c r="F6" s="2">
        <v>36438031</v>
      </c>
    </row>
    <row r="7" spans="1:6" x14ac:dyDescent="0.3">
      <c r="A7" s="1" t="s">
        <v>4</v>
      </c>
      <c r="B7" s="2">
        <f t="shared" si="0"/>
        <v>-56208455</v>
      </c>
      <c r="C7" s="2">
        <v>0</v>
      </c>
      <c r="D7" s="2">
        <v>0</v>
      </c>
      <c r="E7" s="2">
        <v>56208455</v>
      </c>
      <c r="F7" s="2">
        <v>108502483</v>
      </c>
    </row>
    <row r="8" spans="1:6" x14ac:dyDescent="0.3">
      <c r="A8" s="1" t="s">
        <v>5</v>
      </c>
      <c r="B8" s="2">
        <f t="shared" si="0"/>
        <v>-58887545</v>
      </c>
      <c r="C8" s="2">
        <v>0</v>
      </c>
      <c r="D8" s="2">
        <v>0</v>
      </c>
      <c r="E8" s="2">
        <v>58887545</v>
      </c>
      <c r="F8" s="2">
        <v>107350666</v>
      </c>
    </row>
    <row r="9" spans="1:6" x14ac:dyDescent="0.3">
      <c r="A9" s="1" t="s">
        <v>6</v>
      </c>
      <c r="B9" s="2">
        <f t="shared" si="0"/>
        <v>-61561293</v>
      </c>
      <c r="C9" s="2">
        <v>0</v>
      </c>
      <c r="D9" s="2">
        <v>0</v>
      </c>
      <c r="E9" s="2">
        <v>61561293</v>
      </c>
      <c r="F9" s="2">
        <v>106131419</v>
      </c>
    </row>
    <row r="10" spans="1:6" x14ac:dyDescent="0.3">
      <c r="A10" s="1" t="s">
        <v>7</v>
      </c>
      <c r="B10" s="2">
        <f t="shared" si="0"/>
        <v>-62040109</v>
      </c>
      <c r="C10" s="2">
        <v>0</v>
      </c>
      <c r="D10" s="2">
        <v>0</v>
      </c>
      <c r="E10" s="2">
        <v>62040109</v>
      </c>
      <c r="F10" s="2">
        <v>107284653</v>
      </c>
    </row>
    <row r="11" spans="1:6" x14ac:dyDescent="0.3">
      <c r="A11" s="1" t="s">
        <v>8</v>
      </c>
      <c r="B11" s="2">
        <f t="shared" si="0"/>
        <v>-48915342</v>
      </c>
      <c r="C11" s="2">
        <v>0</v>
      </c>
      <c r="D11" s="2">
        <v>0</v>
      </c>
      <c r="E11" s="2">
        <v>48915342</v>
      </c>
      <c r="F11" s="2">
        <v>91260727</v>
      </c>
    </row>
    <row r="12" spans="1:6" x14ac:dyDescent="0.3">
      <c r="A12" s="1" t="s">
        <v>9</v>
      </c>
      <c r="B12" s="2">
        <f t="shared" si="0"/>
        <v>-70229465</v>
      </c>
      <c r="C12" s="2">
        <v>0</v>
      </c>
      <c r="D12" s="2">
        <v>0</v>
      </c>
      <c r="E12" s="2">
        <v>70229465</v>
      </c>
      <c r="F12" s="2">
        <v>132146321</v>
      </c>
    </row>
    <row r="13" spans="1:6" x14ac:dyDescent="0.3">
      <c r="A13" s="1" t="s">
        <v>10</v>
      </c>
      <c r="B13" s="2">
        <f t="shared" si="0"/>
        <v>-62589276</v>
      </c>
      <c r="C13" s="2">
        <v>0</v>
      </c>
      <c r="D13" s="2">
        <v>0</v>
      </c>
      <c r="E13" s="2">
        <v>62589276</v>
      </c>
      <c r="F13" s="2">
        <v>123713705</v>
      </c>
    </row>
    <row r="14" spans="1:6" x14ac:dyDescent="0.3">
      <c r="A14" s="1" t="s">
        <v>11</v>
      </c>
      <c r="B14" s="2">
        <f t="shared" si="0"/>
        <v>-44299813</v>
      </c>
      <c r="C14" s="2">
        <v>0</v>
      </c>
      <c r="D14" s="2">
        <v>0</v>
      </c>
      <c r="E14" s="2">
        <v>44299813</v>
      </c>
      <c r="F14" s="2">
        <v>88979460</v>
      </c>
    </row>
    <row r="15" spans="1:6" ht="17.25" thickBot="1" x14ac:dyDescent="0.35">
      <c r="A15" s="4" t="s">
        <v>13</v>
      </c>
      <c r="B15" s="5">
        <f>SUM(B3:B14)</f>
        <v>-610594406</v>
      </c>
      <c r="C15" s="5">
        <f t="shared" ref="C15:F15" si="1">SUM(C3:C14)</f>
        <v>0</v>
      </c>
      <c r="D15" s="5">
        <f t="shared" si="1"/>
        <v>0</v>
      </c>
      <c r="E15" s="5">
        <f t="shared" si="1"/>
        <v>610594406</v>
      </c>
      <c r="F15" s="5">
        <f t="shared" si="1"/>
        <v>1138980519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-87502212</v>
      </c>
      <c r="C3" s="2">
        <v>0</v>
      </c>
      <c r="D3" s="2">
        <v>0</v>
      </c>
      <c r="E3" s="2">
        <v>87502212</v>
      </c>
      <c r="F3" s="2">
        <v>169492772</v>
      </c>
    </row>
    <row r="4" spans="1:6" x14ac:dyDescent="0.3">
      <c r="A4" s="1" t="s">
        <v>1</v>
      </c>
      <c r="B4" s="2">
        <f t="shared" si="0"/>
        <v>-38725310</v>
      </c>
      <c r="C4" s="2">
        <v>0</v>
      </c>
      <c r="D4" s="2">
        <v>0</v>
      </c>
      <c r="E4" s="2">
        <v>38725310</v>
      </c>
      <c r="F4" s="2">
        <v>74185688</v>
      </c>
    </row>
    <row r="5" spans="1:6" x14ac:dyDescent="0.3">
      <c r="A5" s="1" t="s">
        <v>2</v>
      </c>
      <c r="B5" s="2">
        <f t="shared" si="0"/>
        <v>-49386764</v>
      </c>
      <c r="C5" s="2">
        <v>0</v>
      </c>
      <c r="D5" s="2">
        <v>0</v>
      </c>
      <c r="E5" s="2">
        <v>49386764</v>
      </c>
      <c r="F5" s="2">
        <v>95588881</v>
      </c>
    </row>
    <row r="6" spans="1:6" x14ac:dyDescent="0.3">
      <c r="A6" s="1" t="s">
        <v>3</v>
      </c>
      <c r="B6" s="2">
        <f t="shared" si="0"/>
        <v>-52647916</v>
      </c>
      <c r="C6" s="2">
        <v>0</v>
      </c>
      <c r="D6" s="2">
        <v>0</v>
      </c>
      <c r="E6" s="2">
        <v>52647916</v>
      </c>
      <c r="F6" s="2">
        <v>99377974</v>
      </c>
    </row>
    <row r="7" spans="1:6" x14ac:dyDescent="0.3">
      <c r="A7" s="1" t="s">
        <v>4</v>
      </c>
      <c r="B7" s="2">
        <f t="shared" si="0"/>
        <v>-77581809</v>
      </c>
      <c r="C7" s="2">
        <v>0</v>
      </c>
      <c r="D7" s="2">
        <v>0</v>
      </c>
      <c r="E7" s="2">
        <v>77581809</v>
      </c>
      <c r="F7" s="2">
        <v>145186411</v>
      </c>
    </row>
    <row r="8" spans="1:6" x14ac:dyDescent="0.3">
      <c r="A8" s="1" t="s">
        <v>5</v>
      </c>
      <c r="B8" s="2">
        <f t="shared" si="0"/>
        <v>-50316515</v>
      </c>
      <c r="C8" s="2">
        <v>0</v>
      </c>
      <c r="D8" s="2">
        <v>0</v>
      </c>
      <c r="E8" s="2">
        <v>50316515</v>
      </c>
      <c r="F8" s="2">
        <v>101473565</v>
      </c>
    </row>
    <row r="9" spans="1:6" x14ac:dyDescent="0.3">
      <c r="A9" s="1" t="s">
        <v>6</v>
      </c>
      <c r="B9" s="2">
        <f t="shared" si="0"/>
        <v>-48701907</v>
      </c>
      <c r="C9" s="2">
        <v>0</v>
      </c>
      <c r="D9" s="2">
        <v>0</v>
      </c>
      <c r="E9" s="2">
        <v>48701907</v>
      </c>
      <c r="F9" s="2">
        <v>104267711</v>
      </c>
    </row>
    <row r="10" spans="1:6" x14ac:dyDescent="0.3">
      <c r="A10" s="1" t="s">
        <v>7</v>
      </c>
      <c r="B10" s="2">
        <f t="shared" si="0"/>
        <v>-46011464</v>
      </c>
      <c r="C10" s="2">
        <v>0</v>
      </c>
      <c r="D10" s="2">
        <v>0</v>
      </c>
      <c r="E10" s="2">
        <v>46011464</v>
      </c>
      <c r="F10" s="2">
        <v>102398728</v>
      </c>
    </row>
    <row r="11" spans="1:6" x14ac:dyDescent="0.3">
      <c r="A11" s="1" t="s">
        <v>8</v>
      </c>
      <c r="B11" s="2">
        <f t="shared" si="0"/>
        <v>-35937264</v>
      </c>
      <c r="C11" s="2">
        <v>0</v>
      </c>
      <c r="D11" s="2">
        <v>0</v>
      </c>
      <c r="E11" s="2">
        <v>35937264</v>
      </c>
      <c r="F11" s="2">
        <v>78633623</v>
      </c>
    </row>
    <row r="12" spans="1:6" x14ac:dyDescent="0.3">
      <c r="A12" s="1" t="s">
        <v>9</v>
      </c>
      <c r="B12" s="2">
        <f t="shared" si="0"/>
        <v>-73430772</v>
      </c>
      <c r="C12" s="2">
        <v>0</v>
      </c>
      <c r="D12" s="2">
        <v>0</v>
      </c>
      <c r="E12" s="2">
        <v>73430772</v>
      </c>
      <c r="F12" s="2">
        <v>159413019</v>
      </c>
    </row>
    <row r="13" spans="1:6" x14ac:dyDescent="0.3">
      <c r="A13" s="1" t="s">
        <v>10</v>
      </c>
      <c r="B13" s="2">
        <f t="shared" si="0"/>
        <v>-59779829</v>
      </c>
      <c r="C13" s="2">
        <v>0</v>
      </c>
      <c r="D13" s="2">
        <v>0</v>
      </c>
      <c r="E13" s="2">
        <v>59779829</v>
      </c>
      <c r="F13" s="2">
        <v>126687636</v>
      </c>
    </row>
    <row r="14" spans="1:6" x14ac:dyDescent="0.3">
      <c r="A14" s="1" t="s">
        <v>11</v>
      </c>
      <c r="B14" s="2">
        <f t="shared" si="0"/>
        <v>-42715741</v>
      </c>
      <c r="C14" s="2">
        <v>0</v>
      </c>
      <c r="D14" s="2">
        <v>0</v>
      </c>
      <c r="E14" s="2">
        <v>42715741</v>
      </c>
      <c r="F14" s="2">
        <v>93076581</v>
      </c>
    </row>
    <row r="15" spans="1:6" ht="17.25" thickBot="1" x14ac:dyDescent="0.35">
      <c r="A15" s="4" t="s">
        <v>13</v>
      </c>
      <c r="B15" s="5">
        <f>SUM(B3:B14)</f>
        <v>-662737503</v>
      </c>
      <c r="C15" s="5">
        <f t="shared" ref="C15:F15" si="1">SUM(C3:C14)</f>
        <v>0</v>
      </c>
      <c r="D15" s="5">
        <f t="shared" si="1"/>
        <v>0</v>
      </c>
      <c r="E15" s="5">
        <f t="shared" si="1"/>
        <v>662737503</v>
      </c>
      <c r="F15" s="5">
        <f t="shared" si="1"/>
        <v>1349782589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5" width="12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-54952612</v>
      </c>
      <c r="C3" s="2">
        <v>0</v>
      </c>
      <c r="D3" s="2">
        <v>0</v>
      </c>
      <c r="E3" s="2">
        <v>54952612</v>
      </c>
      <c r="F3" s="2">
        <v>123343254</v>
      </c>
    </row>
    <row r="4" spans="1:6" x14ac:dyDescent="0.3">
      <c r="A4" s="1" t="s">
        <v>1</v>
      </c>
      <c r="B4" s="2">
        <f t="shared" si="0"/>
        <v>-45943801</v>
      </c>
      <c r="C4" s="2">
        <v>0</v>
      </c>
      <c r="D4" s="2">
        <v>0</v>
      </c>
      <c r="E4" s="2">
        <v>45943801</v>
      </c>
      <c r="F4" s="2">
        <v>105470608</v>
      </c>
    </row>
    <row r="5" spans="1:6" x14ac:dyDescent="0.3">
      <c r="A5" s="1" t="s">
        <v>2</v>
      </c>
      <c r="B5" s="2">
        <f t="shared" si="0"/>
        <v>-52908285</v>
      </c>
      <c r="C5" s="2">
        <v>0</v>
      </c>
      <c r="D5" s="2">
        <v>0</v>
      </c>
      <c r="E5" s="2">
        <v>52908285</v>
      </c>
      <c r="F5" s="2">
        <v>124808668</v>
      </c>
    </row>
    <row r="6" spans="1:6" x14ac:dyDescent="0.3">
      <c r="A6" s="1" t="s">
        <v>3</v>
      </c>
      <c r="B6" s="2">
        <f t="shared" si="0"/>
        <v>-43772366</v>
      </c>
      <c r="C6" s="2">
        <v>0</v>
      </c>
      <c r="D6" s="2">
        <v>0</v>
      </c>
      <c r="E6" s="2">
        <v>43772366</v>
      </c>
      <c r="F6" s="2">
        <v>106160122</v>
      </c>
    </row>
    <row r="7" spans="1:6" x14ac:dyDescent="0.3">
      <c r="A7" s="1" t="s">
        <v>4</v>
      </c>
      <c r="B7" s="2">
        <f t="shared" si="0"/>
        <v>-58226247</v>
      </c>
      <c r="C7" s="2">
        <v>0</v>
      </c>
      <c r="D7" s="2">
        <v>0</v>
      </c>
      <c r="E7" s="2">
        <v>58226247</v>
      </c>
      <c r="F7" s="2">
        <v>146088068</v>
      </c>
    </row>
    <row r="8" spans="1:6" x14ac:dyDescent="0.3">
      <c r="A8" s="1" t="s">
        <v>5</v>
      </c>
      <c r="B8" s="2">
        <f t="shared" si="0"/>
        <v>-45444154</v>
      </c>
      <c r="C8" s="2">
        <v>0</v>
      </c>
      <c r="D8" s="2">
        <v>0</v>
      </c>
      <c r="E8" s="2">
        <v>45444154</v>
      </c>
      <c r="F8" s="2">
        <v>117505044</v>
      </c>
    </row>
    <row r="9" spans="1:6" x14ac:dyDescent="0.3">
      <c r="A9" s="1" t="s">
        <v>6</v>
      </c>
      <c r="B9" s="2">
        <f t="shared" si="0"/>
        <v>-39349749</v>
      </c>
      <c r="C9" s="2">
        <v>0</v>
      </c>
      <c r="D9" s="2">
        <v>0</v>
      </c>
      <c r="E9" s="2">
        <v>39349749</v>
      </c>
      <c r="F9" s="2">
        <v>103726268</v>
      </c>
    </row>
    <row r="10" spans="1:6" x14ac:dyDescent="0.3">
      <c r="A10" s="1" t="s">
        <v>7</v>
      </c>
      <c r="B10" s="2">
        <f t="shared" si="0"/>
        <v>-56058247</v>
      </c>
      <c r="C10" s="2">
        <v>0</v>
      </c>
      <c r="D10" s="2">
        <v>0</v>
      </c>
      <c r="E10" s="2">
        <v>56058247</v>
      </c>
      <c r="F10" s="2">
        <v>153703092</v>
      </c>
    </row>
    <row r="11" spans="1:6" x14ac:dyDescent="0.3">
      <c r="A11" s="1" t="s">
        <v>8</v>
      </c>
      <c r="B11" s="2">
        <f t="shared" si="0"/>
        <v>-61968308</v>
      </c>
      <c r="C11" s="2">
        <v>0</v>
      </c>
      <c r="D11" s="2">
        <v>0</v>
      </c>
      <c r="E11" s="2">
        <v>61968308</v>
      </c>
      <c r="F11" s="2">
        <v>171852457</v>
      </c>
    </row>
    <row r="12" spans="1:6" x14ac:dyDescent="0.3">
      <c r="A12" s="1" t="s">
        <v>9</v>
      </c>
      <c r="B12" s="2">
        <f t="shared" si="0"/>
        <v>-51609336</v>
      </c>
      <c r="C12" s="2">
        <v>0</v>
      </c>
      <c r="D12" s="2">
        <v>0</v>
      </c>
      <c r="E12" s="2">
        <v>51609336</v>
      </c>
      <c r="F12" s="2">
        <v>148489974</v>
      </c>
    </row>
    <row r="13" spans="1:6" x14ac:dyDescent="0.3">
      <c r="A13" s="1" t="s">
        <v>10</v>
      </c>
      <c r="B13" s="2">
        <f t="shared" si="0"/>
        <v>-39770300</v>
      </c>
      <c r="C13" s="2">
        <v>0</v>
      </c>
      <c r="D13" s="2">
        <v>0</v>
      </c>
      <c r="E13" s="2">
        <v>39770300</v>
      </c>
      <c r="F13" s="2">
        <v>116267706</v>
      </c>
    </row>
    <row r="14" spans="1:6" x14ac:dyDescent="0.3">
      <c r="A14" s="1" t="s">
        <v>11</v>
      </c>
      <c r="B14" s="2">
        <f t="shared" si="0"/>
        <v>-63158680</v>
      </c>
      <c r="C14" s="2">
        <v>0</v>
      </c>
      <c r="D14" s="2">
        <v>0</v>
      </c>
      <c r="E14" s="2">
        <v>63158680</v>
      </c>
      <c r="F14" s="2">
        <v>184478546</v>
      </c>
    </row>
    <row r="15" spans="1:6" ht="17.25" thickBot="1" x14ac:dyDescent="0.35">
      <c r="A15" s="4" t="s">
        <v>13</v>
      </c>
      <c r="B15" s="5">
        <f>SUM(B3:B14)</f>
        <v>-613162085</v>
      </c>
      <c r="C15" s="5">
        <f t="shared" ref="C15:F15" si="1">SUM(C3:C14)</f>
        <v>0</v>
      </c>
      <c r="D15" s="5">
        <f t="shared" si="1"/>
        <v>0</v>
      </c>
      <c r="E15" s="5">
        <f t="shared" si="1"/>
        <v>613162085</v>
      </c>
      <c r="F15" s="5">
        <f t="shared" si="1"/>
        <v>1601893807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-38999595</v>
      </c>
      <c r="C3" s="2">
        <v>0</v>
      </c>
      <c r="D3" s="2">
        <v>0</v>
      </c>
      <c r="E3" s="2">
        <v>38999595</v>
      </c>
      <c r="F3" s="2">
        <v>112301682</v>
      </c>
    </row>
    <row r="4" spans="1:6" x14ac:dyDescent="0.3">
      <c r="A4" s="1" t="s">
        <v>1</v>
      </c>
      <c r="B4" s="2">
        <f t="shared" si="0"/>
        <v>-37097187</v>
      </c>
      <c r="C4" s="2">
        <v>0</v>
      </c>
      <c r="D4" s="2">
        <v>0</v>
      </c>
      <c r="E4" s="2">
        <v>37097187</v>
      </c>
      <c r="F4" s="2">
        <v>106654808</v>
      </c>
    </row>
    <row r="5" spans="1:6" x14ac:dyDescent="0.3">
      <c r="A5" s="1" t="s">
        <v>2</v>
      </c>
      <c r="B5" s="2">
        <f t="shared" si="0"/>
        <v>-41373344</v>
      </c>
      <c r="C5" s="2">
        <v>0</v>
      </c>
      <c r="D5" s="2">
        <v>0</v>
      </c>
      <c r="E5" s="2">
        <v>41373344</v>
      </c>
      <c r="F5" s="2">
        <v>121687380</v>
      </c>
    </row>
    <row r="6" spans="1:6" x14ac:dyDescent="0.3">
      <c r="A6" s="1" t="s">
        <v>3</v>
      </c>
      <c r="B6" s="2">
        <f t="shared" si="0"/>
        <v>-49628034</v>
      </c>
      <c r="C6" s="2">
        <v>0</v>
      </c>
      <c r="D6" s="2">
        <v>0</v>
      </c>
      <c r="E6" s="2">
        <v>49628034</v>
      </c>
      <c r="F6" s="2">
        <v>142920850</v>
      </c>
    </row>
    <row r="7" spans="1:6" x14ac:dyDescent="0.3">
      <c r="A7" s="1" t="s">
        <v>4</v>
      </c>
      <c r="B7" s="2">
        <f t="shared" si="0"/>
        <v>-27053837</v>
      </c>
      <c r="C7" s="2">
        <v>0</v>
      </c>
      <c r="D7" s="2">
        <v>0</v>
      </c>
      <c r="E7" s="2">
        <v>27053837</v>
      </c>
      <c r="F7" s="2">
        <v>73206097</v>
      </c>
    </row>
    <row r="8" spans="1:6" x14ac:dyDescent="0.3">
      <c r="A8" s="1" t="s">
        <v>5</v>
      </c>
      <c r="B8" s="2">
        <f t="shared" si="0"/>
        <v>-51517029</v>
      </c>
      <c r="C8" s="2">
        <v>0</v>
      </c>
      <c r="D8" s="2">
        <v>0</v>
      </c>
      <c r="E8" s="2">
        <v>51517029</v>
      </c>
      <c r="F8" s="2">
        <v>138932516</v>
      </c>
    </row>
    <row r="9" spans="1:6" x14ac:dyDescent="0.3">
      <c r="A9" s="1" t="s">
        <v>6</v>
      </c>
      <c r="B9" s="2">
        <f t="shared" si="0"/>
        <v>-54109608</v>
      </c>
      <c r="C9" s="2">
        <v>0</v>
      </c>
      <c r="D9" s="2">
        <v>0</v>
      </c>
      <c r="E9" s="2">
        <v>54109608</v>
      </c>
      <c r="F9" s="2">
        <v>141079362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-299778634</v>
      </c>
      <c r="C15" s="5">
        <f t="shared" ref="C15:F15" si="1">SUM(C3:C14)</f>
        <v>0</v>
      </c>
      <c r="D15" s="5">
        <f t="shared" si="1"/>
        <v>0</v>
      </c>
      <c r="E15" s="5">
        <f t="shared" si="1"/>
        <v>299778634</v>
      </c>
      <c r="F15" s="5">
        <f t="shared" si="1"/>
        <v>836782695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2026-08-21T06:14:05Z</dcterms:modified>
</cp:coreProperties>
</file>