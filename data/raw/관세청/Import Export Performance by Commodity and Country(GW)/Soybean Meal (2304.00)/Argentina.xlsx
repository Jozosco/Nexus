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<sst xmlns="http://schemas.openxmlformats.org/spreadsheetml/2006/main" count="306" uniqueCount="18">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</sst>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-8314448</v>
      </c>
      <c r="C3" s="2">
        <v>0</v>
      </c>
      <c r="D3" s="2">
        <v>0</v>
      </c>
      <c r="E3" s="2">
        <v>8314448</v>
      </c>
      <c r="F3" s="2">
        <v>18287659</v>
      </c>
    </row>
    <row r="4" spans="1:6" x14ac:dyDescent="0.3">
      <c r="A4" s="1" t="s">
        <v>1</v>
      </c>
      <c r="B4" s="2">
        <f t="shared" ref="B4:B14" si="0">C4-E4</f>
        <v>-986294</v>
      </c>
      <c r="C4" s="2">
        <v>0</v>
      </c>
      <c r="D4" s="2">
        <v>0</v>
      </c>
      <c r="E4" s="2">
        <v>986294</v>
      </c>
      <c r="F4" s="2">
        <v>2102408</v>
      </c>
    </row>
    <row r="5" spans="1:6" x14ac:dyDescent="0.3">
      <c r="A5" s="1" t="s">
        <v>2</v>
      </c>
      <c r="B5" s="2">
        <f t="shared" si="0"/>
        <v>-1542692</v>
      </c>
      <c r="C5" s="2">
        <v>0</v>
      </c>
      <c r="D5" s="2">
        <v>0</v>
      </c>
      <c r="E5" s="2">
        <v>1542692</v>
      </c>
      <c r="F5" s="2">
        <v>3288383</v>
      </c>
    </row>
    <row r="6" spans="1:6" x14ac:dyDescent="0.3">
      <c r="A6" s="1" t="s">
        <v>3</v>
      </c>
      <c r="B6" s="2">
        <f t="shared" si="0"/>
        <v>-369726</v>
      </c>
      <c r="C6" s="2">
        <v>0</v>
      </c>
      <c r="D6" s="2">
        <v>0</v>
      </c>
      <c r="E6" s="2">
        <v>369726</v>
      </c>
      <c r="F6" s="2">
        <v>770527</v>
      </c>
    </row>
    <row r="7" spans="1:6" x14ac:dyDescent="0.3">
      <c r="A7" s="1" t="s">
        <v>4</v>
      </c>
      <c r="B7" s="2">
        <f t="shared" si="0"/>
        <v>-13420206</v>
      </c>
      <c r="C7" s="2">
        <v>0</v>
      </c>
      <c r="D7" s="2">
        <v>0</v>
      </c>
      <c r="E7" s="2">
        <v>13420206</v>
      </c>
      <c r="F7" s="2">
        <v>35339539</v>
      </c>
    </row>
    <row r="8" spans="1:6" x14ac:dyDescent="0.3">
      <c r="A8" s="1" t="s">
        <v>5</v>
      </c>
      <c r="B8" s="2">
        <f t="shared" si="0"/>
        <v>-14810180</v>
      </c>
      <c r="C8" s="2">
        <v>0</v>
      </c>
      <c r="D8" s="2">
        <v>0</v>
      </c>
      <c r="E8" s="2">
        <v>14810180</v>
      </c>
      <c r="F8" s="2">
        <v>41543147</v>
      </c>
    </row>
    <row r="9" spans="1:6" x14ac:dyDescent="0.3">
      <c r="A9" s="1" t="s">
        <v>6</v>
      </c>
      <c r="B9" s="2">
        <f t="shared" si="0"/>
        <v>-16796094</v>
      </c>
      <c r="C9" s="2">
        <v>0</v>
      </c>
      <c r="D9" s="2">
        <v>0</v>
      </c>
      <c r="E9" s="2">
        <v>16796094</v>
      </c>
      <c r="F9" s="2">
        <v>43901624</v>
      </c>
    </row>
    <row r="10" spans="1:6" x14ac:dyDescent="0.3">
      <c r="A10" s="1" t="s">
        <v>7</v>
      </c>
      <c r="B10" s="2">
        <f t="shared" si="0"/>
        <v>-7946785</v>
      </c>
      <c r="C10" s="2">
        <v>0</v>
      </c>
      <c r="D10" s="2">
        <v>0</v>
      </c>
      <c r="E10" s="2">
        <v>7946785</v>
      </c>
      <c r="F10" s="2">
        <v>20519363</v>
      </c>
    </row>
    <row r="11" spans="1:6" x14ac:dyDescent="0.3">
      <c r="A11" s="1" t="s">
        <v>8</v>
      </c>
      <c r="B11" s="2">
        <f t="shared" si="0"/>
        <v>-4171693</v>
      </c>
      <c r="C11" s="2">
        <v>0</v>
      </c>
      <c r="D11" s="2">
        <v>0</v>
      </c>
      <c r="E11" s="2">
        <v>4171693</v>
      </c>
      <c r="F11" s="2">
        <v>11426701</v>
      </c>
    </row>
    <row r="12" spans="1:6" x14ac:dyDescent="0.3">
      <c r="A12" s="1" t="s">
        <v>9</v>
      </c>
      <c r="B12" s="2">
        <f t="shared" si="0"/>
        <v>-19254242</v>
      </c>
      <c r="C12" s="2">
        <v>0</v>
      </c>
      <c r="D12" s="2">
        <v>0</v>
      </c>
      <c r="E12" s="2">
        <v>19254242</v>
      </c>
      <c r="F12" s="2">
        <v>55127567</v>
      </c>
    </row>
    <row r="13" spans="1:6" x14ac:dyDescent="0.3">
      <c r="A13" s="1" t="s">
        <v>10</v>
      </c>
      <c r="B13" s="2">
        <f t="shared" si="0"/>
        <v>-14668656</v>
      </c>
      <c r="C13" s="2">
        <v>0</v>
      </c>
      <c r="D13" s="2">
        <v>0</v>
      </c>
      <c r="E13" s="2">
        <v>14668656</v>
      </c>
      <c r="F13" s="2">
        <v>43441738</v>
      </c>
    </row>
    <row r="14" spans="1:6" x14ac:dyDescent="0.3">
      <c r="A14" s="1" t="s">
        <v>11</v>
      </c>
      <c r="B14" s="2">
        <f t="shared" si="0"/>
        <v>-29140732</v>
      </c>
      <c r="C14" s="2">
        <v>0</v>
      </c>
      <c r="D14" s="2">
        <v>0</v>
      </c>
      <c r="E14" s="2">
        <v>29140732</v>
      </c>
      <c r="F14" s="2">
        <v>85468580</v>
      </c>
    </row>
    <row r="15" spans="1:6" ht="17.25" thickBot="1" x14ac:dyDescent="0.35">
      <c r="A15" s="4" t="s">
        <v>13</v>
      </c>
      <c r="B15" s="5">
        <f>SUM(B3:B14)</f>
        <v>-131421748</v>
      </c>
      <c r="C15" s="5">
        <f t="shared" ref="C15:F15" si="1">SUM(C3:C14)</f>
        <v>0</v>
      </c>
      <c r="D15" s="5">
        <f t="shared" si="1"/>
        <v>0</v>
      </c>
      <c r="E15" s="5">
        <f t="shared" si="1"/>
        <v>131421748</v>
      </c>
      <c r="F15" s="5">
        <f t="shared" si="1"/>
        <v>361217236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-4413302</v>
      </c>
      <c r="C3" s="2">
        <v>0</v>
      </c>
      <c r="D3" s="2">
        <v>0</v>
      </c>
      <c r="E3" s="2">
        <v>4413302</v>
      </c>
      <c r="F3" s="2">
        <v>12620364</v>
      </c>
    </row>
    <row r="4" spans="1:6" x14ac:dyDescent="0.3">
      <c r="A4" s="1" t="s">
        <v>1</v>
      </c>
      <c r="B4" s="2">
        <f t="shared" ref="B4:B14" si="0">C4-E4</f>
        <v>-7580679</v>
      </c>
      <c r="C4" s="2">
        <v>0</v>
      </c>
      <c r="D4" s="2">
        <v>0</v>
      </c>
      <c r="E4" s="2">
        <v>7580679</v>
      </c>
      <c r="F4" s="2">
        <v>22014928</v>
      </c>
    </row>
    <row r="5" spans="1:6" x14ac:dyDescent="0.3">
      <c r="A5" s="1" t="s">
        <v>2</v>
      </c>
      <c r="B5" s="2">
        <f t="shared" si="0"/>
        <v>-462486</v>
      </c>
      <c r="C5" s="2">
        <v>0</v>
      </c>
      <c r="D5" s="2">
        <v>0</v>
      </c>
      <c r="E5" s="2">
        <v>462486</v>
      </c>
      <c r="F5" s="2">
        <v>1305819</v>
      </c>
    </row>
    <row r="6" spans="1:6" x14ac:dyDescent="0.3">
      <c r="A6" s="1" t="s">
        <v>3</v>
      </c>
      <c r="B6" s="2">
        <f t="shared" si="0"/>
        <v>-1361374</v>
      </c>
      <c r="C6" s="2">
        <v>0</v>
      </c>
      <c r="D6" s="2">
        <v>0</v>
      </c>
      <c r="E6" s="2">
        <v>1361374</v>
      </c>
      <c r="F6" s="2">
        <v>3774547</v>
      </c>
    </row>
    <row r="7" spans="1:6" x14ac:dyDescent="0.3">
      <c r="A7" s="1" t="s">
        <v>4</v>
      </c>
      <c r="B7" s="2">
        <f t="shared" si="0"/>
        <v>-1266012</v>
      </c>
      <c r="C7" s="2">
        <v>0</v>
      </c>
      <c r="D7" s="2">
        <v>0</v>
      </c>
      <c r="E7" s="2">
        <v>1266012</v>
      </c>
      <c r="F7" s="2">
        <v>3796378</v>
      </c>
    </row>
    <row r="8" spans="1:6" x14ac:dyDescent="0.3">
      <c r="A8" s="1" t="s">
        <v>5</v>
      </c>
      <c r="B8" s="2">
        <f t="shared" si="0"/>
        <v>-13283292</v>
      </c>
      <c r="C8" s="2">
        <v>0</v>
      </c>
      <c r="D8" s="2">
        <v>0</v>
      </c>
      <c r="E8" s="2">
        <v>13283292</v>
      </c>
      <c r="F8" s="2">
        <v>30654310</v>
      </c>
    </row>
    <row r="9" spans="1:6" x14ac:dyDescent="0.3">
      <c r="A9" s="1" t="s">
        <v>6</v>
      </c>
      <c r="B9" s="2">
        <f t="shared" si="0"/>
        <v>-48123414</v>
      </c>
      <c r="C9" s="2">
        <v>0</v>
      </c>
      <c r="D9" s="2">
        <v>0</v>
      </c>
      <c r="E9" s="2">
        <v>48123414</v>
      </c>
      <c r="F9" s="2">
        <v>111919907</v>
      </c>
    </row>
    <row r="10" spans="1:6" x14ac:dyDescent="0.3">
      <c r="A10" s="1" t="s">
        <v>7</v>
      </c>
      <c r="B10" s="2">
        <f t="shared" si="0"/>
        <v>-34375064</v>
      </c>
      <c r="C10" s="2">
        <v>0</v>
      </c>
      <c r="D10" s="2">
        <v>0</v>
      </c>
      <c r="E10" s="2">
        <v>34375064</v>
      </c>
      <c r="F10" s="2">
        <v>80075582</v>
      </c>
    </row>
    <row r="11" spans="1:6" x14ac:dyDescent="0.3">
      <c r="A11" s="1" t="s">
        <v>8</v>
      </c>
      <c r="B11" s="2">
        <f t="shared" si="0"/>
        <v>-16836597</v>
      </c>
      <c r="C11" s="2">
        <v>0</v>
      </c>
      <c r="D11" s="2">
        <v>0</v>
      </c>
      <c r="E11" s="2">
        <v>16836597</v>
      </c>
      <c r="F11" s="2">
        <v>39398807</v>
      </c>
    </row>
    <row r="12" spans="1:6" x14ac:dyDescent="0.3">
      <c r="A12" s="1" t="s">
        <v>9</v>
      </c>
      <c r="B12" s="2">
        <f t="shared" si="0"/>
        <v>-16101752</v>
      </c>
      <c r="C12" s="2">
        <v>0</v>
      </c>
      <c r="D12" s="2">
        <v>0</v>
      </c>
      <c r="E12" s="2">
        <v>16101752</v>
      </c>
      <c r="F12" s="2">
        <v>37358127</v>
      </c>
    </row>
    <row r="13" spans="1:6" x14ac:dyDescent="0.3">
      <c r="A13" s="1" t="s">
        <v>10</v>
      </c>
      <c r="B13" s="2">
        <f t="shared" si="0"/>
        <v>-23814017</v>
      </c>
      <c r="C13" s="2">
        <v>0</v>
      </c>
      <c r="D13" s="2">
        <v>0</v>
      </c>
      <c r="E13" s="2">
        <v>23814017</v>
      </c>
      <c r="F13" s="2">
        <v>54861684</v>
      </c>
    </row>
    <row r="14" spans="1:6" x14ac:dyDescent="0.3">
      <c r="A14" s="1" t="s">
        <v>11</v>
      </c>
      <c r="B14" s="2">
        <f t="shared" si="0"/>
        <v>-20699417</v>
      </c>
      <c r="C14" s="2">
        <v>0</v>
      </c>
      <c r="D14" s="2">
        <v>0</v>
      </c>
      <c r="E14" s="2">
        <v>20699417</v>
      </c>
      <c r="F14" s="2">
        <v>48870178</v>
      </c>
    </row>
    <row r="15" spans="1:6" ht="17.25" thickBot="1" x14ac:dyDescent="0.35">
      <c r="A15" s="4" t="s">
        <v>13</v>
      </c>
      <c r="B15" s="5">
        <f>SUM(B3:B14)</f>
        <v>-188317406</v>
      </c>
      <c r="C15" s="5">
        <f t="shared" ref="C15:F15" si="1">SUM(C3:C14)</f>
        <v>0</v>
      </c>
      <c r="D15" s="5">
        <f t="shared" si="1"/>
        <v>0</v>
      </c>
      <c r="E15" s="5">
        <f t="shared" si="1"/>
        <v>188317406</v>
      </c>
      <c r="F15" s="5">
        <f t="shared" si="1"/>
        <v>446650631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-18826205</v>
      </c>
      <c r="C3" s="2">
        <v>0</v>
      </c>
      <c r="D3" s="2">
        <v>0</v>
      </c>
      <c r="E3" s="2">
        <v>18826205</v>
      </c>
      <c r="F3" s="2">
        <v>44197384</v>
      </c>
    </row>
    <row r="4" spans="1:6" x14ac:dyDescent="0.3">
      <c r="A4" s="1" t="s">
        <v>1</v>
      </c>
      <c r="B4" s="2">
        <f t="shared" ref="B4:B14" si="0">C4-E4</f>
        <v>-20609678</v>
      </c>
      <c r="C4" s="2">
        <v>0</v>
      </c>
      <c r="D4" s="2">
        <v>0</v>
      </c>
      <c r="E4" s="2">
        <v>20609678</v>
      </c>
      <c r="F4" s="2">
        <v>49967089</v>
      </c>
    </row>
    <row r="5" spans="1:6" x14ac:dyDescent="0.3">
      <c r="A5" s="1" t="s">
        <v>2</v>
      </c>
      <c r="B5" s="2">
        <f t="shared" si="0"/>
        <v>-14502374</v>
      </c>
      <c r="C5" s="2">
        <v>0</v>
      </c>
      <c r="D5" s="2">
        <v>0</v>
      </c>
      <c r="E5" s="2">
        <v>14502374</v>
      </c>
      <c r="F5" s="2">
        <v>35249421</v>
      </c>
    </row>
    <row r="6" spans="1:6" x14ac:dyDescent="0.3">
      <c r="A6" s="1" t="s">
        <v>3</v>
      </c>
      <c r="B6" s="2">
        <f t="shared" si="0"/>
        <v>-7576225</v>
      </c>
      <c r="C6" s="2">
        <v>0</v>
      </c>
      <c r="D6" s="2">
        <v>0</v>
      </c>
      <c r="E6" s="2">
        <v>7576225</v>
      </c>
      <c r="F6" s="2">
        <v>18913842</v>
      </c>
    </row>
    <row r="7" spans="1:6" x14ac:dyDescent="0.3">
      <c r="A7" s="1" t="s">
        <v>4</v>
      </c>
      <c r="B7" s="2">
        <f t="shared" si="0"/>
        <v>-11089803</v>
      </c>
      <c r="C7" s="2">
        <v>0</v>
      </c>
      <c r="D7" s="2">
        <v>0</v>
      </c>
      <c r="E7" s="2">
        <v>11089803</v>
      </c>
      <c r="F7" s="2">
        <v>27915771</v>
      </c>
    </row>
    <row r="8" spans="1:6" x14ac:dyDescent="0.3">
      <c r="A8" s="1" t="s">
        <v>5</v>
      </c>
      <c r="B8" s="2">
        <f t="shared" si="0"/>
        <v>-2270656</v>
      </c>
      <c r="C8" s="2">
        <v>0</v>
      </c>
      <c r="D8" s="2">
        <v>0</v>
      </c>
      <c r="E8" s="2">
        <v>2270656</v>
      </c>
      <c r="F8" s="2">
        <v>5772336</v>
      </c>
    </row>
    <row r="9" spans="1:6" x14ac:dyDescent="0.3">
      <c r="A9" s="1" t="s">
        <v>6</v>
      </c>
      <c r="B9" s="2">
        <f t="shared" si="0"/>
        <v>-9056303</v>
      </c>
      <c r="C9" s="2">
        <v>0</v>
      </c>
      <c r="D9" s="2">
        <v>0</v>
      </c>
      <c r="E9" s="2">
        <v>9056303</v>
      </c>
      <c r="F9" s="2">
        <v>20501429</v>
      </c>
    </row>
    <row r="10" spans="1:6" x14ac:dyDescent="0.3">
      <c r="A10" s="1" t="s">
        <v>7</v>
      </c>
      <c r="B10" s="2">
        <f t="shared" si="0"/>
        <v>-8053066</v>
      </c>
      <c r="C10" s="2">
        <v>0</v>
      </c>
      <c r="D10" s="2">
        <v>0</v>
      </c>
      <c r="E10" s="2">
        <v>8053066</v>
      </c>
      <c r="F10" s="2">
        <v>18221711</v>
      </c>
    </row>
    <row r="11" spans="1:6" x14ac:dyDescent="0.3">
      <c r="A11" s="1" t="s">
        <v>8</v>
      </c>
      <c r="B11" s="2">
        <f t="shared" si="0"/>
        <v>-14283966</v>
      </c>
      <c r="C11" s="2">
        <v>0</v>
      </c>
      <c r="D11" s="2">
        <v>0</v>
      </c>
      <c r="E11" s="2">
        <v>14283966</v>
      </c>
      <c r="F11" s="2">
        <v>28879018</v>
      </c>
    </row>
    <row r="12" spans="1:6" x14ac:dyDescent="0.3">
      <c r="A12" s="1" t="s">
        <v>9</v>
      </c>
      <c r="B12" s="2">
        <f t="shared" si="0"/>
        <v>-44044107</v>
      </c>
      <c r="C12" s="2">
        <v>0</v>
      </c>
      <c r="D12" s="2">
        <v>0</v>
      </c>
      <c r="E12" s="2">
        <v>44044107</v>
      </c>
      <c r="F12" s="2">
        <v>85387106</v>
      </c>
    </row>
    <row r="13" spans="1:6" x14ac:dyDescent="0.3">
      <c r="A13" s="1" t="s">
        <v>10</v>
      </c>
      <c r="B13" s="2">
        <f t="shared" si="0"/>
        <v>-38413047</v>
      </c>
      <c r="C13" s="2">
        <v>0</v>
      </c>
      <c r="D13" s="2">
        <v>0</v>
      </c>
      <c r="E13" s="2">
        <v>38413047</v>
      </c>
      <c r="F13" s="2">
        <v>75222699</v>
      </c>
    </row>
    <row r="14" spans="1:6" x14ac:dyDescent="0.3">
      <c r="A14" s="1" t="s">
        <v>11</v>
      </c>
      <c r="B14" s="2">
        <f t="shared" si="0"/>
        <v>-31673356</v>
      </c>
      <c r="C14" s="2">
        <v>0</v>
      </c>
      <c r="D14" s="2">
        <v>0</v>
      </c>
      <c r="E14" s="2">
        <v>31673356</v>
      </c>
      <c r="F14" s="2">
        <v>62122920</v>
      </c>
    </row>
    <row r="15" spans="1:6" ht="17.25" thickBot="1" x14ac:dyDescent="0.35">
      <c r="A15" s="4" t="s">
        <v>13</v>
      </c>
      <c r="B15" s="5">
        <f>SUM(B3:B14)</f>
        <v>-220398786</v>
      </c>
      <c r="C15" s="5">
        <f t="shared" ref="C15:F15" si="1">SUM(C3:C14)</f>
        <v>0</v>
      </c>
      <c r="D15" s="5">
        <f t="shared" si="1"/>
        <v>0</v>
      </c>
      <c r="E15" s="5">
        <f t="shared" si="1"/>
        <v>220398786</v>
      </c>
      <c r="F15" s="5">
        <f t="shared" si="1"/>
        <v>472350726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>
      <selection activeCell="C3" sqref="C3"/>
    </sheetView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-6907053</v>
      </c>
      <c r="C3" s="2">
        <v>0</v>
      </c>
      <c r="D3" s="2">
        <v>0</v>
      </c>
      <c r="E3" s="2">
        <v>6907053</v>
      </c>
      <c r="F3" s="2">
        <v>13583597</v>
      </c>
    </row>
    <row r="4" spans="1:6" x14ac:dyDescent="0.3">
      <c r="A4" s="1" t="s">
        <v>1</v>
      </c>
      <c r="B4" s="2">
        <f t="shared" si="0"/>
        <v>-1437564</v>
      </c>
      <c r="C4" s="2">
        <v>0</v>
      </c>
      <c r="D4" s="2">
        <v>0</v>
      </c>
      <c r="E4" s="2">
        <v>1437564</v>
      </c>
      <c r="F4" s="2">
        <v>2458998</v>
      </c>
    </row>
    <row r="5" spans="1:6" x14ac:dyDescent="0.3">
      <c r="A5" s="1" t="s">
        <v>2</v>
      </c>
      <c r="B5" s="2">
        <f t="shared" si="0"/>
        <v>-2136077</v>
      </c>
      <c r="C5" s="2">
        <v>0</v>
      </c>
      <c r="D5" s="2">
        <v>0</v>
      </c>
      <c r="E5" s="2">
        <v>2136077</v>
      </c>
      <c r="F5" s="2">
        <v>4227210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1</v>
      </c>
    </row>
    <row r="8" spans="1:6" x14ac:dyDescent="0.3">
      <c r="A8" s="1" t="s">
        <v>5</v>
      </c>
      <c r="B8" s="2">
        <f t="shared" si="0"/>
        <v>-14</v>
      </c>
      <c r="C8" s="2">
        <v>0</v>
      </c>
      <c r="D8" s="2">
        <v>0</v>
      </c>
      <c r="E8" s="2">
        <v>14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-184240</v>
      </c>
      <c r="C12" s="2">
        <v>0</v>
      </c>
      <c r="D12" s="2">
        <v>0</v>
      </c>
      <c r="E12" s="2">
        <v>184240</v>
      </c>
      <c r="F12" s="2">
        <v>392000</v>
      </c>
    </row>
    <row r="13" spans="1:6" x14ac:dyDescent="0.3">
      <c r="A13" s="1" t="s">
        <v>10</v>
      </c>
      <c r="B13" s="2">
        <f t="shared" si="0"/>
        <v>-29247093</v>
      </c>
      <c r="C13" s="2">
        <v>0</v>
      </c>
      <c r="D13" s="2">
        <v>0</v>
      </c>
      <c r="E13" s="2">
        <v>29247093</v>
      </c>
      <c r="F13" s="2">
        <v>54646810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-39912056</v>
      </c>
      <c r="C15" s="5">
        <f t="shared" ref="C15:F15" si="1">SUM(C3:C14)</f>
        <v>0</v>
      </c>
      <c r="D15" s="5">
        <f t="shared" si="1"/>
        <v>0</v>
      </c>
      <c r="E15" s="5">
        <f t="shared" si="1"/>
        <v>39912056</v>
      </c>
      <c r="F15" s="5">
        <f t="shared" si="1"/>
        <v>75308618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</v>
      </c>
      <c r="C3" s="2">
        <v>0</v>
      </c>
      <c r="D3" s="2">
        <v>0</v>
      </c>
      <c r="E3" s="2">
        <v>15</v>
      </c>
      <c r="F3" s="2">
        <v>1</v>
      </c>
    </row>
    <row r="4" spans="1:6" x14ac:dyDescent="0.3">
      <c r="A4" s="1" t="s">
        <v>1</v>
      </c>
      <c r="B4" s="2">
        <f t="shared" si="0"/>
        <v>-50000</v>
      </c>
      <c r="C4" s="2">
        <v>0</v>
      </c>
      <c r="D4" s="2">
        <v>0</v>
      </c>
      <c r="E4" s="2">
        <v>50000</v>
      </c>
      <c r="F4" s="2">
        <v>100000</v>
      </c>
    </row>
    <row r="5" spans="1:6" x14ac:dyDescent="0.3">
      <c r="A5" s="1" t="s">
        <v>2</v>
      </c>
      <c r="B5" s="2">
        <f t="shared" si="0"/>
        <v>-98540</v>
      </c>
      <c r="C5" s="2">
        <v>0</v>
      </c>
      <c r="D5" s="2">
        <v>0</v>
      </c>
      <c r="E5" s="2">
        <v>98540</v>
      </c>
      <c r="F5" s="2">
        <v>193155</v>
      </c>
    </row>
    <row r="6" spans="1:6" x14ac:dyDescent="0.3">
      <c r="A6" s="1" t="s">
        <v>3</v>
      </c>
      <c r="B6" s="2">
        <f t="shared" si="0"/>
        <v>-27539266</v>
      </c>
      <c r="C6" s="2">
        <v>0</v>
      </c>
      <c r="D6" s="2">
        <v>0</v>
      </c>
      <c r="E6" s="2">
        <v>27539266</v>
      </c>
      <c r="F6" s="2">
        <v>49674660</v>
      </c>
    </row>
    <row r="7" spans="1:6" x14ac:dyDescent="0.3">
      <c r="A7" s="1" t="s">
        <v>4</v>
      </c>
      <c r="B7" s="2">
        <f t="shared" si="0"/>
        <v>-4497671</v>
      </c>
      <c r="C7" s="2">
        <v>0</v>
      </c>
      <c r="D7" s="2">
        <v>0</v>
      </c>
      <c r="E7" s="2">
        <v>4497671</v>
      </c>
      <c r="F7" s="2">
        <v>8115531</v>
      </c>
    </row>
    <row r="8" spans="1:6" x14ac:dyDescent="0.3">
      <c r="A8" s="1" t="s">
        <v>5</v>
      </c>
      <c r="B8" s="2">
        <f t="shared" si="0"/>
        <v>-50056</v>
      </c>
      <c r="C8" s="2">
        <v>0</v>
      </c>
      <c r="D8" s="2">
        <v>0</v>
      </c>
      <c r="E8" s="2">
        <v>50056</v>
      </c>
      <c r="F8" s="2">
        <v>99120</v>
      </c>
    </row>
    <row r="9" spans="1:6" x14ac:dyDescent="0.3">
      <c r="A9" s="1" t="s">
        <v>6</v>
      </c>
      <c r="B9" s="2">
        <f t="shared" si="0"/>
        <v>-261900</v>
      </c>
      <c r="C9" s="2">
        <v>0</v>
      </c>
      <c r="D9" s="2">
        <v>0</v>
      </c>
      <c r="E9" s="2">
        <v>261900</v>
      </c>
      <c r="F9" s="2">
        <v>470000</v>
      </c>
    </row>
    <row r="10" spans="1:6" x14ac:dyDescent="0.3">
      <c r="A10" s="1" t="s">
        <v>7</v>
      </c>
      <c r="B10" s="2">
        <f t="shared" si="0"/>
        <v>-109904</v>
      </c>
      <c r="C10" s="2">
        <v>0</v>
      </c>
      <c r="D10" s="2">
        <v>0</v>
      </c>
      <c r="E10" s="2">
        <v>109904</v>
      </c>
      <c r="F10" s="2">
        <v>194520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-33</v>
      </c>
      <c r="C13" s="2">
        <v>0</v>
      </c>
      <c r="D13" s="2">
        <v>0</v>
      </c>
      <c r="E13" s="2">
        <v>33</v>
      </c>
      <c r="F13" s="2">
        <v>6</v>
      </c>
    </row>
    <row r="14" spans="1:6" x14ac:dyDescent="0.3">
      <c r="A14" s="1" t="s">
        <v>11</v>
      </c>
      <c r="B14" s="2">
        <f t="shared" si="0"/>
        <v>-34</v>
      </c>
      <c r="C14" s="2">
        <v>0</v>
      </c>
      <c r="D14" s="2">
        <v>0</v>
      </c>
      <c r="E14" s="2">
        <v>34</v>
      </c>
      <c r="F14" s="2">
        <v>6</v>
      </c>
    </row>
    <row r="15" spans="1:6" ht="17.25" thickBot="1" x14ac:dyDescent="0.35">
      <c r="A15" s="4" t="s">
        <v>13</v>
      </c>
      <c r="B15" s="5">
        <f>SUM(B3:B14)</f>
        <v>-32607419</v>
      </c>
      <c r="C15" s="5">
        <f t="shared" ref="C15:F15" si="1">SUM(C3:C14)</f>
        <v>0</v>
      </c>
      <c r="D15" s="5">
        <f t="shared" si="1"/>
        <v>0</v>
      </c>
      <c r="E15" s="5">
        <f t="shared" si="1"/>
        <v>32607419</v>
      </c>
      <c r="F15" s="5">
        <f t="shared" si="1"/>
        <v>58846999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-41225736</v>
      </c>
      <c r="C3" s="2">
        <v>0</v>
      </c>
      <c r="D3" s="2">
        <v>0</v>
      </c>
      <c r="E3" s="2">
        <v>41225736</v>
      </c>
      <c r="F3" s="2">
        <v>82587111</v>
      </c>
    </row>
    <row r="4" spans="1:6" x14ac:dyDescent="0.3">
      <c r="A4" s="1" t="s">
        <v>1</v>
      </c>
      <c r="B4" s="2">
        <f t="shared" si="0"/>
        <v>-41731700</v>
      </c>
      <c r="C4" s="2">
        <v>0</v>
      </c>
      <c r="D4" s="2">
        <v>0</v>
      </c>
      <c r="E4" s="2">
        <v>41731700</v>
      </c>
      <c r="F4" s="2">
        <v>85348764</v>
      </c>
    </row>
    <row r="5" spans="1:6" x14ac:dyDescent="0.3">
      <c r="A5" s="1" t="s">
        <v>2</v>
      </c>
      <c r="B5" s="2">
        <f t="shared" si="0"/>
        <v>-33176381</v>
      </c>
      <c r="C5" s="2">
        <v>0</v>
      </c>
      <c r="D5" s="2">
        <v>0</v>
      </c>
      <c r="E5" s="2">
        <v>33176381</v>
      </c>
      <c r="F5" s="2">
        <v>68889747</v>
      </c>
    </row>
    <row r="6" spans="1:6" x14ac:dyDescent="0.3">
      <c r="A6" s="1" t="s">
        <v>3</v>
      </c>
      <c r="B6" s="2">
        <f t="shared" si="0"/>
        <v>-14870224</v>
      </c>
      <c r="C6" s="2">
        <v>0</v>
      </c>
      <c r="D6" s="2">
        <v>0</v>
      </c>
      <c r="E6" s="2">
        <v>14870224</v>
      </c>
      <c r="F6" s="2">
        <v>30747561</v>
      </c>
    </row>
    <row r="7" spans="1:6" x14ac:dyDescent="0.3">
      <c r="A7" s="1" t="s">
        <v>4</v>
      </c>
      <c r="B7" s="2">
        <f t="shared" si="0"/>
        <v>-6026499</v>
      </c>
      <c r="C7" s="2">
        <v>0</v>
      </c>
      <c r="D7" s="2">
        <v>0</v>
      </c>
      <c r="E7" s="2">
        <v>6026499</v>
      </c>
      <c r="F7" s="2">
        <v>13058271</v>
      </c>
    </row>
    <row r="8" spans="1:6" x14ac:dyDescent="0.3">
      <c r="A8" s="1" t="s">
        <v>5</v>
      </c>
      <c r="B8" s="2">
        <f t="shared" si="0"/>
        <v>-17122014</v>
      </c>
      <c r="C8" s="2">
        <v>0</v>
      </c>
      <c r="D8" s="2">
        <v>0</v>
      </c>
      <c r="E8" s="2">
        <v>17122014</v>
      </c>
      <c r="F8" s="2">
        <v>37511818</v>
      </c>
    </row>
    <row r="9" spans="1:6" x14ac:dyDescent="0.3">
      <c r="A9" s="1" t="s">
        <v>6</v>
      </c>
      <c r="B9" s="2">
        <f t="shared" si="0"/>
        <v>-55410088</v>
      </c>
      <c r="C9" s="2">
        <v>0</v>
      </c>
      <c r="D9" s="2">
        <v>0</v>
      </c>
      <c r="E9" s="2">
        <v>55410088</v>
      </c>
      <c r="F9" s="2">
        <v>127359908</v>
      </c>
    </row>
    <row r="10" spans="1:6" x14ac:dyDescent="0.3">
      <c r="A10" s="1" t="s">
        <v>7</v>
      </c>
      <c r="B10" s="2">
        <f t="shared" si="0"/>
        <v>-27946799</v>
      </c>
      <c r="C10" s="2">
        <v>0</v>
      </c>
      <c r="D10" s="2">
        <v>0</v>
      </c>
      <c r="E10" s="2">
        <v>27946799</v>
      </c>
      <c r="F10" s="2">
        <v>66314617</v>
      </c>
    </row>
    <row r="11" spans="1:6" x14ac:dyDescent="0.3">
      <c r="A11" s="1" t="s">
        <v>8</v>
      </c>
      <c r="B11" s="2">
        <f t="shared" si="0"/>
        <v>-35436403</v>
      </c>
      <c r="C11" s="2">
        <v>0</v>
      </c>
      <c r="D11" s="2">
        <v>0</v>
      </c>
      <c r="E11" s="2">
        <v>35436403</v>
      </c>
      <c r="F11" s="2">
        <v>87826903</v>
      </c>
    </row>
    <row r="12" spans="1:6" x14ac:dyDescent="0.3">
      <c r="A12" s="1" t="s">
        <v>9</v>
      </c>
      <c r="B12" s="2">
        <f t="shared" si="0"/>
        <v>-27596344</v>
      </c>
      <c r="C12" s="2">
        <v>0</v>
      </c>
      <c r="D12" s="2">
        <v>0</v>
      </c>
      <c r="E12" s="2">
        <v>27596344</v>
      </c>
      <c r="F12" s="2">
        <v>68795253</v>
      </c>
    </row>
    <row r="13" spans="1:6" x14ac:dyDescent="0.3">
      <c r="A13" s="1" t="s">
        <v>10</v>
      </c>
      <c r="B13" s="2">
        <f t="shared" si="0"/>
        <v>-17148679</v>
      </c>
      <c r="C13" s="2">
        <v>0</v>
      </c>
      <c r="D13" s="2">
        <v>0</v>
      </c>
      <c r="E13" s="2">
        <v>17148679</v>
      </c>
      <c r="F13" s="2">
        <v>45045458</v>
      </c>
    </row>
    <row r="14" spans="1:6" x14ac:dyDescent="0.3">
      <c r="A14" s="1" t="s">
        <v>11</v>
      </c>
      <c r="B14" s="2">
        <f t="shared" si="0"/>
        <v>-42978213</v>
      </c>
      <c r="C14" s="2">
        <v>0</v>
      </c>
      <c r="D14" s="2">
        <v>0</v>
      </c>
      <c r="E14" s="2">
        <v>42978213</v>
      </c>
      <c r="F14" s="2">
        <v>107795247</v>
      </c>
    </row>
    <row r="15" spans="1:6" ht="17.25" thickBot="1" x14ac:dyDescent="0.35">
      <c r="A15" s="4" t="s">
        <v>13</v>
      </c>
      <c r="B15" s="5">
        <f>SUM(B3:B14)</f>
        <v>-360669080</v>
      </c>
      <c r="C15" s="5">
        <f t="shared" ref="C15:F15" si="1">SUM(C3:C14)</f>
        <v>0</v>
      </c>
      <c r="D15" s="5">
        <f t="shared" si="1"/>
        <v>0</v>
      </c>
      <c r="E15" s="5">
        <f t="shared" si="1"/>
        <v>360669080</v>
      </c>
      <c r="F15" s="5">
        <f t="shared" si="1"/>
        <v>821280658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-22831573</v>
      </c>
      <c r="C3" s="2">
        <v>0</v>
      </c>
      <c r="D3" s="2">
        <v>0</v>
      </c>
      <c r="E3" s="2">
        <v>22831573</v>
      </c>
      <c r="F3" s="2">
        <v>57454498</v>
      </c>
    </row>
    <row r="4" spans="1:6" x14ac:dyDescent="0.3">
      <c r="A4" s="1" t="s">
        <v>1</v>
      </c>
      <c r="B4" s="2">
        <f t="shared" si="0"/>
        <v>-25422176</v>
      </c>
      <c r="C4" s="2">
        <v>0</v>
      </c>
      <c r="D4" s="2">
        <v>0</v>
      </c>
      <c r="E4" s="2">
        <v>25422176</v>
      </c>
      <c r="F4" s="2">
        <v>64895765</v>
      </c>
    </row>
    <row r="5" spans="1:6" x14ac:dyDescent="0.3">
      <c r="A5" s="1" t="s">
        <v>2</v>
      </c>
      <c r="B5" s="2">
        <f t="shared" si="0"/>
        <v>-26353239</v>
      </c>
      <c r="C5" s="2">
        <v>0</v>
      </c>
      <c r="D5" s="2">
        <v>0</v>
      </c>
      <c r="E5" s="2">
        <v>26353239</v>
      </c>
      <c r="F5" s="2">
        <v>67592488</v>
      </c>
    </row>
    <row r="6" spans="1:6" x14ac:dyDescent="0.3">
      <c r="A6" s="1" t="s">
        <v>3</v>
      </c>
      <c r="B6" s="2">
        <f t="shared" si="0"/>
        <v>-15893761</v>
      </c>
      <c r="C6" s="2">
        <v>0</v>
      </c>
      <c r="D6" s="2">
        <v>0</v>
      </c>
      <c r="E6" s="2">
        <v>15893761</v>
      </c>
      <c r="F6" s="2">
        <v>40834508</v>
      </c>
    </row>
    <row r="7" spans="1:6" x14ac:dyDescent="0.3">
      <c r="A7" s="1" t="s">
        <v>4</v>
      </c>
      <c r="B7" s="2">
        <f t="shared" si="0"/>
        <v>-5867007</v>
      </c>
      <c r="C7" s="2">
        <v>0</v>
      </c>
      <c r="D7" s="2">
        <v>0</v>
      </c>
      <c r="E7" s="2">
        <v>5867007</v>
      </c>
      <c r="F7" s="2">
        <v>15158550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-12238949</v>
      </c>
      <c r="C9" s="2">
        <v>0</v>
      </c>
      <c r="D9" s="2">
        <v>0</v>
      </c>
      <c r="E9" s="2">
        <v>12238949</v>
      </c>
      <c r="F9" s="2">
        <v>35370316</v>
      </c>
    </row>
    <row r="10" spans="1:6" x14ac:dyDescent="0.3">
      <c r="A10" s="1" t="s">
        <v>7</v>
      </c>
      <c r="B10" s="2">
        <f t="shared" si="0"/>
        <v>-8639431</v>
      </c>
      <c r="C10" s="2">
        <v>0</v>
      </c>
      <c r="D10" s="2">
        <v>0</v>
      </c>
      <c r="E10" s="2">
        <v>8639431</v>
      </c>
      <c r="F10" s="2">
        <v>24890472</v>
      </c>
    </row>
    <row r="11" spans="1:6" x14ac:dyDescent="0.3">
      <c r="A11" s="1" t="s">
        <v>8</v>
      </c>
      <c r="B11" s="2">
        <f t="shared" si="0"/>
        <v>-6844914</v>
      </c>
      <c r="C11" s="2">
        <v>0</v>
      </c>
      <c r="D11" s="2">
        <v>0</v>
      </c>
      <c r="E11" s="2">
        <v>6844914</v>
      </c>
      <c r="F11" s="2">
        <v>20382034</v>
      </c>
    </row>
    <row r="12" spans="1:6" x14ac:dyDescent="0.3">
      <c r="A12" s="1" t="s">
        <v>9</v>
      </c>
      <c r="B12" s="2">
        <f t="shared" si="0"/>
        <v>-7115047</v>
      </c>
      <c r="C12" s="2">
        <v>0</v>
      </c>
      <c r="D12" s="2">
        <v>0</v>
      </c>
      <c r="E12" s="2">
        <v>7115047</v>
      </c>
      <c r="F12" s="2">
        <v>21996124</v>
      </c>
    </row>
    <row r="13" spans="1:6" x14ac:dyDescent="0.3">
      <c r="A13" s="1" t="s">
        <v>10</v>
      </c>
      <c r="B13" s="2">
        <f t="shared" si="0"/>
        <v>-14842451</v>
      </c>
      <c r="C13" s="2">
        <v>0</v>
      </c>
      <c r="D13" s="2">
        <v>0</v>
      </c>
      <c r="E13" s="2">
        <v>14842451</v>
      </c>
      <c r="F13" s="2">
        <v>45552709</v>
      </c>
    </row>
    <row r="14" spans="1:6" x14ac:dyDescent="0.3">
      <c r="A14" s="1" t="s">
        <v>11</v>
      </c>
      <c r="B14" s="2">
        <f t="shared" si="0"/>
        <v>-7073886</v>
      </c>
      <c r="C14" s="2">
        <v>0</v>
      </c>
      <c r="D14" s="2">
        <v>0</v>
      </c>
      <c r="E14" s="2">
        <v>7073886</v>
      </c>
      <c r="F14" s="2">
        <v>22316911</v>
      </c>
    </row>
    <row r="15" spans="1:6" ht="17.25" thickBot="1" x14ac:dyDescent="0.35">
      <c r="A15" s="4" t="s">
        <v>13</v>
      </c>
      <c r="B15" s="5">
        <f>SUM(B3:B14)</f>
        <v>-153122434</v>
      </c>
      <c r="C15" s="5">
        <f t="shared" ref="C15:F15" si="1">SUM(C3:C14)</f>
        <v>0</v>
      </c>
      <c r="D15" s="5">
        <f t="shared" si="1"/>
        <v>0</v>
      </c>
      <c r="E15" s="5">
        <f t="shared" si="1"/>
        <v>153122434</v>
      </c>
      <c r="F15" s="5">
        <f t="shared" si="1"/>
        <v>416444375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17088226</v>
      </c>
      <c r="C3" s="2">
        <v>0</v>
      </c>
      <c r="D3" s="2">
        <v>0</v>
      </c>
      <c r="E3" s="2">
        <v>17088226</v>
      </c>
      <c r="F3" s="2">
        <v>41237644</v>
      </c>
    </row>
    <row r="4" spans="1:6" x14ac:dyDescent="0.3">
      <c r="A4" s="1" t="s">
        <v>1</v>
      </c>
      <c r="B4" s="2">
        <f t="shared" ref="B4:B15" si="0">E4-C4</f>
        <v>26240575</v>
      </c>
      <c r="C4" s="2">
        <v>0</v>
      </c>
      <c r="D4" s="2">
        <v>0</v>
      </c>
      <c r="E4" s="2">
        <v>26240575</v>
      </c>
      <c r="F4" s="2">
        <v>62318549</v>
      </c>
    </row>
    <row r="5" spans="1:6" x14ac:dyDescent="0.3">
      <c r="A5" s="1" t="s">
        <v>2</v>
      </c>
      <c r="B5" s="2">
        <f t="shared" si="0"/>
        <v>6094001</v>
      </c>
      <c r="C5" s="2">
        <v>0</v>
      </c>
      <c r="D5" s="2">
        <v>0</v>
      </c>
      <c r="E5" s="2">
        <v>6094001</v>
      </c>
      <c r="F5" s="2">
        <v>14925186</v>
      </c>
    </row>
    <row r="6" spans="1:6" x14ac:dyDescent="0.3">
      <c r="A6" s="1" t="s">
        <v>3</v>
      </c>
      <c r="B6" s="2">
        <f t="shared" si="0"/>
        <v>2618551</v>
      </c>
      <c r="C6" s="2">
        <v>0</v>
      </c>
      <c r="D6" s="2">
        <v>0</v>
      </c>
      <c r="E6" s="2">
        <v>2618551</v>
      </c>
      <c r="F6" s="2">
        <v>6302924</v>
      </c>
    </row>
    <row r="7" spans="1:6" x14ac:dyDescent="0.3">
      <c r="A7" s="1" t="s">
        <v>4</v>
      </c>
      <c r="B7" s="2">
        <f t="shared" si="0"/>
        <v>944106</v>
      </c>
      <c r="C7" s="2">
        <v>0</v>
      </c>
      <c r="D7" s="2">
        <v>0</v>
      </c>
      <c r="E7" s="2">
        <v>944106</v>
      </c>
      <c r="F7" s="2">
        <v>2281818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142267</v>
      </c>
      <c r="C10" s="2">
        <v>0</v>
      </c>
      <c r="D10" s="2">
        <v>0</v>
      </c>
      <c r="E10" s="2">
        <v>142267</v>
      </c>
      <c r="F10" s="2">
        <v>363910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20</v>
      </c>
      <c r="C13" s="2">
        <v>0</v>
      </c>
      <c r="D13" s="2">
        <v>0</v>
      </c>
      <c r="E13" s="2">
        <v>20</v>
      </c>
      <c r="F13" s="2">
        <v>2</v>
      </c>
    </row>
    <row r="14" spans="1:6" x14ac:dyDescent="0.3">
      <c r="A14" s="1" t="s">
        <v>11</v>
      </c>
      <c r="B14" s="2">
        <f t="shared" si="0"/>
        <v>1781787</v>
      </c>
      <c r="C14" s="2">
        <v>0</v>
      </c>
      <c r="D14" s="2">
        <v>0</v>
      </c>
      <c r="E14" s="2">
        <v>1781787</v>
      </c>
      <c r="F14" s="2">
        <v>5000000</v>
      </c>
    </row>
    <row r="15" spans="1:6" ht="17.25" thickBot="1" x14ac:dyDescent="0.35">
      <c r="A15" s="4" t="s">
        <v>13</v>
      </c>
      <c r="B15" s="5">
        <f t="shared" si="0"/>
        <v>54909533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54909533</v>
      </c>
      <c r="F15" s="5">
        <f t="shared" si="3"/>
        <v>132430033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-1682014</v>
      </c>
      <c r="C3" s="2">
        <v>0</v>
      </c>
      <c r="D3" s="2">
        <v>0</v>
      </c>
      <c r="E3" s="2">
        <v>1682014</v>
      </c>
      <c r="F3" s="2">
        <v>4720000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-26</v>
      </c>
      <c r="C7" s="2">
        <v>0</v>
      </c>
      <c r="D7" s="2">
        <v>0</v>
      </c>
      <c r="E7" s="2">
        <v>26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-1682040</v>
      </c>
      <c r="C15" s="5">
        <f t="shared" ref="C15:F15" si="1">SUM(C3:C14)</f>
        <v>0</v>
      </c>
      <c r="D15" s="5">
        <f t="shared" si="1"/>
        <v>0</v>
      </c>
      <c r="E15" s="5">
        <f t="shared" si="1"/>
        <v>1682040</v>
      </c>
      <c r="F15" s="5">
        <f t="shared" si="1"/>
        <v>4720002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-25</v>
      </c>
      <c r="C7" s="2">
        <v>0</v>
      </c>
      <c r="D7" s="2">
        <v>0</v>
      </c>
      <c r="E7" s="2">
        <v>25</v>
      </c>
      <c r="F7" s="2">
        <v>2</v>
      </c>
    </row>
    <row r="8" spans="1:6" x14ac:dyDescent="0.3">
      <c r="A8" s="1" t="s">
        <v>5</v>
      </c>
      <c r="B8" s="2">
        <f t="shared" si="0"/>
        <v>-3846511</v>
      </c>
      <c r="C8" s="2">
        <v>0</v>
      </c>
      <c r="D8" s="2">
        <v>0</v>
      </c>
      <c r="E8" s="2">
        <v>3846511</v>
      </c>
      <c r="F8" s="2">
        <v>10286572</v>
      </c>
    </row>
    <row r="9" spans="1:6" x14ac:dyDescent="0.3">
      <c r="A9" s="1" t="s">
        <v>6</v>
      </c>
      <c r="B9" s="2">
        <f t="shared" si="0"/>
        <v>-5142979</v>
      </c>
      <c r="C9" s="2">
        <v>0</v>
      </c>
      <c r="D9" s="2">
        <v>0</v>
      </c>
      <c r="E9" s="2">
        <v>5142979</v>
      </c>
      <c r="F9" s="2">
        <v>13725908</v>
      </c>
    </row>
    <row r="10" spans="1:6" x14ac:dyDescent="0.3">
      <c r="A10" s="1" t="s">
        <v>7</v>
      </c>
      <c r="B10" s="2">
        <f t="shared" si="0"/>
        <v>-2546863</v>
      </c>
      <c r="C10" s="2">
        <v>0</v>
      </c>
      <c r="D10" s="2">
        <v>0</v>
      </c>
      <c r="E10" s="2">
        <v>2546863</v>
      </c>
      <c r="F10" s="2">
        <v>6802074</v>
      </c>
    </row>
    <row r="11" spans="1:6" x14ac:dyDescent="0.3">
      <c r="A11" s="1" t="s">
        <v>8</v>
      </c>
      <c r="B11" s="2">
        <f t="shared" si="0"/>
        <v>-24</v>
      </c>
      <c r="C11" s="2">
        <v>0</v>
      </c>
      <c r="D11" s="2">
        <v>0</v>
      </c>
      <c r="E11" s="2">
        <v>24</v>
      </c>
      <c r="F11" s="2">
        <v>3</v>
      </c>
    </row>
    <row r="12" spans="1:6" x14ac:dyDescent="0.3">
      <c r="A12" s="1" t="s">
        <v>9</v>
      </c>
      <c r="B12" s="2">
        <f t="shared" si="0"/>
        <v>-48</v>
      </c>
      <c r="C12" s="2">
        <v>0</v>
      </c>
      <c r="D12" s="2">
        <v>0</v>
      </c>
      <c r="E12" s="2">
        <v>48</v>
      </c>
      <c r="F12" s="2">
        <v>4</v>
      </c>
    </row>
    <row r="13" spans="1:6" x14ac:dyDescent="0.3">
      <c r="A13" s="1" t="s">
        <v>10</v>
      </c>
      <c r="B13" s="2">
        <f t="shared" si="0"/>
        <v>-4809458</v>
      </c>
      <c r="C13" s="2">
        <v>0</v>
      </c>
      <c r="D13" s="2">
        <v>0</v>
      </c>
      <c r="E13" s="2">
        <v>4809458</v>
      </c>
      <c r="F13" s="2">
        <v>12564896</v>
      </c>
    </row>
    <row r="14" spans="1:6" x14ac:dyDescent="0.3">
      <c r="A14" s="1" t="s">
        <v>11</v>
      </c>
      <c r="B14" s="2">
        <f t="shared" si="0"/>
        <v>-18503815</v>
      </c>
      <c r="C14" s="2">
        <v>0</v>
      </c>
      <c r="D14" s="2">
        <v>0</v>
      </c>
      <c r="E14" s="2">
        <v>18503815</v>
      </c>
      <c r="F14" s="2">
        <v>49366482</v>
      </c>
    </row>
    <row r="15" spans="1:6" ht="17.25" thickBot="1" x14ac:dyDescent="0.35">
      <c r="A15" s="4" t="s">
        <v>13</v>
      </c>
      <c r="B15" s="5">
        <f>SUM(B3:B14)</f>
        <v>-34849723</v>
      </c>
      <c r="C15" s="5">
        <f t="shared" ref="C15:F15" si="1">SUM(C3:C14)</f>
        <v>0</v>
      </c>
      <c r="D15" s="5">
        <f t="shared" si="1"/>
        <v>0</v>
      </c>
      <c r="E15" s="5">
        <f t="shared" si="1"/>
        <v>34849723</v>
      </c>
      <c r="F15" s="5">
        <f t="shared" si="1"/>
        <v>92745941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-15861193</v>
      </c>
      <c r="C3" s="2">
        <v>0</v>
      </c>
      <c r="D3" s="2">
        <v>0</v>
      </c>
      <c r="E3" s="2">
        <v>15861193</v>
      </c>
      <c r="F3" s="2">
        <v>43551124</v>
      </c>
    </row>
    <row r="4" spans="1:6" x14ac:dyDescent="0.3">
      <c r="A4" s="1" t="s">
        <v>1</v>
      </c>
      <c r="B4" s="2">
        <f t="shared" si="0"/>
        <v>-15023818</v>
      </c>
      <c r="C4" s="2">
        <v>0</v>
      </c>
      <c r="D4" s="2">
        <v>0</v>
      </c>
      <c r="E4" s="2">
        <v>15023818</v>
      </c>
      <c r="F4" s="2">
        <v>40778268</v>
      </c>
    </row>
    <row r="5" spans="1:6" x14ac:dyDescent="0.3">
      <c r="A5" s="1" t="s">
        <v>2</v>
      </c>
      <c r="B5" s="2">
        <f t="shared" si="0"/>
        <v>-12723854</v>
      </c>
      <c r="C5" s="2">
        <v>0</v>
      </c>
      <c r="D5" s="2">
        <v>0</v>
      </c>
      <c r="E5" s="2">
        <v>12723854</v>
      </c>
      <c r="F5" s="2">
        <v>35642890</v>
      </c>
    </row>
    <row r="6" spans="1:6" x14ac:dyDescent="0.3">
      <c r="A6" s="1" t="s">
        <v>3</v>
      </c>
      <c r="B6" s="2">
        <f t="shared" si="0"/>
        <v>-9869264</v>
      </c>
      <c r="C6" s="2">
        <v>0</v>
      </c>
      <c r="D6" s="2">
        <v>0</v>
      </c>
      <c r="E6" s="2">
        <v>9869264</v>
      </c>
      <c r="F6" s="2">
        <v>27695070</v>
      </c>
    </row>
    <row r="7" spans="1:6" x14ac:dyDescent="0.3">
      <c r="A7" s="1" t="s">
        <v>4</v>
      </c>
      <c r="B7" s="2">
        <f t="shared" si="0"/>
        <v>-3751428</v>
      </c>
      <c r="C7" s="2">
        <v>0</v>
      </c>
      <c r="D7" s="2">
        <v>0</v>
      </c>
      <c r="E7" s="2">
        <v>3751428</v>
      </c>
      <c r="F7" s="2">
        <v>10283000</v>
      </c>
    </row>
    <row r="8" spans="1:6" x14ac:dyDescent="0.3">
      <c r="A8" s="1" t="s">
        <v>5</v>
      </c>
      <c r="B8" s="2">
        <f t="shared" si="0"/>
        <v>-310159</v>
      </c>
      <c r="C8" s="2">
        <v>0</v>
      </c>
      <c r="D8" s="2">
        <v>0</v>
      </c>
      <c r="E8" s="2">
        <v>310159</v>
      </c>
      <c r="F8" s="2">
        <v>848000</v>
      </c>
    </row>
    <row r="9" spans="1:6" x14ac:dyDescent="0.3">
      <c r="A9" s="1" t="s">
        <v>6</v>
      </c>
      <c r="B9" s="2">
        <f t="shared" si="0"/>
        <v>-18</v>
      </c>
      <c r="C9" s="2">
        <v>0</v>
      </c>
      <c r="D9" s="2">
        <v>0</v>
      </c>
      <c r="E9" s="2">
        <v>18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-6266969</v>
      </c>
      <c r="C11" s="2">
        <v>0</v>
      </c>
      <c r="D11" s="2">
        <v>0</v>
      </c>
      <c r="E11" s="2">
        <v>6266969</v>
      </c>
      <c r="F11" s="2">
        <v>17353089</v>
      </c>
    </row>
    <row r="12" spans="1:6" x14ac:dyDescent="0.3">
      <c r="A12" s="1" t="s">
        <v>9</v>
      </c>
      <c r="B12" s="2">
        <f t="shared" si="0"/>
        <v>-4419545</v>
      </c>
      <c r="C12" s="2">
        <v>0</v>
      </c>
      <c r="D12" s="2">
        <v>0</v>
      </c>
      <c r="E12" s="2">
        <v>4419545</v>
      </c>
      <c r="F12" s="2">
        <v>12242480</v>
      </c>
    </row>
    <row r="13" spans="1:6" x14ac:dyDescent="0.3">
      <c r="A13" s="1" t="s">
        <v>10</v>
      </c>
      <c r="B13" s="2">
        <f t="shared" si="0"/>
        <v>-2323620</v>
      </c>
      <c r="C13" s="2">
        <v>0</v>
      </c>
      <c r="D13" s="2">
        <v>0</v>
      </c>
      <c r="E13" s="2">
        <v>2323620</v>
      </c>
      <c r="F13" s="2">
        <v>6558000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-70549868</v>
      </c>
      <c r="C15" s="5">
        <f t="shared" ref="C15:F15" si="1">SUM(C3:C14)</f>
        <v>0</v>
      </c>
      <c r="D15" s="5">
        <f t="shared" si="1"/>
        <v>0</v>
      </c>
      <c r="E15" s="5">
        <f t="shared" si="1"/>
        <v>70549868</v>
      </c>
      <c r="F15" s="5">
        <f t="shared" si="1"/>
        <v>194951923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-20</v>
      </c>
      <c r="C9" s="2">
        <v>0</v>
      </c>
      <c r="D9" s="2">
        <v>0</v>
      </c>
      <c r="E9" s="2">
        <v>20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-18</v>
      </c>
      <c r="C11" s="2">
        <v>0</v>
      </c>
      <c r="D11" s="2">
        <v>0</v>
      </c>
      <c r="E11" s="2">
        <v>18</v>
      </c>
      <c r="F11" s="2">
        <v>2</v>
      </c>
    </row>
    <row r="12" spans="1:6" x14ac:dyDescent="0.3">
      <c r="A12" s="1" t="s">
        <v>9</v>
      </c>
      <c r="B12" s="2">
        <f t="shared" si="0"/>
        <v>-3738561</v>
      </c>
      <c r="C12" s="2">
        <v>0</v>
      </c>
      <c r="D12" s="2">
        <v>0</v>
      </c>
      <c r="E12" s="2">
        <v>3738561</v>
      </c>
      <c r="F12" s="2">
        <v>7483944</v>
      </c>
    </row>
    <row r="13" spans="1:6" x14ac:dyDescent="0.3">
      <c r="A13" s="1" t="s">
        <v>10</v>
      </c>
      <c r="B13" s="2">
        <f t="shared" si="0"/>
        <v>-13827436</v>
      </c>
      <c r="C13" s="2">
        <v>0</v>
      </c>
      <c r="D13" s="2">
        <v>0</v>
      </c>
      <c r="E13" s="2">
        <v>13827436</v>
      </c>
      <c r="F13" s="2">
        <v>28119133</v>
      </c>
    </row>
    <row r="14" spans="1:6" x14ac:dyDescent="0.3">
      <c r="A14" s="1" t="s">
        <v>11</v>
      </c>
      <c r="B14" s="2">
        <f t="shared" si="0"/>
        <v>-18217744</v>
      </c>
      <c r="C14" s="2">
        <v>0</v>
      </c>
      <c r="D14" s="2">
        <v>0</v>
      </c>
      <c r="E14" s="2">
        <v>18217744</v>
      </c>
      <c r="F14" s="2">
        <v>37062842</v>
      </c>
    </row>
    <row r="15" spans="1:6" ht="17.25" thickBot="1" x14ac:dyDescent="0.35">
      <c r="A15" s="4" t="s">
        <v>13</v>
      </c>
      <c r="B15" s="5">
        <f>SUM(B3:B14)</f>
        <v>-35783779</v>
      </c>
      <c r="C15" s="5">
        <f t="shared" ref="C15:F15" si="1">SUM(C3:C14)</f>
        <v>0</v>
      </c>
      <c r="D15" s="5">
        <f t="shared" si="1"/>
        <v>0</v>
      </c>
      <c r="E15" s="5">
        <f t="shared" si="1"/>
        <v>35783779</v>
      </c>
      <c r="F15" s="5">
        <f t="shared" si="1"/>
        <v>72665923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-21178210</v>
      </c>
      <c r="C3" s="2">
        <v>0</v>
      </c>
      <c r="D3" s="2">
        <v>0</v>
      </c>
      <c r="E3" s="2">
        <v>21178210</v>
      </c>
      <c r="F3" s="2">
        <v>42953890</v>
      </c>
    </row>
    <row r="4" spans="1:6" x14ac:dyDescent="0.3">
      <c r="A4" s="1" t="s">
        <v>1</v>
      </c>
      <c r="B4" s="2">
        <f t="shared" si="0"/>
        <v>-8837579</v>
      </c>
      <c r="C4" s="2">
        <v>0</v>
      </c>
      <c r="D4" s="2">
        <v>0</v>
      </c>
      <c r="E4" s="2">
        <v>8837579</v>
      </c>
      <c r="F4" s="2">
        <v>18205535</v>
      </c>
    </row>
    <row r="5" spans="1:6" x14ac:dyDescent="0.3">
      <c r="A5" s="1" t="s">
        <v>2</v>
      </c>
      <c r="B5" s="2">
        <f t="shared" si="0"/>
        <v>-1778431</v>
      </c>
      <c r="C5" s="2">
        <v>0</v>
      </c>
      <c r="D5" s="2">
        <v>0</v>
      </c>
      <c r="E5" s="2">
        <v>1778431</v>
      </c>
      <c r="F5" s="2">
        <v>3657851</v>
      </c>
    </row>
    <row r="6" spans="1:6" x14ac:dyDescent="0.3">
      <c r="A6" s="1" t="s">
        <v>3</v>
      </c>
      <c r="B6" s="2">
        <f t="shared" si="0"/>
        <v>-145043</v>
      </c>
      <c r="C6" s="2">
        <v>0</v>
      </c>
      <c r="D6" s="2">
        <v>0</v>
      </c>
      <c r="E6" s="2">
        <v>145043</v>
      </c>
      <c r="F6" s="2">
        <v>298690</v>
      </c>
    </row>
    <row r="7" spans="1:6" x14ac:dyDescent="0.3">
      <c r="A7" s="1" t="s">
        <v>4</v>
      </c>
      <c r="B7" s="2">
        <f t="shared" si="0"/>
        <v>-24937505</v>
      </c>
      <c r="C7" s="2">
        <v>0</v>
      </c>
      <c r="D7" s="2">
        <v>0</v>
      </c>
      <c r="E7" s="2">
        <v>24937505</v>
      </c>
      <c r="F7" s="2">
        <v>50584732</v>
      </c>
    </row>
    <row r="8" spans="1:6" x14ac:dyDescent="0.3">
      <c r="A8" s="1" t="s">
        <v>5</v>
      </c>
      <c r="B8" s="2">
        <f t="shared" si="0"/>
        <v>-10710643</v>
      </c>
      <c r="C8" s="2">
        <v>0</v>
      </c>
      <c r="D8" s="2">
        <v>0</v>
      </c>
      <c r="E8" s="2">
        <v>10710643</v>
      </c>
      <c r="F8" s="2">
        <v>19644289</v>
      </c>
    </row>
    <row r="9" spans="1:6" x14ac:dyDescent="0.3">
      <c r="A9" s="1" t="s">
        <v>6</v>
      </c>
      <c r="B9" s="2">
        <f t="shared" si="0"/>
        <v>-27296773</v>
      </c>
      <c r="C9" s="2">
        <v>0</v>
      </c>
      <c r="D9" s="2">
        <v>0</v>
      </c>
      <c r="E9" s="2">
        <v>27296773</v>
      </c>
      <c r="F9" s="2">
        <v>44693547</v>
      </c>
    </row>
    <row r="10" spans="1:6" x14ac:dyDescent="0.3">
      <c r="A10" s="1" t="s">
        <v>7</v>
      </c>
      <c r="B10" s="2">
        <f t="shared" si="0"/>
        <v>-6003023</v>
      </c>
      <c r="C10" s="2">
        <v>0</v>
      </c>
      <c r="D10" s="2">
        <v>0</v>
      </c>
      <c r="E10" s="2">
        <v>6003023</v>
      </c>
      <c r="F10" s="2">
        <v>9733348</v>
      </c>
    </row>
    <row r="11" spans="1:6" x14ac:dyDescent="0.3">
      <c r="A11" s="1" t="s">
        <v>8</v>
      </c>
      <c r="B11" s="2">
        <f t="shared" si="0"/>
        <v>-2099617</v>
      </c>
      <c r="C11" s="2">
        <v>0</v>
      </c>
      <c r="D11" s="2">
        <v>0</v>
      </c>
      <c r="E11" s="2">
        <v>2099617</v>
      </c>
      <c r="F11" s="2">
        <v>3528730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-12338284</v>
      </c>
      <c r="C14" s="2">
        <v>0</v>
      </c>
      <c r="D14" s="2">
        <v>0</v>
      </c>
      <c r="E14" s="2">
        <v>12338284</v>
      </c>
      <c r="F14" s="2">
        <v>23384450</v>
      </c>
    </row>
    <row r="15" spans="1:6" ht="17.25" thickBot="1" x14ac:dyDescent="0.35">
      <c r="A15" s="4" t="s">
        <v>13</v>
      </c>
      <c r="B15" s="5">
        <f>SUM(B3:B14)</f>
        <v>-115325108</v>
      </c>
      <c r="C15" s="5">
        <f t="shared" ref="C15:F15" si="1">SUM(C3:C14)</f>
        <v>0</v>
      </c>
      <c r="D15" s="5">
        <f t="shared" si="1"/>
        <v>0</v>
      </c>
      <c r="E15" s="5">
        <f t="shared" si="1"/>
        <v>115325108</v>
      </c>
      <c r="F15" s="5">
        <f t="shared" si="1"/>
        <v>216685062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-5429816</v>
      </c>
      <c r="C3" s="2">
        <v>0</v>
      </c>
      <c r="D3" s="2">
        <v>0</v>
      </c>
      <c r="E3" s="2">
        <v>5429816</v>
      </c>
      <c r="F3" s="2">
        <v>10293142</v>
      </c>
    </row>
    <row r="4" spans="1:6" x14ac:dyDescent="0.3">
      <c r="A4" s="1" t="s">
        <v>1</v>
      </c>
      <c r="B4" s="2">
        <f t="shared" si="0"/>
        <v>-4361829</v>
      </c>
      <c r="C4" s="2">
        <v>0</v>
      </c>
      <c r="D4" s="2">
        <v>0</v>
      </c>
      <c r="E4" s="2">
        <v>4361829</v>
      </c>
      <c r="F4" s="2">
        <v>8241660</v>
      </c>
    </row>
    <row r="5" spans="1:6" x14ac:dyDescent="0.3">
      <c r="A5" s="1" t="s">
        <v>2</v>
      </c>
      <c r="B5" s="2">
        <f t="shared" si="0"/>
        <v>-14783614</v>
      </c>
      <c r="C5" s="2">
        <v>0</v>
      </c>
      <c r="D5" s="2">
        <v>0</v>
      </c>
      <c r="E5" s="2">
        <v>14783614</v>
      </c>
      <c r="F5" s="2">
        <v>27868940</v>
      </c>
    </row>
    <row r="6" spans="1:6" x14ac:dyDescent="0.3">
      <c r="A6" s="1" t="s">
        <v>3</v>
      </c>
      <c r="B6" s="2">
        <f t="shared" si="0"/>
        <v>-2282454</v>
      </c>
      <c r="C6" s="2">
        <v>0</v>
      </c>
      <c r="D6" s="2">
        <v>0</v>
      </c>
      <c r="E6" s="2">
        <v>2282454</v>
      </c>
      <c r="F6" s="2">
        <v>4368830</v>
      </c>
    </row>
    <row r="7" spans="1:6" x14ac:dyDescent="0.3">
      <c r="A7" s="1" t="s">
        <v>4</v>
      </c>
      <c r="B7" s="2">
        <f t="shared" si="0"/>
        <v>-4257212</v>
      </c>
      <c r="C7" s="2">
        <v>0</v>
      </c>
      <c r="D7" s="2">
        <v>0</v>
      </c>
      <c r="E7" s="2">
        <v>4257212</v>
      </c>
      <c r="F7" s="2">
        <v>8068000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-31114925</v>
      </c>
      <c r="C15" s="5">
        <f t="shared" ref="C15:F15" si="1">SUM(C3:C14)</f>
        <v>0</v>
      </c>
      <c r="D15" s="5">
        <f t="shared" si="1"/>
        <v>0</v>
      </c>
      <c r="E15" s="5">
        <f t="shared" si="1"/>
        <v>31114925</v>
      </c>
      <c r="F15" s="5">
        <f t="shared" si="1"/>
        <v>58840572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-7354353</v>
      </c>
      <c r="C8" s="2">
        <v>0</v>
      </c>
      <c r="D8" s="2">
        <v>0</v>
      </c>
      <c r="E8" s="2">
        <v>7354353</v>
      </c>
      <c r="F8" s="2">
        <v>15411030</v>
      </c>
    </row>
    <row r="9" spans="1:6" x14ac:dyDescent="0.3">
      <c r="A9" s="1" t="s">
        <v>6</v>
      </c>
      <c r="B9" s="2">
        <f t="shared" si="0"/>
        <v>-24395042</v>
      </c>
      <c r="C9" s="2">
        <v>0</v>
      </c>
      <c r="D9" s="2">
        <v>0</v>
      </c>
      <c r="E9" s="2">
        <v>24395042</v>
      </c>
      <c r="F9" s="2">
        <v>53181755</v>
      </c>
    </row>
    <row r="10" spans="1:6" x14ac:dyDescent="0.3">
      <c r="A10" s="1" t="s">
        <v>7</v>
      </c>
      <c r="B10" s="2">
        <f t="shared" si="0"/>
        <v>-20855109</v>
      </c>
      <c r="C10" s="2">
        <v>0</v>
      </c>
      <c r="D10" s="2">
        <v>0</v>
      </c>
      <c r="E10" s="2">
        <v>20855109</v>
      </c>
      <c r="F10" s="2">
        <v>46570396</v>
      </c>
    </row>
    <row r="11" spans="1:6" x14ac:dyDescent="0.3">
      <c r="A11" s="1" t="s">
        <v>8</v>
      </c>
      <c r="B11" s="2">
        <f t="shared" si="0"/>
        <v>-8617384</v>
      </c>
      <c r="C11" s="2">
        <v>0</v>
      </c>
      <c r="D11" s="2">
        <v>0</v>
      </c>
      <c r="E11" s="2">
        <v>8617384</v>
      </c>
      <c r="F11" s="2">
        <v>19612170</v>
      </c>
    </row>
    <row r="12" spans="1:6" x14ac:dyDescent="0.3">
      <c r="A12" s="1" t="s">
        <v>9</v>
      </c>
      <c r="B12" s="2">
        <f t="shared" si="0"/>
        <v>-10610110</v>
      </c>
      <c r="C12" s="2">
        <v>0</v>
      </c>
      <c r="D12" s="2">
        <v>0</v>
      </c>
      <c r="E12" s="2">
        <v>10610110</v>
      </c>
      <c r="F12" s="2">
        <v>24023172</v>
      </c>
    </row>
    <row r="13" spans="1:6" x14ac:dyDescent="0.3">
      <c r="A13" s="1" t="s">
        <v>10</v>
      </c>
      <c r="B13" s="2">
        <f t="shared" si="0"/>
        <v>-4305344</v>
      </c>
      <c r="C13" s="2">
        <v>0</v>
      </c>
      <c r="D13" s="2">
        <v>0</v>
      </c>
      <c r="E13" s="2">
        <v>4305344</v>
      </c>
      <c r="F13" s="2">
        <v>9859934</v>
      </c>
    </row>
    <row r="14" spans="1:6" x14ac:dyDescent="0.3">
      <c r="A14" s="1" t="s">
        <v>11</v>
      </c>
      <c r="B14" s="2">
        <f t="shared" si="0"/>
        <v>-5241406</v>
      </c>
      <c r="C14" s="2">
        <v>0</v>
      </c>
      <c r="D14" s="2">
        <v>0</v>
      </c>
      <c r="E14" s="2">
        <v>5241406</v>
      </c>
      <c r="F14" s="2">
        <v>12117672</v>
      </c>
    </row>
    <row r="15" spans="1:6" ht="17.25" thickBot="1" x14ac:dyDescent="0.35">
      <c r="A15" s="4" t="s">
        <v>13</v>
      </c>
      <c r="B15" s="5">
        <f>SUM(B3:B14)</f>
        <v>-81378748</v>
      </c>
      <c r="C15" s="5">
        <f t="shared" ref="C15:F15" si="1">SUM(C3:C14)</f>
        <v>0</v>
      </c>
      <c r="D15" s="5">
        <f t="shared" si="1"/>
        <v>0</v>
      </c>
      <c r="E15" s="5">
        <f t="shared" si="1"/>
        <v>81378748</v>
      </c>
      <c r="F15" s="5">
        <f t="shared" si="1"/>
        <v>180776129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-12</v>
      </c>
      <c r="C8" s="2">
        <v>0</v>
      </c>
      <c r="D8" s="2">
        <v>0</v>
      </c>
      <c r="E8" s="2">
        <v>12</v>
      </c>
      <c r="F8" s="2">
        <v>1</v>
      </c>
    </row>
    <row r="9" spans="1:6" x14ac:dyDescent="0.3">
      <c r="A9" s="1" t="s">
        <v>6</v>
      </c>
      <c r="B9" s="2">
        <f t="shared" si="0"/>
        <v>-4544024</v>
      </c>
      <c r="C9" s="2">
        <v>0</v>
      </c>
      <c r="D9" s="2">
        <v>0</v>
      </c>
      <c r="E9" s="2">
        <v>4544024</v>
      </c>
      <c r="F9" s="2">
        <v>12759000</v>
      </c>
    </row>
    <row r="10" spans="1:6" x14ac:dyDescent="0.3">
      <c r="A10" s="1" t="s">
        <v>7</v>
      </c>
      <c r="B10" s="2">
        <f t="shared" si="0"/>
        <v>-3823246</v>
      </c>
      <c r="C10" s="2">
        <v>0</v>
      </c>
      <c r="D10" s="2">
        <v>0</v>
      </c>
      <c r="E10" s="2">
        <v>3823246</v>
      </c>
      <c r="F10" s="2">
        <v>10734000</v>
      </c>
    </row>
    <row r="11" spans="1:6" x14ac:dyDescent="0.3">
      <c r="A11" s="1" t="s">
        <v>8</v>
      </c>
      <c r="B11" s="2">
        <f t="shared" si="0"/>
        <v>-721920</v>
      </c>
      <c r="C11" s="2">
        <v>0</v>
      </c>
      <c r="D11" s="2">
        <v>0</v>
      </c>
      <c r="E11" s="2">
        <v>721920</v>
      </c>
      <c r="F11" s="2">
        <v>2027000</v>
      </c>
    </row>
    <row r="12" spans="1:6" x14ac:dyDescent="0.3">
      <c r="A12" s="1" t="s">
        <v>9</v>
      </c>
      <c r="B12" s="2">
        <f t="shared" si="0"/>
        <v>-553681</v>
      </c>
      <c r="C12" s="2">
        <v>0</v>
      </c>
      <c r="D12" s="2">
        <v>0</v>
      </c>
      <c r="E12" s="2">
        <v>553681</v>
      </c>
      <c r="F12" s="2">
        <v>1555000</v>
      </c>
    </row>
    <row r="13" spans="1:6" x14ac:dyDescent="0.3">
      <c r="A13" s="1" t="s">
        <v>10</v>
      </c>
      <c r="B13" s="2">
        <f t="shared" si="0"/>
        <v>-579315</v>
      </c>
      <c r="C13" s="2">
        <v>0</v>
      </c>
      <c r="D13" s="2">
        <v>0</v>
      </c>
      <c r="E13" s="2">
        <v>579315</v>
      </c>
      <c r="F13" s="2">
        <v>1627000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-10222198</v>
      </c>
      <c r="C15" s="5">
        <f t="shared" ref="C15:F15" si="1">SUM(C3:C14)</f>
        <v>0</v>
      </c>
      <c r="D15" s="5">
        <f t="shared" si="1"/>
        <v>0</v>
      </c>
      <c r="E15" s="5">
        <f t="shared" si="1"/>
        <v>10222198</v>
      </c>
      <c r="F15" s="5">
        <f t="shared" si="1"/>
        <v>28702001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-4426614</v>
      </c>
      <c r="C4" s="2">
        <v>0</v>
      </c>
      <c r="D4" s="2">
        <v>0</v>
      </c>
      <c r="E4" s="2">
        <v>4426614</v>
      </c>
      <c r="F4" s="2">
        <v>13200101</v>
      </c>
    </row>
    <row r="5" spans="1:6" x14ac:dyDescent="0.3">
      <c r="A5" s="1" t="s">
        <v>2</v>
      </c>
      <c r="B5" s="2">
        <f t="shared" si="0"/>
        <v>-9538204</v>
      </c>
      <c r="C5" s="2">
        <v>0</v>
      </c>
      <c r="D5" s="2">
        <v>0</v>
      </c>
      <c r="E5" s="2">
        <v>9538204</v>
      </c>
      <c r="F5" s="2">
        <v>28441058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-1138010</v>
      </c>
      <c r="C7" s="2">
        <v>0</v>
      </c>
      <c r="D7" s="2">
        <v>0</v>
      </c>
      <c r="E7" s="2">
        <v>1138010</v>
      </c>
      <c r="F7" s="2">
        <v>3395272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-15102828</v>
      </c>
      <c r="C15" s="5">
        <f t="shared" ref="C15:F15" si="1">SUM(C3:C14)</f>
        <v>0</v>
      </c>
      <c r="D15" s="5">
        <f t="shared" si="1"/>
        <v>0</v>
      </c>
      <c r="E15" s="5">
        <f t="shared" si="1"/>
        <v>15102828</v>
      </c>
      <c r="F15" s="5">
        <f t="shared" si="1"/>
        <v>45036431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2026-08-21T02:43:06Z</dcterms:modified>
</cp:coreProperties>
</file>