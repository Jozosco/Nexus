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경제, 무역\관세청\15개년_품목별 국가별 수출입실적\대두박\2304.00.0000\"/>
    </mc:Choice>
  </mc:AlternateContent>
  <bookViews>
    <workbookView xWindow="0" yWindow="0" windowWidth="25125" windowHeight="11640"/>
  </bookViews>
  <sheets>
    <sheet name="2010년" sheetId="11" r:id="rId1"/>
    <sheet name="2011년" sheetId="12" r:id="rId2"/>
    <sheet name="2012년" sheetId="13" r:id="rId3"/>
    <sheet name="2013년" sheetId="14" r:id="rId4"/>
    <sheet name="2014년" sheetId="15" r:id="rId5"/>
    <sheet name="2015년" sheetId="16" r:id="rId6"/>
    <sheet name="2016년" sheetId="17" r:id="rId7"/>
    <sheet name="2017년" sheetId="1" r:id="rId8"/>
    <sheet name="2018년" sheetId="2" r:id="rId9"/>
    <sheet name="2019년" sheetId="3" r:id="rId10"/>
    <sheet name="2020년" sheetId="4" r:id="rId11"/>
    <sheet name="2021년" sheetId="5" r:id="rId12"/>
    <sheet name="2022년" sheetId="6" r:id="rId13"/>
    <sheet name="2023년" sheetId="7" r:id="rId14"/>
    <sheet name="2024년" sheetId="8" r:id="rId15"/>
    <sheet name="2025년" sheetId="9" r:id="rId16"/>
    <sheet name="2026년" sheetId="10" r:id="rId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4" i="15" l="1"/>
  <c r="B13" i="15"/>
  <c r="B12" i="15"/>
  <c r="B11" i="15"/>
  <c r="B10" i="15"/>
  <c r="B9" i="15"/>
  <c r="B8" i="15"/>
  <c r="B7" i="15"/>
  <c r="B6" i="15"/>
  <c r="B5" i="15"/>
  <c r="B4" i="15"/>
  <c r="B3" i="15"/>
  <c r="B14" i="13"/>
  <c r="B13" i="13"/>
  <c r="B12" i="13"/>
  <c r="B11" i="13"/>
  <c r="B10" i="13"/>
  <c r="B9" i="13"/>
  <c r="B8" i="13"/>
  <c r="B7" i="13"/>
  <c r="B6" i="13"/>
  <c r="B5" i="13"/>
  <c r="B4" i="13"/>
  <c r="B3" i="13"/>
  <c r="B14" i="12"/>
  <c r="B13" i="12"/>
  <c r="B12" i="12"/>
  <c r="B11" i="12"/>
  <c r="B10" i="12"/>
  <c r="B9" i="12"/>
  <c r="B8" i="12"/>
  <c r="B7" i="12"/>
  <c r="B6" i="12"/>
  <c r="B5" i="12"/>
  <c r="B4" i="12"/>
  <c r="B3" i="12"/>
  <c r="B14" i="11"/>
  <c r="B13" i="11"/>
  <c r="B12" i="11"/>
  <c r="B11" i="11"/>
  <c r="B10" i="11"/>
  <c r="B9" i="11"/>
  <c r="B8" i="11"/>
  <c r="B7" i="11"/>
  <c r="B6" i="11"/>
  <c r="B5" i="11"/>
  <c r="B4" i="11"/>
  <c r="B3" i="11"/>
  <c r="F15" i="17"/>
  <c r="E15" i="17"/>
  <c r="D15" i="17"/>
  <c r="C15" i="17"/>
  <c r="B14" i="17"/>
  <c r="B13" i="17"/>
  <c r="B12" i="17"/>
  <c r="B11" i="17"/>
  <c r="B10" i="17"/>
  <c r="B9" i="17"/>
  <c r="B8" i="17"/>
  <c r="B7" i="17"/>
  <c r="B6" i="17"/>
  <c r="B5" i="17"/>
  <c r="B4" i="17"/>
  <c r="B3" i="17"/>
  <c r="F15" i="16"/>
  <c r="E15" i="16"/>
  <c r="D15" i="16"/>
  <c r="C15" i="16"/>
  <c r="B14" i="16"/>
  <c r="B13" i="16"/>
  <c r="B12" i="16"/>
  <c r="B11" i="16"/>
  <c r="B10" i="16"/>
  <c r="B9" i="16"/>
  <c r="B8" i="16"/>
  <c r="B7" i="16"/>
  <c r="B6" i="16"/>
  <c r="B5" i="16"/>
  <c r="B4" i="16"/>
  <c r="B3" i="16"/>
  <c r="F15" i="15"/>
  <c r="E15" i="15"/>
  <c r="D15" i="15"/>
  <c r="C15" i="15"/>
  <c r="F15" i="14"/>
  <c r="E15" i="14"/>
  <c r="D15" i="14"/>
  <c r="C15" i="14"/>
  <c r="B14" i="14"/>
  <c r="B13" i="14"/>
  <c r="B12" i="14"/>
  <c r="B11" i="14"/>
  <c r="B10" i="14"/>
  <c r="B9" i="14"/>
  <c r="B8" i="14"/>
  <c r="B7" i="14"/>
  <c r="B6" i="14"/>
  <c r="B5" i="14"/>
  <c r="B4" i="14"/>
  <c r="B3" i="14"/>
  <c r="F15" i="13"/>
  <c r="E15" i="13"/>
  <c r="D15" i="13"/>
  <c r="C15" i="13"/>
  <c r="F15" i="12"/>
  <c r="E15" i="12"/>
  <c r="D15" i="12"/>
  <c r="C15" i="12"/>
  <c r="F15" i="11"/>
  <c r="E15" i="11"/>
  <c r="D15" i="11"/>
  <c r="C15" i="11"/>
  <c r="F15" i="10"/>
  <c r="E15" i="10"/>
  <c r="D15" i="10"/>
  <c r="C15" i="10"/>
  <c r="B14" i="10"/>
  <c r="B13" i="10"/>
  <c r="B12" i="10"/>
  <c r="B11" i="10"/>
  <c r="B10" i="10"/>
  <c r="B9" i="10"/>
  <c r="B8" i="10"/>
  <c r="B7" i="10"/>
  <c r="B6" i="10"/>
  <c r="B5" i="10"/>
  <c r="B4" i="10"/>
  <c r="B3" i="10"/>
  <c r="B15" i="10" l="1"/>
  <c r="B15" i="16"/>
  <c r="B15" i="11"/>
  <c r="B15" i="12"/>
  <c r="B15" i="13"/>
  <c r="B15" i="14"/>
  <c r="B15" i="15"/>
  <c r="B15" i="17"/>
  <c r="F15" i="9"/>
  <c r="E15" i="9"/>
  <c r="D15" i="9"/>
  <c r="C15" i="9"/>
  <c r="B14" i="9"/>
  <c r="B13" i="9"/>
  <c r="B12" i="9"/>
  <c r="B11" i="9"/>
  <c r="B10" i="9"/>
  <c r="B9" i="9"/>
  <c r="B8" i="9"/>
  <c r="B7" i="9"/>
  <c r="B6" i="9"/>
  <c r="B5" i="9"/>
  <c r="B4" i="9"/>
  <c r="B3" i="9"/>
  <c r="F15" i="8"/>
  <c r="E15" i="8"/>
  <c r="D15" i="8"/>
  <c r="C15" i="8"/>
  <c r="B14" i="8"/>
  <c r="B13" i="8"/>
  <c r="B12" i="8"/>
  <c r="B11" i="8"/>
  <c r="B10" i="8"/>
  <c r="B9" i="8"/>
  <c r="B8" i="8"/>
  <c r="B7" i="8"/>
  <c r="B6" i="8"/>
  <c r="B5" i="8"/>
  <c r="B4" i="8"/>
  <c r="B3" i="8"/>
  <c r="F15" i="7"/>
  <c r="E15" i="7"/>
  <c r="D15" i="7"/>
  <c r="C15" i="7"/>
  <c r="B14" i="7"/>
  <c r="B13" i="7"/>
  <c r="B12" i="7"/>
  <c r="B11" i="7"/>
  <c r="B10" i="7"/>
  <c r="B9" i="7"/>
  <c r="B8" i="7"/>
  <c r="B7" i="7"/>
  <c r="B6" i="7"/>
  <c r="B5" i="7"/>
  <c r="B4" i="7"/>
  <c r="B3" i="7"/>
  <c r="B14" i="6"/>
  <c r="B13" i="6"/>
  <c r="B12" i="6"/>
  <c r="B11" i="6"/>
  <c r="B10" i="6"/>
  <c r="B9" i="6"/>
  <c r="B8" i="6"/>
  <c r="B7" i="6"/>
  <c r="B6" i="6"/>
  <c r="B5" i="6"/>
  <c r="B4" i="6"/>
  <c r="B3" i="6"/>
  <c r="B14" i="5"/>
  <c r="B13" i="5"/>
  <c r="B12" i="5"/>
  <c r="B11" i="5"/>
  <c r="B10" i="5"/>
  <c r="B9" i="5"/>
  <c r="B8" i="5"/>
  <c r="B7" i="5"/>
  <c r="B6" i="5"/>
  <c r="B5" i="5"/>
  <c r="B4" i="5"/>
  <c r="B3" i="5"/>
  <c r="B14" i="4"/>
  <c r="B13" i="4"/>
  <c r="B12" i="4"/>
  <c r="B11" i="4"/>
  <c r="B10" i="4"/>
  <c r="B9" i="4"/>
  <c r="B8" i="4"/>
  <c r="B7" i="4"/>
  <c r="B6" i="4"/>
  <c r="B5" i="4"/>
  <c r="B4" i="4"/>
  <c r="B3" i="4"/>
  <c r="B14" i="3"/>
  <c r="B13" i="3"/>
  <c r="B12" i="3"/>
  <c r="B11" i="3"/>
  <c r="B10" i="3"/>
  <c r="B9" i="3"/>
  <c r="B8" i="3"/>
  <c r="B7" i="3"/>
  <c r="B6" i="3"/>
  <c r="B5" i="3"/>
  <c r="B4" i="3"/>
  <c r="B3" i="3"/>
  <c r="B14" i="2"/>
  <c r="B13" i="2"/>
  <c r="B12" i="2"/>
  <c r="B11" i="2"/>
  <c r="B10" i="2"/>
  <c r="B9" i="2"/>
  <c r="B8" i="2"/>
  <c r="B7" i="2"/>
  <c r="B6" i="2"/>
  <c r="B5" i="2"/>
  <c r="B4" i="2"/>
  <c r="B3" i="2"/>
  <c r="F15" i="6"/>
  <c r="E15" i="6"/>
  <c r="D15" i="6"/>
  <c r="C15" i="6"/>
  <c r="F15" i="5"/>
  <c r="E15" i="5"/>
  <c r="D15" i="5"/>
  <c r="C15" i="5"/>
  <c r="F15" i="4"/>
  <c r="E15" i="4"/>
  <c r="D15" i="4"/>
  <c r="C15" i="4"/>
  <c r="F15" i="3"/>
  <c r="E15" i="3"/>
  <c r="D15" i="3"/>
  <c r="C15" i="3"/>
  <c r="D15" i="1"/>
  <c r="C15" i="1"/>
  <c r="B14" i="1"/>
  <c r="B13" i="1"/>
  <c r="B12" i="1"/>
  <c r="B11" i="1"/>
  <c r="B10" i="1"/>
  <c r="B9" i="1"/>
  <c r="B8" i="1"/>
  <c r="B7" i="1"/>
  <c r="B6" i="1"/>
  <c r="B5" i="1"/>
  <c r="B4" i="1"/>
  <c r="B3" i="1"/>
  <c r="D15" i="2"/>
  <c r="C15" i="2"/>
  <c r="F15" i="2"/>
  <c r="E15" i="2"/>
  <c r="F15" i="1"/>
  <c r="E15" i="1"/>
  <c r="B15" i="1" l="1"/>
  <c r="B15" i="9"/>
  <c r="B15" i="8"/>
  <c r="B15" i="7"/>
  <c r="B15" i="6"/>
  <c r="B15" i="5"/>
  <c r="B15" i="4"/>
  <c r="B15" i="3"/>
  <c r="B15" i="2"/>
</calcChain>
</file>

<file path=xl/sharedStrings.xml><?xml version="1.0" encoding="utf-8"?>
<sst xmlns="http://schemas.openxmlformats.org/spreadsheetml/2006/main" count="306" uniqueCount="18">
  <si>
    <t>1월</t>
    <phoneticPr fontId="1" type="noConversion"/>
  </si>
  <si>
    <t>2월</t>
    <phoneticPr fontId="1" type="noConversion"/>
  </si>
  <si>
    <t>3월</t>
    <phoneticPr fontId="1" type="noConversion"/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</si>
  <si>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</si>
  <si>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</si>
  <si>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</si>
  <si>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</si>
  <si>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</si>
  <si>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</si>
  <si>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</si>
  <si>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</si>
  <si>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</si>
  <si>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무역수지(달러)</t>
    <phoneticPr fontId="1" type="noConversion"/>
  </si>
  <si>
    <t>총계</t>
    <phoneticPr fontId="1" type="noConversion"/>
  </si>
  <si>
    <t>수입액(달러)</t>
    <phoneticPr fontId="1" type="noConversion"/>
  </si>
  <si>
    <t>수입량(kg)</t>
    <phoneticPr fontId="1" type="noConversion"/>
  </si>
  <si>
    <t>수출량(kg)</t>
    <phoneticPr fontId="1" type="noConversion"/>
  </si>
  <si>
    <t>수출액(달러)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</si>
</sst>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tabSelected="1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-3460439</v>
      </c>
      <c r="C3" s="2">
        <v>0</v>
      </c>
      <c r="D3" s="2">
        <v>0</v>
      </c>
      <c r="E3" s="2">
        <v>3460439</v>
      </c>
      <c r="F3" s="2">
        <v>7445067</v>
      </c>
    </row>
    <row r="4" spans="1:6" x14ac:dyDescent="0.3">
      <c r="A4" s="1" t="s">
        <v>1</v>
      </c>
      <c r="B4" s="2">
        <f t="shared" ref="B4:B14" si="0">C4-E4</f>
        <v>-5468162</v>
      </c>
      <c r="C4" s="2">
        <v>0</v>
      </c>
      <c r="D4" s="2">
        <v>0</v>
      </c>
      <c r="E4" s="2">
        <v>5468162</v>
      </c>
      <c r="F4" s="2">
        <v>11520760</v>
      </c>
    </row>
    <row r="5" spans="1:6" x14ac:dyDescent="0.3">
      <c r="A5" s="1" t="s">
        <v>2</v>
      </c>
      <c r="B5" s="2">
        <f t="shared" si="0"/>
        <v>-5589979</v>
      </c>
      <c r="C5" s="2">
        <v>0</v>
      </c>
      <c r="D5" s="2">
        <v>0</v>
      </c>
      <c r="E5" s="2">
        <v>5589979</v>
      </c>
      <c r="F5" s="2">
        <v>12599880</v>
      </c>
    </row>
    <row r="6" spans="1:6" x14ac:dyDescent="0.3">
      <c r="A6" s="1" t="s">
        <v>3</v>
      </c>
      <c r="B6" s="2">
        <f t="shared" si="0"/>
        <v>-5179898</v>
      </c>
      <c r="C6" s="2">
        <v>0</v>
      </c>
      <c r="D6" s="2">
        <v>0</v>
      </c>
      <c r="E6" s="2">
        <v>5179898</v>
      </c>
      <c r="F6" s="2">
        <v>12139430</v>
      </c>
    </row>
    <row r="7" spans="1:6" x14ac:dyDescent="0.3">
      <c r="A7" s="1" t="s">
        <v>4</v>
      </c>
      <c r="B7" s="2">
        <f t="shared" si="0"/>
        <v>-3454878</v>
      </c>
      <c r="C7" s="2">
        <v>0</v>
      </c>
      <c r="D7" s="2">
        <v>0</v>
      </c>
      <c r="E7" s="2">
        <v>3454878</v>
      </c>
      <c r="F7" s="2">
        <v>8601301</v>
      </c>
    </row>
    <row r="8" spans="1:6" x14ac:dyDescent="0.3">
      <c r="A8" s="1" t="s">
        <v>5</v>
      </c>
      <c r="B8" s="2">
        <f t="shared" si="0"/>
        <v>-911794</v>
      </c>
      <c r="C8" s="2">
        <v>0</v>
      </c>
      <c r="D8" s="2">
        <v>0</v>
      </c>
      <c r="E8" s="2">
        <v>911794</v>
      </c>
      <c r="F8" s="2">
        <v>2175300</v>
      </c>
    </row>
    <row r="9" spans="1:6" x14ac:dyDescent="0.3">
      <c r="A9" s="1" t="s">
        <v>6</v>
      </c>
      <c r="B9" s="2">
        <f t="shared" si="0"/>
        <v>-24556</v>
      </c>
      <c r="C9" s="2">
        <v>0</v>
      </c>
      <c r="D9" s="2">
        <v>0</v>
      </c>
      <c r="E9" s="2">
        <v>24556</v>
      </c>
      <c r="F9" s="2">
        <v>40000</v>
      </c>
    </row>
    <row r="10" spans="1:6" x14ac:dyDescent="0.3">
      <c r="A10" s="1" t="s">
        <v>7</v>
      </c>
      <c r="B10" s="2">
        <f t="shared" si="0"/>
        <v>-1225926</v>
      </c>
      <c r="C10" s="2">
        <v>0</v>
      </c>
      <c r="D10" s="2">
        <v>0</v>
      </c>
      <c r="E10" s="2">
        <v>1225926</v>
      </c>
      <c r="F10" s="2">
        <v>3066080</v>
      </c>
    </row>
    <row r="11" spans="1:6" x14ac:dyDescent="0.3">
      <c r="A11" s="1" t="s">
        <v>8</v>
      </c>
      <c r="B11" s="2">
        <f t="shared" si="0"/>
        <v>-39654</v>
      </c>
      <c r="C11" s="2">
        <v>0</v>
      </c>
      <c r="D11" s="2">
        <v>0</v>
      </c>
      <c r="E11" s="2">
        <v>39654</v>
      </c>
      <c r="F11" s="2">
        <v>64000</v>
      </c>
    </row>
    <row r="12" spans="1:6" x14ac:dyDescent="0.3">
      <c r="A12" s="1" t="s">
        <v>9</v>
      </c>
      <c r="B12" s="2">
        <f t="shared" si="0"/>
        <v>-21908</v>
      </c>
      <c r="C12" s="2">
        <v>0</v>
      </c>
      <c r="D12" s="2">
        <v>0</v>
      </c>
      <c r="E12" s="2">
        <v>21908</v>
      </c>
      <c r="F12" s="2">
        <v>40050</v>
      </c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-100382</v>
      </c>
      <c r="C14" s="2">
        <v>0</v>
      </c>
      <c r="D14" s="2">
        <v>0</v>
      </c>
      <c r="E14" s="2">
        <v>100382</v>
      </c>
      <c r="F14" s="2">
        <v>160010</v>
      </c>
    </row>
    <row r="15" spans="1:6" ht="17.25" thickBot="1" x14ac:dyDescent="0.35">
      <c r="A15" s="4" t="s">
        <v>13</v>
      </c>
      <c r="B15" s="5">
        <f>SUM(B3:B14)</f>
        <v>-25477576</v>
      </c>
      <c r="C15" s="5">
        <f t="shared" ref="C15:F15" si="1">SUM(C3:C14)</f>
        <v>0</v>
      </c>
      <c r="D15" s="5">
        <f t="shared" si="1"/>
        <v>0</v>
      </c>
      <c r="E15" s="5">
        <f t="shared" si="1"/>
        <v>25477576</v>
      </c>
      <c r="F15" s="5">
        <f t="shared" si="1"/>
        <v>57851878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-117372</v>
      </c>
      <c r="C3" s="2">
        <v>0</v>
      </c>
      <c r="D3" s="2">
        <v>0</v>
      </c>
      <c r="E3" s="2">
        <v>117372</v>
      </c>
      <c r="F3" s="2">
        <v>178000</v>
      </c>
    </row>
    <row r="4" spans="1:6" x14ac:dyDescent="0.3">
      <c r="A4" s="1" t="s">
        <v>1</v>
      </c>
      <c r="B4" s="2">
        <f t="shared" ref="B4:B14" si="0">C4-E4</f>
        <v>-41318</v>
      </c>
      <c r="C4" s="2">
        <v>0</v>
      </c>
      <c r="D4" s="2">
        <v>0</v>
      </c>
      <c r="E4" s="2">
        <v>41318</v>
      </c>
      <c r="F4" s="2">
        <v>65800</v>
      </c>
    </row>
    <row r="5" spans="1:6" x14ac:dyDescent="0.3">
      <c r="A5" s="1" t="s">
        <v>2</v>
      </c>
      <c r="B5" s="2">
        <f t="shared" si="0"/>
        <v>-24529</v>
      </c>
      <c r="C5" s="2">
        <v>0</v>
      </c>
      <c r="D5" s="2">
        <v>0</v>
      </c>
      <c r="E5" s="2">
        <v>24529</v>
      </c>
      <c r="F5" s="2">
        <v>40000</v>
      </c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-37310</v>
      </c>
      <c r="C7" s="2">
        <v>0</v>
      </c>
      <c r="D7" s="2">
        <v>0</v>
      </c>
      <c r="E7" s="2">
        <v>37310</v>
      </c>
      <c r="F7" s="2">
        <v>54000</v>
      </c>
    </row>
    <row r="8" spans="1:6" x14ac:dyDescent="0.3">
      <c r="A8" s="1" t="s">
        <v>5</v>
      </c>
      <c r="B8" s="2">
        <f t="shared" si="0"/>
        <v>-85624</v>
      </c>
      <c r="C8" s="2">
        <v>0</v>
      </c>
      <c r="D8" s="2">
        <v>0</v>
      </c>
      <c r="E8" s="2">
        <v>85624</v>
      </c>
      <c r="F8" s="2">
        <v>128003</v>
      </c>
    </row>
    <row r="9" spans="1:6" x14ac:dyDescent="0.3">
      <c r="A9" s="1" t="s">
        <v>6</v>
      </c>
      <c r="B9" s="2">
        <f t="shared" si="0"/>
        <v>-37258</v>
      </c>
      <c r="C9" s="2">
        <v>0</v>
      </c>
      <c r="D9" s="2">
        <v>0</v>
      </c>
      <c r="E9" s="2">
        <v>37258</v>
      </c>
      <c r="F9" s="2">
        <v>60000</v>
      </c>
    </row>
    <row r="10" spans="1:6" x14ac:dyDescent="0.3">
      <c r="A10" s="1" t="s">
        <v>7</v>
      </c>
      <c r="B10" s="2">
        <f t="shared" si="0"/>
        <v>-139625</v>
      </c>
      <c r="C10" s="2">
        <v>0</v>
      </c>
      <c r="D10" s="2">
        <v>0</v>
      </c>
      <c r="E10" s="2">
        <v>139625</v>
      </c>
      <c r="F10" s="2">
        <v>202500</v>
      </c>
    </row>
    <row r="11" spans="1:6" x14ac:dyDescent="0.3">
      <c r="A11" s="1" t="s">
        <v>8</v>
      </c>
      <c r="B11" s="2">
        <f t="shared" si="0"/>
        <v>-92205</v>
      </c>
      <c r="C11" s="2">
        <v>0</v>
      </c>
      <c r="D11" s="2">
        <v>0</v>
      </c>
      <c r="E11" s="2">
        <v>92205</v>
      </c>
      <c r="F11" s="2">
        <v>123500</v>
      </c>
    </row>
    <row r="12" spans="1:6" x14ac:dyDescent="0.3">
      <c r="A12" s="1" t="s">
        <v>9</v>
      </c>
      <c r="B12" s="2">
        <f t="shared" si="0"/>
        <v>-52261</v>
      </c>
      <c r="C12" s="2">
        <v>0</v>
      </c>
      <c r="D12" s="2">
        <v>0</v>
      </c>
      <c r="E12" s="2">
        <v>52261</v>
      </c>
      <c r="F12" s="2">
        <v>76000</v>
      </c>
    </row>
    <row r="13" spans="1:6" x14ac:dyDescent="0.3">
      <c r="A13" s="1" t="s">
        <v>10</v>
      </c>
      <c r="B13" s="2">
        <f t="shared" si="0"/>
        <v>-81272</v>
      </c>
      <c r="C13" s="2">
        <v>0</v>
      </c>
      <c r="D13" s="2">
        <v>0</v>
      </c>
      <c r="E13" s="2">
        <v>81272</v>
      </c>
      <c r="F13" s="2">
        <v>158000</v>
      </c>
    </row>
    <row r="14" spans="1:6" x14ac:dyDescent="0.3">
      <c r="A14" s="1" t="s">
        <v>11</v>
      </c>
      <c r="B14" s="2">
        <f t="shared" si="0"/>
        <v>-219717</v>
      </c>
      <c r="C14" s="2">
        <v>0</v>
      </c>
      <c r="D14" s="2">
        <v>0</v>
      </c>
      <c r="E14" s="2">
        <v>219717</v>
      </c>
      <c r="F14" s="2">
        <v>312000</v>
      </c>
    </row>
    <row r="15" spans="1:6" ht="17.25" thickBot="1" x14ac:dyDescent="0.35">
      <c r="A15" s="4" t="s">
        <v>13</v>
      </c>
      <c r="B15" s="5">
        <f>SUM(B3:B14)</f>
        <v>-928491</v>
      </c>
      <c r="C15" s="5">
        <f t="shared" ref="C15:F15" si="1">SUM(C3:C14)</f>
        <v>0</v>
      </c>
      <c r="D15" s="5">
        <f t="shared" si="1"/>
        <v>0</v>
      </c>
      <c r="E15" s="5">
        <f t="shared" si="1"/>
        <v>928491</v>
      </c>
      <c r="F15" s="5">
        <f t="shared" si="1"/>
        <v>1397803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-39159</v>
      </c>
      <c r="C3" s="2">
        <v>0</v>
      </c>
      <c r="D3" s="2">
        <v>0</v>
      </c>
      <c r="E3" s="2">
        <v>39159</v>
      </c>
      <c r="F3" s="2">
        <v>58000</v>
      </c>
    </row>
    <row r="4" spans="1:6" x14ac:dyDescent="0.3">
      <c r="A4" s="1" t="s">
        <v>1</v>
      </c>
      <c r="B4" s="2">
        <f t="shared" ref="B4:B14" si="0">C4-E4</f>
        <v>-26397</v>
      </c>
      <c r="C4" s="2">
        <v>0</v>
      </c>
      <c r="D4" s="2">
        <v>0</v>
      </c>
      <c r="E4" s="2">
        <v>26397</v>
      </c>
      <c r="F4" s="2">
        <v>36050</v>
      </c>
    </row>
    <row r="5" spans="1:6" x14ac:dyDescent="0.3">
      <c r="A5" s="1" t="s">
        <v>2</v>
      </c>
      <c r="B5" s="2">
        <f t="shared" si="0"/>
        <v>-35298</v>
      </c>
      <c r="C5" s="2">
        <v>0</v>
      </c>
      <c r="D5" s="2">
        <v>0</v>
      </c>
      <c r="E5" s="2">
        <v>35298</v>
      </c>
      <c r="F5" s="2">
        <v>47701</v>
      </c>
    </row>
    <row r="6" spans="1:6" x14ac:dyDescent="0.3">
      <c r="A6" s="1" t="s">
        <v>3</v>
      </c>
      <c r="B6" s="2">
        <f t="shared" si="0"/>
        <v>-45260</v>
      </c>
      <c r="C6" s="2">
        <v>0</v>
      </c>
      <c r="D6" s="2">
        <v>0</v>
      </c>
      <c r="E6" s="2">
        <v>45260</v>
      </c>
      <c r="F6" s="2">
        <v>61000</v>
      </c>
    </row>
    <row r="7" spans="1:6" x14ac:dyDescent="0.3">
      <c r="A7" s="1" t="s">
        <v>4</v>
      </c>
      <c r="B7" s="2">
        <f t="shared" si="0"/>
        <v>-64419</v>
      </c>
      <c r="C7" s="2">
        <v>0</v>
      </c>
      <c r="D7" s="2">
        <v>0</v>
      </c>
      <c r="E7" s="2">
        <v>64419</v>
      </c>
      <c r="F7" s="2">
        <v>95001</v>
      </c>
    </row>
    <row r="8" spans="1:6" x14ac:dyDescent="0.3">
      <c r="A8" s="1" t="s">
        <v>5</v>
      </c>
      <c r="B8" s="2">
        <f t="shared" si="0"/>
        <v>-1341196</v>
      </c>
      <c r="C8" s="2">
        <v>0</v>
      </c>
      <c r="D8" s="2">
        <v>0</v>
      </c>
      <c r="E8" s="2">
        <v>1341196</v>
      </c>
      <c r="F8" s="2">
        <v>2579361</v>
      </c>
    </row>
    <row r="9" spans="1:6" x14ac:dyDescent="0.3">
      <c r="A9" s="1" t="s">
        <v>6</v>
      </c>
      <c r="B9" s="2">
        <f t="shared" si="0"/>
        <v>-5972625</v>
      </c>
      <c r="C9" s="2">
        <v>0</v>
      </c>
      <c r="D9" s="2">
        <v>0</v>
      </c>
      <c r="E9" s="2">
        <v>5972625</v>
      </c>
      <c r="F9" s="2">
        <v>11931876</v>
      </c>
    </row>
    <row r="10" spans="1:6" x14ac:dyDescent="0.3">
      <c r="A10" s="1" t="s">
        <v>7</v>
      </c>
      <c r="B10" s="2">
        <f t="shared" si="0"/>
        <v>-1556736</v>
      </c>
      <c r="C10" s="2">
        <v>0</v>
      </c>
      <c r="D10" s="2">
        <v>0</v>
      </c>
      <c r="E10" s="2">
        <v>1556736</v>
      </c>
      <c r="F10" s="2">
        <v>2771202</v>
      </c>
    </row>
    <row r="11" spans="1:6" x14ac:dyDescent="0.3">
      <c r="A11" s="1" t="s">
        <v>8</v>
      </c>
      <c r="B11" s="2">
        <f t="shared" si="0"/>
        <v>-172773</v>
      </c>
      <c r="C11" s="2">
        <v>0</v>
      </c>
      <c r="D11" s="2">
        <v>0</v>
      </c>
      <c r="E11" s="2">
        <v>172773</v>
      </c>
      <c r="F11" s="2">
        <v>233920</v>
      </c>
    </row>
    <row r="12" spans="1:6" x14ac:dyDescent="0.3">
      <c r="A12" s="1" t="s">
        <v>9</v>
      </c>
      <c r="B12" s="2">
        <f t="shared" si="0"/>
        <v>-3458880</v>
      </c>
      <c r="C12" s="2">
        <v>0</v>
      </c>
      <c r="D12" s="2">
        <v>0</v>
      </c>
      <c r="E12" s="2">
        <v>3458880</v>
      </c>
      <c r="F12" s="2">
        <v>6069760</v>
      </c>
    </row>
    <row r="13" spans="1:6" x14ac:dyDescent="0.3">
      <c r="A13" s="1" t="s">
        <v>10</v>
      </c>
      <c r="B13" s="2">
        <f t="shared" si="0"/>
        <v>-939416</v>
      </c>
      <c r="C13" s="2">
        <v>0</v>
      </c>
      <c r="D13" s="2">
        <v>0</v>
      </c>
      <c r="E13" s="2">
        <v>939416</v>
      </c>
      <c r="F13" s="2">
        <v>1389940</v>
      </c>
    </row>
    <row r="14" spans="1:6" x14ac:dyDescent="0.3">
      <c r="A14" s="1" t="s">
        <v>11</v>
      </c>
      <c r="B14" s="2">
        <f t="shared" si="0"/>
        <v>-5022155</v>
      </c>
      <c r="C14" s="2">
        <v>0</v>
      </c>
      <c r="D14" s="2">
        <v>0</v>
      </c>
      <c r="E14" s="2">
        <v>5022155</v>
      </c>
      <c r="F14" s="2">
        <v>8255749</v>
      </c>
    </row>
    <row r="15" spans="1:6" ht="17.25" thickBot="1" x14ac:dyDescent="0.35">
      <c r="A15" s="4" t="s">
        <v>13</v>
      </c>
      <c r="B15" s="5">
        <f>SUM(B3:B14)</f>
        <v>-18674314</v>
      </c>
      <c r="C15" s="5">
        <f t="shared" ref="C15:F15" si="1">SUM(C3:C14)</f>
        <v>0</v>
      </c>
      <c r="D15" s="5">
        <f t="shared" si="1"/>
        <v>0</v>
      </c>
      <c r="E15" s="5">
        <f t="shared" si="1"/>
        <v>18674314</v>
      </c>
      <c r="F15" s="5">
        <f t="shared" si="1"/>
        <v>33529560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-8580945</v>
      </c>
      <c r="C3" s="2">
        <v>0</v>
      </c>
      <c r="D3" s="2">
        <v>0</v>
      </c>
      <c r="E3" s="2">
        <v>8580945</v>
      </c>
      <c r="F3" s="2">
        <v>14021104</v>
      </c>
    </row>
    <row r="4" spans="1:6" x14ac:dyDescent="0.3">
      <c r="A4" s="1" t="s">
        <v>1</v>
      </c>
      <c r="B4" s="2">
        <f t="shared" si="0"/>
        <v>-22484979</v>
      </c>
      <c r="C4" s="2">
        <v>0</v>
      </c>
      <c r="D4" s="2">
        <v>0</v>
      </c>
      <c r="E4" s="2">
        <v>22484979</v>
      </c>
      <c r="F4" s="2">
        <v>36641441</v>
      </c>
    </row>
    <row r="5" spans="1:6" x14ac:dyDescent="0.3">
      <c r="A5" s="1" t="s">
        <v>2</v>
      </c>
      <c r="B5" s="2">
        <f t="shared" si="0"/>
        <v>-35127187</v>
      </c>
      <c r="C5" s="2">
        <v>0</v>
      </c>
      <c r="D5" s="2">
        <v>0</v>
      </c>
      <c r="E5" s="2">
        <v>35127187</v>
      </c>
      <c r="F5" s="2">
        <v>57116995</v>
      </c>
    </row>
    <row r="6" spans="1:6" x14ac:dyDescent="0.3">
      <c r="A6" s="1" t="s">
        <v>3</v>
      </c>
      <c r="B6" s="2">
        <f t="shared" si="0"/>
        <v>-34641359</v>
      </c>
      <c r="C6" s="2">
        <v>0</v>
      </c>
      <c r="D6" s="2">
        <v>0</v>
      </c>
      <c r="E6" s="2">
        <v>34641359</v>
      </c>
      <c r="F6" s="2">
        <v>56361462</v>
      </c>
    </row>
    <row r="7" spans="1:6" x14ac:dyDescent="0.3">
      <c r="A7" s="1" t="s">
        <v>4</v>
      </c>
      <c r="B7" s="2">
        <f t="shared" si="0"/>
        <v>-11485610</v>
      </c>
      <c r="C7" s="2">
        <v>0</v>
      </c>
      <c r="D7" s="2">
        <v>0</v>
      </c>
      <c r="E7" s="2">
        <v>11485610</v>
      </c>
      <c r="F7" s="2">
        <v>19554247</v>
      </c>
    </row>
    <row r="8" spans="1:6" x14ac:dyDescent="0.3">
      <c r="A8" s="1" t="s">
        <v>5</v>
      </c>
      <c r="B8" s="2">
        <f t="shared" si="0"/>
        <v>-8236864</v>
      </c>
      <c r="C8" s="2">
        <v>0</v>
      </c>
      <c r="D8" s="2">
        <v>0</v>
      </c>
      <c r="E8" s="2">
        <v>8236864</v>
      </c>
      <c r="F8" s="2">
        <v>13988509</v>
      </c>
    </row>
    <row r="9" spans="1:6" x14ac:dyDescent="0.3">
      <c r="A9" s="1" t="s">
        <v>6</v>
      </c>
      <c r="B9" s="2">
        <f t="shared" si="0"/>
        <v>-2684848</v>
      </c>
      <c r="C9" s="2">
        <v>0</v>
      </c>
      <c r="D9" s="2">
        <v>0</v>
      </c>
      <c r="E9" s="2">
        <v>2684848</v>
      </c>
      <c r="F9" s="2">
        <v>5273500</v>
      </c>
    </row>
    <row r="10" spans="1:6" x14ac:dyDescent="0.3">
      <c r="A10" s="1" t="s">
        <v>7</v>
      </c>
      <c r="B10" s="2">
        <f t="shared" si="0"/>
        <v>-2205060</v>
      </c>
      <c r="C10" s="2">
        <v>0</v>
      </c>
      <c r="D10" s="2">
        <v>0</v>
      </c>
      <c r="E10" s="2">
        <v>2205060</v>
      </c>
      <c r="F10" s="2">
        <v>3280000</v>
      </c>
    </row>
    <row r="11" spans="1:6" x14ac:dyDescent="0.3">
      <c r="A11" s="1" t="s">
        <v>8</v>
      </c>
      <c r="B11" s="2">
        <f t="shared" si="0"/>
        <v>-74294</v>
      </c>
      <c r="C11" s="2">
        <v>0</v>
      </c>
      <c r="D11" s="2">
        <v>0</v>
      </c>
      <c r="E11" s="2">
        <v>74294</v>
      </c>
      <c r="F11" s="2">
        <v>83000</v>
      </c>
    </row>
    <row r="12" spans="1:6" x14ac:dyDescent="0.3">
      <c r="A12" s="1" t="s">
        <v>9</v>
      </c>
      <c r="B12" s="2">
        <f t="shared" si="0"/>
        <v>-207533</v>
      </c>
      <c r="C12" s="2">
        <v>0</v>
      </c>
      <c r="D12" s="2">
        <v>0</v>
      </c>
      <c r="E12" s="2">
        <v>207533</v>
      </c>
      <c r="F12" s="2">
        <v>243000</v>
      </c>
    </row>
    <row r="13" spans="1:6" x14ac:dyDescent="0.3">
      <c r="A13" s="1" t="s">
        <v>10</v>
      </c>
      <c r="B13" s="2">
        <f t="shared" si="0"/>
        <v>-2643150</v>
      </c>
      <c r="C13" s="2">
        <v>0</v>
      </c>
      <c r="D13" s="2">
        <v>0</v>
      </c>
      <c r="E13" s="2">
        <v>2643150</v>
      </c>
      <c r="F13" s="2">
        <v>4635000</v>
      </c>
    </row>
    <row r="14" spans="1:6" x14ac:dyDescent="0.3">
      <c r="A14" s="1" t="s">
        <v>11</v>
      </c>
      <c r="B14" s="2">
        <f t="shared" si="0"/>
        <v>-3313195</v>
      </c>
      <c r="C14" s="2">
        <v>0</v>
      </c>
      <c r="D14" s="2">
        <v>0</v>
      </c>
      <c r="E14" s="2">
        <v>3313195</v>
      </c>
      <c r="F14" s="2">
        <v>6569000</v>
      </c>
    </row>
    <row r="15" spans="1:6" ht="17.25" thickBot="1" x14ac:dyDescent="0.35">
      <c r="A15" s="4" t="s">
        <v>13</v>
      </c>
      <c r="B15" s="5">
        <f>SUM(B3:B14)</f>
        <v>-131685024</v>
      </c>
      <c r="C15" s="5">
        <f t="shared" ref="C15:F15" si="1">SUM(C3:C14)</f>
        <v>0</v>
      </c>
      <c r="D15" s="5">
        <f t="shared" si="1"/>
        <v>0</v>
      </c>
      <c r="E15" s="5">
        <f t="shared" si="1"/>
        <v>131685024</v>
      </c>
      <c r="F15" s="5">
        <f t="shared" si="1"/>
        <v>217767258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-9409358</v>
      </c>
      <c r="C3" s="2">
        <v>0</v>
      </c>
      <c r="D3" s="2">
        <v>0</v>
      </c>
      <c r="E3" s="2">
        <v>9409358</v>
      </c>
      <c r="F3" s="2">
        <v>16374450</v>
      </c>
    </row>
    <row r="4" spans="1:6" x14ac:dyDescent="0.3">
      <c r="A4" s="1" t="s">
        <v>1</v>
      </c>
      <c r="B4" s="2">
        <f t="shared" si="0"/>
        <v>-10133056</v>
      </c>
      <c r="C4" s="2">
        <v>0</v>
      </c>
      <c r="D4" s="2">
        <v>0</v>
      </c>
      <c r="E4" s="2">
        <v>10133056</v>
      </c>
      <c r="F4" s="2">
        <v>17540720</v>
      </c>
    </row>
    <row r="5" spans="1:6" x14ac:dyDescent="0.3">
      <c r="A5" s="1" t="s">
        <v>2</v>
      </c>
      <c r="B5" s="2">
        <f t="shared" si="0"/>
        <v>-551325</v>
      </c>
      <c r="C5" s="2">
        <v>0</v>
      </c>
      <c r="D5" s="2">
        <v>0</v>
      </c>
      <c r="E5" s="2">
        <v>551325</v>
      </c>
      <c r="F5" s="2">
        <v>809000</v>
      </c>
    </row>
    <row r="6" spans="1:6" x14ac:dyDescent="0.3">
      <c r="A6" s="1" t="s">
        <v>3</v>
      </c>
      <c r="B6" s="2">
        <f t="shared" si="0"/>
        <v>-24055282</v>
      </c>
      <c r="C6" s="2">
        <v>0</v>
      </c>
      <c r="D6" s="2">
        <v>0</v>
      </c>
      <c r="E6" s="2">
        <v>24055282</v>
      </c>
      <c r="F6" s="2">
        <v>44364870</v>
      </c>
    </row>
    <row r="7" spans="1:6" x14ac:dyDescent="0.3">
      <c r="A7" s="1" t="s">
        <v>4</v>
      </c>
      <c r="B7" s="2">
        <f t="shared" si="0"/>
        <v>-24411890</v>
      </c>
      <c r="C7" s="2">
        <v>0</v>
      </c>
      <c r="D7" s="2">
        <v>0</v>
      </c>
      <c r="E7" s="2">
        <v>24411890</v>
      </c>
      <c r="F7" s="2">
        <v>43806770</v>
      </c>
    </row>
    <row r="8" spans="1:6" x14ac:dyDescent="0.3">
      <c r="A8" s="1" t="s">
        <v>5</v>
      </c>
      <c r="B8" s="2">
        <f t="shared" si="0"/>
        <v>-59477352</v>
      </c>
      <c r="C8" s="2">
        <v>0</v>
      </c>
      <c r="D8" s="2">
        <v>0</v>
      </c>
      <c r="E8" s="2">
        <v>59477352</v>
      </c>
      <c r="F8" s="2">
        <v>106710813</v>
      </c>
    </row>
    <row r="9" spans="1:6" x14ac:dyDescent="0.3">
      <c r="A9" s="1" t="s">
        <v>6</v>
      </c>
      <c r="B9" s="2">
        <f t="shared" si="0"/>
        <v>-63210053</v>
      </c>
      <c r="C9" s="2">
        <v>0</v>
      </c>
      <c r="D9" s="2">
        <v>0</v>
      </c>
      <c r="E9" s="2">
        <v>63210053</v>
      </c>
      <c r="F9" s="2">
        <v>115516065</v>
      </c>
    </row>
    <row r="10" spans="1:6" x14ac:dyDescent="0.3">
      <c r="A10" s="1" t="s">
        <v>7</v>
      </c>
      <c r="B10" s="2">
        <f t="shared" si="0"/>
        <v>-12359690</v>
      </c>
      <c r="C10" s="2">
        <v>0</v>
      </c>
      <c r="D10" s="2">
        <v>0</v>
      </c>
      <c r="E10" s="2">
        <v>12359690</v>
      </c>
      <c r="F10" s="2">
        <v>22020051</v>
      </c>
    </row>
    <row r="11" spans="1:6" x14ac:dyDescent="0.3">
      <c r="A11" s="1" t="s">
        <v>8</v>
      </c>
      <c r="B11" s="2">
        <f t="shared" si="0"/>
        <v>-6928571</v>
      </c>
      <c r="C11" s="2">
        <v>0</v>
      </c>
      <c r="D11" s="2">
        <v>0</v>
      </c>
      <c r="E11" s="2">
        <v>6928571</v>
      </c>
      <c r="F11" s="2">
        <v>11837209</v>
      </c>
    </row>
    <row r="12" spans="1:6" x14ac:dyDescent="0.3">
      <c r="A12" s="1" t="s">
        <v>9</v>
      </c>
      <c r="B12" s="2">
        <f t="shared" si="0"/>
        <v>-6050845</v>
      </c>
      <c r="C12" s="2">
        <v>0</v>
      </c>
      <c r="D12" s="2">
        <v>0</v>
      </c>
      <c r="E12" s="2">
        <v>6050845</v>
      </c>
      <c r="F12" s="2">
        <v>10389111</v>
      </c>
    </row>
    <row r="13" spans="1:6" x14ac:dyDescent="0.3">
      <c r="A13" s="1" t="s">
        <v>10</v>
      </c>
      <c r="B13" s="2">
        <f t="shared" si="0"/>
        <v>-918025</v>
      </c>
      <c r="C13" s="2">
        <v>0</v>
      </c>
      <c r="D13" s="2">
        <v>0</v>
      </c>
      <c r="E13" s="2">
        <v>918025</v>
      </c>
      <c r="F13" s="2">
        <v>1164000</v>
      </c>
    </row>
    <row r="14" spans="1:6" x14ac:dyDescent="0.3">
      <c r="A14" s="1" t="s">
        <v>11</v>
      </c>
      <c r="B14" s="2">
        <f t="shared" si="0"/>
        <v>-2789312</v>
      </c>
      <c r="C14" s="2">
        <v>0</v>
      </c>
      <c r="D14" s="2">
        <v>0</v>
      </c>
      <c r="E14" s="2">
        <v>2789312</v>
      </c>
      <c r="F14" s="2">
        <v>4515760</v>
      </c>
    </row>
    <row r="15" spans="1:6" ht="17.25" thickBot="1" x14ac:dyDescent="0.35">
      <c r="A15" s="4" t="s">
        <v>13</v>
      </c>
      <c r="B15" s="5">
        <f>SUM(B3:B14)</f>
        <v>-220294759</v>
      </c>
      <c r="C15" s="5">
        <f t="shared" ref="C15:F15" si="1">SUM(C3:C14)</f>
        <v>0</v>
      </c>
      <c r="D15" s="5">
        <f t="shared" si="1"/>
        <v>0</v>
      </c>
      <c r="E15" s="5">
        <f t="shared" si="1"/>
        <v>220294759</v>
      </c>
      <c r="F15" s="5">
        <f t="shared" si="1"/>
        <v>395048819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-851125</v>
      </c>
      <c r="C3" s="2">
        <v>0</v>
      </c>
      <c r="D3" s="2">
        <v>0</v>
      </c>
      <c r="E3" s="2">
        <v>851125</v>
      </c>
      <c r="F3" s="2">
        <v>997700</v>
      </c>
    </row>
    <row r="4" spans="1:6" x14ac:dyDescent="0.3">
      <c r="A4" s="1" t="s">
        <v>1</v>
      </c>
      <c r="B4" s="2">
        <f t="shared" si="0"/>
        <v>-1575236</v>
      </c>
      <c r="C4" s="2">
        <v>0</v>
      </c>
      <c r="D4" s="2">
        <v>0</v>
      </c>
      <c r="E4" s="2">
        <v>1575236</v>
      </c>
      <c r="F4" s="2">
        <v>3187174</v>
      </c>
    </row>
    <row r="5" spans="1:6" x14ac:dyDescent="0.3">
      <c r="A5" s="1" t="s">
        <v>2</v>
      </c>
      <c r="B5" s="2">
        <f t="shared" si="0"/>
        <v>-4835472</v>
      </c>
      <c r="C5" s="2">
        <v>0</v>
      </c>
      <c r="D5" s="2">
        <v>0</v>
      </c>
      <c r="E5" s="2">
        <v>4835472</v>
      </c>
      <c r="F5" s="2">
        <v>9824380</v>
      </c>
    </row>
    <row r="6" spans="1:6" x14ac:dyDescent="0.3">
      <c r="A6" s="1" t="s">
        <v>3</v>
      </c>
      <c r="B6" s="2">
        <f t="shared" si="0"/>
        <v>-8182673</v>
      </c>
      <c r="C6" s="2">
        <v>0</v>
      </c>
      <c r="D6" s="2">
        <v>0</v>
      </c>
      <c r="E6" s="2">
        <v>8182673</v>
      </c>
      <c r="F6" s="2">
        <v>17462901</v>
      </c>
    </row>
    <row r="7" spans="1:6" x14ac:dyDescent="0.3">
      <c r="A7" s="1" t="s">
        <v>4</v>
      </c>
      <c r="B7" s="2">
        <f t="shared" si="0"/>
        <v>-2639022</v>
      </c>
      <c r="C7" s="2">
        <v>0</v>
      </c>
      <c r="D7" s="2">
        <v>0</v>
      </c>
      <c r="E7" s="2">
        <v>2639022</v>
      </c>
      <c r="F7" s="2">
        <v>5675300</v>
      </c>
    </row>
    <row r="8" spans="1:6" x14ac:dyDescent="0.3">
      <c r="A8" s="1" t="s">
        <v>5</v>
      </c>
      <c r="B8" s="2">
        <f t="shared" si="0"/>
        <v>-3403592</v>
      </c>
      <c r="C8" s="2">
        <v>0</v>
      </c>
      <c r="D8" s="2">
        <v>0</v>
      </c>
      <c r="E8" s="2">
        <v>3403592</v>
      </c>
      <c r="F8" s="2">
        <v>7910290</v>
      </c>
    </row>
    <row r="9" spans="1:6" x14ac:dyDescent="0.3">
      <c r="A9" s="1" t="s">
        <v>6</v>
      </c>
      <c r="B9" s="2">
        <f t="shared" si="0"/>
        <v>-5028816</v>
      </c>
      <c r="C9" s="2">
        <v>0</v>
      </c>
      <c r="D9" s="2">
        <v>0</v>
      </c>
      <c r="E9" s="2">
        <v>5028816</v>
      </c>
      <c r="F9" s="2">
        <v>12255410</v>
      </c>
    </row>
    <row r="10" spans="1:6" x14ac:dyDescent="0.3">
      <c r="A10" s="1" t="s">
        <v>7</v>
      </c>
      <c r="B10" s="2">
        <f t="shared" si="0"/>
        <v>-8345015</v>
      </c>
      <c r="C10" s="2">
        <v>0</v>
      </c>
      <c r="D10" s="2">
        <v>0</v>
      </c>
      <c r="E10" s="2">
        <v>8345015</v>
      </c>
      <c r="F10" s="2">
        <v>19965410</v>
      </c>
    </row>
    <row r="11" spans="1:6" x14ac:dyDescent="0.3">
      <c r="A11" s="1" t="s">
        <v>8</v>
      </c>
      <c r="B11" s="2">
        <f t="shared" si="0"/>
        <v>-3296629</v>
      </c>
      <c r="C11" s="2">
        <v>0</v>
      </c>
      <c r="D11" s="2">
        <v>0</v>
      </c>
      <c r="E11" s="2">
        <v>3296629</v>
      </c>
      <c r="F11" s="2">
        <v>7613363</v>
      </c>
    </row>
    <row r="12" spans="1:6" x14ac:dyDescent="0.3">
      <c r="A12" s="1" t="s">
        <v>9</v>
      </c>
      <c r="B12" s="2">
        <f t="shared" si="0"/>
        <v>-1304553</v>
      </c>
      <c r="C12" s="2">
        <v>0</v>
      </c>
      <c r="D12" s="2">
        <v>0</v>
      </c>
      <c r="E12" s="2">
        <v>1304553</v>
      </c>
      <c r="F12" s="2">
        <v>2907000</v>
      </c>
    </row>
    <row r="13" spans="1:6" x14ac:dyDescent="0.3">
      <c r="A13" s="1" t="s">
        <v>10</v>
      </c>
      <c r="B13" s="2">
        <f t="shared" si="0"/>
        <v>-642473</v>
      </c>
      <c r="C13" s="2">
        <v>0</v>
      </c>
      <c r="D13" s="2">
        <v>0</v>
      </c>
      <c r="E13" s="2">
        <v>642473</v>
      </c>
      <c r="F13" s="2">
        <v>881612</v>
      </c>
    </row>
    <row r="14" spans="1:6" x14ac:dyDescent="0.3">
      <c r="A14" s="1" t="s">
        <v>11</v>
      </c>
      <c r="B14" s="2">
        <f t="shared" si="0"/>
        <v>-1877884</v>
      </c>
      <c r="C14" s="2">
        <v>43440</v>
      </c>
      <c r="D14" s="2">
        <v>80000</v>
      </c>
      <c r="E14" s="2">
        <v>1921324</v>
      </c>
      <c r="F14" s="2">
        <v>4633670</v>
      </c>
    </row>
    <row r="15" spans="1:6" ht="17.25" thickBot="1" x14ac:dyDescent="0.35">
      <c r="A15" s="4" t="s">
        <v>13</v>
      </c>
      <c r="B15" s="5">
        <f>SUM(B3:B14)</f>
        <v>-41982490</v>
      </c>
      <c r="C15" s="5">
        <f t="shared" ref="C15:F15" si="1">SUM(C3:C14)</f>
        <v>43440</v>
      </c>
      <c r="D15" s="5">
        <f t="shared" si="1"/>
        <v>80000</v>
      </c>
      <c r="E15" s="5">
        <f t="shared" si="1"/>
        <v>42025930</v>
      </c>
      <c r="F15" s="5">
        <f t="shared" si="1"/>
        <v>93314210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-350936</v>
      </c>
      <c r="C3" s="2">
        <v>0</v>
      </c>
      <c r="D3" s="2">
        <v>0</v>
      </c>
      <c r="E3" s="2">
        <v>350936</v>
      </c>
      <c r="F3" s="2">
        <v>502357</v>
      </c>
    </row>
    <row r="4" spans="1:6" x14ac:dyDescent="0.3">
      <c r="A4" s="1" t="s">
        <v>1</v>
      </c>
      <c r="B4" s="2">
        <f t="shared" si="0"/>
        <v>-546960</v>
      </c>
      <c r="C4" s="2">
        <v>45320</v>
      </c>
      <c r="D4" s="2">
        <v>88000</v>
      </c>
      <c r="E4" s="2">
        <v>592280</v>
      </c>
      <c r="F4" s="2">
        <v>883402</v>
      </c>
    </row>
    <row r="5" spans="1:6" x14ac:dyDescent="0.3">
      <c r="A5" s="1" t="s">
        <v>2</v>
      </c>
      <c r="B5" s="2">
        <f t="shared" si="0"/>
        <v>-2813398</v>
      </c>
      <c r="C5" s="2">
        <v>0</v>
      </c>
      <c r="D5" s="2">
        <v>0</v>
      </c>
      <c r="E5" s="2">
        <v>2813398</v>
      </c>
      <c r="F5" s="2">
        <v>7003175</v>
      </c>
    </row>
    <row r="6" spans="1:6" x14ac:dyDescent="0.3">
      <c r="A6" s="1" t="s">
        <v>3</v>
      </c>
      <c r="B6" s="2">
        <f t="shared" si="0"/>
        <v>-5995017</v>
      </c>
      <c r="C6" s="2">
        <v>77000</v>
      </c>
      <c r="D6" s="2">
        <v>154000</v>
      </c>
      <c r="E6" s="2">
        <v>6072017</v>
      </c>
      <c r="F6" s="2">
        <v>16785989</v>
      </c>
    </row>
    <row r="7" spans="1:6" x14ac:dyDescent="0.3">
      <c r="A7" s="1" t="s">
        <v>4</v>
      </c>
      <c r="B7" s="2">
        <f t="shared" si="0"/>
        <v>-1540470</v>
      </c>
      <c r="C7" s="2">
        <v>113960</v>
      </c>
      <c r="D7" s="2">
        <v>220000</v>
      </c>
      <c r="E7" s="2">
        <v>1654430</v>
      </c>
      <c r="F7" s="2">
        <v>3921670</v>
      </c>
    </row>
    <row r="8" spans="1:6" x14ac:dyDescent="0.3">
      <c r="A8" s="1" t="s">
        <v>5</v>
      </c>
      <c r="B8" s="2">
        <f t="shared" si="0"/>
        <v>-1290233</v>
      </c>
      <c r="C8" s="2">
        <v>2172</v>
      </c>
      <c r="D8" s="2">
        <v>3575</v>
      </c>
      <c r="E8" s="2">
        <v>1292405</v>
      </c>
      <c r="F8" s="2">
        <v>2819667</v>
      </c>
    </row>
    <row r="9" spans="1:6" x14ac:dyDescent="0.3">
      <c r="A9" s="1" t="s">
        <v>6</v>
      </c>
      <c r="B9" s="2">
        <f t="shared" si="0"/>
        <v>-87848</v>
      </c>
      <c r="C9" s="2">
        <v>119900</v>
      </c>
      <c r="D9" s="2">
        <v>220000</v>
      </c>
      <c r="E9" s="2">
        <v>207748</v>
      </c>
      <c r="F9" s="2">
        <v>274000</v>
      </c>
    </row>
    <row r="10" spans="1:6" x14ac:dyDescent="0.3">
      <c r="A10" s="1" t="s">
        <v>7</v>
      </c>
      <c r="B10" s="2">
        <f t="shared" si="0"/>
        <v>-1827510</v>
      </c>
      <c r="C10" s="2">
        <v>122980</v>
      </c>
      <c r="D10" s="2">
        <v>220000</v>
      </c>
      <c r="E10" s="2">
        <v>1950490</v>
      </c>
      <c r="F10" s="2">
        <v>3860638</v>
      </c>
    </row>
    <row r="11" spans="1:6" x14ac:dyDescent="0.3">
      <c r="A11" s="1" t="s">
        <v>8</v>
      </c>
      <c r="B11" s="2">
        <f t="shared" si="0"/>
        <v>-667680</v>
      </c>
      <c r="C11" s="2">
        <v>0</v>
      </c>
      <c r="D11" s="2">
        <v>0</v>
      </c>
      <c r="E11" s="2">
        <v>667680</v>
      </c>
      <c r="F11" s="2">
        <v>912001</v>
      </c>
    </row>
    <row r="12" spans="1:6" x14ac:dyDescent="0.3">
      <c r="A12" s="1" t="s">
        <v>9</v>
      </c>
      <c r="B12" s="2">
        <f t="shared" si="0"/>
        <v>-1095448</v>
      </c>
      <c r="C12" s="2">
        <v>0</v>
      </c>
      <c r="D12" s="2">
        <v>0</v>
      </c>
      <c r="E12" s="2">
        <v>1095448</v>
      </c>
      <c r="F12" s="2">
        <v>1932207</v>
      </c>
    </row>
    <row r="13" spans="1:6" x14ac:dyDescent="0.3">
      <c r="A13" s="1" t="s">
        <v>10</v>
      </c>
      <c r="B13" s="2">
        <f t="shared" si="0"/>
        <v>-4985154</v>
      </c>
      <c r="C13" s="2">
        <v>126940</v>
      </c>
      <c r="D13" s="2">
        <v>220000</v>
      </c>
      <c r="E13" s="2">
        <v>5112094</v>
      </c>
      <c r="F13" s="2">
        <v>11392869</v>
      </c>
    </row>
    <row r="14" spans="1:6" x14ac:dyDescent="0.3">
      <c r="A14" s="1" t="s">
        <v>11</v>
      </c>
      <c r="B14" s="2">
        <f t="shared" si="0"/>
        <v>-1886245</v>
      </c>
      <c r="C14" s="2">
        <v>204070</v>
      </c>
      <c r="D14" s="2">
        <v>300000</v>
      </c>
      <c r="E14" s="2">
        <v>2090315</v>
      </c>
      <c r="F14" s="2">
        <v>3716443</v>
      </c>
    </row>
    <row r="15" spans="1:6" ht="17.25" thickBot="1" x14ac:dyDescent="0.35">
      <c r="A15" s="4" t="s">
        <v>13</v>
      </c>
      <c r="B15" s="5">
        <f>SUM(B3:B14)</f>
        <v>-23086899</v>
      </c>
      <c r="C15" s="5">
        <f t="shared" ref="C15:F15" si="1">SUM(C3:C14)</f>
        <v>812342</v>
      </c>
      <c r="D15" s="5">
        <f t="shared" si="1"/>
        <v>1425575</v>
      </c>
      <c r="E15" s="5">
        <f t="shared" si="1"/>
        <v>23899241</v>
      </c>
      <c r="F15" s="5">
        <f t="shared" si="1"/>
        <v>54004418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E3-C3</f>
        <v>195971</v>
      </c>
      <c r="C3" s="2">
        <v>186370</v>
      </c>
      <c r="D3" s="2">
        <v>320000</v>
      </c>
      <c r="E3" s="2">
        <v>382341</v>
      </c>
      <c r="F3" s="2">
        <v>498630</v>
      </c>
    </row>
    <row r="4" spans="1:6" x14ac:dyDescent="0.3">
      <c r="A4" s="1" t="s">
        <v>1</v>
      </c>
      <c r="B4" s="2">
        <f t="shared" ref="B4:B15" si="0">E4-C4</f>
        <v>1335828</v>
      </c>
      <c r="C4" s="2">
        <v>394847</v>
      </c>
      <c r="D4" s="2">
        <v>680000</v>
      </c>
      <c r="E4" s="2">
        <v>1730675</v>
      </c>
      <c r="F4" s="2">
        <v>3759072</v>
      </c>
    </row>
    <row r="5" spans="1:6" x14ac:dyDescent="0.3">
      <c r="A5" s="1" t="s">
        <v>2</v>
      </c>
      <c r="B5" s="2">
        <f t="shared" si="0"/>
        <v>616395</v>
      </c>
      <c r="C5" s="2">
        <v>0</v>
      </c>
      <c r="D5" s="2">
        <v>0</v>
      </c>
      <c r="E5" s="2">
        <v>616395</v>
      </c>
      <c r="F5" s="2">
        <v>846014</v>
      </c>
    </row>
    <row r="6" spans="1:6" x14ac:dyDescent="0.3">
      <c r="A6" s="1" t="s">
        <v>3</v>
      </c>
      <c r="B6" s="2">
        <f t="shared" si="0"/>
        <v>84997</v>
      </c>
      <c r="C6" s="2">
        <v>635107</v>
      </c>
      <c r="D6" s="2">
        <v>1060000</v>
      </c>
      <c r="E6" s="2">
        <v>720104</v>
      </c>
      <c r="F6" s="2">
        <v>1079000</v>
      </c>
    </row>
    <row r="7" spans="1:6" x14ac:dyDescent="0.3">
      <c r="A7" s="1" t="s">
        <v>4</v>
      </c>
      <c r="B7" s="2">
        <f t="shared" si="0"/>
        <v>-38636</v>
      </c>
      <c r="C7" s="2">
        <v>252168</v>
      </c>
      <c r="D7" s="2">
        <v>400000</v>
      </c>
      <c r="E7" s="2">
        <v>213532</v>
      </c>
      <c r="F7" s="2">
        <v>276250</v>
      </c>
    </row>
    <row r="8" spans="1:6" x14ac:dyDescent="0.3">
      <c r="A8" s="1" t="s">
        <v>5</v>
      </c>
      <c r="B8" s="2">
        <f t="shared" si="0"/>
        <v>-58968</v>
      </c>
      <c r="C8" s="2">
        <v>456357</v>
      </c>
      <c r="D8" s="2">
        <v>740000</v>
      </c>
      <c r="E8" s="2">
        <v>397389</v>
      </c>
      <c r="F8" s="2">
        <v>554005</v>
      </c>
    </row>
    <row r="9" spans="1:6" x14ac:dyDescent="0.3">
      <c r="A9" s="1" t="s">
        <v>6</v>
      </c>
      <c r="B9" s="2">
        <f t="shared" si="0"/>
        <v>-427848</v>
      </c>
      <c r="C9" s="2">
        <v>725785</v>
      </c>
      <c r="D9" s="2">
        <v>1220000</v>
      </c>
      <c r="E9" s="2">
        <v>297937</v>
      </c>
      <c r="F9" s="2">
        <v>351700</v>
      </c>
    </row>
    <row r="10" spans="1:6" x14ac:dyDescent="0.3">
      <c r="A10" s="1" t="s">
        <v>7</v>
      </c>
      <c r="B10" s="2">
        <f t="shared" si="0"/>
        <v>1215915</v>
      </c>
      <c r="C10" s="2">
        <v>460178</v>
      </c>
      <c r="D10" s="2">
        <v>760000</v>
      </c>
      <c r="E10" s="2">
        <v>1676093</v>
      </c>
      <c r="F10" s="2">
        <v>3937081</v>
      </c>
    </row>
    <row r="11" spans="1:6" x14ac:dyDescent="0.3">
      <c r="A11" s="1" t="s">
        <v>8</v>
      </c>
      <c r="B11" s="2">
        <f t="shared" si="0"/>
        <v>-428107</v>
      </c>
      <c r="C11" s="2">
        <v>718828</v>
      </c>
      <c r="D11" s="2">
        <v>1140000</v>
      </c>
      <c r="E11" s="2">
        <v>290721</v>
      </c>
      <c r="F11" s="2">
        <v>328960</v>
      </c>
    </row>
    <row r="12" spans="1:6" x14ac:dyDescent="0.3">
      <c r="A12" s="1" t="s">
        <v>9</v>
      </c>
      <c r="B12" s="2">
        <f t="shared" si="0"/>
        <v>-319804</v>
      </c>
      <c r="C12" s="2">
        <v>825164</v>
      </c>
      <c r="D12" s="2">
        <v>1300000</v>
      </c>
      <c r="E12" s="2">
        <v>505360</v>
      </c>
      <c r="F12" s="2">
        <v>721021</v>
      </c>
    </row>
    <row r="13" spans="1:6" x14ac:dyDescent="0.3">
      <c r="A13" s="1" t="s">
        <v>10</v>
      </c>
      <c r="B13" s="2">
        <f t="shared" si="0"/>
        <v>-110157</v>
      </c>
      <c r="C13" s="2">
        <v>365370</v>
      </c>
      <c r="D13" s="2">
        <v>600000</v>
      </c>
      <c r="E13" s="2">
        <v>255213</v>
      </c>
      <c r="F13" s="2">
        <v>358000</v>
      </c>
    </row>
    <row r="14" spans="1:6" x14ac:dyDescent="0.3">
      <c r="A14" s="1" t="s">
        <v>11</v>
      </c>
      <c r="B14" s="2">
        <f t="shared" si="0"/>
        <v>177306</v>
      </c>
      <c r="C14" s="2">
        <v>118140</v>
      </c>
      <c r="D14" s="2">
        <v>220000</v>
      </c>
      <c r="E14" s="2">
        <v>295446</v>
      </c>
      <c r="F14" s="2">
        <v>442700</v>
      </c>
    </row>
    <row r="15" spans="1:6" ht="17.25" thickBot="1" x14ac:dyDescent="0.35">
      <c r="A15" s="4" t="s">
        <v>13</v>
      </c>
      <c r="B15" s="5">
        <f t="shared" si="0"/>
        <v>2242892</v>
      </c>
      <c r="C15" s="5">
        <f t="shared" ref="C15" si="1">SUM(C3:C14)</f>
        <v>5138314</v>
      </c>
      <c r="D15" s="5">
        <f t="shared" ref="D15" si="2">SUM(D3:D14)</f>
        <v>8440000</v>
      </c>
      <c r="E15" s="5">
        <f t="shared" ref="E15:F15" si="3">SUM(E3:E14)</f>
        <v>7381206</v>
      </c>
      <c r="F15" s="5">
        <f t="shared" si="3"/>
        <v>13152433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-398733</v>
      </c>
      <c r="C3" s="2">
        <v>144936</v>
      </c>
      <c r="D3" s="2">
        <v>264000</v>
      </c>
      <c r="E3" s="2">
        <v>543669</v>
      </c>
      <c r="F3" s="2">
        <v>827765</v>
      </c>
    </row>
    <row r="4" spans="1:6" x14ac:dyDescent="0.3">
      <c r="A4" s="1" t="s">
        <v>1</v>
      </c>
      <c r="B4" s="2">
        <f t="shared" ref="B4:B14" si="0">C4-E4</f>
        <v>-211226</v>
      </c>
      <c r="C4" s="2">
        <v>120560</v>
      </c>
      <c r="D4" s="2">
        <v>220000</v>
      </c>
      <c r="E4" s="2">
        <v>331786</v>
      </c>
      <c r="F4" s="2">
        <v>468880</v>
      </c>
    </row>
    <row r="5" spans="1:6" x14ac:dyDescent="0.3">
      <c r="A5" s="1" t="s">
        <v>2</v>
      </c>
      <c r="B5" s="2">
        <f t="shared" si="0"/>
        <v>-347645</v>
      </c>
      <c r="C5" s="2">
        <v>146784</v>
      </c>
      <c r="D5" s="2">
        <v>264000</v>
      </c>
      <c r="E5" s="2">
        <v>494429</v>
      </c>
      <c r="F5" s="2">
        <v>801305</v>
      </c>
    </row>
    <row r="6" spans="1:6" x14ac:dyDescent="0.3">
      <c r="A6" s="1" t="s">
        <v>3</v>
      </c>
      <c r="B6" s="2">
        <f t="shared" si="0"/>
        <v>1061990</v>
      </c>
      <c r="C6" s="2">
        <v>1210405</v>
      </c>
      <c r="D6" s="2">
        <v>1818750</v>
      </c>
      <c r="E6" s="2">
        <v>148415</v>
      </c>
      <c r="F6" s="2">
        <v>144602</v>
      </c>
    </row>
    <row r="7" spans="1:6" x14ac:dyDescent="0.3">
      <c r="A7" s="1" t="s">
        <v>4</v>
      </c>
      <c r="B7" s="2">
        <f t="shared" si="0"/>
        <v>291452</v>
      </c>
      <c r="C7" s="2">
        <v>587077</v>
      </c>
      <c r="D7" s="2">
        <v>900000</v>
      </c>
      <c r="E7" s="2">
        <v>295625</v>
      </c>
      <c r="F7" s="2">
        <v>410417</v>
      </c>
    </row>
    <row r="8" spans="1:6" x14ac:dyDescent="0.3">
      <c r="A8" s="1" t="s">
        <v>5</v>
      </c>
      <c r="B8" s="2">
        <f t="shared" si="0"/>
        <v>-407222</v>
      </c>
      <c r="C8" s="2">
        <v>0</v>
      </c>
      <c r="D8" s="2">
        <v>0</v>
      </c>
      <c r="E8" s="2">
        <v>407222</v>
      </c>
      <c r="F8" s="2">
        <v>515000</v>
      </c>
    </row>
    <row r="9" spans="1:6" x14ac:dyDescent="0.3">
      <c r="A9" s="1" t="s">
        <v>6</v>
      </c>
      <c r="B9" s="2">
        <f t="shared" si="0"/>
        <v>-3708277</v>
      </c>
      <c r="C9" s="2">
        <v>0</v>
      </c>
      <c r="D9" s="2">
        <v>0</v>
      </c>
      <c r="E9" s="2">
        <v>3708277</v>
      </c>
      <c r="F9" s="2">
        <v>7860221</v>
      </c>
    </row>
    <row r="10" spans="1:6" x14ac:dyDescent="0.3">
      <c r="A10" s="1" t="s">
        <v>7</v>
      </c>
      <c r="B10" s="2">
        <f t="shared" si="0"/>
        <v>-4715201</v>
      </c>
      <c r="C10" s="2">
        <v>0</v>
      </c>
      <c r="D10" s="2">
        <v>0</v>
      </c>
      <c r="E10" s="2">
        <v>4715201</v>
      </c>
      <c r="F10" s="2">
        <v>10416782</v>
      </c>
    </row>
    <row r="11" spans="1:6" x14ac:dyDescent="0.3">
      <c r="A11" s="1" t="s">
        <v>8</v>
      </c>
      <c r="B11" s="2">
        <f t="shared" si="0"/>
        <v>-6284060</v>
      </c>
      <c r="C11" s="2">
        <v>0</v>
      </c>
      <c r="D11" s="2">
        <v>0</v>
      </c>
      <c r="E11" s="2">
        <v>6284060</v>
      </c>
      <c r="F11" s="2">
        <v>13659052</v>
      </c>
    </row>
    <row r="12" spans="1:6" x14ac:dyDescent="0.3">
      <c r="A12" s="1" t="s">
        <v>9</v>
      </c>
      <c r="B12" s="2">
        <f t="shared" si="0"/>
        <v>-4280385</v>
      </c>
      <c r="C12" s="2">
        <v>0</v>
      </c>
      <c r="D12" s="2">
        <v>0</v>
      </c>
      <c r="E12" s="2">
        <v>4280385</v>
      </c>
      <c r="F12" s="2">
        <v>8755061</v>
      </c>
    </row>
    <row r="13" spans="1:6" x14ac:dyDescent="0.3">
      <c r="A13" s="1" t="s">
        <v>10</v>
      </c>
      <c r="B13" s="2">
        <f t="shared" si="0"/>
        <v>-1022212</v>
      </c>
      <c r="C13" s="2">
        <v>0</v>
      </c>
      <c r="D13" s="2">
        <v>0</v>
      </c>
      <c r="E13" s="2">
        <v>1022212</v>
      </c>
      <c r="F13" s="2">
        <v>1790106</v>
      </c>
    </row>
    <row r="14" spans="1:6" x14ac:dyDescent="0.3">
      <c r="A14" s="1" t="s">
        <v>11</v>
      </c>
      <c r="B14" s="2">
        <f t="shared" si="0"/>
        <v>-513737</v>
      </c>
      <c r="C14" s="2">
        <v>0</v>
      </c>
      <c r="D14" s="2">
        <v>0</v>
      </c>
      <c r="E14" s="2">
        <v>513737</v>
      </c>
      <c r="F14" s="2">
        <v>794063</v>
      </c>
    </row>
    <row r="15" spans="1:6" ht="17.25" thickBot="1" x14ac:dyDescent="0.35">
      <c r="A15" s="4" t="s">
        <v>13</v>
      </c>
      <c r="B15" s="5">
        <f>SUM(B3:B14)</f>
        <v>-20535256</v>
      </c>
      <c r="C15" s="5">
        <f t="shared" ref="C15:F15" si="1">SUM(C3:C14)</f>
        <v>2209762</v>
      </c>
      <c r="D15" s="5">
        <f t="shared" si="1"/>
        <v>3466750</v>
      </c>
      <c r="E15" s="5">
        <f t="shared" si="1"/>
        <v>22745018</v>
      </c>
      <c r="F15" s="5">
        <f t="shared" si="1"/>
        <v>46443254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-5552550</v>
      </c>
      <c r="C3" s="2">
        <v>0</v>
      </c>
      <c r="D3" s="2">
        <v>0</v>
      </c>
      <c r="E3" s="2">
        <v>5552550</v>
      </c>
      <c r="F3" s="2">
        <v>11395000</v>
      </c>
    </row>
    <row r="4" spans="1:6" x14ac:dyDescent="0.3">
      <c r="A4" s="1" t="s">
        <v>1</v>
      </c>
      <c r="B4" s="2">
        <f t="shared" si="0"/>
        <v>-383473</v>
      </c>
      <c r="C4" s="2">
        <v>0</v>
      </c>
      <c r="D4" s="2">
        <v>0</v>
      </c>
      <c r="E4" s="2">
        <v>383473</v>
      </c>
      <c r="F4" s="2">
        <v>584771</v>
      </c>
    </row>
    <row r="5" spans="1:6" x14ac:dyDescent="0.3">
      <c r="A5" s="1" t="s">
        <v>2</v>
      </c>
      <c r="B5" s="2">
        <f t="shared" si="0"/>
        <v>-226876</v>
      </c>
      <c r="C5" s="2">
        <v>0</v>
      </c>
      <c r="D5" s="2">
        <v>0</v>
      </c>
      <c r="E5" s="2">
        <v>226876</v>
      </c>
      <c r="F5" s="2">
        <v>254784</v>
      </c>
    </row>
    <row r="6" spans="1:6" x14ac:dyDescent="0.3">
      <c r="A6" s="1" t="s">
        <v>3</v>
      </c>
      <c r="B6" s="2">
        <f t="shared" si="0"/>
        <v>-711715</v>
      </c>
      <c r="C6" s="2">
        <v>0</v>
      </c>
      <c r="D6" s="2">
        <v>0</v>
      </c>
      <c r="E6" s="2">
        <v>711715</v>
      </c>
      <c r="F6" s="2">
        <v>1384881</v>
      </c>
    </row>
    <row r="7" spans="1:6" x14ac:dyDescent="0.3">
      <c r="A7" s="1" t="s">
        <v>4</v>
      </c>
      <c r="B7" s="2">
        <f t="shared" si="0"/>
        <v>-732570</v>
      </c>
      <c r="C7" s="2">
        <v>0</v>
      </c>
      <c r="D7" s="2">
        <v>0</v>
      </c>
      <c r="E7" s="2">
        <v>732570</v>
      </c>
      <c r="F7" s="2">
        <v>1442000</v>
      </c>
    </row>
    <row r="8" spans="1:6" x14ac:dyDescent="0.3">
      <c r="A8" s="1" t="s">
        <v>5</v>
      </c>
      <c r="B8" s="2">
        <f t="shared" si="0"/>
        <v>-348637</v>
      </c>
      <c r="C8" s="2">
        <v>0</v>
      </c>
      <c r="D8" s="2">
        <v>0</v>
      </c>
      <c r="E8" s="2">
        <v>348637</v>
      </c>
      <c r="F8" s="2">
        <v>453121</v>
      </c>
    </row>
    <row r="9" spans="1:6" x14ac:dyDescent="0.3">
      <c r="A9" s="1" t="s">
        <v>6</v>
      </c>
      <c r="B9" s="2">
        <f t="shared" si="0"/>
        <v>-511393</v>
      </c>
      <c r="C9" s="2">
        <v>0</v>
      </c>
      <c r="D9" s="2">
        <v>0</v>
      </c>
      <c r="E9" s="2">
        <v>511393</v>
      </c>
      <c r="F9" s="2">
        <v>595803</v>
      </c>
    </row>
    <row r="10" spans="1:6" x14ac:dyDescent="0.3">
      <c r="A10" s="1" t="s">
        <v>7</v>
      </c>
      <c r="B10" s="2">
        <f t="shared" si="0"/>
        <v>-247917</v>
      </c>
      <c r="C10" s="2">
        <v>0</v>
      </c>
      <c r="D10" s="2">
        <v>0</v>
      </c>
      <c r="E10" s="2">
        <v>247917</v>
      </c>
      <c r="F10" s="2">
        <v>272009</v>
      </c>
    </row>
    <row r="11" spans="1:6" x14ac:dyDescent="0.3">
      <c r="A11" s="1" t="s">
        <v>8</v>
      </c>
      <c r="B11" s="2">
        <f t="shared" si="0"/>
        <v>-382705</v>
      </c>
      <c r="C11" s="2">
        <v>0</v>
      </c>
      <c r="D11" s="2">
        <v>0</v>
      </c>
      <c r="E11" s="2">
        <v>382705</v>
      </c>
      <c r="F11" s="2">
        <v>466581</v>
      </c>
    </row>
    <row r="12" spans="1:6" x14ac:dyDescent="0.3">
      <c r="A12" s="1" t="s">
        <v>9</v>
      </c>
      <c r="B12" s="2">
        <f t="shared" si="0"/>
        <v>-263138</v>
      </c>
      <c r="C12" s="2">
        <v>0</v>
      </c>
      <c r="D12" s="2">
        <v>0</v>
      </c>
      <c r="E12" s="2">
        <v>263138</v>
      </c>
      <c r="F12" s="2">
        <v>378810</v>
      </c>
    </row>
    <row r="13" spans="1:6" x14ac:dyDescent="0.3">
      <c r="A13" s="1" t="s">
        <v>10</v>
      </c>
      <c r="B13" s="2">
        <f t="shared" si="0"/>
        <v>-517023</v>
      </c>
      <c r="C13" s="2">
        <v>0</v>
      </c>
      <c r="D13" s="2">
        <v>0</v>
      </c>
      <c r="E13" s="2">
        <v>517023</v>
      </c>
      <c r="F13" s="2">
        <v>712001</v>
      </c>
    </row>
    <row r="14" spans="1:6" x14ac:dyDescent="0.3">
      <c r="A14" s="1" t="s">
        <v>11</v>
      </c>
      <c r="B14" s="2">
        <f t="shared" si="0"/>
        <v>-256582</v>
      </c>
      <c r="C14" s="2">
        <v>0</v>
      </c>
      <c r="D14" s="2">
        <v>0</v>
      </c>
      <c r="E14" s="2">
        <v>256582</v>
      </c>
      <c r="F14" s="2">
        <v>338440</v>
      </c>
    </row>
    <row r="15" spans="1:6" ht="17.25" thickBot="1" x14ac:dyDescent="0.35">
      <c r="A15" s="4" t="s">
        <v>13</v>
      </c>
      <c r="B15" s="5">
        <f>SUM(B3:B14)</f>
        <v>-10134579</v>
      </c>
      <c r="C15" s="5">
        <f t="shared" ref="C15:F15" si="1">SUM(C3:C14)</f>
        <v>0</v>
      </c>
      <c r="D15" s="5">
        <f t="shared" si="1"/>
        <v>0</v>
      </c>
      <c r="E15" s="5">
        <f t="shared" si="1"/>
        <v>10134579</v>
      </c>
      <c r="F15" s="5">
        <f t="shared" si="1"/>
        <v>18278201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-290374</v>
      </c>
      <c r="C3" s="2">
        <v>0</v>
      </c>
      <c r="D3" s="2">
        <v>0</v>
      </c>
      <c r="E3" s="2">
        <v>290374</v>
      </c>
      <c r="F3" s="2">
        <v>396208</v>
      </c>
    </row>
    <row r="4" spans="1:6" x14ac:dyDescent="0.3">
      <c r="A4" s="1" t="s">
        <v>1</v>
      </c>
      <c r="B4" s="2">
        <f t="shared" si="0"/>
        <v>-478775</v>
      </c>
      <c r="C4" s="2">
        <v>0</v>
      </c>
      <c r="D4" s="2">
        <v>0</v>
      </c>
      <c r="E4" s="2">
        <v>478775</v>
      </c>
      <c r="F4" s="2">
        <v>731200</v>
      </c>
    </row>
    <row r="5" spans="1:6" x14ac:dyDescent="0.3">
      <c r="A5" s="1" t="s">
        <v>2</v>
      </c>
      <c r="B5" s="2">
        <f t="shared" si="0"/>
        <v>-363316</v>
      </c>
      <c r="C5" s="2">
        <v>0</v>
      </c>
      <c r="D5" s="2">
        <v>0</v>
      </c>
      <c r="E5" s="2">
        <v>363316</v>
      </c>
      <c r="F5" s="2">
        <v>475004</v>
      </c>
    </row>
    <row r="6" spans="1:6" x14ac:dyDescent="0.3">
      <c r="A6" s="1" t="s">
        <v>3</v>
      </c>
      <c r="B6" s="2">
        <f t="shared" si="0"/>
        <v>-299549</v>
      </c>
      <c r="C6" s="2">
        <v>0</v>
      </c>
      <c r="D6" s="2">
        <v>0</v>
      </c>
      <c r="E6" s="2">
        <v>299549</v>
      </c>
      <c r="F6" s="2">
        <v>387280</v>
      </c>
    </row>
    <row r="7" spans="1:6" x14ac:dyDescent="0.3">
      <c r="A7" s="1" t="s">
        <v>4</v>
      </c>
      <c r="B7" s="2">
        <f t="shared" si="0"/>
        <v>-466491</v>
      </c>
      <c r="C7" s="2">
        <v>0</v>
      </c>
      <c r="D7" s="2">
        <v>0</v>
      </c>
      <c r="E7" s="2">
        <v>466491</v>
      </c>
      <c r="F7" s="2">
        <v>563200</v>
      </c>
    </row>
    <row r="8" spans="1:6" x14ac:dyDescent="0.3">
      <c r="A8" s="1" t="s">
        <v>5</v>
      </c>
      <c r="B8" s="2">
        <f t="shared" si="0"/>
        <v>-1485995</v>
      </c>
      <c r="C8" s="2">
        <v>0</v>
      </c>
      <c r="D8" s="2">
        <v>0</v>
      </c>
      <c r="E8" s="2">
        <v>1485995</v>
      </c>
      <c r="F8" s="2">
        <v>3447962</v>
      </c>
    </row>
    <row r="9" spans="1:6" x14ac:dyDescent="0.3">
      <c r="A9" s="1" t="s">
        <v>6</v>
      </c>
      <c r="B9" s="2">
        <f t="shared" si="0"/>
        <v>-2654700</v>
      </c>
      <c r="C9" s="2">
        <v>0</v>
      </c>
      <c r="D9" s="2">
        <v>0</v>
      </c>
      <c r="E9" s="2">
        <v>2654700</v>
      </c>
      <c r="F9" s="2">
        <v>6533960</v>
      </c>
    </row>
    <row r="10" spans="1:6" x14ac:dyDescent="0.3">
      <c r="A10" s="1" t="s">
        <v>7</v>
      </c>
      <c r="B10" s="2">
        <f t="shared" si="0"/>
        <v>-330165</v>
      </c>
      <c r="C10" s="2">
        <v>0</v>
      </c>
      <c r="D10" s="2">
        <v>0</v>
      </c>
      <c r="E10" s="2">
        <v>330165</v>
      </c>
      <c r="F10" s="2">
        <v>312780</v>
      </c>
    </row>
    <row r="11" spans="1:6" x14ac:dyDescent="0.3">
      <c r="A11" s="1" t="s">
        <v>8</v>
      </c>
      <c r="B11" s="2">
        <f t="shared" si="0"/>
        <v>-480319</v>
      </c>
      <c r="C11" s="2">
        <v>0</v>
      </c>
      <c r="D11" s="2">
        <v>0</v>
      </c>
      <c r="E11" s="2">
        <v>480319</v>
      </c>
      <c r="F11" s="2">
        <v>567003</v>
      </c>
    </row>
    <row r="12" spans="1:6" x14ac:dyDescent="0.3">
      <c r="A12" s="1" t="s">
        <v>9</v>
      </c>
      <c r="B12" s="2">
        <f t="shared" si="0"/>
        <v>-88128</v>
      </c>
      <c r="C12" s="2">
        <v>0</v>
      </c>
      <c r="D12" s="2">
        <v>0</v>
      </c>
      <c r="E12" s="2">
        <v>88128</v>
      </c>
      <c r="F12" s="2">
        <v>60000</v>
      </c>
    </row>
    <row r="13" spans="1:6" x14ac:dyDescent="0.3">
      <c r="A13" s="1" t="s">
        <v>10</v>
      </c>
      <c r="B13" s="2">
        <f t="shared" si="0"/>
        <v>-131675</v>
      </c>
      <c r="C13" s="2">
        <v>0</v>
      </c>
      <c r="D13" s="2">
        <v>0</v>
      </c>
      <c r="E13" s="2">
        <v>131675</v>
      </c>
      <c r="F13" s="2">
        <v>126760</v>
      </c>
    </row>
    <row r="14" spans="1:6" x14ac:dyDescent="0.3">
      <c r="A14" s="1" t="s">
        <v>11</v>
      </c>
      <c r="B14" s="2">
        <f t="shared" si="0"/>
        <v>-195818</v>
      </c>
      <c r="C14" s="2">
        <v>0</v>
      </c>
      <c r="D14" s="2">
        <v>0</v>
      </c>
      <c r="E14" s="2">
        <v>195818</v>
      </c>
      <c r="F14" s="2">
        <v>154882</v>
      </c>
    </row>
    <row r="15" spans="1:6" ht="17.25" thickBot="1" x14ac:dyDescent="0.35">
      <c r="A15" s="4" t="s">
        <v>13</v>
      </c>
      <c r="B15" s="5">
        <f>SUM(B3:B14)</f>
        <v>-7265305</v>
      </c>
      <c r="C15" s="5">
        <f t="shared" ref="C15:F15" si="1">SUM(C3:C14)</f>
        <v>0</v>
      </c>
      <c r="D15" s="5">
        <f t="shared" si="1"/>
        <v>0</v>
      </c>
      <c r="E15" s="5">
        <f t="shared" si="1"/>
        <v>7265305</v>
      </c>
      <c r="F15" s="5">
        <f t="shared" si="1"/>
        <v>13756239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-3684100</v>
      </c>
      <c r="C3" s="2">
        <v>0</v>
      </c>
      <c r="D3" s="2">
        <v>0</v>
      </c>
      <c r="E3" s="2">
        <v>3684100</v>
      </c>
      <c r="F3" s="2">
        <v>7868427</v>
      </c>
    </row>
    <row r="4" spans="1:6" x14ac:dyDescent="0.3">
      <c r="A4" s="1" t="s">
        <v>1</v>
      </c>
      <c r="B4" s="2">
        <f t="shared" si="0"/>
        <v>-2183549</v>
      </c>
      <c r="C4" s="2">
        <v>0</v>
      </c>
      <c r="D4" s="2">
        <v>0</v>
      </c>
      <c r="E4" s="2">
        <v>2183549</v>
      </c>
      <c r="F4" s="2">
        <v>4427346</v>
      </c>
    </row>
    <row r="5" spans="1:6" x14ac:dyDescent="0.3">
      <c r="A5" s="1" t="s">
        <v>2</v>
      </c>
      <c r="B5" s="2">
        <f t="shared" si="0"/>
        <v>-307472</v>
      </c>
      <c r="C5" s="2">
        <v>0</v>
      </c>
      <c r="D5" s="2">
        <v>0</v>
      </c>
      <c r="E5" s="2">
        <v>307472</v>
      </c>
      <c r="F5" s="2">
        <v>320200</v>
      </c>
    </row>
    <row r="6" spans="1:6" x14ac:dyDescent="0.3">
      <c r="A6" s="1" t="s">
        <v>3</v>
      </c>
      <c r="B6" s="2">
        <f t="shared" si="0"/>
        <v>-6344830</v>
      </c>
      <c r="C6" s="2">
        <v>0</v>
      </c>
      <c r="D6" s="2">
        <v>0</v>
      </c>
      <c r="E6" s="2">
        <v>6344830</v>
      </c>
      <c r="F6" s="2">
        <v>11849405</v>
      </c>
    </row>
    <row r="7" spans="1:6" x14ac:dyDescent="0.3">
      <c r="A7" s="1" t="s">
        <v>4</v>
      </c>
      <c r="B7" s="2">
        <f t="shared" si="0"/>
        <v>-1013005</v>
      </c>
      <c r="C7" s="2">
        <v>0</v>
      </c>
      <c r="D7" s="2">
        <v>0</v>
      </c>
      <c r="E7" s="2">
        <v>1013005</v>
      </c>
      <c r="F7" s="2">
        <v>1350083</v>
      </c>
    </row>
    <row r="8" spans="1:6" x14ac:dyDescent="0.3">
      <c r="A8" s="1" t="s">
        <v>5</v>
      </c>
      <c r="B8" s="2">
        <f t="shared" si="0"/>
        <v>-1655252</v>
      </c>
      <c r="C8" s="2">
        <v>0</v>
      </c>
      <c r="D8" s="2">
        <v>0</v>
      </c>
      <c r="E8" s="2">
        <v>1655252</v>
      </c>
      <c r="F8" s="2">
        <v>2894301</v>
      </c>
    </row>
    <row r="9" spans="1:6" x14ac:dyDescent="0.3">
      <c r="A9" s="1" t="s">
        <v>6</v>
      </c>
      <c r="B9" s="2">
        <f t="shared" si="0"/>
        <v>-298417</v>
      </c>
      <c r="C9" s="2">
        <v>0</v>
      </c>
      <c r="D9" s="2">
        <v>0</v>
      </c>
      <c r="E9" s="2">
        <v>298417</v>
      </c>
      <c r="F9" s="2">
        <v>272003</v>
      </c>
    </row>
    <row r="10" spans="1:6" x14ac:dyDescent="0.3">
      <c r="A10" s="1" t="s">
        <v>7</v>
      </c>
      <c r="B10" s="2">
        <f t="shared" si="0"/>
        <v>-264885</v>
      </c>
      <c r="C10" s="2">
        <v>0</v>
      </c>
      <c r="D10" s="2">
        <v>0</v>
      </c>
      <c r="E10" s="2">
        <v>264885</v>
      </c>
      <c r="F10" s="2">
        <v>204602</v>
      </c>
    </row>
    <row r="11" spans="1:6" x14ac:dyDescent="0.3">
      <c r="A11" s="1" t="s">
        <v>8</v>
      </c>
      <c r="B11" s="2">
        <f t="shared" si="0"/>
        <v>-679738</v>
      </c>
      <c r="C11" s="2">
        <v>0</v>
      </c>
      <c r="D11" s="2">
        <v>0</v>
      </c>
      <c r="E11" s="2">
        <v>679738</v>
      </c>
      <c r="F11" s="2">
        <v>723701</v>
      </c>
    </row>
    <row r="12" spans="1:6" x14ac:dyDescent="0.3">
      <c r="A12" s="1" t="s">
        <v>9</v>
      </c>
      <c r="B12" s="2">
        <f t="shared" si="0"/>
        <v>-451026</v>
      </c>
      <c r="C12" s="2">
        <v>0</v>
      </c>
      <c r="D12" s="2">
        <v>0</v>
      </c>
      <c r="E12" s="2">
        <v>451026</v>
      </c>
      <c r="F12" s="2">
        <v>470901</v>
      </c>
    </row>
    <row r="13" spans="1:6" x14ac:dyDescent="0.3">
      <c r="A13" s="1" t="s">
        <v>10</v>
      </c>
      <c r="B13" s="2">
        <f t="shared" si="0"/>
        <v>-709253</v>
      </c>
      <c r="C13" s="2">
        <v>0</v>
      </c>
      <c r="D13" s="2">
        <v>0</v>
      </c>
      <c r="E13" s="2">
        <v>709253</v>
      </c>
      <c r="F13" s="2">
        <v>756880</v>
      </c>
    </row>
    <row r="14" spans="1:6" x14ac:dyDescent="0.3">
      <c r="A14" s="1" t="s">
        <v>11</v>
      </c>
      <c r="B14" s="2">
        <f t="shared" si="0"/>
        <v>-462985</v>
      </c>
      <c r="C14" s="2">
        <v>0</v>
      </c>
      <c r="D14" s="2">
        <v>0</v>
      </c>
      <c r="E14" s="2">
        <v>462985</v>
      </c>
      <c r="F14" s="2">
        <v>473801</v>
      </c>
    </row>
    <row r="15" spans="1:6" ht="17.25" thickBot="1" x14ac:dyDescent="0.35">
      <c r="A15" s="4" t="s">
        <v>13</v>
      </c>
      <c r="B15" s="5">
        <f>SUM(B3:B14)</f>
        <v>-18054512</v>
      </c>
      <c r="C15" s="5">
        <f t="shared" ref="C15:F15" si="1">SUM(C3:C14)</f>
        <v>0</v>
      </c>
      <c r="D15" s="5">
        <f t="shared" si="1"/>
        <v>0</v>
      </c>
      <c r="E15" s="5">
        <f t="shared" si="1"/>
        <v>18054512</v>
      </c>
      <c r="F15" s="5">
        <f t="shared" si="1"/>
        <v>31611650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-782729</v>
      </c>
      <c r="C3" s="2">
        <v>0</v>
      </c>
      <c r="D3" s="2">
        <v>0</v>
      </c>
      <c r="E3" s="2">
        <v>782729</v>
      </c>
      <c r="F3" s="2">
        <v>767603</v>
      </c>
    </row>
    <row r="4" spans="1:6" x14ac:dyDescent="0.3">
      <c r="A4" s="1" t="s">
        <v>1</v>
      </c>
      <c r="B4" s="2">
        <f t="shared" si="0"/>
        <v>-619479</v>
      </c>
      <c r="C4" s="2">
        <v>0</v>
      </c>
      <c r="D4" s="2">
        <v>0</v>
      </c>
      <c r="E4" s="2">
        <v>619479</v>
      </c>
      <c r="F4" s="2">
        <v>513800</v>
      </c>
    </row>
    <row r="5" spans="1:6" x14ac:dyDescent="0.3">
      <c r="A5" s="1" t="s">
        <v>2</v>
      </c>
      <c r="B5" s="2">
        <f t="shared" si="0"/>
        <v>-141368</v>
      </c>
      <c r="C5" s="2">
        <v>0</v>
      </c>
      <c r="D5" s="2">
        <v>0</v>
      </c>
      <c r="E5" s="2">
        <v>141368</v>
      </c>
      <c r="F5" s="2">
        <v>101200</v>
      </c>
    </row>
    <row r="6" spans="1:6" x14ac:dyDescent="0.3">
      <c r="A6" s="1" t="s">
        <v>3</v>
      </c>
      <c r="B6" s="2">
        <f t="shared" si="0"/>
        <v>-230026</v>
      </c>
      <c r="C6" s="2">
        <v>0</v>
      </c>
      <c r="D6" s="2">
        <v>0</v>
      </c>
      <c r="E6" s="2">
        <v>230026</v>
      </c>
      <c r="F6" s="2">
        <v>163601</v>
      </c>
    </row>
    <row r="7" spans="1:6" x14ac:dyDescent="0.3">
      <c r="A7" s="1" t="s">
        <v>4</v>
      </c>
      <c r="B7" s="2">
        <f t="shared" si="0"/>
        <v>-4637195</v>
      </c>
      <c r="C7" s="2">
        <v>0</v>
      </c>
      <c r="D7" s="2">
        <v>0</v>
      </c>
      <c r="E7" s="2">
        <v>4637195</v>
      </c>
      <c r="F7" s="2">
        <v>8480145</v>
      </c>
    </row>
    <row r="8" spans="1:6" x14ac:dyDescent="0.3">
      <c r="A8" s="1" t="s">
        <v>5</v>
      </c>
      <c r="B8" s="2">
        <f t="shared" si="0"/>
        <v>-500396</v>
      </c>
      <c r="C8" s="2">
        <v>0</v>
      </c>
      <c r="D8" s="2">
        <v>0</v>
      </c>
      <c r="E8" s="2">
        <v>500396</v>
      </c>
      <c r="F8" s="2">
        <v>423682</v>
      </c>
    </row>
    <row r="9" spans="1:6" x14ac:dyDescent="0.3">
      <c r="A9" s="1" t="s">
        <v>6</v>
      </c>
      <c r="B9" s="2">
        <f t="shared" si="0"/>
        <v>-503115</v>
      </c>
      <c r="C9" s="2">
        <v>0</v>
      </c>
      <c r="D9" s="2">
        <v>0</v>
      </c>
      <c r="E9" s="2">
        <v>503115</v>
      </c>
      <c r="F9" s="2">
        <v>401217</v>
      </c>
    </row>
    <row r="10" spans="1:6" x14ac:dyDescent="0.3">
      <c r="A10" s="1" t="s">
        <v>7</v>
      </c>
      <c r="B10" s="2">
        <f t="shared" si="0"/>
        <v>-624815</v>
      </c>
      <c r="C10" s="2">
        <v>0</v>
      </c>
      <c r="D10" s="2">
        <v>0</v>
      </c>
      <c r="E10" s="2">
        <v>624815</v>
      </c>
      <c r="F10" s="2">
        <v>509300</v>
      </c>
    </row>
    <row r="11" spans="1:6" x14ac:dyDescent="0.3">
      <c r="A11" s="1" t="s">
        <v>8</v>
      </c>
      <c r="B11" s="2">
        <f t="shared" si="0"/>
        <v>-451613</v>
      </c>
      <c r="C11" s="2">
        <v>0</v>
      </c>
      <c r="D11" s="2">
        <v>0</v>
      </c>
      <c r="E11" s="2">
        <v>451613</v>
      </c>
      <c r="F11" s="2">
        <v>387301</v>
      </c>
    </row>
    <row r="12" spans="1:6" x14ac:dyDescent="0.3">
      <c r="A12" s="1" t="s">
        <v>9</v>
      </c>
      <c r="B12" s="2">
        <f t="shared" si="0"/>
        <v>-204120</v>
      </c>
      <c r="C12" s="2">
        <v>0</v>
      </c>
      <c r="D12" s="2">
        <v>0</v>
      </c>
      <c r="E12" s="2">
        <v>204120</v>
      </c>
      <c r="F12" s="2">
        <v>152400</v>
      </c>
    </row>
    <row r="13" spans="1:6" x14ac:dyDescent="0.3">
      <c r="A13" s="1" t="s">
        <v>10</v>
      </c>
      <c r="B13" s="2">
        <f t="shared" si="0"/>
        <v>-572863</v>
      </c>
      <c r="C13" s="2">
        <v>0</v>
      </c>
      <c r="D13" s="2">
        <v>0</v>
      </c>
      <c r="E13" s="2">
        <v>572863</v>
      </c>
      <c r="F13" s="2">
        <v>482905</v>
      </c>
    </row>
    <row r="14" spans="1:6" x14ac:dyDescent="0.3">
      <c r="A14" s="1" t="s">
        <v>11</v>
      </c>
      <c r="B14" s="2">
        <f t="shared" si="0"/>
        <v>-881427</v>
      </c>
      <c r="C14" s="2">
        <v>0</v>
      </c>
      <c r="D14" s="2">
        <v>0</v>
      </c>
      <c r="E14" s="2">
        <v>881427</v>
      </c>
      <c r="F14" s="2">
        <v>751800</v>
      </c>
    </row>
    <row r="15" spans="1:6" ht="17.25" thickBot="1" x14ac:dyDescent="0.35">
      <c r="A15" s="4" t="s">
        <v>13</v>
      </c>
      <c r="B15" s="5">
        <f>SUM(B3:B14)</f>
        <v>-10149146</v>
      </c>
      <c r="C15" s="5">
        <f t="shared" ref="C15:F15" si="1">SUM(C3:C14)</f>
        <v>0</v>
      </c>
      <c r="D15" s="5">
        <f t="shared" si="1"/>
        <v>0</v>
      </c>
      <c r="E15" s="5">
        <f t="shared" si="1"/>
        <v>10149146</v>
      </c>
      <c r="F15" s="5">
        <f t="shared" si="1"/>
        <v>13134954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-565632</v>
      </c>
      <c r="C3" s="2">
        <v>0</v>
      </c>
      <c r="D3" s="2">
        <v>0</v>
      </c>
      <c r="E3" s="2">
        <v>565632</v>
      </c>
      <c r="F3" s="2">
        <v>496605</v>
      </c>
    </row>
    <row r="4" spans="1:6" x14ac:dyDescent="0.3">
      <c r="A4" s="1" t="s">
        <v>1</v>
      </c>
      <c r="B4" s="2">
        <f t="shared" si="0"/>
        <v>-527662</v>
      </c>
      <c r="C4" s="2">
        <v>0</v>
      </c>
      <c r="D4" s="2">
        <v>0</v>
      </c>
      <c r="E4" s="2">
        <v>527662</v>
      </c>
      <c r="F4" s="2">
        <v>476800</v>
      </c>
    </row>
    <row r="5" spans="1:6" x14ac:dyDescent="0.3">
      <c r="A5" s="1" t="s">
        <v>2</v>
      </c>
      <c r="B5" s="2">
        <f t="shared" si="0"/>
        <v>-403547</v>
      </c>
      <c r="C5" s="2">
        <v>0</v>
      </c>
      <c r="D5" s="2">
        <v>0</v>
      </c>
      <c r="E5" s="2">
        <v>403547</v>
      </c>
      <c r="F5" s="2">
        <v>371606</v>
      </c>
    </row>
    <row r="6" spans="1:6" x14ac:dyDescent="0.3">
      <c r="A6" s="1" t="s">
        <v>3</v>
      </c>
      <c r="B6" s="2">
        <f t="shared" si="0"/>
        <v>-6017524</v>
      </c>
      <c r="C6" s="2">
        <v>0</v>
      </c>
      <c r="D6" s="2">
        <v>0</v>
      </c>
      <c r="E6" s="2">
        <v>6017524</v>
      </c>
      <c r="F6" s="2">
        <v>9586800</v>
      </c>
    </row>
    <row r="7" spans="1:6" x14ac:dyDescent="0.3">
      <c r="A7" s="1" t="s">
        <v>4</v>
      </c>
      <c r="B7" s="2">
        <f t="shared" si="0"/>
        <v>-8535732</v>
      </c>
      <c r="C7" s="2">
        <v>0</v>
      </c>
      <c r="D7" s="2">
        <v>0</v>
      </c>
      <c r="E7" s="2">
        <v>8535732</v>
      </c>
      <c r="F7" s="2">
        <v>13982252</v>
      </c>
    </row>
    <row r="8" spans="1:6" x14ac:dyDescent="0.3">
      <c r="A8" s="1" t="s">
        <v>5</v>
      </c>
      <c r="B8" s="2">
        <f t="shared" si="0"/>
        <v>-14343801</v>
      </c>
      <c r="C8" s="2">
        <v>0</v>
      </c>
      <c r="D8" s="2">
        <v>0</v>
      </c>
      <c r="E8" s="2">
        <v>14343801</v>
      </c>
      <c r="F8" s="2">
        <v>24039368</v>
      </c>
    </row>
    <row r="9" spans="1:6" x14ac:dyDescent="0.3">
      <c r="A9" s="1" t="s">
        <v>6</v>
      </c>
      <c r="B9" s="2">
        <f t="shared" si="0"/>
        <v>-14883468</v>
      </c>
      <c r="C9" s="2">
        <v>0</v>
      </c>
      <c r="D9" s="2">
        <v>0</v>
      </c>
      <c r="E9" s="2">
        <v>14883468</v>
      </c>
      <c r="F9" s="2">
        <v>26199369</v>
      </c>
    </row>
    <row r="10" spans="1:6" x14ac:dyDescent="0.3">
      <c r="A10" s="1" t="s">
        <v>7</v>
      </c>
      <c r="B10" s="2">
        <f t="shared" si="0"/>
        <v>-5357211</v>
      </c>
      <c r="C10" s="2">
        <v>0</v>
      </c>
      <c r="D10" s="2">
        <v>0</v>
      </c>
      <c r="E10" s="2">
        <v>5357211</v>
      </c>
      <c r="F10" s="2">
        <v>9600440</v>
      </c>
    </row>
    <row r="11" spans="1:6" x14ac:dyDescent="0.3">
      <c r="A11" s="1" t="s">
        <v>8</v>
      </c>
      <c r="B11" s="2">
        <f t="shared" si="0"/>
        <v>-3790844</v>
      </c>
      <c r="C11" s="2">
        <v>0</v>
      </c>
      <c r="D11" s="2">
        <v>0</v>
      </c>
      <c r="E11" s="2">
        <v>3790844</v>
      </c>
      <c r="F11" s="2">
        <v>6703293</v>
      </c>
    </row>
    <row r="12" spans="1:6" x14ac:dyDescent="0.3">
      <c r="A12" s="1" t="s">
        <v>9</v>
      </c>
      <c r="B12" s="2">
        <f t="shared" si="0"/>
        <v>-1391676</v>
      </c>
      <c r="C12" s="2">
        <v>0</v>
      </c>
      <c r="D12" s="2">
        <v>0</v>
      </c>
      <c r="E12" s="2">
        <v>1391676</v>
      </c>
      <c r="F12" s="2">
        <v>2045440</v>
      </c>
    </row>
    <row r="13" spans="1:6" x14ac:dyDescent="0.3">
      <c r="A13" s="1" t="s">
        <v>10</v>
      </c>
      <c r="B13" s="2">
        <f t="shared" si="0"/>
        <v>-1697075</v>
      </c>
      <c r="C13" s="2">
        <v>0</v>
      </c>
      <c r="D13" s="2">
        <v>0</v>
      </c>
      <c r="E13" s="2">
        <v>1697075</v>
      </c>
      <c r="F13" s="2">
        <v>2500288</v>
      </c>
    </row>
    <row r="14" spans="1:6" x14ac:dyDescent="0.3">
      <c r="A14" s="1" t="s">
        <v>11</v>
      </c>
      <c r="B14" s="2">
        <f t="shared" si="0"/>
        <v>-673430</v>
      </c>
      <c r="C14" s="2">
        <v>0</v>
      </c>
      <c r="D14" s="2">
        <v>0</v>
      </c>
      <c r="E14" s="2">
        <v>673430</v>
      </c>
      <c r="F14" s="2">
        <v>674400</v>
      </c>
    </row>
    <row r="15" spans="1:6" ht="17.25" thickBot="1" x14ac:dyDescent="0.35">
      <c r="A15" s="4" t="s">
        <v>13</v>
      </c>
      <c r="B15" s="5">
        <f>SUM(B3:B14)</f>
        <v>-58187602</v>
      </c>
      <c r="C15" s="5">
        <f t="shared" ref="C15:F15" si="1">SUM(C3:C14)</f>
        <v>0</v>
      </c>
      <c r="D15" s="5">
        <f t="shared" si="1"/>
        <v>0</v>
      </c>
      <c r="E15" s="5">
        <f t="shared" si="1"/>
        <v>58187602</v>
      </c>
      <c r="F15" s="5">
        <f t="shared" si="1"/>
        <v>96676661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2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-605548</v>
      </c>
      <c r="C3" s="2">
        <v>0</v>
      </c>
      <c r="D3" s="2">
        <v>0</v>
      </c>
      <c r="E3" s="2">
        <v>605548</v>
      </c>
      <c r="F3" s="2">
        <v>599600</v>
      </c>
    </row>
    <row r="4" spans="1:6" x14ac:dyDescent="0.3">
      <c r="A4" s="1" t="s">
        <v>1</v>
      </c>
      <c r="B4" s="2">
        <f t="shared" si="0"/>
        <v>-610438</v>
      </c>
      <c r="C4" s="2">
        <v>0</v>
      </c>
      <c r="D4" s="2">
        <v>0</v>
      </c>
      <c r="E4" s="2">
        <v>610438</v>
      </c>
      <c r="F4" s="2">
        <v>634400</v>
      </c>
    </row>
    <row r="5" spans="1:6" x14ac:dyDescent="0.3">
      <c r="A5" s="1" t="s">
        <v>2</v>
      </c>
      <c r="B5" s="2">
        <f t="shared" si="0"/>
        <v>-5275230</v>
      </c>
      <c r="C5" s="2">
        <v>0</v>
      </c>
      <c r="D5" s="2">
        <v>0</v>
      </c>
      <c r="E5" s="2">
        <v>5275230</v>
      </c>
      <c r="F5" s="2">
        <v>9114550</v>
      </c>
    </row>
    <row r="6" spans="1:6" x14ac:dyDescent="0.3">
      <c r="A6" s="1" t="s">
        <v>3</v>
      </c>
      <c r="B6" s="2">
        <f t="shared" si="0"/>
        <v>-11600136</v>
      </c>
      <c r="C6" s="2">
        <v>0</v>
      </c>
      <c r="D6" s="2">
        <v>0</v>
      </c>
      <c r="E6" s="2">
        <v>11600136</v>
      </c>
      <c r="F6" s="2">
        <v>21290390</v>
      </c>
    </row>
    <row r="7" spans="1:6" x14ac:dyDescent="0.3">
      <c r="A7" s="1" t="s">
        <v>4</v>
      </c>
      <c r="B7" s="2">
        <f t="shared" si="0"/>
        <v>-6727946</v>
      </c>
      <c r="C7" s="2">
        <v>0</v>
      </c>
      <c r="D7" s="2">
        <v>0</v>
      </c>
      <c r="E7" s="2">
        <v>6727946</v>
      </c>
      <c r="F7" s="2">
        <v>14118290</v>
      </c>
    </row>
    <row r="8" spans="1:6" x14ac:dyDescent="0.3">
      <c r="A8" s="1" t="s">
        <v>5</v>
      </c>
      <c r="B8" s="2">
        <f t="shared" si="0"/>
        <v>-6627677</v>
      </c>
      <c r="C8" s="2">
        <v>0</v>
      </c>
      <c r="D8" s="2">
        <v>0</v>
      </c>
      <c r="E8" s="2">
        <v>6627677</v>
      </c>
      <c r="F8" s="2">
        <v>14443500</v>
      </c>
    </row>
    <row r="9" spans="1:6" x14ac:dyDescent="0.3">
      <c r="A9" s="1" t="s">
        <v>6</v>
      </c>
      <c r="B9" s="2">
        <f t="shared" si="0"/>
        <v>-3345249</v>
      </c>
      <c r="C9" s="2">
        <v>0</v>
      </c>
      <c r="D9" s="2">
        <v>0</v>
      </c>
      <c r="E9" s="2">
        <v>3345249</v>
      </c>
      <c r="F9" s="2">
        <v>6478690</v>
      </c>
    </row>
    <row r="10" spans="1:6" x14ac:dyDescent="0.3">
      <c r="A10" s="1" t="s">
        <v>7</v>
      </c>
      <c r="B10" s="2">
        <f t="shared" si="0"/>
        <v>-3956367</v>
      </c>
      <c r="C10" s="2">
        <v>0</v>
      </c>
      <c r="D10" s="2">
        <v>0</v>
      </c>
      <c r="E10" s="2">
        <v>3956367</v>
      </c>
      <c r="F10" s="2">
        <v>8351480</v>
      </c>
    </row>
    <row r="11" spans="1:6" x14ac:dyDescent="0.3">
      <c r="A11" s="1" t="s">
        <v>8</v>
      </c>
      <c r="B11" s="2">
        <f t="shared" si="0"/>
        <v>-4111846</v>
      </c>
      <c r="C11" s="2">
        <v>0</v>
      </c>
      <c r="D11" s="2">
        <v>0</v>
      </c>
      <c r="E11" s="2">
        <v>4111846</v>
      </c>
      <c r="F11" s="2">
        <v>8150360</v>
      </c>
    </row>
    <row r="12" spans="1:6" x14ac:dyDescent="0.3">
      <c r="A12" s="1" t="s">
        <v>9</v>
      </c>
      <c r="B12" s="2">
        <f t="shared" si="0"/>
        <v>-1835208</v>
      </c>
      <c r="C12" s="2">
        <v>0</v>
      </c>
      <c r="D12" s="2">
        <v>0</v>
      </c>
      <c r="E12" s="2">
        <v>1835208</v>
      </c>
      <c r="F12" s="2">
        <v>3732220</v>
      </c>
    </row>
    <row r="13" spans="1:6" x14ac:dyDescent="0.3">
      <c r="A13" s="1" t="s">
        <v>10</v>
      </c>
      <c r="B13" s="2">
        <f t="shared" si="0"/>
        <v>-1065064</v>
      </c>
      <c r="C13" s="2">
        <v>0</v>
      </c>
      <c r="D13" s="2">
        <v>0</v>
      </c>
      <c r="E13" s="2">
        <v>1065064</v>
      </c>
      <c r="F13" s="2">
        <v>1691671</v>
      </c>
    </row>
    <row r="14" spans="1:6" x14ac:dyDescent="0.3">
      <c r="A14" s="1" t="s">
        <v>11</v>
      </c>
      <c r="B14" s="2">
        <f t="shared" si="0"/>
        <v>-257340</v>
      </c>
      <c r="C14" s="2">
        <v>0</v>
      </c>
      <c r="D14" s="2">
        <v>0</v>
      </c>
      <c r="E14" s="2">
        <v>257340</v>
      </c>
      <c r="F14" s="2">
        <v>174800</v>
      </c>
    </row>
    <row r="15" spans="1:6" ht="17.25" thickBot="1" x14ac:dyDescent="0.35">
      <c r="A15" s="4" t="s">
        <v>13</v>
      </c>
      <c r="B15" s="5">
        <f>SUM(B3:B14)</f>
        <v>-46018049</v>
      </c>
      <c r="C15" s="5">
        <f t="shared" ref="C15:F15" si="1">SUM(C3:C14)</f>
        <v>0</v>
      </c>
      <c r="D15" s="5">
        <f t="shared" si="1"/>
        <v>0</v>
      </c>
      <c r="E15" s="5">
        <f t="shared" si="1"/>
        <v>46018049</v>
      </c>
      <c r="F15" s="5">
        <f t="shared" si="1"/>
        <v>88779951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-631034</v>
      </c>
      <c r="C3" s="2">
        <v>0</v>
      </c>
      <c r="D3" s="2">
        <v>0</v>
      </c>
      <c r="E3" s="2">
        <v>631034</v>
      </c>
      <c r="F3" s="2">
        <v>1120450</v>
      </c>
    </row>
    <row r="4" spans="1:6" x14ac:dyDescent="0.3">
      <c r="A4" s="1" t="s">
        <v>1</v>
      </c>
      <c r="B4" s="2">
        <f t="shared" si="0"/>
        <v>-451543</v>
      </c>
      <c r="C4" s="2">
        <v>0</v>
      </c>
      <c r="D4" s="2">
        <v>0</v>
      </c>
      <c r="E4" s="2">
        <v>451543</v>
      </c>
      <c r="F4" s="2">
        <v>462560</v>
      </c>
    </row>
    <row r="5" spans="1:6" x14ac:dyDescent="0.3">
      <c r="A5" s="1" t="s">
        <v>2</v>
      </c>
      <c r="B5" s="2">
        <f t="shared" si="0"/>
        <v>-1871841</v>
      </c>
      <c r="C5" s="2">
        <v>0</v>
      </c>
      <c r="D5" s="2">
        <v>0</v>
      </c>
      <c r="E5" s="2">
        <v>1871841</v>
      </c>
      <c r="F5" s="2">
        <v>4050740</v>
      </c>
    </row>
    <row r="6" spans="1:6" x14ac:dyDescent="0.3">
      <c r="A6" s="1" t="s">
        <v>3</v>
      </c>
      <c r="B6" s="2">
        <f t="shared" si="0"/>
        <v>-400041</v>
      </c>
      <c r="C6" s="2">
        <v>0</v>
      </c>
      <c r="D6" s="2">
        <v>0</v>
      </c>
      <c r="E6" s="2">
        <v>400041</v>
      </c>
      <c r="F6" s="2">
        <v>420880</v>
      </c>
    </row>
    <row r="7" spans="1:6" x14ac:dyDescent="0.3">
      <c r="A7" s="1" t="s">
        <v>4</v>
      </c>
      <c r="B7" s="2">
        <f t="shared" si="0"/>
        <v>-1606285</v>
      </c>
      <c r="C7" s="2">
        <v>0</v>
      </c>
      <c r="D7" s="2">
        <v>0</v>
      </c>
      <c r="E7" s="2">
        <v>1606285</v>
      </c>
      <c r="F7" s="2">
        <v>3615770</v>
      </c>
    </row>
    <row r="8" spans="1:6" x14ac:dyDescent="0.3">
      <c r="A8" s="1" t="s">
        <v>5</v>
      </c>
      <c r="B8" s="2">
        <f t="shared" si="0"/>
        <v>-3553297</v>
      </c>
      <c r="C8" s="2">
        <v>0</v>
      </c>
      <c r="D8" s="2">
        <v>0</v>
      </c>
      <c r="E8" s="2">
        <v>3553297</v>
      </c>
      <c r="F8" s="2">
        <v>8516680</v>
      </c>
    </row>
    <row r="9" spans="1:6" x14ac:dyDescent="0.3">
      <c r="A9" s="1" t="s">
        <v>6</v>
      </c>
      <c r="B9" s="2">
        <f t="shared" si="0"/>
        <v>-3535397</v>
      </c>
      <c r="C9" s="2">
        <v>0</v>
      </c>
      <c r="D9" s="2">
        <v>0</v>
      </c>
      <c r="E9" s="2">
        <v>3535397</v>
      </c>
      <c r="F9" s="2">
        <v>8764910</v>
      </c>
    </row>
    <row r="10" spans="1:6" x14ac:dyDescent="0.3">
      <c r="A10" s="1" t="s">
        <v>7</v>
      </c>
      <c r="B10" s="2">
        <f t="shared" si="0"/>
        <v>-696909</v>
      </c>
      <c r="C10" s="2">
        <v>0</v>
      </c>
      <c r="D10" s="2">
        <v>0</v>
      </c>
      <c r="E10" s="2">
        <v>696909</v>
      </c>
      <c r="F10" s="2">
        <v>1172381</v>
      </c>
    </row>
    <row r="11" spans="1:6" x14ac:dyDescent="0.3">
      <c r="A11" s="1" t="s">
        <v>8</v>
      </c>
      <c r="B11" s="2">
        <f t="shared" si="0"/>
        <v>-723923</v>
      </c>
      <c r="C11" s="2">
        <v>0</v>
      </c>
      <c r="D11" s="2">
        <v>0</v>
      </c>
      <c r="E11" s="2">
        <v>723923</v>
      </c>
      <c r="F11" s="2">
        <v>802320</v>
      </c>
    </row>
    <row r="12" spans="1:6" x14ac:dyDescent="0.3">
      <c r="A12" s="1" t="s">
        <v>9</v>
      </c>
      <c r="B12" s="2">
        <f t="shared" si="0"/>
        <v>-142323</v>
      </c>
      <c r="C12" s="2">
        <v>0</v>
      </c>
      <c r="D12" s="2">
        <v>0</v>
      </c>
      <c r="E12" s="2">
        <v>142323</v>
      </c>
      <c r="F12" s="2">
        <v>116800</v>
      </c>
    </row>
    <row r="13" spans="1:6" x14ac:dyDescent="0.3">
      <c r="A13" s="1" t="s">
        <v>10</v>
      </c>
      <c r="B13" s="2">
        <f t="shared" si="0"/>
        <v>-464170</v>
      </c>
      <c r="C13" s="2">
        <v>0</v>
      </c>
      <c r="D13" s="2">
        <v>0</v>
      </c>
      <c r="E13" s="2">
        <v>464170</v>
      </c>
      <c r="F13" s="2">
        <v>481600</v>
      </c>
    </row>
    <row r="14" spans="1:6" x14ac:dyDescent="0.3">
      <c r="A14" s="1" t="s">
        <v>11</v>
      </c>
      <c r="B14" s="2">
        <f t="shared" si="0"/>
        <v>-546768</v>
      </c>
      <c r="C14" s="2">
        <v>0</v>
      </c>
      <c r="D14" s="2">
        <v>0</v>
      </c>
      <c r="E14" s="2">
        <v>546768</v>
      </c>
      <c r="F14" s="2">
        <v>569920</v>
      </c>
    </row>
    <row r="15" spans="1:6" ht="17.25" thickBot="1" x14ac:dyDescent="0.35">
      <c r="A15" s="4" t="s">
        <v>13</v>
      </c>
      <c r="B15" s="5">
        <f>SUM(B3:B14)</f>
        <v>-14623531</v>
      </c>
      <c r="C15" s="5">
        <f t="shared" ref="C15:F15" si="1">SUM(C3:C14)</f>
        <v>0</v>
      </c>
      <c r="D15" s="5">
        <f t="shared" si="1"/>
        <v>0</v>
      </c>
      <c r="E15" s="5">
        <f t="shared" si="1"/>
        <v>14623531</v>
      </c>
      <c r="F15" s="5">
        <f t="shared" si="1"/>
        <v>30095011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-402859</v>
      </c>
      <c r="C3" s="2">
        <v>0</v>
      </c>
      <c r="D3" s="2">
        <v>0</v>
      </c>
      <c r="E3" s="2">
        <v>402859</v>
      </c>
      <c r="F3" s="2">
        <v>421601</v>
      </c>
    </row>
    <row r="4" spans="1:6" x14ac:dyDescent="0.3">
      <c r="A4" s="1" t="s">
        <v>1</v>
      </c>
      <c r="B4" s="2">
        <f t="shared" si="0"/>
        <v>-370671</v>
      </c>
      <c r="C4" s="2">
        <v>0</v>
      </c>
      <c r="D4" s="2">
        <v>0</v>
      </c>
      <c r="E4" s="2">
        <v>370671</v>
      </c>
      <c r="F4" s="2">
        <v>437800</v>
      </c>
    </row>
    <row r="5" spans="1:6" x14ac:dyDescent="0.3">
      <c r="A5" s="1" t="s">
        <v>2</v>
      </c>
      <c r="B5" s="2">
        <f t="shared" si="0"/>
        <v>-369161</v>
      </c>
      <c r="C5" s="2">
        <v>0</v>
      </c>
      <c r="D5" s="2">
        <v>0</v>
      </c>
      <c r="E5" s="2">
        <v>369161</v>
      </c>
      <c r="F5" s="2">
        <v>400240</v>
      </c>
    </row>
    <row r="6" spans="1:6" x14ac:dyDescent="0.3">
      <c r="A6" s="1" t="s">
        <v>3</v>
      </c>
      <c r="B6" s="2">
        <f t="shared" si="0"/>
        <v>-520699</v>
      </c>
      <c r="C6" s="2">
        <v>0</v>
      </c>
      <c r="D6" s="2">
        <v>0</v>
      </c>
      <c r="E6" s="2">
        <v>520699</v>
      </c>
      <c r="F6" s="2">
        <v>551200</v>
      </c>
    </row>
    <row r="7" spans="1:6" x14ac:dyDescent="0.3">
      <c r="A7" s="1" t="s">
        <v>4</v>
      </c>
      <c r="B7" s="2">
        <f t="shared" si="0"/>
        <v>-404500</v>
      </c>
      <c r="C7" s="2">
        <v>0</v>
      </c>
      <c r="D7" s="2">
        <v>0</v>
      </c>
      <c r="E7" s="2">
        <v>404500</v>
      </c>
      <c r="F7" s="2">
        <v>458241</v>
      </c>
    </row>
    <row r="8" spans="1:6" x14ac:dyDescent="0.3">
      <c r="A8" s="1" t="s">
        <v>5</v>
      </c>
      <c r="B8" s="2">
        <f t="shared" si="0"/>
        <v>-3533512</v>
      </c>
      <c r="C8" s="2">
        <v>0</v>
      </c>
      <c r="D8" s="2">
        <v>0</v>
      </c>
      <c r="E8" s="2">
        <v>3533512</v>
      </c>
      <c r="F8" s="2">
        <v>7788821</v>
      </c>
    </row>
    <row r="9" spans="1:6" x14ac:dyDescent="0.3">
      <c r="A9" s="1" t="s">
        <v>6</v>
      </c>
      <c r="B9" s="2">
        <f t="shared" si="0"/>
        <v>-6370927</v>
      </c>
      <c r="C9" s="2">
        <v>0</v>
      </c>
      <c r="D9" s="2">
        <v>0</v>
      </c>
      <c r="E9" s="2">
        <v>6370927</v>
      </c>
      <c r="F9" s="2">
        <v>14994296</v>
      </c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-11972329</v>
      </c>
      <c r="C15" s="5">
        <f t="shared" ref="C15:F15" si="1">SUM(C3:C14)</f>
        <v>0</v>
      </c>
      <c r="D15" s="5">
        <f t="shared" si="1"/>
        <v>0</v>
      </c>
      <c r="E15" s="5">
        <f t="shared" si="1"/>
        <v>11972329</v>
      </c>
      <c r="F15" s="5">
        <f t="shared" si="1"/>
        <v>25052199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2010년</vt:lpstr>
      <vt:lpstr>2011년</vt:lpstr>
      <vt:lpstr>2012년</vt:lpstr>
      <vt:lpstr>2013년</vt:lpstr>
      <vt:lpstr>2014년</vt:lpstr>
      <vt:lpstr>2015년</vt:lpstr>
      <vt:lpstr>2016년</vt:lpstr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  <vt:lpstr>2026년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2026-05-27T05:29:32Z</dcterms:created>
  <dcterms:modified xsi:type="dcterms:W3CDTF">2026-08-21T04:48:16Z</dcterms:modified>
</cp:coreProperties>
</file>