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스테아린(.2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3"/>
  <c r="B15" i="1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6"/>
  <c r="B15" i="5"/>
  <c r="B15" i="3"/>
  <c r="B15" i="2"/>
  <c r="B15" i="1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<sst xmlns="http://schemas.openxmlformats.org/spreadsheetml/2006/main" count="306" uniqueCount="38">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</sst>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-1919043</v>
      </c>
      <c r="C3" s="3">
        <v>0</v>
      </c>
      <c r="D3" s="3">
        <v>0</v>
      </c>
      <c r="E3" s="3">
        <v>1919043</v>
      </c>
      <c r="F3" s="3">
        <v>2698274</v>
      </c>
    </row>
    <row r="4" spans="1:6" x14ac:dyDescent="0.3">
      <c r="A4" s="2" t="s">
        <v>24</v>
      </c>
      <c r="B4" s="3">
        <f t="shared" ref="B4:B14" si="0">C4-E4</f>
        <v>-4028471</v>
      </c>
      <c r="C4" s="3">
        <v>0</v>
      </c>
      <c r="D4" s="3">
        <v>0</v>
      </c>
      <c r="E4" s="3">
        <v>4028471</v>
      </c>
      <c r="F4" s="3">
        <v>5224853</v>
      </c>
    </row>
    <row r="5" spans="1:6" x14ac:dyDescent="0.3">
      <c r="A5" s="2" t="s">
        <v>25</v>
      </c>
      <c r="B5" s="3">
        <f t="shared" si="0"/>
        <v>-4875350</v>
      </c>
      <c r="C5" s="3">
        <v>0</v>
      </c>
      <c r="D5" s="3">
        <v>0</v>
      </c>
      <c r="E5" s="3">
        <v>4875350</v>
      </c>
      <c r="F5" s="3">
        <v>6845676</v>
      </c>
    </row>
    <row r="6" spans="1:6" x14ac:dyDescent="0.3">
      <c r="A6" s="2" t="s">
        <v>8</v>
      </c>
      <c r="B6" s="3">
        <f t="shared" si="0"/>
        <v>-6431359</v>
      </c>
      <c r="C6" s="3">
        <v>0</v>
      </c>
      <c r="D6" s="3">
        <v>0</v>
      </c>
      <c r="E6" s="3">
        <v>6431359</v>
      </c>
      <c r="F6" s="3">
        <v>8187008</v>
      </c>
    </row>
    <row r="7" spans="1:6" x14ac:dyDescent="0.3">
      <c r="A7" s="2" t="s">
        <v>9</v>
      </c>
      <c r="B7" s="3">
        <f t="shared" si="0"/>
        <v>-4200466</v>
      </c>
      <c r="C7" s="3">
        <v>0</v>
      </c>
      <c r="D7" s="3">
        <v>0</v>
      </c>
      <c r="E7" s="3">
        <v>4200466</v>
      </c>
      <c r="F7" s="3">
        <v>5024079</v>
      </c>
    </row>
    <row r="8" spans="1:6" x14ac:dyDescent="0.3">
      <c r="A8" s="2" t="s">
        <v>10</v>
      </c>
      <c r="B8" s="3">
        <f t="shared" si="0"/>
        <v>-4781652</v>
      </c>
      <c r="C8" s="3">
        <v>0</v>
      </c>
      <c r="D8" s="3">
        <v>0</v>
      </c>
      <c r="E8" s="3">
        <v>4781652</v>
      </c>
      <c r="F8" s="3">
        <v>5865074</v>
      </c>
    </row>
    <row r="9" spans="1:6" x14ac:dyDescent="0.3">
      <c r="A9" s="2" t="s">
        <v>11</v>
      </c>
      <c r="B9" s="3">
        <f t="shared" si="0"/>
        <v>-6202622</v>
      </c>
      <c r="C9" s="3">
        <v>0</v>
      </c>
      <c r="D9" s="3">
        <v>0</v>
      </c>
      <c r="E9" s="3">
        <v>6202622</v>
      </c>
      <c r="F9" s="3">
        <v>7933981</v>
      </c>
    </row>
    <row r="10" spans="1:6" x14ac:dyDescent="0.3">
      <c r="A10" s="2" t="s">
        <v>12</v>
      </c>
      <c r="B10" s="3">
        <f t="shared" si="0"/>
        <v>-3931316</v>
      </c>
      <c r="C10" s="3">
        <v>0</v>
      </c>
      <c r="D10" s="3">
        <v>0</v>
      </c>
      <c r="E10" s="3">
        <v>3931316</v>
      </c>
      <c r="F10" s="3">
        <v>4800668</v>
      </c>
    </row>
    <row r="11" spans="1:6" x14ac:dyDescent="0.3">
      <c r="A11" s="2" t="s">
        <v>13</v>
      </c>
      <c r="B11" s="3">
        <f t="shared" si="0"/>
        <v>-1029738</v>
      </c>
      <c r="C11" s="3">
        <v>0</v>
      </c>
      <c r="D11" s="3">
        <v>0</v>
      </c>
      <c r="E11" s="3">
        <v>1029738</v>
      </c>
      <c r="F11" s="3">
        <v>1177536</v>
      </c>
    </row>
    <row r="12" spans="1:6" x14ac:dyDescent="0.3">
      <c r="A12" s="2" t="s">
        <v>14</v>
      </c>
      <c r="B12" s="3">
        <f t="shared" si="0"/>
        <v>-4023535</v>
      </c>
      <c r="C12" s="3">
        <v>0</v>
      </c>
      <c r="D12" s="3">
        <v>0</v>
      </c>
      <c r="E12" s="3">
        <v>4023535</v>
      </c>
      <c r="F12" s="3">
        <v>4538588</v>
      </c>
    </row>
    <row r="13" spans="1:6" x14ac:dyDescent="0.3">
      <c r="A13" s="2" t="s">
        <v>15</v>
      </c>
      <c r="B13" s="3">
        <f t="shared" si="0"/>
        <v>-5864449</v>
      </c>
      <c r="C13" s="3">
        <v>0</v>
      </c>
      <c r="D13" s="3">
        <v>0</v>
      </c>
      <c r="E13" s="3">
        <v>5864449</v>
      </c>
      <c r="F13" s="3">
        <v>5885790</v>
      </c>
    </row>
    <row r="14" spans="1:6" x14ac:dyDescent="0.3">
      <c r="A14" s="2" t="s">
        <v>16</v>
      </c>
      <c r="B14" s="3">
        <f t="shared" si="0"/>
        <v>-2645226</v>
      </c>
      <c r="C14" s="3">
        <v>0</v>
      </c>
      <c r="D14" s="3">
        <v>0</v>
      </c>
      <c r="E14" s="3">
        <v>2645226</v>
      </c>
      <c r="F14" s="3">
        <v>2345326</v>
      </c>
    </row>
    <row r="15" spans="1:6" ht="17.25" thickBot="1" x14ac:dyDescent="0.35">
      <c r="A15" s="4" t="s">
        <v>26</v>
      </c>
      <c r="B15" s="5">
        <f>SUM(B3:B14)</f>
        <v>-49933227</v>
      </c>
      <c r="C15" s="5">
        <f t="shared" ref="C15:F15" si="1">SUM(C3:C14)</f>
        <v>0</v>
      </c>
      <c r="D15" s="5">
        <f t="shared" si="1"/>
        <v>0</v>
      </c>
      <c r="E15" s="5">
        <f t="shared" si="1"/>
        <v>49933227</v>
      </c>
      <c r="F15" s="5">
        <f t="shared" si="1"/>
        <v>60526853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-5010219</v>
      </c>
      <c r="C3" s="3">
        <v>0</v>
      </c>
      <c r="D3" s="3">
        <v>0</v>
      </c>
      <c r="E3" s="3">
        <v>5010219</v>
      </c>
      <c r="F3" s="3">
        <v>4349942</v>
      </c>
    </row>
    <row r="4" spans="1:6" x14ac:dyDescent="0.3">
      <c r="A4" s="2" t="s">
        <v>33</v>
      </c>
      <c r="B4" s="3">
        <f t="shared" ref="B4:B14" si="0">C4-E4</f>
        <v>-6719677</v>
      </c>
      <c r="C4" s="3">
        <v>0</v>
      </c>
      <c r="D4" s="3">
        <v>0</v>
      </c>
      <c r="E4" s="3">
        <v>6719677</v>
      </c>
      <c r="F4" s="3">
        <v>5550814</v>
      </c>
    </row>
    <row r="5" spans="1:6" x14ac:dyDescent="0.3">
      <c r="A5" s="2" t="s">
        <v>34</v>
      </c>
      <c r="B5" s="3">
        <f t="shared" si="0"/>
        <v>-5775892</v>
      </c>
      <c r="C5" s="3">
        <v>0</v>
      </c>
      <c r="D5" s="3">
        <v>0</v>
      </c>
      <c r="E5" s="3">
        <v>5775892</v>
      </c>
      <c r="F5" s="3">
        <v>4744050</v>
      </c>
    </row>
    <row r="6" spans="1:6" x14ac:dyDescent="0.3">
      <c r="A6" s="2" t="s">
        <v>8</v>
      </c>
      <c r="B6" s="3">
        <f t="shared" si="0"/>
        <v>-5389143</v>
      </c>
      <c r="C6" s="3">
        <v>0</v>
      </c>
      <c r="D6" s="3">
        <v>0</v>
      </c>
      <c r="E6" s="3">
        <v>5389143</v>
      </c>
      <c r="F6" s="3">
        <v>4272184</v>
      </c>
    </row>
    <row r="7" spans="1:6" x14ac:dyDescent="0.3">
      <c r="A7" s="2" t="s">
        <v>9</v>
      </c>
      <c r="B7" s="3">
        <f t="shared" si="0"/>
        <v>-3813196</v>
      </c>
      <c r="C7" s="3">
        <v>0</v>
      </c>
      <c r="D7" s="3">
        <v>0</v>
      </c>
      <c r="E7" s="3">
        <v>3813196</v>
      </c>
      <c r="F7" s="3">
        <v>3180681</v>
      </c>
    </row>
    <row r="8" spans="1:6" x14ac:dyDescent="0.3">
      <c r="A8" s="2" t="s">
        <v>10</v>
      </c>
      <c r="B8" s="3">
        <f t="shared" si="0"/>
        <v>-3750325</v>
      </c>
      <c r="C8" s="3">
        <v>0</v>
      </c>
      <c r="D8" s="3">
        <v>0</v>
      </c>
      <c r="E8" s="3">
        <v>3750325</v>
      </c>
      <c r="F8" s="3">
        <v>3155781</v>
      </c>
    </row>
    <row r="9" spans="1:6" x14ac:dyDescent="0.3">
      <c r="A9" s="2" t="s">
        <v>11</v>
      </c>
      <c r="B9" s="3">
        <f t="shared" si="0"/>
        <v>-5625352</v>
      </c>
      <c r="C9" s="3">
        <v>0</v>
      </c>
      <c r="D9" s="3">
        <v>0</v>
      </c>
      <c r="E9" s="3">
        <v>5625352</v>
      </c>
      <c r="F9" s="3">
        <v>5090484</v>
      </c>
    </row>
    <row r="10" spans="1:6" x14ac:dyDescent="0.3">
      <c r="A10" s="2" t="s">
        <v>12</v>
      </c>
      <c r="B10" s="3">
        <f t="shared" si="0"/>
        <v>-6019868</v>
      </c>
      <c r="C10" s="3">
        <v>0</v>
      </c>
      <c r="D10" s="3">
        <v>0</v>
      </c>
      <c r="E10" s="3">
        <v>6019868</v>
      </c>
      <c r="F10" s="3">
        <v>5561098</v>
      </c>
    </row>
    <row r="11" spans="1:6" x14ac:dyDescent="0.3">
      <c r="A11" s="2" t="s">
        <v>13</v>
      </c>
      <c r="B11" s="3">
        <f t="shared" si="0"/>
        <v>-5324160</v>
      </c>
      <c r="C11" s="3">
        <v>0</v>
      </c>
      <c r="D11" s="3">
        <v>0</v>
      </c>
      <c r="E11" s="3">
        <v>5324160</v>
      </c>
      <c r="F11" s="3">
        <v>5347130</v>
      </c>
    </row>
    <row r="12" spans="1:6" x14ac:dyDescent="0.3">
      <c r="A12" s="2" t="s">
        <v>14</v>
      </c>
      <c r="B12" s="3">
        <f t="shared" si="0"/>
        <v>-3131718</v>
      </c>
      <c r="C12" s="3">
        <v>0</v>
      </c>
      <c r="D12" s="3">
        <v>0</v>
      </c>
      <c r="E12" s="3">
        <v>3131718</v>
      </c>
      <c r="F12" s="3">
        <v>3197619</v>
      </c>
    </row>
    <row r="13" spans="1:6" x14ac:dyDescent="0.3">
      <c r="A13" s="2" t="s">
        <v>15</v>
      </c>
      <c r="B13" s="3">
        <f t="shared" si="0"/>
        <v>-3148526</v>
      </c>
      <c r="C13" s="3">
        <v>0</v>
      </c>
      <c r="D13" s="3">
        <v>0</v>
      </c>
      <c r="E13" s="3">
        <v>3148526</v>
      </c>
      <c r="F13" s="3">
        <v>3510456</v>
      </c>
    </row>
    <row r="14" spans="1:6" x14ac:dyDescent="0.3">
      <c r="A14" s="2" t="s">
        <v>16</v>
      </c>
      <c r="B14" s="3">
        <f t="shared" si="0"/>
        <v>-4464766</v>
      </c>
      <c r="C14" s="3">
        <v>0</v>
      </c>
      <c r="D14" s="3">
        <v>0</v>
      </c>
      <c r="E14" s="3">
        <v>4464766</v>
      </c>
      <c r="F14" s="3">
        <v>4702897</v>
      </c>
    </row>
    <row r="15" spans="1:6" ht="17.25" thickBot="1" x14ac:dyDescent="0.35">
      <c r="A15" s="4" t="s">
        <v>35</v>
      </c>
      <c r="B15" s="5">
        <f>SUM(B3:B14)</f>
        <v>-58172842</v>
      </c>
      <c r="C15" s="5">
        <f t="shared" ref="C15:F15" si="1">SUM(C3:C14)</f>
        <v>0</v>
      </c>
      <c r="D15" s="5">
        <f t="shared" si="1"/>
        <v>0</v>
      </c>
      <c r="E15" s="5">
        <f t="shared" si="1"/>
        <v>58172842</v>
      </c>
      <c r="F15" s="5">
        <f t="shared" si="1"/>
        <v>52663136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-4082994</v>
      </c>
      <c r="C3" s="3">
        <v>0</v>
      </c>
      <c r="D3" s="3">
        <v>0</v>
      </c>
      <c r="E3" s="3">
        <v>4082994</v>
      </c>
      <c r="F3" s="3">
        <v>4067887</v>
      </c>
    </row>
    <row r="4" spans="1:6" x14ac:dyDescent="0.3">
      <c r="A4" s="2" t="s">
        <v>33</v>
      </c>
      <c r="B4" s="3">
        <f t="shared" ref="B4:B14" si="0">C4-E4</f>
        <v>-3383520</v>
      </c>
      <c r="C4" s="3">
        <v>0</v>
      </c>
      <c r="D4" s="3">
        <v>0</v>
      </c>
      <c r="E4" s="3">
        <v>3383520</v>
      </c>
      <c r="F4" s="3">
        <v>3432370</v>
      </c>
    </row>
    <row r="5" spans="1:6" x14ac:dyDescent="0.3">
      <c r="A5" s="2" t="s">
        <v>34</v>
      </c>
      <c r="B5" s="3">
        <f t="shared" si="0"/>
        <v>-13148581</v>
      </c>
      <c r="C5" s="3">
        <v>0</v>
      </c>
      <c r="D5" s="3">
        <v>0</v>
      </c>
      <c r="E5" s="3">
        <v>13148581</v>
      </c>
      <c r="F5" s="3">
        <v>13353752</v>
      </c>
    </row>
    <row r="6" spans="1:6" x14ac:dyDescent="0.3">
      <c r="A6" s="2" t="s">
        <v>8</v>
      </c>
      <c r="B6" s="3">
        <f t="shared" si="0"/>
        <v>-3509622</v>
      </c>
      <c r="C6" s="3">
        <v>0</v>
      </c>
      <c r="D6" s="3">
        <v>0</v>
      </c>
      <c r="E6" s="3">
        <v>3509622</v>
      </c>
      <c r="F6" s="3">
        <v>3600767</v>
      </c>
    </row>
    <row r="7" spans="1:6" x14ac:dyDescent="0.3">
      <c r="A7" s="2" t="s">
        <v>9</v>
      </c>
      <c r="B7" s="3">
        <f t="shared" si="0"/>
        <v>-4977791</v>
      </c>
      <c r="C7" s="3">
        <v>0</v>
      </c>
      <c r="D7" s="3">
        <v>0</v>
      </c>
      <c r="E7" s="3">
        <v>4977791</v>
      </c>
      <c r="F7" s="3">
        <v>4313652</v>
      </c>
    </row>
    <row r="8" spans="1:6" x14ac:dyDescent="0.3">
      <c r="A8" s="2" t="s">
        <v>10</v>
      </c>
      <c r="B8" s="3">
        <f t="shared" si="0"/>
        <v>-3605494</v>
      </c>
      <c r="C8" s="3">
        <v>0</v>
      </c>
      <c r="D8" s="3">
        <v>0</v>
      </c>
      <c r="E8" s="3">
        <v>3605494</v>
      </c>
      <c r="F8" s="3">
        <v>3211081</v>
      </c>
    </row>
    <row r="9" spans="1:6" x14ac:dyDescent="0.3">
      <c r="A9" s="2" t="s">
        <v>11</v>
      </c>
      <c r="B9" s="3">
        <f t="shared" si="0"/>
        <v>-5419275</v>
      </c>
      <c r="C9" s="3">
        <v>0</v>
      </c>
      <c r="D9" s="3">
        <v>0</v>
      </c>
      <c r="E9" s="3">
        <v>5419275</v>
      </c>
      <c r="F9" s="3">
        <v>5452547</v>
      </c>
    </row>
    <row r="10" spans="1:6" x14ac:dyDescent="0.3">
      <c r="A10" s="2" t="s">
        <v>12</v>
      </c>
      <c r="B10" s="3">
        <f t="shared" si="0"/>
        <v>-14394213</v>
      </c>
      <c r="C10" s="3">
        <v>0</v>
      </c>
      <c r="D10" s="3">
        <v>0</v>
      </c>
      <c r="E10" s="3">
        <v>14394213</v>
      </c>
      <c r="F10" s="3">
        <v>14866765</v>
      </c>
    </row>
    <row r="11" spans="1:6" x14ac:dyDescent="0.3">
      <c r="A11" s="2" t="s">
        <v>13</v>
      </c>
      <c r="B11" s="3">
        <f t="shared" si="0"/>
        <v>-12047478</v>
      </c>
      <c r="C11" s="3">
        <v>0</v>
      </c>
      <c r="D11" s="3">
        <v>0</v>
      </c>
      <c r="E11" s="3">
        <v>12047478</v>
      </c>
      <c r="F11" s="3">
        <v>12662925</v>
      </c>
    </row>
    <row r="12" spans="1:6" x14ac:dyDescent="0.3">
      <c r="A12" s="2" t="s">
        <v>14</v>
      </c>
      <c r="B12" s="3">
        <f t="shared" si="0"/>
        <v>-3215147</v>
      </c>
      <c r="C12" s="3">
        <v>0</v>
      </c>
      <c r="D12" s="3">
        <v>0</v>
      </c>
      <c r="E12" s="3">
        <v>3215147</v>
      </c>
      <c r="F12" s="3">
        <v>3376652</v>
      </c>
    </row>
    <row r="13" spans="1:6" x14ac:dyDescent="0.3">
      <c r="A13" s="2" t="s">
        <v>15</v>
      </c>
      <c r="B13" s="3">
        <f t="shared" si="0"/>
        <v>-3482438</v>
      </c>
      <c r="C13" s="3">
        <v>0</v>
      </c>
      <c r="D13" s="3">
        <v>0</v>
      </c>
      <c r="E13" s="3">
        <v>3482438</v>
      </c>
      <c r="F13" s="3">
        <v>3861577</v>
      </c>
    </row>
    <row r="14" spans="1:6" x14ac:dyDescent="0.3">
      <c r="A14" s="2" t="s">
        <v>16</v>
      </c>
      <c r="B14" s="3">
        <f t="shared" si="0"/>
        <v>-4098302</v>
      </c>
      <c r="C14" s="3">
        <v>0</v>
      </c>
      <c r="D14" s="3">
        <v>0</v>
      </c>
      <c r="E14" s="3">
        <v>4098302</v>
      </c>
      <c r="F14" s="3">
        <v>4850989</v>
      </c>
    </row>
    <row r="15" spans="1:6" ht="17.25" thickBot="1" x14ac:dyDescent="0.35">
      <c r="A15" s="4" t="s">
        <v>35</v>
      </c>
      <c r="B15" s="5">
        <f>SUM(B3:B14)</f>
        <v>-75364855</v>
      </c>
      <c r="C15" s="5">
        <f t="shared" ref="C15:F15" si="1">SUM(C3:C14)</f>
        <v>0</v>
      </c>
      <c r="D15" s="5">
        <f t="shared" si="1"/>
        <v>0</v>
      </c>
      <c r="E15" s="5">
        <f t="shared" si="1"/>
        <v>75364855</v>
      </c>
      <c r="F15" s="5">
        <f t="shared" si="1"/>
        <v>77050964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-6698000</v>
      </c>
      <c r="C3" s="3">
        <v>0</v>
      </c>
      <c r="D3" s="3">
        <v>0</v>
      </c>
      <c r="E3" s="3">
        <v>6698000</v>
      </c>
      <c r="F3" s="3">
        <v>8957835</v>
      </c>
    </row>
    <row r="4" spans="1:6" x14ac:dyDescent="0.3">
      <c r="A4" s="2" t="s">
        <v>33</v>
      </c>
      <c r="B4" s="3">
        <f t="shared" si="0"/>
        <v>-2243725</v>
      </c>
      <c r="C4" s="3">
        <v>0</v>
      </c>
      <c r="D4" s="3">
        <v>0</v>
      </c>
      <c r="E4" s="3">
        <v>2243725</v>
      </c>
      <c r="F4" s="3">
        <v>2998840</v>
      </c>
    </row>
    <row r="5" spans="1:6" x14ac:dyDescent="0.3">
      <c r="A5" s="2" t="s">
        <v>34</v>
      </c>
      <c r="B5" s="3">
        <f t="shared" si="0"/>
        <v>-6487639</v>
      </c>
      <c r="C5" s="3">
        <v>0</v>
      </c>
      <c r="D5" s="3">
        <v>0</v>
      </c>
      <c r="E5" s="3">
        <v>6487639</v>
      </c>
      <c r="F5" s="3">
        <v>8492095</v>
      </c>
    </row>
    <row r="6" spans="1:6" x14ac:dyDescent="0.3">
      <c r="A6" s="2" t="s">
        <v>8</v>
      </c>
      <c r="B6" s="3">
        <f t="shared" si="0"/>
        <v>-15021730</v>
      </c>
      <c r="C6" s="3">
        <v>0</v>
      </c>
      <c r="D6" s="3">
        <v>0</v>
      </c>
      <c r="E6" s="3">
        <v>15021730</v>
      </c>
      <c r="F6" s="3">
        <v>19307095</v>
      </c>
    </row>
    <row r="7" spans="1:6" x14ac:dyDescent="0.3">
      <c r="A7" s="2" t="s">
        <v>9</v>
      </c>
      <c r="B7" s="3">
        <f t="shared" si="0"/>
        <v>-7678075</v>
      </c>
      <c r="C7" s="3">
        <v>0</v>
      </c>
      <c r="D7" s="3">
        <v>0</v>
      </c>
      <c r="E7" s="3">
        <v>7678075</v>
      </c>
      <c r="F7" s="3">
        <v>9839135</v>
      </c>
    </row>
    <row r="8" spans="1:6" x14ac:dyDescent="0.3">
      <c r="A8" s="2" t="s">
        <v>10</v>
      </c>
      <c r="B8" s="3">
        <f t="shared" si="0"/>
        <v>-5553403</v>
      </c>
      <c r="C8" s="3">
        <v>0</v>
      </c>
      <c r="D8" s="3">
        <v>0</v>
      </c>
      <c r="E8" s="3">
        <v>5553403</v>
      </c>
      <c r="F8" s="3">
        <v>7127052</v>
      </c>
    </row>
    <row r="9" spans="1:6" x14ac:dyDescent="0.3">
      <c r="A9" s="2" t="s">
        <v>11</v>
      </c>
      <c r="B9" s="3">
        <f t="shared" si="0"/>
        <v>-9581293</v>
      </c>
      <c r="C9" s="3">
        <v>0</v>
      </c>
      <c r="D9" s="3">
        <v>0</v>
      </c>
      <c r="E9" s="3">
        <v>9581293</v>
      </c>
      <c r="F9" s="3">
        <v>12610530</v>
      </c>
    </row>
    <row r="10" spans="1:6" x14ac:dyDescent="0.3">
      <c r="A10" s="2" t="s">
        <v>12</v>
      </c>
      <c r="B10" s="3">
        <f t="shared" si="0"/>
        <v>-9071827</v>
      </c>
      <c r="C10" s="3">
        <v>0</v>
      </c>
      <c r="D10" s="3">
        <v>0</v>
      </c>
      <c r="E10" s="3">
        <v>9071827</v>
      </c>
      <c r="F10" s="3">
        <v>11755685</v>
      </c>
    </row>
    <row r="11" spans="1:6" x14ac:dyDescent="0.3">
      <c r="A11" s="2" t="s">
        <v>13</v>
      </c>
      <c r="B11" s="3">
        <f t="shared" si="0"/>
        <v>-15716562</v>
      </c>
      <c r="C11" s="3">
        <v>0</v>
      </c>
      <c r="D11" s="3">
        <v>0</v>
      </c>
      <c r="E11" s="3">
        <v>15716562</v>
      </c>
      <c r="F11" s="3">
        <v>21158044</v>
      </c>
    </row>
    <row r="12" spans="1:6" x14ac:dyDescent="0.3">
      <c r="A12" s="2" t="s">
        <v>14</v>
      </c>
      <c r="B12" s="3">
        <f t="shared" si="0"/>
        <v>-3700429</v>
      </c>
      <c r="C12" s="3">
        <v>0</v>
      </c>
      <c r="D12" s="3">
        <v>0</v>
      </c>
      <c r="E12" s="3">
        <v>3700429</v>
      </c>
      <c r="F12" s="3">
        <v>4934816</v>
      </c>
    </row>
    <row r="13" spans="1:6" x14ac:dyDescent="0.3">
      <c r="A13" s="2" t="s">
        <v>15</v>
      </c>
      <c r="B13" s="3">
        <f t="shared" si="0"/>
        <v>-3244522</v>
      </c>
      <c r="C13" s="3">
        <v>0</v>
      </c>
      <c r="D13" s="3">
        <v>0</v>
      </c>
      <c r="E13" s="3">
        <v>3244522</v>
      </c>
      <c r="F13" s="3">
        <v>4238910</v>
      </c>
    </row>
    <row r="14" spans="1:6" x14ac:dyDescent="0.3">
      <c r="A14" s="2" t="s">
        <v>16</v>
      </c>
      <c r="B14" s="3">
        <f t="shared" si="0"/>
        <v>-2177800</v>
      </c>
      <c r="C14" s="3">
        <v>0</v>
      </c>
      <c r="D14" s="3">
        <v>0</v>
      </c>
      <c r="E14" s="3">
        <v>2177800</v>
      </c>
      <c r="F14" s="3">
        <v>2693628</v>
      </c>
    </row>
    <row r="15" spans="1:6" ht="17.25" thickBot="1" x14ac:dyDescent="0.35">
      <c r="A15" s="4" t="s">
        <v>35</v>
      </c>
      <c r="B15" s="5">
        <f>SUM(B3:B14)</f>
        <v>-87175005</v>
      </c>
      <c r="C15" s="5">
        <f t="shared" ref="C15:F15" si="1">SUM(C3:C14)</f>
        <v>0</v>
      </c>
      <c r="D15" s="5">
        <f t="shared" si="1"/>
        <v>0</v>
      </c>
      <c r="E15" s="5">
        <f t="shared" si="1"/>
        <v>87175005</v>
      </c>
      <c r="F15" s="5">
        <f t="shared" si="1"/>
        <v>114113665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-1877158</v>
      </c>
      <c r="C3" s="3">
        <v>0</v>
      </c>
      <c r="D3" s="3">
        <v>0</v>
      </c>
      <c r="E3" s="3">
        <v>1877158</v>
      </c>
      <c r="F3" s="3">
        <v>2146523</v>
      </c>
    </row>
    <row r="4" spans="1:6" x14ac:dyDescent="0.3">
      <c r="A4" s="2" t="s">
        <v>33</v>
      </c>
      <c r="B4" s="3">
        <f t="shared" si="0"/>
        <v>-4218467</v>
      </c>
      <c r="C4" s="3">
        <v>0</v>
      </c>
      <c r="D4" s="3">
        <v>0</v>
      </c>
      <c r="E4" s="3">
        <v>4218467</v>
      </c>
      <c r="F4" s="3">
        <v>4759490</v>
      </c>
    </row>
    <row r="5" spans="1:6" x14ac:dyDescent="0.3">
      <c r="A5" s="2" t="s">
        <v>34</v>
      </c>
      <c r="B5" s="3">
        <f t="shared" si="0"/>
        <v>-2331007</v>
      </c>
      <c r="C5" s="3">
        <v>0</v>
      </c>
      <c r="D5" s="3">
        <v>0</v>
      </c>
      <c r="E5" s="3">
        <v>2331007</v>
      </c>
      <c r="F5" s="3">
        <v>2781061</v>
      </c>
    </row>
    <row r="6" spans="1:6" x14ac:dyDescent="0.3">
      <c r="A6" s="2" t="s">
        <v>8</v>
      </c>
      <c r="B6" s="3">
        <f t="shared" si="0"/>
        <v>-7270934</v>
      </c>
      <c r="C6" s="3">
        <v>0</v>
      </c>
      <c r="D6" s="3">
        <v>0</v>
      </c>
      <c r="E6" s="3">
        <v>7270934</v>
      </c>
      <c r="F6" s="3">
        <v>8358998</v>
      </c>
    </row>
    <row r="7" spans="1:6" x14ac:dyDescent="0.3">
      <c r="A7" s="2" t="s">
        <v>9</v>
      </c>
      <c r="B7" s="3">
        <f t="shared" si="0"/>
        <v>-9626539</v>
      </c>
      <c r="C7" s="3">
        <v>0</v>
      </c>
      <c r="D7" s="3">
        <v>0</v>
      </c>
      <c r="E7" s="3">
        <v>9626539</v>
      </c>
      <c r="F7" s="3">
        <v>10695223</v>
      </c>
    </row>
    <row r="8" spans="1:6" x14ac:dyDescent="0.3">
      <c r="A8" s="2" t="s">
        <v>10</v>
      </c>
      <c r="B8" s="3">
        <f t="shared" si="0"/>
        <v>-3344220</v>
      </c>
      <c r="C8" s="3">
        <v>0</v>
      </c>
      <c r="D8" s="3">
        <v>0</v>
      </c>
      <c r="E8" s="3">
        <v>3344220</v>
      </c>
      <c r="F8" s="3">
        <v>3761382</v>
      </c>
    </row>
    <row r="9" spans="1:6" x14ac:dyDescent="0.3">
      <c r="A9" s="2" t="s">
        <v>11</v>
      </c>
      <c r="B9" s="3">
        <f t="shared" si="0"/>
        <v>-7527691</v>
      </c>
      <c r="C9" s="3">
        <v>0</v>
      </c>
      <c r="D9" s="3">
        <v>0</v>
      </c>
      <c r="E9" s="3">
        <v>7527691</v>
      </c>
      <c r="F9" s="3">
        <v>8832113</v>
      </c>
    </row>
    <row r="10" spans="1:6" x14ac:dyDescent="0.3">
      <c r="A10" s="2" t="s">
        <v>12</v>
      </c>
      <c r="B10" s="3">
        <f t="shared" si="0"/>
        <v>-4268682</v>
      </c>
      <c r="C10" s="3">
        <v>0</v>
      </c>
      <c r="D10" s="3">
        <v>0</v>
      </c>
      <c r="E10" s="3">
        <v>4268682</v>
      </c>
      <c r="F10" s="3">
        <v>5340507</v>
      </c>
    </row>
    <row r="11" spans="1:6" x14ac:dyDescent="0.3">
      <c r="A11" s="2" t="s">
        <v>13</v>
      </c>
      <c r="B11" s="3">
        <f t="shared" si="0"/>
        <v>-4608993</v>
      </c>
      <c r="C11" s="3">
        <v>0</v>
      </c>
      <c r="D11" s="3">
        <v>0</v>
      </c>
      <c r="E11" s="3">
        <v>4608993</v>
      </c>
      <c r="F11" s="3">
        <v>5841964</v>
      </c>
    </row>
    <row r="12" spans="1:6" x14ac:dyDescent="0.3">
      <c r="A12" s="2" t="s">
        <v>14</v>
      </c>
      <c r="B12" s="3">
        <f t="shared" si="0"/>
        <v>-3125414</v>
      </c>
      <c r="C12" s="3">
        <v>0</v>
      </c>
      <c r="D12" s="3">
        <v>0</v>
      </c>
      <c r="E12" s="3">
        <v>3125414</v>
      </c>
      <c r="F12" s="3">
        <v>4059239</v>
      </c>
    </row>
    <row r="13" spans="1:6" x14ac:dyDescent="0.3">
      <c r="A13" s="2" t="s">
        <v>15</v>
      </c>
      <c r="B13" s="3">
        <f t="shared" si="0"/>
        <v>-2440761</v>
      </c>
      <c r="C13" s="3">
        <v>0</v>
      </c>
      <c r="D13" s="3">
        <v>0</v>
      </c>
      <c r="E13" s="3">
        <v>2440761</v>
      </c>
      <c r="F13" s="3">
        <v>3250427</v>
      </c>
    </row>
    <row r="14" spans="1:6" x14ac:dyDescent="0.3">
      <c r="A14" s="2" t="s">
        <v>16</v>
      </c>
      <c r="B14" s="3">
        <f t="shared" si="0"/>
        <v>-2321710</v>
      </c>
      <c r="C14" s="3">
        <v>0</v>
      </c>
      <c r="D14" s="3">
        <v>0</v>
      </c>
      <c r="E14" s="3">
        <v>2321710</v>
      </c>
      <c r="F14" s="3">
        <v>3126844</v>
      </c>
    </row>
    <row r="15" spans="1:6" ht="17.25" thickBot="1" x14ac:dyDescent="0.35">
      <c r="A15" s="4" t="s">
        <v>35</v>
      </c>
      <c r="B15" s="5">
        <f>SUM(B3:B14)</f>
        <v>-52961576</v>
      </c>
      <c r="C15" s="5">
        <f t="shared" ref="C15:F15" si="1">SUM(C3:C14)</f>
        <v>0</v>
      </c>
      <c r="D15" s="5">
        <f t="shared" si="1"/>
        <v>0</v>
      </c>
      <c r="E15" s="5">
        <f t="shared" si="1"/>
        <v>52961576</v>
      </c>
      <c r="F15" s="5">
        <f t="shared" si="1"/>
        <v>62953771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-3366707</v>
      </c>
      <c r="C3" s="3">
        <v>0</v>
      </c>
      <c r="D3" s="3">
        <v>0</v>
      </c>
      <c r="E3" s="3">
        <v>3366707</v>
      </c>
      <c r="F3" s="3">
        <v>4598817</v>
      </c>
    </row>
    <row r="4" spans="1:6" x14ac:dyDescent="0.3">
      <c r="A4" s="2" t="s">
        <v>33</v>
      </c>
      <c r="B4" s="3">
        <f t="shared" si="0"/>
        <v>-3102150</v>
      </c>
      <c r="C4" s="3">
        <v>0</v>
      </c>
      <c r="D4" s="3">
        <v>0</v>
      </c>
      <c r="E4" s="3">
        <v>3102150</v>
      </c>
      <c r="F4" s="3">
        <v>4141665</v>
      </c>
    </row>
    <row r="5" spans="1:6" x14ac:dyDescent="0.3">
      <c r="A5" s="2" t="s">
        <v>34</v>
      </c>
      <c r="B5" s="3">
        <f t="shared" si="0"/>
        <v>-5251310</v>
      </c>
      <c r="C5" s="3">
        <v>0</v>
      </c>
      <c r="D5" s="3">
        <v>0</v>
      </c>
      <c r="E5" s="3">
        <v>5251310</v>
      </c>
      <c r="F5" s="3">
        <v>7703560</v>
      </c>
    </row>
    <row r="6" spans="1:6" x14ac:dyDescent="0.3">
      <c r="A6" s="2" t="s">
        <v>8</v>
      </c>
      <c r="B6" s="3">
        <f t="shared" si="0"/>
        <v>-5265286</v>
      </c>
      <c r="C6" s="3">
        <v>0</v>
      </c>
      <c r="D6" s="3">
        <v>0</v>
      </c>
      <c r="E6" s="3">
        <v>5265286</v>
      </c>
      <c r="F6" s="3">
        <v>7954710</v>
      </c>
    </row>
    <row r="7" spans="1:6" x14ac:dyDescent="0.3">
      <c r="A7" s="2" t="s">
        <v>9</v>
      </c>
      <c r="B7" s="3">
        <f t="shared" si="0"/>
        <v>-2352758</v>
      </c>
      <c r="C7" s="3">
        <v>0</v>
      </c>
      <c r="D7" s="3">
        <v>0</v>
      </c>
      <c r="E7" s="3">
        <v>2352758</v>
      </c>
      <c r="F7" s="3">
        <v>3662095</v>
      </c>
    </row>
    <row r="8" spans="1:6" x14ac:dyDescent="0.3">
      <c r="A8" s="2" t="s">
        <v>10</v>
      </c>
      <c r="B8" s="3">
        <f t="shared" si="0"/>
        <v>-4725597</v>
      </c>
      <c r="C8" s="3">
        <v>0</v>
      </c>
      <c r="D8" s="3">
        <v>0</v>
      </c>
      <c r="E8" s="3">
        <v>4725597</v>
      </c>
      <c r="F8" s="3">
        <v>7390081</v>
      </c>
    </row>
    <row r="9" spans="1:6" x14ac:dyDescent="0.3">
      <c r="A9" s="2" t="s">
        <v>11</v>
      </c>
      <c r="B9" s="3">
        <f t="shared" si="0"/>
        <v>-7918525</v>
      </c>
      <c r="C9" s="3">
        <v>0</v>
      </c>
      <c r="D9" s="3">
        <v>0</v>
      </c>
      <c r="E9" s="3">
        <v>7918525</v>
      </c>
      <c r="F9" s="3">
        <v>12675832</v>
      </c>
    </row>
    <row r="10" spans="1:6" x14ac:dyDescent="0.3">
      <c r="A10" s="2" t="s">
        <v>12</v>
      </c>
      <c r="B10" s="3">
        <f t="shared" si="0"/>
        <v>-12787207</v>
      </c>
      <c r="C10" s="3">
        <v>0</v>
      </c>
      <c r="D10" s="3">
        <v>0</v>
      </c>
      <c r="E10" s="3">
        <v>12787207</v>
      </c>
      <c r="F10" s="3">
        <v>21409833</v>
      </c>
    </row>
    <row r="11" spans="1:6" x14ac:dyDescent="0.3">
      <c r="A11" s="2" t="s">
        <v>13</v>
      </c>
      <c r="B11" s="3">
        <f t="shared" si="0"/>
        <v>-5789053</v>
      </c>
      <c r="C11" s="3">
        <v>0</v>
      </c>
      <c r="D11" s="3">
        <v>0</v>
      </c>
      <c r="E11" s="3">
        <v>5789053</v>
      </c>
      <c r="F11" s="3">
        <v>11607029</v>
      </c>
    </row>
    <row r="12" spans="1:6" x14ac:dyDescent="0.3">
      <c r="A12" s="2" t="s">
        <v>14</v>
      </c>
      <c r="B12" s="3">
        <f t="shared" si="0"/>
        <v>-4493722</v>
      </c>
      <c r="C12" s="3">
        <v>0</v>
      </c>
      <c r="D12" s="3">
        <v>0</v>
      </c>
      <c r="E12" s="3">
        <v>4493722</v>
      </c>
      <c r="F12" s="3">
        <v>10036660</v>
      </c>
    </row>
    <row r="13" spans="1:6" x14ac:dyDescent="0.3">
      <c r="A13" s="2" t="s">
        <v>15</v>
      </c>
      <c r="B13" s="3">
        <f t="shared" si="0"/>
        <v>-2318370</v>
      </c>
      <c r="C13" s="3">
        <v>0</v>
      </c>
      <c r="D13" s="3">
        <v>0</v>
      </c>
      <c r="E13" s="3">
        <v>2318370</v>
      </c>
      <c r="F13" s="3">
        <v>4411143</v>
      </c>
    </row>
    <row r="14" spans="1:6" x14ac:dyDescent="0.3">
      <c r="A14" s="2" t="s">
        <v>16</v>
      </c>
      <c r="B14" s="3">
        <f t="shared" si="0"/>
        <v>-1921916</v>
      </c>
      <c r="C14" s="3">
        <v>0</v>
      </c>
      <c r="D14" s="3">
        <v>0</v>
      </c>
      <c r="E14" s="3">
        <v>1921916</v>
      </c>
      <c r="F14" s="3">
        <v>3666094</v>
      </c>
    </row>
    <row r="15" spans="1:6" ht="17.25" thickBot="1" x14ac:dyDescent="0.35">
      <c r="A15" s="4" t="s">
        <v>35</v>
      </c>
      <c r="B15" s="5">
        <f>SUM(B3:B14)</f>
        <v>-59292601</v>
      </c>
      <c r="C15" s="5">
        <f t="shared" ref="C15:F15" si="1">SUM(C3:C14)</f>
        <v>0</v>
      </c>
      <c r="D15" s="5">
        <f t="shared" si="1"/>
        <v>0</v>
      </c>
      <c r="E15" s="5">
        <f t="shared" si="1"/>
        <v>59292601</v>
      </c>
      <c r="F15" s="5">
        <f t="shared" si="1"/>
        <v>99257519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-3578731</v>
      </c>
      <c r="C3" s="3">
        <v>0</v>
      </c>
      <c r="D3" s="3">
        <v>0</v>
      </c>
      <c r="E3" s="3">
        <v>3578731</v>
      </c>
      <c r="F3" s="3">
        <v>6727483</v>
      </c>
    </row>
    <row r="4" spans="1:6" x14ac:dyDescent="0.3">
      <c r="A4" s="2" t="s">
        <v>33</v>
      </c>
      <c r="B4" s="3">
        <f t="shared" si="0"/>
        <v>-2765067</v>
      </c>
      <c r="C4" s="3">
        <v>0</v>
      </c>
      <c r="D4" s="3">
        <v>0</v>
      </c>
      <c r="E4" s="3">
        <v>2765067</v>
      </c>
      <c r="F4" s="3">
        <v>5252278</v>
      </c>
    </row>
    <row r="5" spans="1:6" x14ac:dyDescent="0.3">
      <c r="A5" s="2" t="s">
        <v>34</v>
      </c>
      <c r="B5" s="3">
        <f t="shared" si="0"/>
        <v>-11463400</v>
      </c>
      <c r="C5" s="3">
        <v>0</v>
      </c>
      <c r="D5" s="3">
        <v>0</v>
      </c>
      <c r="E5" s="3">
        <v>11463400</v>
      </c>
      <c r="F5" s="3">
        <v>20651928</v>
      </c>
    </row>
    <row r="6" spans="1:6" x14ac:dyDescent="0.3">
      <c r="A6" s="2" t="s">
        <v>8</v>
      </c>
      <c r="B6" s="3">
        <f t="shared" si="0"/>
        <v>-7134632</v>
      </c>
      <c r="C6" s="3">
        <v>0</v>
      </c>
      <c r="D6" s="3">
        <v>0</v>
      </c>
      <c r="E6" s="3">
        <v>7134632</v>
      </c>
      <c r="F6" s="3">
        <v>11333563</v>
      </c>
    </row>
    <row r="7" spans="1:6" x14ac:dyDescent="0.3">
      <c r="A7" s="2" t="s">
        <v>9</v>
      </c>
      <c r="B7" s="3">
        <f t="shared" si="0"/>
        <v>-13413522</v>
      </c>
      <c r="C7" s="3">
        <v>0</v>
      </c>
      <c r="D7" s="3">
        <v>0</v>
      </c>
      <c r="E7" s="3">
        <v>13413522</v>
      </c>
      <c r="F7" s="3">
        <v>20733047</v>
      </c>
    </row>
    <row r="8" spans="1:6" x14ac:dyDescent="0.3">
      <c r="A8" s="2" t="s">
        <v>10</v>
      </c>
      <c r="B8" s="3">
        <f t="shared" si="0"/>
        <v>-12239746</v>
      </c>
      <c r="C8" s="3">
        <v>0</v>
      </c>
      <c r="D8" s="3">
        <v>0</v>
      </c>
      <c r="E8" s="3">
        <v>12239746</v>
      </c>
      <c r="F8" s="3">
        <v>18166099</v>
      </c>
    </row>
    <row r="9" spans="1:6" x14ac:dyDescent="0.3">
      <c r="A9" s="2" t="s">
        <v>11</v>
      </c>
      <c r="B9" s="3">
        <f t="shared" si="0"/>
        <v>-9347881</v>
      </c>
      <c r="C9" s="3">
        <v>0</v>
      </c>
      <c r="D9" s="3">
        <v>0</v>
      </c>
      <c r="E9" s="3">
        <v>9347881</v>
      </c>
      <c r="F9" s="3">
        <v>14343322</v>
      </c>
    </row>
    <row r="10" spans="1:6" x14ac:dyDescent="0.3">
      <c r="A10" s="2" t="s">
        <v>12</v>
      </c>
      <c r="B10" s="3">
        <f t="shared" si="0"/>
        <v>-2670182</v>
      </c>
      <c r="C10" s="3">
        <v>0</v>
      </c>
      <c r="D10" s="3">
        <v>0</v>
      </c>
      <c r="E10" s="3">
        <v>2670182</v>
      </c>
      <c r="F10" s="3">
        <v>4063751</v>
      </c>
    </row>
    <row r="11" spans="1:6" x14ac:dyDescent="0.3">
      <c r="A11" s="2" t="s">
        <v>13</v>
      </c>
      <c r="B11" s="3">
        <f t="shared" si="0"/>
        <v>-5772913</v>
      </c>
      <c r="C11" s="3">
        <v>0</v>
      </c>
      <c r="D11" s="3">
        <v>0</v>
      </c>
      <c r="E11" s="3">
        <v>5772913</v>
      </c>
      <c r="F11" s="3">
        <v>8723380</v>
      </c>
    </row>
    <row r="12" spans="1:6" x14ac:dyDescent="0.3">
      <c r="A12" s="2" t="s">
        <v>14</v>
      </c>
      <c r="B12" s="3">
        <f t="shared" si="0"/>
        <v>-2445232</v>
      </c>
      <c r="C12" s="3">
        <v>0</v>
      </c>
      <c r="D12" s="3">
        <v>0</v>
      </c>
      <c r="E12" s="3">
        <v>2445232</v>
      </c>
      <c r="F12" s="3">
        <v>3453408</v>
      </c>
    </row>
    <row r="13" spans="1:6" x14ac:dyDescent="0.3">
      <c r="A13" s="2" t="s">
        <v>15</v>
      </c>
      <c r="B13" s="3">
        <f t="shared" si="0"/>
        <v>-1777315</v>
      </c>
      <c r="C13" s="3">
        <v>0</v>
      </c>
      <c r="D13" s="3">
        <v>0</v>
      </c>
      <c r="E13" s="3">
        <v>1777315</v>
      </c>
      <c r="F13" s="3">
        <v>2434666</v>
      </c>
    </row>
    <row r="14" spans="1:6" x14ac:dyDescent="0.3">
      <c r="A14" s="2" t="s">
        <v>16</v>
      </c>
      <c r="B14" s="3">
        <f t="shared" si="0"/>
        <v>-2259214</v>
      </c>
      <c r="C14" s="3">
        <v>0</v>
      </c>
      <c r="D14" s="3">
        <v>0</v>
      </c>
      <c r="E14" s="3">
        <v>2259214</v>
      </c>
      <c r="F14" s="3">
        <v>3009980</v>
      </c>
    </row>
    <row r="15" spans="1:6" ht="17.25" thickBot="1" x14ac:dyDescent="0.35">
      <c r="A15" s="4" t="s">
        <v>35</v>
      </c>
      <c r="B15" s="5">
        <f>SUM(B3:B14)</f>
        <v>-74867835</v>
      </c>
      <c r="C15" s="5">
        <f t="shared" ref="C15:F15" si="1">SUM(C3:C14)</f>
        <v>0</v>
      </c>
      <c r="D15" s="5">
        <f t="shared" si="1"/>
        <v>0</v>
      </c>
      <c r="E15" s="5">
        <f t="shared" si="1"/>
        <v>74867835</v>
      </c>
      <c r="F15" s="5">
        <f t="shared" si="1"/>
        <v>118892905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-3047217</v>
      </c>
      <c r="C3" s="3">
        <v>0</v>
      </c>
      <c r="D3" s="3">
        <v>0</v>
      </c>
      <c r="E3" s="3">
        <v>3047217</v>
      </c>
      <c r="F3" s="3">
        <v>3963528</v>
      </c>
    </row>
    <row r="4" spans="1:6" x14ac:dyDescent="0.3">
      <c r="A4" s="2" t="s">
        <v>6</v>
      </c>
      <c r="B4" s="3">
        <f t="shared" ref="B4:B14" si="0">C4-E4</f>
        <v>-5872081</v>
      </c>
      <c r="C4" s="3">
        <v>0</v>
      </c>
      <c r="D4" s="3">
        <v>0</v>
      </c>
      <c r="E4" s="3">
        <v>5872081</v>
      </c>
      <c r="F4" s="3">
        <v>7431918</v>
      </c>
    </row>
    <row r="5" spans="1:6" x14ac:dyDescent="0.3">
      <c r="A5" s="2" t="s">
        <v>7</v>
      </c>
      <c r="B5" s="3">
        <f t="shared" si="0"/>
        <v>-6069450</v>
      </c>
      <c r="C5" s="3">
        <v>0</v>
      </c>
      <c r="D5" s="3">
        <v>0</v>
      </c>
      <c r="E5" s="3">
        <v>6069450</v>
      </c>
      <c r="F5" s="3">
        <v>8036033</v>
      </c>
    </row>
    <row r="6" spans="1:6" x14ac:dyDescent="0.3">
      <c r="A6" s="2" t="s">
        <v>8</v>
      </c>
      <c r="B6" s="3">
        <f t="shared" si="0"/>
        <v>-13148252</v>
      </c>
      <c r="C6" s="3">
        <v>0</v>
      </c>
      <c r="D6" s="3">
        <v>0</v>
      </c>
      <c r="E6" s="3">
        <v>13148252</v>
      </c>
      <c r="F6" s="3">
        <v>18201579</v>
      </c>
    </row>
    <row r="7" spans="1:6" x14ac:dyDescent="0.3">
      <c r="A7" s="2" t="s">
        <v>9</v>
      </c>
      <c r="B7" s="3">
        <f t="shared" si="0"/>
        <v>-10964583</v>
      </c>
      <c r="C7" s="3">
        <v>0</v>
      </c>
      <c r="D7" s="3">
        <v>0</v>
      </c>
      <c r="E7" s="3">
        <v>10964583</v>
      </c>
      <c r="F7" s="3">
        <v>15701048</v>
      </c>
    </row>
    <row r="8" spans="1:6" x14ac:dyDescent="0.3">
      <c r="A8" s="2" t="s">
        <v>10</v>
      </c>
      <c r="B8" s="3">
        <f t="shared" si="0"/>
        <v>-4037814</v>
      </c>
      <c r="C8" s="3">
        <v>0</v>
      </c>
      <c r="D8" s="3">
        <v>0</v>
      </c>
      <c r="E8" s="3">
        <v>4037814</v>
      </c>
      <c r="F8" s="3">
        <v>6135269</v>
      </c>
    </row>
    <row r="9" spans="1:6" x14ac:dyDescent="0.3">
      <c r="A9" s="2" t="s">
        <v>11</v>
      </c>
      <c r="B9" s="3">
        <f t="shared" si="0"/>
        <v>-3312442</v>
      </c>
      <c r="C9" s="3">
        <v>0</v>
      </c>
      <c r="D9" s="3">
        <v>0</v>
      </c>
      <c r="E9" s="3">
        <v>3312442</v>
      </c>
      <c r="F9" s="3">
        <v>5053374</v>
      </c>
    </row>
    <row r="10" spans="1:6" x14ac:dyDescent="0.3">
      <c r="A10" s="2" t="s">
        <v>12</v>
      </c>
      <c r="B10" s="3">
        <f t="shared" si="0"/>
        <v>-3825730</v>
      </c>
      <c r="C10" s="3">
        <v>0</v>
      </c>
      <c r="D10" s="3">
        <v>0</v>
      </c>
      <c r="E10" s="3">
        <v>3825730</v>
      </c>
      <c r="F10" s="3">
        <v>5835176</v>
      </c>
    </row>
    <row r="11" spans="1:6" x14ac:dyDescent="0.3">
      <c r="A11" s="2" t="s">
        <v>13</v>
      </c>
      <c r="B11" s="3">
        <f t="shared" si="0"/>
        <v>-6773574</v>
      </c>
      <c r="C11" s="3">
        <v>0</v>
      </c>
      <c r="D11" s="3">
        <v>0</v>
      </c>
      <c r="E11" s="3">
        <v>6773574</v>
      </c>
      <c r="F11" s="3">
        <v>10266280</v>
      </c>
    </row>
    <row r="12" spans="1:6" x14ac:dyDescent="0.3">
      <c r="A12" s="2" t="s">
        <v>14</v>
      </c>
      <c r="B12" s="3">
        <f t="shared" si="0"/>
        <v>-1633064</v>
      </c>
      <c r="C12" s="3">
        <v>0</v>
      </c>
      <c r="D12" s="3">
        <v>0</v>
      </c>
      <c r="E12" s="3">
        <v>1633064</v>
      </c>
      <c r="F12" s="3">
        <v>2323490</v>
      </c>
    </row>
    <row r="13" spans="1:6" x14ac:dyDescent="0.3">
      <c r="A13" s="2" t="s">
        <v>15</v>
      </c>
      <c r="B13" s="3">
        <f t="shared" si="0"/>
        <v>-1911700</v>
      </c>
      <c r="C13" s="3">
        <v>0</v>
      </c>
      <c r="D13" s="3">
        <v>0</v>
      </c>
      <c r="E13" s="3">
        <v>1911700</v>
      </c>
      <c r="F13" s="3">
        <v>2658135</v>
      </c>
    </row>
    <row r="14" spans="1:6" x14ac:dyDescent="0.3">
      <c r="A14" s="2" t="s">
        <v>16</v>
      </c>
      <c r="B14" s="3">
        <f t="shared" si="0"/>
        <v>-1602130</v>
      </c>
      <c r="C14" s="3">
        <v>0</v>
      </c>
      <c r="D14" s="3">
        <v>0</v>
      </c>
      <c r="E14" s="3">
        <v>1602130</v>
      </c>
      <c r="F14" s="3">
        <v>2097921</v>
      </c>
    </row>
    <row r="15" spans="1:6" ht="17.25" thickBot="1" x14ac:dyDescent="0.35">
      <c r="A15" s="4" t="s">
        <v>17</v>
      </c>
      <c r="B15" s="5">
        <f>SUM(B3:B14)</f>
        <v>-62198037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62198037</v>
      </c>
      <c r="F15" s="5">
        <f t="shared" si="2"/>
        <v>87703751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-2698628</v>
      </c>
      <c r="C3" s="3">
        <v>0</v>
      </c>
      <c r="D3" s="3">
        <v>0</v>
      </c>
      <c r="E3" s="3">
        <v>2698628</v>
      </c>
      <c r="F3" s="3">
        <v>3712036</v>
      </c>
    </row>
    <row r="4" spans="1:6" x14ac:dyDescent="0.3">
      <c r="A4" s="2" t="s">
        <v>6</v>
      </c>
      <c r="B4" s="3">
        <f t="shared" ref="B4:B14" si="0">C4-E4</f>
        <v>-2548675</v>
      </c>
      <c r="C4" s="3">
        <v>0</v>
      </c>
      <c r="D4" s="3">
        <v>0</v>
      </c>
      <c r="E4" s="3">
        <v>2548675</v>
      </c>
      <c r="F4" s="3">
        <v>3529086</v>
      </c>
    </row>
    <row r="5" spans="1:6" x14ac:dyDescent="0.3">
      <c r="A5" s="2" t="s">
        <v>7</v>
      </c>
      <c r="B5" s="3">
        <f t="shared" si="0"/>
        <v>-2347262</v>
      </c>
      <c r="C5" s="3">
        <v>0</v>
      </c>
      <c r="D5" s="3">
        <v>0</v>
      </c>
      <c r="E5" s="3">
        <v>2347262</v>
      </c>
      <c r="F5" s="3">
        <v>3293559</v>
      </c>
    </row>
    <row r="6" spans="1:6" x14ac:dyDescent="0.3">
      <c r="A6" s="2" t="s">
        <v>8</v>
      </c>
      <c r="B6" s="3">
        <f t="shared" si="0"/>
        <v>-2340447</v>
      </c>
      <c r="C6" s="3">
        <v>0</v>
      </c>
      <c r="D6" s="3">
        <v>0</v>
      </c>
      <c r="E6" s="3">
        <v>2340447</v>
      </c>
      <c r="F6" s="3">
        <v>3269553</v>
      </c>
    </row>
    <row r="7" spans="1:6" x14ac:dyDescent="0.3">
      <c r="A7" s="2" t="s">
        <v>9</v>
      </c>
      <c r="B7" s="3">
        <f t="shared" si="0"/>
        <v>-5632998</v>
      </c>
      <c r="C7" s="3">
        <v>0</v>
      </c>
      <c r="D7" s="3">
        <v>0</v>
      </c>
      <c r="E7" s="3">
        <v>5632998</v>
      </c>
      <c r="F7" s="3">
        <v>8556521</v>
      </c>
    </row>
    <row r="8" spans="1:6" x14ac:dyDescent="0.3">
      <c r="A8" s="2" t="s">
        <v>10</v>
      </c>
      <c r="B8" s="3">
        <f t="shared" si="0"/>
        <v>-10177139</v>
      </c>
      <c r="C8" s="3">
        <v>0</v>
      </c>
      <c r="D8" s="3">
        <v>0</v>
      </c>
      <c r="E8" s="3">
        <v>10177139</v>
      </c>
      <c r="F8" s="3">
        <v>15544982</v>
      </c>
    </row>
    <row r="9" spans="1:6" x14ac:dyDescent="0.3">
      <c r="A9" s="2" t="s">
        <v>11</v>
      </c>
      <c r="B9" s="3">
        <f t="shared" si="0"/>
        <v>-1457865</v>
      </c>
      <c r="C9" s="3">
        <v>0</v>
      </c>
      <c r="D9" s="3">
        <v>0</v>
      </c>
      <c r="E9" s="3">
        <v>1457865</v>
      </c>
      <c r="F9" s="3">
        <v>2037565</v>
      </c>
    </row>
    <row r="10" spans="1:6" x14ac:dyDescent="0.3">
      <c r="A10" s="2" t="s">
        <v>12</v>
      </c>
      <c r="B10" s="3">
        <f t="shared" si="0"/>
        <v>-1348312</v>
      </c>
      <c r="C10" s="3">
        <v>0</v>
      </c>
      <c r="D10" s="3">
        <v>0</v>
      </c>
      <c r="E10" s="3">
        <v>1348312</v>
      </c>
      <c r="F10" s="3">
        <v>2003027</v>
      </c>
    </row>
    <row r="11" spans="1:6" x14ac:dyDescent="0.3">
      <c r="A11" s="2" t="s">
        <v>13</v>
      </c>
      <c r="B11" s="3">
        <f t="shared" si="0"/>
        <v>-1116992</v>
      </c>
      <c r="C11" s="3">
        <v>0</v>
      </c>
      <c r="D11" s="3">
        <v>0</v>
      </c>
      <c r="E11" s="3">
        <v>1116992</v>
      </c>
      <c r="F11" s="3">
        <v>1771028</v>
      </c>
    </row>
    <row r="12" spans="1:6" x14ac:dyDescent="0.3">
      <c r="A12" s="2" t="s">
        <v>14</v>
      </c>
      <c r="B12" s="3">
        <f t="shared" si="0"/>
        <v>-1018660</v>
      </c>
      <c r="C12" s="3">
        <v>0</v>
      </c>
      <c r="D12" s="3">
        <v>0</v>
      </c>
      <c r="E12" s="3">
        <v>1018660</v>
      </c>
      <c r="F12" s="3">
        <v>1519849</v>
      </c>
    </row>
    <row r="13" spans="1:6" x14ac:dyDescent="0.3">
      <c r="A13" s="2" t="s">
        <v>15</v>
      </c>
      <c r="B13" s="3">
        <f t="shared" si="0"/>
        <v>-907525</v>
      </c>
      <c r="C13" s="3">
        <v>0</v>
      </c>
      <c r="D13" s="3">
        <v>0</v>
      </c>
      <c r="E13" s="3">
        <v>907525</v>
      </c>
      <c r="F13" s="3">
        <v>1411999</v>
      </c>
    </row>
    <row r="14" spans="1:6" x14ac:dyDescent="0.3">
      <c r="A14" s="2" t="s">
        <v>16</v>
      </c>
      <c r="B14" s="3">
        <f t="shared" si="0"/>
        <v>-1059954</v>
      </c>
      <c r="C14" s="3">
        <v>0</v>
      </c>
      <c r="D14" s="3">
        <v>0</v>
      </c>
      <c r="E14" s="3">
        <v>1059954</v>
      </c>
      <c r="F14" s="3">
        <v>1686896</v>
      </c>
    </row>
    <row r="15" spans="1:6" ht="17.25" thickBot="1" x14ac:dyDescent="0.35">
      <c r="A15" s="4" t="s">
        <v>17</v>
      </c>
      <c r="B15" s="5">
        <f>SUM(B3:B14)</f>
        <v>-32654457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32654457</v>
      </c>
      <c r="F15" s="5">
        <f t="shared" si="2"/>
        <v>48336101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-3092965</v>
      </c>
      <c r="C3" s="3">
        <v>0</v>
      </c>
      <c r="D3" s="3">
        <v>0</v>
      </c>
      <c r="E3" s="3">
        <v>3092965</v>
      </c>
      <c r="F3" s="3">
        <v>6070651</v>
      </c>
    </row>
    <row r="4" spans="1:6" x14ac:dyDescent="0.3">
      <c r="A4" s="2" t="s">
        <v>6</v>
      </c>
      <c r="B4" s="3">
        <f t="shared" ref="B4:B14" si="0">C4-E4</f>
        <v>-1326444</v>
      </c>
      <c r="C4" s="3">
        <v>0</v>
      </c>
      <c r="D4" s="3">
        <v>0</v>
      </c>
      <c r="E4" s="3">
        <v>1326444</v>
      </c>
      <c r="F4" s="3">
        <v>2422882</v>
      </c>
    </row>
    <row r="5" spans="1:6" x14ac:dyDescent="0.3">
      <c r="A5" s="2" t="s">
        <v>7</v>
      </c>
      <c r="B5" s="3">
        <f t="shared" si="0"/>
        <v>-995099</v>
      </c>
      <c r="C5" s="3">
        <v>0</v>
      </c>
      <c r="D5" s="3">
        <v>0</v>
      </c>
      <c r="E5" s="3">
        <v>995099</v>
      </c>
      <c r="F5" s="3">
        <v>1675992</v>
      </c>
    </row>
    <row r="6" spans="1:6" x14ac:dyDescent="0.3">
      <c r="A6" s="2" t="s">
        <v>8</v>
      </c>
      <c r="B6" s="3">
        <f t="shared" si="0"/>
        <v>-4393836</v>
      </c>
      <c r="C6" s="3">
        <v>0</v>
      </c>
      <c r="D6" s="3">
        <v>0</v>
      </c>
      <c r="E6" s="3">
        <v>4393836</v>
      </c>
      <c r="F6" s="3">
        <v>7785840</v>
      </c>
    </row>
    <row r="7" spans="1:6" x14ac:dyDescent="0.3">
      <c r="A7" s="2" t="s">
        <v>9</v>
      </c>
      <c r="B7" s="3">
        <f t="shared" si="0"/>
        <v>-10627481</v>
      </c>
      <c r="C7" s="3">
        <v>0</v>
      </c>
      <c r="D7" s="3">
        <v>0</v>
      </c>
      <c r="E7" s="3">
        <v>10627481</v>
      </c>
      <c r="F7" s="3">
        <v>20074376</v>
      </c>
    </row>
    <row r="8" spans="1:6" x14ac:dyDescent="0.3">
      <c r="A8" s="2" t="s">
        <v>10</v>
      </c>
      <c r="B8" s="3">
        <f t="shared" si="0"/>
        <v>-946890</v>
      </c>
      <c r="C8" s="3">
        <v>0</v>
      </c>
      <c r="D8" s="3">
        <v>0</v>
      </c>
      <c r="E8" s="3">
        <v>946890</v>
      </c>
      <c r="F8" s="3">
        <v>1672699</v>
      </c>
    </row>
    <row r="9" spans="1:6" x14ac:dyDescent="0.3">
      <c r="A9" s="2" t="s">
        <v>11</v>
      </c>
      <c r="B9" s="3">
        <f t="shared" si="0"/>
        <v>-4449574</v>
      </c>
      <c r="C9" s="3">
        <v>0</v>
      </c>
      <c r="D9" s="3">
        <v>0</v>
      </c>
      <c r="E9" s="3">
        <v>4449574</v>
      </c>
      <c r="F9" s="3">
        <v>8886936</v>
      </c>
    </row>
    <row r="10" spans="1:6" x14ac:dyDescent="0.3">
      <c r="A10" s="2" t="s">
        <v>12</v>
      </c>
      <c r="B10" s="3">
        <f t="shared" si="0"/>
        <v>-4936251</v>
      </c>
      <c r="C10" s="3">
        <v>0</v>
      </c>
      <c r="D10" s="3">
        <v>0</v>
      </c>
      <c r="E10" s="3">
        <v>4936251</v>
      </c>
      <c r="F10" s="3">
        <v>9868319</v>
      </c>
    </row>
    <row r="11" spans="1:6" x14ac:dyDescent="0.3">
      <c r="A11" s="2" t="s">
        <v>13</v>
      </c>
      <c r="B11" s="3">
        <f t="shared" si="0"/>
        <v>-6380000</v>
      </c>
      <c r="C11" s="3">
        <v>0</v>
      </c>
      <c r="D11" s="3">
        <v>0</v>
      </c>
      <c r="E11" s="3">
        <v>6380000</v>
      </c>
      <c r="F11" s="3">
        <v>11705291</v>
      </c>
    </row>
    <row r="12" spans="1:6" x14ac:dyDescent="0.3">
      <c r="A12" s="2" t="s">
        <v>14</v>
      </c>
      <c r="B12" s="3">
        <f t="shared" si="0"/>
        <v>-1057618</v>
      </c>
      <c r="C12" s="3">
        <v>0</v>
      </c>
      <c r="D12" s="3">
        <v>0</v>
      </c>
      <c r="E12" s="3">
        <v>1057618</v>
      </c>
      <c r="F12" s="3">
        <v>1739336</v>
      </c>
    </row>
    <row r="13" spans="1:6" x14ac:dyDescent="0.3">
      <c r="A13" s="2" t="s">
        <v>15</v>
      </c>
      <c r="B13" s="3">
        <f t="shared" si="0"/>
        <v>-588580</v>
      </c>
      <c r="C13" s="3">
        <v>0</v>
      </c>
      <c r="D13" s="3">
        <v>0</v>
      </c>
      <c r="E13" s="3">
        <v>588580</v>
      </c>
      <c r="F13" s="3">
        <v>952845</v>
      </c>
    </row>
    <row r="14" spans="1:6" x14ac:dyDescent="0.3">
      <c r="A14" s="2" t="s">
        <v>16</v>
      </c>
      <c r="B14" s="3">
        <f t="shared" si="0"/>
        <v>-5642962</v>
      </c>
      <c r="C14" s="3">
        <v>0</v>
      </c>
      <c r="D14" s="3">
        <v>0</v>
      </c>
      <c r="E14" s="3">
        <v>5642962</v>
      </c>
      <c r="F14" s="3">
        <v>8358524</v>
      </c>
    </row>
    <row r="15" spans="1:6" ht="17.25" thickBot="1" x14ac:dyDescent="0.35">
      <c r="A15" s="4" t="s">
        <v>17</v>
      </c>
      <c r="B15" s="5">
        <f>SUM(B3:B14)</f>
        <v>-44437700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44437700</v>
      </c>
      <c r="F15" s="5">
        <f t="shared" si="2"/>
        <v>81213691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-1314894</v>
      </c>
      <c r="C3" s="3">
        <v>0</v>
      </c>
      <c r="D3" s="3">
        <v>0</v>
      </c>
      <c r="E3" s="3">
        <v>1314894</v>
      </c>
      <c r="F3" s="3">
        <v>1869609</v>
      </c>
    </row>
    <row r="4" spans="1:6" x14ac:dyDescent="0.3">
      <c r="A4" s="2" t="s">
        <v>6</v>
      </c>
      <c r="B4" s="3">
        <f t="shared" ref="B4:B14" si="0">C4-E4</f>
        <v>-8545484</v>
      </c>
      <c r="C4" s="3">
        <v>0</v>
      </c>
      <c r="D4" s="3">
        <v>0</v>
      </c>
      <c r="E4" s="3">
        <v>8545484</v>
      </c>
      <c r="F4" s="3">
        <v>11290381</v>
      </c>
    </row>
    <row r="5" spans="1:6" x14ac:dyDescent="0.3">
      <c r="A5" s="2" t="s">
        <v>7</v>
      </c>
      <c r="B5" s="3">
        <f t="shared" si="0"/>
        <v>-1757043</v>
      </c>
      <c r="C5" s="3">
        <v>0</v>
      </c>
      <c r="D5" s="3">
        <v>0</v>
      </c>
      <c r="E5" s="3">
        <v>1757043</v>
      </c>
      <c r="F5" s="3">
        <v>2227803</v>
      </c>
    </row>
    <row r="6" spans="1:6" x14ac:dyDescent="0.3">
      <c r="A6" s="2" t="s">
        <v>8</v>
      </c>
      <c r="B6" s="3">
        <f t="shared" si="0"/>
        <v>-1956413</v>
      </c>
      <c r="C6" s="3">
        <v>0</v>
      </c>
      <c r="D6" s="3">
        <v>0</v>
      </c>
      <c r="E6" s="3">
        <v>1956413</v>
      </c>
      <c r="F6" s="3">
        <v>2664476</v>
      </c>
    </row>
    <row r="7" spans="1:6" x14ac:dyDescent="0.3">
      <c r="A7" s="2" t="s">
        <v>9</v>
      </c>
      <c r="B7" s="3">
        <f t="shared" si="0"/>
        <v>-1539817</v>
      </c>
      <c r="C7" s="3">
        <v>0</v>
      </c>
      <c r="D7" s="3">
        <v>0</v>
      </c>
      <c r="E7" s="3">
        <v>1539817</v>
      </c>
      <c r="F7" s="3">
        <v>2404975</v>
      </c>
    </row>
    <row r="8" spans="1:6" x14ac:dyDescent="0.3">
      <c r="A8" s="2" t="s">
        <v>10</v>
      </c>
      <c r="B8" s="3">
        <f t="shared" si="0"/>
        <v>-6098846</v>
      </c>
      <c r="C8" s="3">
        <v>0</v>
      </c>
      <c r="D8" s="3">
        <v>0</v>
      </c>
      <c r="E8" s="3">
        <v>6098846</v>
      </c>
      <c r="F8" s="3">
        <v>10679876</v>
      </c>
    </row>
    <row r="9" spans="1:6" x14ac:dyDescent="0.3">
      <c r="A9" s="2" t="s">
        <v>11</v>
      </c>
      <c r="B9" s="3">
        <f t="shared" si="0"/>
        <v>-7323330</v>
      </c>
      <c r="C9" s="3">
        <v>0</v>
      </c>
      <c r="D9" s="3">
        <v>0</v>
      </c>
      <c r="E9" s="3">
        <v>7323330</v>
      </c>
      <c r="F9" s="3">
        <v>11964562</v>
      </c>
    </row>
    <row r="10" spans="1:6" x14ac:dyDescent="0.3">
      <c r="A10" s="2" t="s">
        <v>12</v>
      </c>
      <c r="B10" s="3">
        <f t="shared" si="0"/>
        <v>-3433435</v>
      </c>
      <c r="C10" s="3">
        <v>0</v>
      </c>
      <c r="D10" s="3">
        <v>0</v>
      </c>
      <c r="E10" s="3">
        <v>3433435</v>
      </c>
      <c r="F10" s="3">
        <v>5610236</v>
      </c>
    </row>
    <row r="11" spans="1:6" x14ac:dyDescent="0.3">
      <c r="A11" s="2" t="s">
        <v>13</v>
      </c>
      <c r="B11" s="3">
        <f t="shared" si="0"/>
        <v>-2850465</v>
      </c>
      <c r="C11" s="3">
        <v>0</v>
      </c>
      <c r="D11" s="3">
        <v>0</v>
      </c>
      <c r="E11" s="3">
        <v>2850465</v>
      </c>
      <c r="F11" s="3">
        <v>4104752</v>
      </c>
    </row>
    <row r="12" spans="1:6" x14ac:dyDescent="0.3">
      <c r="A12" s="2" t="s">
        <v>14</v>
      </c>
      <c r="B12" s="3">
        <f t="shared" si="0"/>
        <v>-1869202</v>
      </c>
      <c r="C12" s="3">
        <v>0</v>
      </c>
      <c r="D12" s="3">
        <v>0</v>
      </c>
      <c r="E12" s="3">
        <v>1869202</v>
      </c>
      <c r="F12" s="3">
        <v>2541539</v>
      </c>
    </row>
    <row r="13" spans="1:6" x14ac:dyDescent="0.3">
      <c r="A13" s="2" t="s">
        <v>15</v>
      </c>
      <c r="B13" s="3">
        <f t="shared" si="0"/>
        <v>-3158737</v>
      </c>
      <c r="C13" s="3">
        <v>0</v>
      </c>
      <c r="D13" s="3">
        <v>0</v>
      </c>
      <c r="E13" s="3">
        <v>3158737</v>
      </c>
      <c r="F13" s="3">
        <v>4085180</v>
      </c>
    </row>
    <row r="14" spans="1:6" x14ac:dyDescent="0.3">
      <c r="A14" s="2" t="s">
        <v>16</v>
      </c>
      <c r="B14" s="3">
        <f t="shared" si="0"/>
        <v>-3450535</v>
      </c>
      <c r="C14" s="3">
        <v>0</v>
      </c>
      <c r="D14" s="3">
        <v>0</v>
      </c>
      <c r="E14" s="3">
        <v>3450535</v>
      </c>
      <c r="F14" s="3">
        <v>3900325</v>
      </c>
    </row>
    <row r="15" spans="1:6" ht="17.25" thickBot="1" x14ac:dyDescent="0.35">
      <c r="A15" s="4" t="s">
        <v>17</v>
      </c>
      <c r="B15" s="5">
        <f>SUM(B3:B14)</f>
        <v>-43298201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43298201</v>
      </c>
      <c r="F15" s="5">
        <f t="shared" si="2"/>
        <v>63343714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-2800820</v>
      </c>
      <c r="C3" s="3">
        <v>0</v>
      </c>
      <c r="D3" s="3">
        <v>0</v>
      </c>
      <c r="E3" s="3">
        <v>2800820</v>
      </c>
      <c r="F3" s="3">
        <v>2911820</v>
      </c>
    </row>
    <row r="4" spans="1:6" x14ac:dyDescent="0.3">
      <c r="A4" s="2" t="s">
        <v>6</v>
      </c>
      <c r="B4" s="3">
        <f t="shared" ref="B4:B14" si="0">C4-E4</f>
        <v>-5823768</v>
      </c>
      <c r="C4" s="3">
        <v>0</v>
      </c>
      <c r="D4" s="3">
        <v>0</v>
      </c>
      <c r="E4" s="3">
        <v>5823768</v>
      </c>
      <c r="F4" s="3">
        <v>5832152</v>
      </c>
    </row>
    <row r="5" spans="1:6" x14ac:dyDescent="0.3">
      <c r="A5" s="2" t="s">
        <v>7</v>
      </c>
      <c r="B5" s="3">
        <f t="shared" si="0"/>
        <v>-1824294</v>
      </c>
      <c r="C5" s="3">
        <v>0</v>
      </c>
      <c r="D5" s="3">
        <v>0</v>
      </c>
      <c r="E5" s="3">
        <v>1824294</v>
      </c>
      <c r="F5" s="3">
        <v>1669517</v>
      </c>
    </row>
    <row r="6" spans="1:6" x14ac:dyDescent="0.3">
      <c r="A6" s="2" t="s">
        <v>8</v>
      </c>
      <c r="B6" s="3">
        <f t="shared" si="0"/>
        <v>-4282652</v>
      </c>
      <c r="C6" s="3">
        <v>0</v>
      </c>
      <c r="D6" s="3">
        <v>0</v>
      </c>
      <c r="E6" s="3">
        <v>4282652</v>
      </c>
      <c r="F6" s="3">
        <v>4005252</v>
      </c>
    </row>
    <row r="7" spans="1:6" x14ac:dyDescent="0.3">
      <c r="A7" s="2" t="s">
        <v>9</v>
      </c>
      <c r="B7" s="3">
        <f t="shared" si="0"/>
        <v>-5639645</v>
      </c>
      <c r="C7" s="3">
        <v>0</v>
      </c>
      <c r="D7" s="3">
        <v>0</v>
      </c>
      <c r="E7" s="3">
        <v>5639645</v>
      </c>
      <c r="F7" s="3">
        <v>5274891</v>
      </c>
    </row>
    <row r="8" spans="1:6" x14ac:dyDescent="0.3">
      <c r="A8" s="2" t="s">
        <v>10</v>
      </c>
      <c r="B8" s="3">
        <f t="shared" si="0"/>
        <v>-27872815</v>
      </c>
      <c r="C8" s="3">
        <v>0</v>
      </c>
      <c r="D8" s="3">
        <v>0</v>
      </c>
      <c r="E8" s="3">
        <v>27872815</v>
      </c>
      <c r="F8" s="3">
        <v>25003397</v>
      </c>
    </row>
    <row r="9" spans="1:6" x14ac:dyDescent="0.3">
      <c r="A9" s="2" t="s">
        <v>11</v>
      </c>
      <c r="B9" s="3">
        <f t="shared" si="0"/>
        <v>-2443783</v>
      </c>
      <c r="C9" s="3">
        <v>0</v>
      </c>
      <c r="D9" s="3">
        <v>0</v>
      </c>
      <c r="E9" s="3">
        <v>2443783</v>
      </c>
      <c r="F9" s="3">
        <v>2237496</v>
      </c>
    </row>
    <row r="10" spans="1:6" x14ac:dyDescent="0.3">
      <c r="A10" s="2" t="s">
        <v>12</v>
      </c>
      <c r="B10" s="3">
        <f t="shared" si="0"/>
        <v>-7601154</v>
      </c>
      <c r="C10" s="3">
        <v>0</v>
      </c>
      <c r="D10" s="3">
        <v>0</v>
      </c>
      <c r="E10" s="3">
        <v>7601154</v>
      </c>
      <c r="F10" s="3">
        <v>7213572</v>
      </c>
    </row>
    <row r="11" spans="1:6" x14ac:dyDescent="0.3">
      <c r="A11" s="2" t="s">
        <v>13</v>
      </c>
      <c r="B11" s="3">
        <f t="shared" si="0"/>
        <v>-2117693</v>
      </c>
      <c r="C11" s="3">
        <v>0</v>
      </c>
      <c r="D11" s="3">
        <v>0</v>
      </c>
      <c r="E11" s="3">
        <v>2117693</v>
      </c>
      <c r="F11" s="3">
        <v>1869421</v>
      </c>
    </row>
    <row r="12" spans="1:6" x14ac:dyDescent="0.3">
      <c r="A12" s="2" t="s">
        <v>14</v>
      </c>
      <c r="B12" s="3">
        <f t="shared" si="0"/>
        <v>-8732959</v>
      </c>
      <c r="C12" s="3">
        <v>0</v>
      </c>
      <c r="D12" s="3">
        <v>0</v>
      </c>
      <c r="E12" s="3">
        <v>8732959</v>
      </c>
      <c r="F12" s="3">
        <v>7517108</v>
      </c>
    </row>
    <row r="13" spans="1:6" x14ac:dyDescent="0.3">
      <c r="A13" s="2" t="s">
        <v>15</v>
      </c>
      <c r="B13" s="3">
        <f t="shared" si="0"/>
        <v>-4670761</v>
      </c>
      <c r="C13" s="3">
        <v>0</v>
      </c>
      <c r="D13" s="3">
        <v>0</v>
      </c>
      <c r="E13" s="3">
        <v>4670761</v>
      </c>
      <c r="F13" s="3">
        <v>3612357</v>
      </c>
    </row>
    <row r="14" spans="1:6" x14ac:dyDescent="0.3">
      <c r="A14" s="2" t="s">
        <v>16</v>
      </c>
      <c r="B14" s="3">
        <f t="shared" si="0"/>
        <v>-11810684</v>
      </c>
      <c r="C14" s="3">
        <v>0</v>
      </c>
      <c r="D14" s="3">
        <v>0</v>
      </c>
      <c r="E14" s="3">
        <v>11810684</v>
      </c>
      <c r="F14" s="3">
        <v>8773907</v>
      </c>
    </row>
    <row r="15" spans="1:6" ht="17.25" thickBot="1" x14ac:dyDescent="0.35">
      <c r="A15" s="4" t="s">
        <v>17</v>
      </c>
      <c r="B15" s="5">
        <f>SUM(B3:B14)</f>
        <v>-85621028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85621028</v>
      </c>
      <c r="F15" s="5">
        <f t="shared" si="2"/>
        <v>75920890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-6335609</v>
      </c>
      <c r="C3" s="3">
        <v>0</v>
      </c>
      <c r="D3" s="3">
        <v>0</v>
      </c>
      <c r="E3" s="3">
        <v>6335609</v>
      </c>
      <c r="F3" s="3">
        <v>4586980</v>
      </c>
    </row>
    <row r="4" spans="1:6" x14ac:dyDescent="0.3">
      <c r="A4" s="2" t="s">
        <v>6</v>
      </c>
      <c r="B4" s="3">
        <f t="shared" ref="B4:B14" si="0">C4-E4</f>
        <v>-7014656</v>
      </c>
      <c r="C4" s="3">
        <v>0</v>
      </c>
      <c r="D4" s="3">
        <v>0</v>
      </c>
      <c r="E4" s="3">
        <v>7014656</v>
      </c>
      <c r="F4" s="3">
        <v>5273110</v>
      </c>
    </row>
    <row r="5" spans="1:6" x14ac:dyDescent="0.3">
      <c r="A5" s="2" t="s">
        <v>7</v>
      </c>
      <c r="B5" s="3">
        <f t="shared" si="0"/>
        <v>-5669863</v>
      </c>
      <c r="C5" s="3">
        <v>0</v>
      </c>
      <c r="D5" s="3">
        <v>0</v>
      </c>
      <c r="E5" s="3">
        <v>5669863</v>
      </c>
      <c r="F5" s="3">
        <v>3878742</v>
      </c>
    </row>
    <row r="6" spans="1:6" x14ac:dyDescent="0.3">
      <c r="A6" s="2" t="s">
        <v>8</v>
      </c>
      <c r="B6" s="3">
        <f t="shared" si="0"/>
        <v>-16692750</v>
      </c>
      <c r="C6" s="3">
        <v>0</v>
      </c>
      <c r="D6" s="3">
        <v>0</v>
      </c>
      <c r="E6" s="3">
        <v>16692750</v>
      </c>
      <c r="F6" s="3">
        <v>9262733</v>
      </c>
    </row>
    <row r="7" spans="1:6" x14ac:dyDescent="0.3">
      <c r="A7" s="2" t="s">
        <v>9</v>
      </c>
      <c r="B7" s="3">
        <f t="shared" si="0"/>
        <v>-13498332</v>
      </c>
      <c r="C7" s="3">
        <v>0</v>
      </c>
      <c r="D7" s="3">
        <v>0</v>
      </c>
      <c r="E7" s="3">
        <v>13498332</v>
      </c>
      <c r="F7" s="3">
        <v>8207707</v>
      </c>
    </row>
    <row r="8" spans="1:6" x14ac:dyDescent="0.3">
      <c r="A8" s="2" t="s">
        <v>10</v>
      </c>
      <c r="B8" s="3">
        <f t="shared" si="0"/>
        <v>-8098206</v>
      </c>
      <c r="C8" s="3">
        <v>0</v>
      </c>
      <c r="D8" s="3">
        <v>0</v>
      </c>
      <c r="E8" s="3">
        <v>8098206</v>
      </c>
      <c r="F8" s="3">
        <v>4980337</v>
      </c>
    </row>
    <row r="9" spans="1:6" x14ac:dyDescent="0.3">
      <c r="A9" s="2" t="s">
        <v>11</v>
      </c>
      <c r="B9" s="3">
        <f t="shared" si="0"/>
        <v>-12646125</v>
      </c>
      <c r="C9" s="3">
        <v>0</v>
      </c>
      <c r="D9" s="3">
        <v>0</v>
      </c>
      <c r="E9" s="3">
        <v>12646125</v>
      </c>
      <c r="F9" s="3">
        <v>8095378</v>
      </c>
    </row>
    <row r="10" spans="1:6" x14ac:dyDescent="0.3">
      <c r="A10" s="2" t="s">
        <v>12</v>
      </c>
      <c r="B10" s="3">
        <f t="shared" si="0"/>
        <v>-10037426</v>
      </c>
      <c r="C10" s="3">
        <v>0</v>
      </c>
      <c r="D10" s="3">
        <v>0</v>
      </c>
      <c r="E10" s="3">
        <v>10037426</v>
      </c>
      <c r="F10" s="3">
        <v>6697443</v>
      </c>
    </row>
    <row r="11" spans="1:6" x14ac:dyDescent="0.3">
      <c r="A11" s="2" t="s">
        <v>13</v>
      </c>
      <c r="B11" s="3">
        <f t="shared" si="0"/>
        <v>-6703129</v>
      </c>
      <c r="C11" s="3">
        <v>0</v>
      </c>
      <c r="D11" s="3">
        <v>0</v>
      </c>
      <c r="E11" s="3">
        <v>6703129</v>
      </c>
      <c r="F11" s="3">
        <v>6021411</v>
      </c>
    </row>
    <row r="12" spans="1:6" x14ac:dyDescent="0.3">
      <c r="A12" s="2" t="s">
        <v>14</v>
      </c>
      <c r="B12" s="3">
        <f t="shared" si="0"/>
        <v>-1200321</v>
      </c>
      <c r="C12" s="3">
        <v>0</v>
      </c>
      <c r="D12" s="3">
        <v>0</v>
      </c>
      <c r="E12" s="3">
        <v>1200321</v>
      </c>
      <c r="F12" s="3">
        <v>1198704</v>
      </c>
    </row>
    <row r="13" spans="1:6" x14ac:dyDescent="0.3">
      <c r="A13" s="2" t="s">
        <v>15</v>
      </c>
      <c r="B13" s="3">
        <f t="shared" si="0"/>
        <v>-3457275</v>
      </c>
      <c r="C13" s="3">
        <v>0</v>
      </c>
      <c r="D13" s="3">
        <v>0</v>
      </c>
      <c r="E13" s="3">
        <v>3457275</v>
      </c>
      <c r="F13" s="3">
        <v>3837176</v>
      </c>
    </row>
    <row r="14" spans="1:6" x14ac:dyDescent="0.3">
      <c r="A14" s="2" t="s">
        <v>16</v>
      </c>
      <c r="B14" s="3">
        <f t="shared" si="0"/>
        <v>-2539093</v>
      </c>
      <c r="C14" s="3">
        <v>0</v>
      </c>
      <c r="D14" s="3">
        <v>0</v>
      </c>
      <c r="E14" s="3">
        <v>2539093</v>
      </c>
      <c r="F14" s="3">
        <v>2810526</v>
      </c>
    </row>
    <row r="15" spans="1:6" ht="17.25" thickBot="1" x14ac:dyDescent="0.35">
      <c r="A15" s="4" t="s">
        <v>17</v>
      </c>
      <c r="B15" s="5">
        <f>SUM(B3:B14)</f>
        <v>-93892785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93892785</v>
      </c>
      <c r="F15" s="5">
        <f t="shared" si="2"/>
        <v>64850247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-1782230</v>
      </c>
      <c r="C3" s="3">
        <v>0</v>
      </c>
      <c r="D3" s="3">
        <v>0</v>
      </c>
      <c r="E3" s="3">
        <v>1782230</v>
      </c>
      <c r="F3" s="3">
        <v>1927003</v>
      </c>
    </row>
    <row r="4" spans="1:6" x14ac:dyDescent="0.3">
      <c r="A4" s="2" t="s">
        <v>6</v>
      </c>
      <c r="B4" s="3">
        <f t="shared" ref="B4:B14" si="0">C4-E4</f>
        <v>-11561689</v>
      </c>
      <c r="C4" s="3">
        <v>0</v>
      </c>
      <c r="D4" s="3">
        <v>0</v>
      </c>
      <c r="E4" s="3">
        <v>11561689</v>
      </c>
      <c r="F4" s="3">
        <v>12015061</v>
      </c>
    </row>
    <row r="5" spans="1:6" x14ac:dyDescent="0.3">
      <c r="A5" s="2" t="s">
        <v>7</v>
      </c>
      <c r="B5" s="3">
        <f t="shared" si="0"/>
        <v>-25178624</v>
      </c>
      <c r="C5" s="3">
        <v>0</v>
      </c>
      <c r="D5" s="3">
        <v>0</v>
      </c>
      <c r="E5" s="3">
        <v>25178624</v>
      </c>
      <c r="F5" s="3">
        <v>25955043</v>
      </c>
    </row>
    <row r="6" spans="1:6" x14ac:dyDescent="0.3">
      <c r="A6" s="2" t="s">
        <v>8</v>
      </c>
      <c r="B6" s="3">
        <f t="shared" si="0"/>
        <v>-13040063</v>
      </c>
      <c r="C6" s="3">
        <v>0</v>
      </c>
      <c r="D6" s="3">
        <v>0</v>
      </c>
      <c r="E6" s="3">
        <v>13040063</v>
      </c>
      <c r="F6" s="3">
        <v>13394399</v>
      </c>
    </row>
    <row r="7" spans="1:6" x14ac:dyDescent="0.3">
      <c r="A7" s="2" t="s">
        <v>9</v>
      </c>
      <c r="B7" s="3">
        <f t="shared" si="0"/>
        <v>-17810721</v>
      </c>
      <c r="C7" s="3">
        <v>0</v>
      </c>
      <c r="D7" s="3">
        <v>0</v>
      </c>
      <c r="E7" s="3">
        <v>17810721</v>
      </c>
      <c r="F7" s="3">
        <v>18743305</v>
      </c>
    </row>
    <row r="8" spans="1:6" x14ac:dyDescent="0.3">
      <c r="A8" s="2" t="s">
        <v>10</v>
      </c>
      <c r="B8" s="3">
        <f t="shared" si="0"/>
        <v>-5276003</v>
      </c>
      <c r="C8" s="3">
        <v>0</v>
      </c>
      <c r="D8" s="3">
        <v>0</v>
      </c>
      <c r="E8" s="3">
        <v>5276003</v>
      </c>
      <c r="F8" s="3">
        <v>5562968</v>
      </c>
    </row>
    <row r="9" spans="1:6" x14ac:dyDescent="0.3">
      <c r="A9" s="2" t="s">
        <v>11</v>
      </c>
      <c r="B9" s="3">
        <f t="shared" si="0"/>
        <v>-11423452</v>
      </c>
      <c r="C9" s="3">
        <v>0</v>
      </c>
      <c r="D9" s="3">
        <v>0</v>
      </c>
      <c r="E9" s="3">
        <v>11423452</v>
      </c>
      <c r="F9" s="3">
        <v>13930828</v>
      </c>
    </row>
    <row r="10" spans="1:6" x14ac:dyDescent="0.3">
      <c r="A10" s="2" t="s">
        <v>12</v>
      </c>
      <c r="B10" s="3">
        <f t="shared" si="0"/>
        <v>-7412610</v>
      </c>
      <c r="C10" s="3">
        <v>0</v>
      </c>
      <c r="D10" s="3">
        <v>0</v>
      </c>
      <c r="E10" s="3">
        <v>7412610</v>
      </c>
      <c r="F10" s="3">
        <v>9123684</v>
      </c>
    </row>
    <row r="11" spans="1:6" x14ac:dyDescent="0.3">
      <c r="A11" s="2" t="s">
        <v>13</v>
      </c>
      <c r="B11" s="3">
        <f t="shared" si="0"/>
        <v>-2517947</v>
      </c>
      <c r="C11" s="3">
        <v>0</v>
      </c>
      <c r="D11" s="3">
        <v>0</v>
      </c>
      <c r="E11" s="3">
        <v>2517947</v>
      </c>
      <c r="F11" s="3">
        <v>2904408</v>
      </c>
    </row>
    <row r="12" spans="1:6" x14ac:dyDescent="0.3">
      <c r="A12" s="2" t="s">
        <v>14</v>
      </c>
      <c r="B12" s="3">
        <f t="shared" si="0"/>
        <v>-2218811</v>
      </c>
      <c r="C12" s="3">
        <v>0</v>
      </c>
      <c r="D12" s="3">
        <v>0</v>
      </c>
      <c r="E12" s="3">
        <v>2218811</v>
      </c>
      <c r="F12" s="3">
        <v>2479846</v>
      </c>
    </row>
    <row r="13" spans="1:6" x14ac:dyDescent="0.3">
      <c r="A13" s="2" t="s">
        <v>15</v>
      </c>
      <c r="B13" s="3">
        <f t="shared" si="0"/>
        <v>-1987493</v>
      </c>
      <c r="C13" s="3">
        <v>0</v>
      </c>
      <c r="D13" s="3">
        <v>0</v>
      </c>
      <c r="E13" s="3">
        <v>1987493</v>
      </c>
      <c r="F13" s="3">
        <v>2307509</v>
      </c>
    </row>
    <row r="14" spans="1:6" x14ac:dyDescent="0.3">
      <c r="A14" s="2" t="s">
        <v>16</v>
      </c>
      <c r="B14" s="3">
        <f t="shared" si="0"/>
        <v>-2074615</v>
      </c>
      <c r="C14" s="3">
        <v>0</v>
      </c>
      <c r="D14" s="3">
        <v>0</v>
      </c>
      <c r="E14" s="3">
        <v>2074615</v>
      </c>
      <c r="F14" s="3">
        <v>2468869</v>
      </c>
    </row>
    <row r="15" spans="1:6" ht="17.25" thickBot="1" x14ac:dyDescent="0.35">
      <c r="A15" s="4" t="s">
        <v>17</v>
      </c>
      <c r="B15" s="5">
        <f>SUM(B3:B14)</f>
        <v>-102284258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102284258</v>
      </c>
      <c r="F15" s="5">
        <f t="shared" si="2"/>
        <v>110812923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-14990892</v>
      </c>
      <c r="C3" s="3">
        <v>0</v>
      </c>
      <c r="D3" s="3">
        <v>0</v>
      </c>
      <c r="E3" s="3">
        <v>14990892</v>
      </c>
      <c r="F3" s="3">
        <v>17246583</v>
      </c>
    </row>
    <row r="4" spans="1:6" x14ac:dyDescent="0.3">
      <c r="A4" s="2" t="s">
        <v>6</v>
      </c>
      <c r="B4" s="3">
        <f t="shared" ref="B4:B14" si="0">C4-E4</f>
        <v>-1887666</v>
      </c>
      <c r="C4" s="3">
        <v>0</v>
      </c>
      <c r="D4" s="3">
        <v>0</v>
      </c>
      <c r="E4" s="3">
        <v>1887666</v>
      </c>
      <c r="F4" s="3">
        <v>2102470</v>
      </c>
    </row>
    <row r="5" spans="1:6" x14ac:dyDescent="0.3">
      <c r="A5" s="2" t="s">
        <v>7</v>
      </c>
      <c r="B5" s="3">
        <f t="shared" si="0"/>
        <v>-1590141</v>
      </c>
      <c r="C5" s="3">
        <v>0</v>
      </c>
      <c r="D5" s="3">
        <v>0</v>
      </c>
      <c r="E5" s="3">
        <v>1590141</v>
      </c>
      <c r="F5" s="3">
        <v>1708561</v>
      </c>
    </row>
    <row r="6" spans="1:6" x14ac:dyDescent="0.3">
      <c r="A6" s="2" t="s">
        <v>8</v>
      </c>
      <c r="B6" s="3">
        <f t="shared" si="0"/>
        <v>-23384150</v>
      </c>
      <c r="C6" s="3">
        <v>0</v>
      </c>
      <c r="D6" s="3">
        <v>0</v>
      </c>
      <c r="E6" s="3">
        <v>23384150</v>
      </c>
      <c r="F6" s="3">
        <v>24020568</v>
      </c>
    </row>
    <row r="7" spans="1:6" x14ac:dyDescent="0.3">
      <c r="A7" s="2" t="s">
        <v>9</v>
      </c>
      <c r="B7" s="3">
        <f t="shared" si="0"/>
        <v>-13219730</v>
      </c>
      <c r="C7" s="3">
        <v>0</v>
      </c>
      <c r="D7" s="3">
        <v>0</v>
      </c>
      <c r="E7" s="3">
        <v>13219730</v>
      </c>
      <c r="F7" s="3">
        <v>14035696</v>
      </c>
    </row>
    <row r="8" spans="1:6" x14ac:dyDescent="0.3">
      <c r="A8" s="2" t="s">
        <v>10</v>
      </c>
      <c r="B8" s="3">
        <f t="shared" si="0"/>
        <v>-7656074</v>
      </c>
      <c r="C8" s="3">
        <v>0</v>
      </c>
      <c r="D8" s="3">
        <v>0</v>
      </c>
      <c r="E8" s="3">
        <v>7656074</v>
      </c>
      <c r="F8" s="3">
        <v>8327000</v>
      </c>
    </row>
    <row r="9" spans="1:6" x14ac:dyDescent="0.3">
      <c r="A9" s="2" t="s">
        <v>11</v>
      </c>
      <c r="B9" s="3">
        <f t="shared" si="0"/>
        <v>-7132036</v>
      </c>
      <c r="C9" s="3">
        <v>0</v>
      </c>
      <c r="D9" s="3">
        <v>0</v>
      </c>
      <c r="E9" s="3">
        <v>7132036</v>
      </c>
      <c r="F9" s="3">
        <v>7573625</v>
      </c>
    </row>
    <row r="10" spans="1:6" x14ac:dyDescent="0.3">
      <c r="A10" s="2" t="s">
        <v>12</v>
      </c>
      <c r="B10" s="3">
        <f t="shared" si="0"/>
        <v>-8432482</v>
      </c>
      <c r="C10" s="3">
        <v>0</v>
      </c>
      <c r="D10" s="3">
        <v>0</v>
      </c>
      <c r="E10" s="3">
        <v>8432482</v>
      </c>
      <c r="F10" s="3">
        <v>8953341</v>
      </c>
    </row>
    <row r="11" spans="1:6" x14ac:dyDescent="0.3">
      <c r="A11" s="2" t="s">
        <v>13</v>
      </c>
      <c r="B11" s="3">
        <f t="shared" si="0"/>
        <v>-2015820</v>
      </c>
      <c r="C11" s="3">
        <v>0</v>
      </c>
      <c r="D11" s="3">
        <v>0</v>
      </c>
      <c r="E11" s="3">
        <v>2015820</v>
      </c>
      <c r="F11" s="3">
        <v>2076774</v>
      </c>
    </row>
    <row r="12" spans="1:6" x14ac:dyDescent="0.3">
      <c r="A12" s="2" t="s">
        <v>14</v>
      </c>
      <c r="B12" s="3">
        <f t="shared" si="0"/>
        <v>-2368889</v>
      </c>
      <c r="C12" s="3">
        <v>0</v>
      </c>
      <c r="D12" s="3">
        <v>0</v>
      </c>
      <c r="E12" s="3">
        <v>2368889</v>
      </c>
      <c r="F12" s="3">
        <v>2364977</v>
      </c>
    </row>
    <row r="13" spans="1:6" x14ac:dyDescent="0.3">
      <c r="A13" s="2" t="s">
        <v>15</v>
      </c>
      <c r="B13" s="3">
        <f t="shared" si="0"/>
        <v>-1911729</v>
      </c>
      <c r="C13" s="3">
        <v>0</v>
      </c>
      <c r="D13" s="3">
        <v>0</v>
      </c>
      <c r="E13" s="3">
        <v>1911729</v>
      </c>
      <c r="F13" s="3">
        <v>1725924</v>
      </c>
    </row>
    <row r="14" spans="1:6" x14ac:dyDescent="0.3">
      <c r="A14" s="2" t="s">
        <v>16</v>
      </c>
      <c r="B14" s="3">
        <f t="shared" si="0"/>
        <v>-9562948</v>
      </c>
      <c r="C14" s="3">
        <v>0</v>
      </c>
      <c r="D14" s="3">
        <v>0</v>
      </c>
      <c r="E14" s="3">
        <v>9562948</v>
      </c>
      <c r="F14" s="3">
        <v>7969221</v>
      </c>
    </row>
    <row r="15" spans="1:6" ht="17.25" thickBot="1" x14ac:dyDescent="0.35">
      <c r="A15" s="4" t="s">
        <v>17</v>
      </c>
      <c r="B15" s="5">
        <f>SUM(B3:B14)</f>
        <v>-94152557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94152557</v>
      </c>
      <c r="F15" s="5">
        <f t="shared" si="2"/>
        <v>98104740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-13998299</v>
      </c>
      <c r="C3" s="3">
        <v>0</v>
      </c>
      <c r="D3" s="3">
        <v>0</v>
      </c>
      <c r="E3" s="3">
        <v>13998299</v>
      </c>
      <c r="F3" s="3">
        <v>11336222</v>
      </c>
    </row>
    <row r="4" spans="1:6" x14ac:dyDescent="0.3">
      <c r="A4" s="2" t="s">
        <v>6</v>
      </c>
      <c r="B4" s="3">
        <f t="shared" ref="B4:B14" si="0">C4-E4</f>
        <v>-10418624</v>
      </c>
      <c r="C4" s="3">
        <v>0</v>
      </c>
      <c r="D4" s="3">
        <v>0</v>
      </c>
      <c r="E4" s="3">
        <v>10418624</v>
      </c>
      <c r="F4" s="3">
        <v>8621819</v>
      </c>
    </row>
    <row r="5" spans="1:6" x14ac:dyDescent="0.3">
      <c r="A5" s="2" t="s">
        <v>7</v>
      </c>
      <c r="B5" s="3">
        <f t="shared" si="0"/>
        <v>-2974685</v>
      </c>
      <c r="C5" s="3">
        <v>0</v>
      </c>
      <c r="D5" s="3">
        <v>0</v>
      </c>
      <c r="E5" s="3">
        <v>2974685</v>
      </c>
      <c r="F5" s="3">
        <v>2470475</v>
      </c>
    </row>
    <row r="6" spans="1:6" x14ac:dyDescent="0.3">
      <c r="A6" s="2" t="s">
        <v>8</v>
      </c>
      <c r="B6" s="3">
        <f t="shared" si="0"/>
        <v>-2142734</v>
      </c>
      <c r="C6" s="3">
        <v>0</v>
      </c>
      <c r="D6" s="3">
        <v>0</v>
      </c>
      <c r="E6" s="3">
        <v>2142734</v>
      </c>
      <c r="F6" s="3">
        <v>1863224</v>
      </c>
    </row>
    <row r="7" spans="1:6" x14ac:dyDescent="0.3">
      <c r="A7" s="2" t="s">
        <v>9</v>
      </c>
      <c r="B7" s="3">
        <f t="shared" si="0"/>
        <v>-17558994</v>
      </c>
      <c r="C7" s="3">
        <v>0</v>
      </c>
      <c r="D7" s="3">
        <v>0</v>
      </c>
      <c r="E7" s="3">
        <v>17558994</v>
      </c>
      <c r="F7" s="3">
        <v>16491689</v>
      </c>
    </row>
    <row r="8" spans="1:6" x14ac:dyDescent="0.3">
      <c r="A8" s="2" t="s">
        <v>10</v>
      </c>
      <c r="B8" s="3">
        <f t="shared" si="0"/>
        <v>-28544998</v>
      </c>
      <c r="C8" s="3">
        <v>0</v>
      </c>
      <c r="D8" s="3">
        <v>0</v>
      </c>
      <c r="E8" s="3">
        <v>28544998</v>
      </c>
      <c r="F8" s="3">
        <v>27822596</v>
      </c>
    </row>
    <row r="9" spans="1:6" x14ac:dyDescent="0.3">
      <c r="A9" s="2" t="s">
        <v>11</v>
      </c>
      <c r="B9" s="3">
        <f t="shared" si="0"/>
        <v>-16075922</v>
      </c>
      <c r="C9" s="3">
        <v>0</v>
      </c>
      <c r="D9" s="3">
        <v>0</v>
      </c>
      <c r="E9" s="3">
        <v>16075922</v>
      </c>
      <c r="F9" s="3">
        <v>16629130</v>
      </c>
    </row>
    <row r="10" spans="1:6" x14ac:dyDescent="0.3">
      <c r="A10" s="2" t="s">
        <v>12</v>
      </c>
      <c r="B10" s="3">
        <f t="shared" si="0"/>
        <v>-24593252</v>
      </c>
      <c r="C10" s="3">
        <v>0</v>
      </c>
      <c r="D10" s="3">
        <v>0</v>
      </c>
      <c r="E10" s="3">
        <v>24593252</v>
      </c>
      <c r="F10" s="3">
        <v>24808029</v>
      </c>
    </row>
    <row r="11" spans="1:6" x14ac:dyDescent="0.3">
      <c r="A11" s="2" t="s">
        <v>13</v>
      </c>
      <c r="B11" s="3">
        <f t="shared" si="0"/>
        <v>-11764605</v>
      </c>
      <c r="C11" s="3">
        <v>0</v>
      </c>
      <c r="D11" s="3">
        <v>0</v>
      </c>
      <c r="E11" s="3">
        <v>11764605</v>
      </c>
      <c r="F11" s="3">
        <v>11366860</v>
      </c>
    </row>
    <row r="12" spans="1:6" x14ac:dyDescent="0.3">
      <c r="A12" s="2" t="s">
        <v>14</v>
      </c>
      <c r="B12" s="3">
        <f t="shared" si="0"/>
        <v>-1290584</v>
      </c>
      <c r="C12" s="3">
        <v>0</v>
      </c>
      <c r="D12" s="3">
        <v>0</v>
      </c>
      <c r="E12" s="3">
        <v>1290584</v>
      </c>
      <c r="F12" s="3">
        <v>1124566</v>
      </c>
    </row>
    <row r="13" spans="1:6" x14ac:dyDescent="0.3">
      <c r="A13" s="2" t="s">
        <v>15</v>
      </c>
      <c r="B13" s="3">
        <f t="shared" si="0"/>
        <v>-1617282</v>
      </c>
      <c r="C13" s="3">
        <v>0</v>
      </c>
      <c r="D13" s="3">
        <v>0</v>
      </c>
      <c r="E13" s="3">
        <v>1617282</v>
      </c>
      <c r="F13" s="3">
        <v>1436220</v>
      </c>
    </row>
    <row r="14" spans="1:6" x14ac:dyDescent="0.3">
      <c r="A14" s="2" t="s">
        <v>16</v>
      </c>
      <c r="B14" s="3">
        <f t="shared" si="0"/>
        <v>-4205072</v>
      </c>
      <c r="C14" s="3">
        <v>0</v>
      </c>
      <c r="D14" s="3">
        <v>0</v>
      </c>
      <c r="E14" s="3">
        <v>4205072</v>
      </c>
      <c r="F14" s="3">
        <v>3841353</v>
      </c>
    </row>
    <row r="15" spans="1:6" ht="17.25" thickBot="1" x14ac:dyDescent="0.35">
      <c r="A15" s="4" t="s">
        <v>17</v>
      </c>
      <c r="B15" s="5">
        <f>SUM(B3:B14)</f>
        <v>-135185051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135185051</v>
      </c>
      <c r="F15" s="5">
        <f t="shared" si="2"/>
        <v>127812183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-8931178</v>
      </c>
      <c r="C3" s="3">
        <v>0</v>
      </c>
      <c r="D3" s="3">
        <v>0</v>
      </c>
      <c r="E3" s="3">
        <v>8931178</v>
      </c>
      <c r="F3" s="3">
        <v>8626733</v>
      </c>
    </row>
    <row r="4" spans="1:6" x14ac:dyDescent="0.3">
      <c r="A4" s="2" t="s">
        <v>6</v>
      </c>
      <c r="B4" s="3">
        <f t="shared" ref="B4:B14" si="0">C4-E4</f>
        <v>-19105710</v>
      </c>
      <c r="C4" s="3">
        <v>0</v>
      </c>
      <c r="D4" s="3">
        <v>0</v>
      </c>
      <c r="E4" s="3">
        <v>19105710</v>
      </c>
      <c r="F4" s="3">
        <v>18366619</v>
      </c>
    </row>
    <row r="5" spans="1:6" x14ac:dyDescent="0.3">
      <c r="A5" s="2" t="s">
        <v>7</v>
      </c>
      <c r="B5" s="3">
        <f t="shared" si="0"/>
        <v>-19003473</v>
      </c>
      <c r="C5" s="3">
        <v>0</v>
      </c>
      <c r="D5" s="3">
        <v>0</v>
      </c>
      <c r="E5" s="3">
        <v>19003473</v>
      </c>
      <c r="F5" s="3">
        <v>17622220</v>
      </c>
    </row>
    <row r="6" spans="1:6" x14ac:dyDescent="0.3">
      <c r="A6" s="2" t="s">
        <v>8</v>
      </c>
      <c r="B6" s="3">
        <f t="shared" si="0"/>
        <v>-32033023</v>
      </c>
      <c r="C6" s="3">
        <v>0</v>
      </c>
      <c r="D6" s="3">
        <v>0</v>
      </c>
      <c r="E6" s="3">
        <v>32033023</v>
      </c>
      <c r="F6" s="3">
        <v>28617941</v>
      </c>
    </row>
    <row r="7" spans="1:6" x14ac:dyDescent="0.3">
      <c r="A7" s="2" t="s">
        <v>9</v>
      </c>
      <c r="B7" s="3">
        <f t="shared" si="0"/>
        <v>-10281706</v>
      </c>
      <c r="C7" s="3">
        <v>0</v>
      </c>
      <c r="D7" s="3">
        <v>0</v>
      </c>
      <c r="E7" s="3">
        <v>10281706</v>
      </c>
      <c r="F7" s="3">
        <v>8771163</v>
      </c>
    </row>
    <row r="8" spans="1:6" x14ac:dyDescent="0.3">
      <c r="A8" s="2" t="s">
        <v>10</v>
      </c>
      <c r="B8" s="3">
        <f t="shared" si="0"/>
        <v>-14415603</v>
      </c>
      <c r="C8" s="3">
        <v>0</v>
      </c>
      <c r="D8" s="3">
        <v>0</v>
      </c>
      <c r="E8" s="3">
        <v>14415603</v>
      </c>
      <c r="F8" s="3">
        <v>12269945</v>
      </c>
    </row>
    <row r="9" spans="1:6" x14ac:dyDescent="0.3">
      <c r="A9" s="2" t="s">
        <v>11</v>
      </c>
      <c r="B9" s="3">
        <f t="shared" si="0"/>
        <v>-17713808</v>
      </c>
      <c r="C9" s="3">
        <v>0</v>
      </c>
      <c r="D9" s="3">
        <v>0</v>
      </c>
      <c r="E9" s="3">
        <v>17713808</v>
      </c>
      <c r="F9" s="3">
        <v>15463259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-121484501</v>
      </c>
      <c r="C15" s="5">
        <f t="shared" ref="C15:F15" si="1">SUM(C3:C14)</f>
        <v>0</v>
      </c>
      <c r="D15" s="5">
        <f t="shared" si="1"/>
        <v>0</v>
      </c>
      <c r="E15" s="5">
        <f t="shared" si="1"/>
        <v>121484501</v>
      </c>
      <c r="F15" s="5">
        <f t="shared" si="1"/>
        <v>109737880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2026-08-27T01:34:48Z</dcterms:modified>
</cp:coreProperties>
</file>