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3"/>
  <c r="B15" i="1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3"/>
  <c r="B15" i="2"/>
  <c r="B15" i="1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<sst xmlns="http://schemas.openxmlformats.org/spreadsheetml/2006/main" count="306" uniqueCount="38">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</sst>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-16</v>
      </c>
      <c r="C4" s="3">
        <v>0</v>
      </c>
      <c r="D4" s="3">
        <v>0</v>
      </c>
      <c r="E4" s="3">
        <v>16</v>
      </c>
      <c r="F4" s="3">
        <v>4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-1479920</v>
      </c>
      <c r="C6" s="3">
        <v>0</v>
      </c>
      <c r="D6" s="3">
        <v>0</v>
      </c>
      <c r="E6" s="3">
        <v>1479920</v>
      </c>
      <c r="F6" s="3">
        <v>1990000</v>
      </c>
    </row>
    <row r="7" spans="1:6" x14ac:dyDescent="0.3">
      <c r="A7" s="2" t="s">
        <v>9</v>
      </c>
      <c r="B7" s="3">
        <f t="shared" si="0"/>
        <v>-3471760</v>
      </c>
      <c r="C7" s="3">
        <v>0</v>
      </c>
      <c r="D7" s="3">
        <v>0</v>
      </c>
      <c r="E7" s="3">
        <v>3471760</v>
      </c>
      <c r="F7" s="3">
        <v>4556725</v>
      </c>
    </row>
    <row r="8" spans="1:6" x14ac:dyDescent="0.3">
      <c r="A8" s="2" t="s">
        <v>10</v>
      </c>
      <c r="B8" s="3">
        <f t="shared" si="0"/>
        <v>-2082322</v>
      </c>
      <c r="C8" s="3">
        <v>0</v>
      </c>
      <c r="D8" s="3">
        <v>0</v>
      </c>
      <c r="E8" s="3">
        <v>2082322</v>
      </c>
      <c r="F8" s="3">
        <v>2520153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-24210</v>
      </c>
      <c r="C13" s="3">
        <v>0</v>
      </c>
      <c r="D13" s="3">
        <v>0</v>
      </c>
      <c r="E13" s="3">
        <v>24210</v>
      </c>
      <c r="F13" s="3">
        <v>23000</v>
      </c>
    </row>
    <row r="14" spans="1:6" x14ac:dyDescent="0.3">
      <c r="A14" s="2" t="s">
        <v>16</v>
      </c>
      <c r="B14" s="3">
        <f t="shared" si="0"/>
        <v>-21</v>
      </c>
      <c r="C14" s="3">
        <v>0</v>
      </c>
      <c r="D14" s="3">
        <v>0</v>
      </c>
      <c r="E14" s="3">
        <v>21</v>
      </c>
      <c r="F14" s="3">
        <v>10</v>
      </c>
    </row>
    <row r="15" spans="1:6" ht="17.25" thickBot="1" x14ac:dyDescent="0.35">
      <c r="A15" s="4" t="s">
        <v>26</v>
      </c>
      <c r="B15" s="5">
        <f>SUM(B3:B14)</f>
        <v>-7058249</v>
      </c>
      <c r="C15" s="5">
        <f t="shared" ref="C15:F15" si="1">SUM(C3:C14)</f>
        <v>0</v>
      </c>
      <c r="D15" s="5">
        <f t="shared" si="1"/>
        <v>0</v>
      </c>
      <c r="E15" s="5">
        <f t="shared" si="1"/>
        <v>7058249</v>
      </c>
      <c r="F15" s="5">
        <f t="shared" si="1"/>
        <v>9089892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-29385</v>
      </c>
      <c r="C3" s="3">
        <v>0</v>
      </c>
      <c r="D3" s="3">
        <v>0</v>
      </c>
      <c r="E3" s="3">
        <v>29385</v>
      </c>
      <c r="F3" s="3">
        <v>23000</v>
      </c>
    </row>
    <row r="4" spans="1:6" x14ac:dyDescent="0.3">
      <c r="A4" s="2" t="s">
        <v>33</v>
      </c>
      <c r="B4" s="3">
        <f t="shared" ref="B4:B14" si="0">C4-E4</f>
        <v>-31915</v>
      </c>
      <c r="C4" s="3">
        <v>0</v>
      </c>
      <c r="D4" s="3">
        <v>0</v>
      </c>
      <c r="E4" s="3">
        <v>31915</v>
      </c>
      <c r="F4" s="3">
        <v>23000</v>
      </c>
    </row>
    <row r="5" spans="1:6" x14ac:dyDescent="0.3">
      <c r="A5" s="2" t="s">
        <v>34</v>
      </c>
      <c r="B5" s="3">
        <f t="shared" si="0"/>
        <v>-3483871</v>
      </c>
      <c r="C5" s="3">
        <v>0</v>
      </c>
      <c r="D5" s="3">
        <v>0</v>
      </c>
      <c r="E5" s="3">
        <v>3483871</v>
      </c>
      <c r="F5" s="3">
        <v>2799930</v>
      </c>
    </row>
    <row r="6" spans="1:6" x14ac:dyDescent="0.3">
      <c r="A6" s="2" t="s">
        <v>8</v>
      </c>
      <c r="B6" s="3">
        <f t="shared" si="0"/>
        <v>-6124126</v>
      </c>
      <c r="C6" s="3">
        <v>0</v>
      </c>
      <c r="D6" s="3">
        <v>0</v>
      </c>
      <c r="E6" s="3">
        <v>6124126</v>
      </c>
      <c r="F6" s="3">
        <v>4922870</v>
      </c>
    </row>
    <row r="7" spans="1:6" x14ac:dyDescent="0.3">
      <c r="A7" s="2" t="s">
        <v>9</v>
      </c>
      <c r="B7" s="3">
        <f t="shared" si="0"/>
        <v>-3841253</v>
      </c>
      <c r="C7" s="3">
        <v>0</v>
      </c>
      <c r="D7" s="3">
        <v>0</v>
      </c>
      <c r="E7" s="3">
        <v>3841253</v>
      </c>
      <c r="F7" s="3">
        <v>3099000</v>
      </c>
    </row>
    <row r="8" spans="1:6" x14ac:dyDescent="0.3">
      <c r="A8" s="2" t="s">
        <v>10</v>
      </c>
      <c r="B8" s="3">
        <f t="shared" si="0"/>
        <v>-3795583</v>
      </c>
      <c r="C8" s="3">
        <v>0</v>
      </c>
      <c r="D8" s="3">
        <v>0</v>
      </c>
      <c r="E8" s="3">
        <v>3795583</v>
      </c>
      <c r="F8" s="3">
        <v>3073000</v>
      </c>
    </row>
    <row r="9" spans="1:6" x14ac:dyDescent="0.3">
      <c r="A9" s="2" t="s">
        <v>11</v>
      </c>
      <c r="B9" s="3">
        <f t="shared" si="0"/>
        <v>-4195688</v>
      </c>
      <c r="C9" s="3">
        <v>0</v>
      </c>
      <c r="D9" s="3">
        <v>0</v>
      </c>
      <c r="E9" s="3">
        <v>4195688</v>
      </c>
      <c r="F9" s="3">
        <v>3374000</v>
      </c>
    </row>
    <row r="10" spans="1:6" x14ac:dyDescent="0.3">
      <c r="A10" s="2" t="s">
        <v>12</v>
      </c>
      <c r="B10" s="3">
        <f t="shared" si="0"/>
        <v>-2885877</v>
      </c>
      <c r="C10" s="3">
        <v>0</v>
      </c>
      <c r="D10" s="3">
        <v>0</v>
      </c>
      <c r="E10" s="3">
        <v>2885877</v>
      </c>
      <c r="F10" s="3">
        <v>2379950</v>
      </c>
    </row>
    <row r="11" spans="1:6" x14ac:dyDescent="0.3">
      <c r="A11" s="2" t="s">
        <v>13</v>
      </c>
      <c r="B11" s="3">
        <f t="shared" si="0"/>
        <v>-700557</v>
      </c>
      <c r="C11" s="3">
        <v>0</v>
      </c>
      <c r="D11" s="3">
        <v>0</v>
      </c>
      <c r="E11" s="3">
        <v>700557</v>
      </c>
      <c r="F11" s="3">
        <v>577000</v>
      </c>
    </row>
    <row r="12" spans="1:6" x14ac:dyDescent="0.3">
      <c r="A12" s="2" t="s">
        <v>14</v>
      </c>
      <c r="B12" s="3">
        <f t="shared" si="0"/>
        <v>-727130</v>
      </c>
      <c r="C12" s="3">
        <v>0</v>
      </c>
      <c r="D12" s="3">
        <v>0</v>
      </c>
      <c r="E12" s="3">
        <v>727130</v>
      </c>
      <c r="F12" s="3">
        <v>600190</v>
      </c>
    </row>
    <row r="13" spans="1:6" x14ac:dyDescent="0.3">
      <c r="A13" s="2" t="s">
        <v>15</v>
      </c>
      <c r="B13" s="3">
        <f t="shared" si="0"/>
        <v>-24751</v>
      </c>
      <c r="C13" s="3">
        <v>0</v>
      </c>
      <c r="D13" s="3">
        <v>0</v>
      </c>
      <c r="E13" s="3">
        <v>24751</v>
      </c>
      <c r="F13" s="3">
        <v>23000</v>
      </c>
    </row>
    <row r="14" spans="1:6" x14ac:dyDescent="0.3">
      <c r="A14" s="2" t="s">
        <v>16</v>
      </c>
      <c r="B14" s="3">
        <f t="shared" si="0"/>
        <v>-637768</v>
      </c>
      <c r="C14" s="3">
        <v>0</v>
      </c>
      <c r="D14" s="3">
        <v>0</v>
      </c>
      <c r="E14" s="3">
        <v>637768</v>
      </c>
      <c r="F14" s="3">
        <v>500362</v>
      </c>
    </row>
    <row r="15" spans="1:6" ht="17.25" thickBot="1" x14ac:dyDescent="0.35">
      <c r="A15" s="4" t="s">
        <v>35</v>
      </c>
      <c r="B15" s="5">
        <f>SUM(B3:B14)</f>
        <v>-26477904</v>
      </c>
      <c r="C15" s="5">
        <f t="shared" ref="C15:F15" si="1">SUM(C3:C14)</f>
        <v>0</v>
      </c>
      <c r="D15" s="5">
        <f t="shared" si="1"/>
        <v>0</v>
      </c>
      <c r="E15" s="5">
        <f t="shared" si="1"/>
        <v>26477904</v>
      </c>
      <c r="F15" s="5">
        <f t="shared" si="1"/>
        <v>21395302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-27397</v>
      </c>
      <c r="C3" s="3">
        <v>0</v>
      </c>
      <c r="D3" s="3">
        <v>0</v>
      </c>
      <c r="E3" s="3">
        <v>27397</v>
      </c>
      <c r="F3" s="3">
        <v>23000</v>
      </c>
    </row>
    <row r="4" spans="1:6" x14ac:dyDescent="0.3">
      <c r="A4" s="2" t="s">
        <v>33</v>
      </c>
      <c r="B4" s="3">
        <f t="shared" ref="B4:B14" si="0">C4-E4</f>
        <v>-795345</v>
      </c>
      <c r="C4" s="3">
        <v>0</v>
      </c>
      <c r="D4" s="3">
        <v>0</v>
      </c>
      <c r="E4" s="3">
        <v>795345</v>
      </c>
      <c r="F4" s="3">
        <v>639253</v>
      </c>
    </row>
    <row r="5" spans="1:6" x14ac:dyDescent="0.3">
      <c r="A5" s="2" t="s">
        <v>34</v>
      </c>
      <c r="B5" s="3">
        <f t="shared" si="0"/>
        <v>-3167443</v>
      </c>
      <c r="C5" s="3">
        <v>0</v>
      </c>
      <c r="D5" s="3">
        <v>0</v>
      </c>
      <c r="E5" s="3">
        <v>3167443</v>
      </c>
      <c r="F5" s="3">
        <v>3164422</v>
      </c>
    </row>
    <row r="6" spans="1:6" x14ac:dyDescent="0.3">
      <c r="A6" s="2" t="s">
        <v>8</v>
      </c>
      <c r="B6" s="3">
        <f t="shared" si="0"/>
        <v>-8637403</v>
      </c>
      <c r="C6" s="3">
        <v>0</v>
      </c>
      <c r="D6" s="3">
        <v>0</v>
      </c>
      <c r="E6" s="3">
        <v>8637403</v>
      </c>
      <c r="F6" s="3">
        <v>8406045</v>
      </c>
    </row>
    <row r="7" spans="1:6" x14ac:dyDescent="0.3">
      <c r="A7" s="2" t="s">
        <v>9</v>
      </c>
      <c r="B7" s="3">
        <f t="shared" si="0"/>
        <v>-3652545</v>
      </c>
      <c r="C7" s="3">
        <v>0</v>
      </c>
      <c r="D7" s="3">
        <v>0</v>
      </c>
      <c r="E7" s="3">
        <v>3652545</v>
      </c>
      <c r="F7" s="3">
        <v>3656000</v>
      </c>
    </row>
    <row r="8" spans="1:6" x14ac:dyDescent="0.3">
      <c r="A8" s="2" t="s">
        <v>10</v>
      </c>
      <c r="B8" s="3">
        <f t="shared" si="0"/>
        <v>-6690870</v>
      </c>
      <c r="C8" s="3">
        <v>0</v>
      </c>
      <c r="D8" s="3">
        <v>0</v>
      </c>
      <c r="E8" s="3">
        <v>6690870</v>
      </c>
      <c r="F8" s="3">
        <v>6527155</v>
      </c>
    </row>
    <row r="9" spans="1:6" x14ac:dyDescent="0.3">
      <c r="A9" s="2" t="s">
        <v>11</v>
      </c>
      <c r="B9" s="3">
        <f t="shared" si="0"/>
        <v>-2584435</v>
      </c>
      <c r="C9" s="3">
        <v>0</v>
      </c>
      <c r="D9" s="3">
        <v>0</v>
      </c>
      <c r="E9" s="3">
        <v>2584435</v>
      </c>
      <c r="F9" s="3">
        <v>2401204</v>
      </c>
    </row>
    <row r="10" spans="1:6" x14ac:dyDescent="0.3">
      <c r="A10" s="2" t="s">
        <v>12</v>
      </c>
      <c r="B10" s="3">
        <f t="shared" si="0"/>
        <v>-3888957</v>
      </c>
      <c r="C10" s="3">
        <v>0</v>
      </c>
      <c r="D10" s="3">
        <v>0</v>
      </c>
      <c r="E10" s="3">
        <v>3888957</v>
      </c>
      <c r="F10" s="3">
        <v>3904074</v>
      </c>
    </row>
    <row r="11" spans="1:6" x14ac:dyDescent="0.3">
      <c r="A11" s="2" t="s">
        <v>13</v>
      </c>
      <c r="B11" s="3">
        <f t="shared" si="0"/>
        <v>-234486</v>
      </c>
      <c r="C11" s="3">
        <v>0</v>
      </c>
      <c r="D11" s="3">
        <v>0</v>
      </c>
      <c r="E11" s="3">
        <v>234486</v>
      </c>
      <c r="F11" s="3">
        <v>237358</v>
      </c>
    </row>
    <row r="12" spans="1:6" x14ac:dyDescent="0.3">
      <c r="A12" s="2" t="s">
        <v>14</v>
      </c>
      <c r="B12" s="3">
        <f t="shared" si="0"/>
        <v>-92561</v>
      </c>
      <c r="C12" s="3">
        <v>0</v>
      </c>
      <c r="D12" s="3">
        <v>0</v>
      </c>
      <c r="E12" s="3">
        <v>92561</v>
      </c>
      <c r="F12" s="3">
        <v>84000</v>
      </c>
    </row>
    <row r="13" spans="1:6" x14ac:dyDescent="0.3">
      <c r="A13" s="2" t="s">
        <v>15</v>
      </c>
      <c r="B13" s="3">
        <f t="shared" si="0"/>
        <v>-8191</v>
      </c>
      <c r="C13" s="3">
        <v>0</v>
      </c>
      <c r="D13" s="3">
        <v>0</v>
      </c>
      <c r="E13" s="3">
        <v>8191</v>
      </c>
      <c r="F13" s="3">
        <v>11471</v>
      </c>
    </row>
    <row r="14" spans="1:6" x14ac:dyDescent="0.3">
      <c r="A14" s="2" t="s">
        <v>16</v>
      </c>
      <c r="B14" s="3">
        <f t="shared" si="0"/>
        <v>-35340</v>
      </c>
      <c r="C14" s="3">
        <v>0</v>
      </c>
      <c r="D14" s="3">
        <v>0</v>
      </c>
      <c r="E14" s="3">
        <v>35340</v>
      </c>
      <c r="F14" s="3">
        <v>38000</v>
      </c>
    </row>
    <row r="15" spans="1:6" ht="17.25" thickBot="1" x14ac:dyDescent="0.35">
      <c r="A15" s="4" t="s">
        <v>35</v>
      </c>
      <c r="B15" s="5">
        <f>SUM(B3:B14)</f>
        <v>-29814973</v>
      </c>
      <c r="C15" s="5">
        <f t="shared" ref="C15:F15" si="1">SUM(C3:C14)</f>
        <v>0</v>
      </c>
      <c r="D15" s="5">
        <f t="shared" si="1"/>
        <v>0</v>
      </c>
      <c r="E15" s="5">
        <f t="shared" si="1"/>
        <v>29814973</v>
      </c>
      <c r="F15" s="5">
        <f t="shared" si="1"/>
        <v>29091982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-2660801</v>
      </c>
      <c r="C4" s="3">
        <v>0</v>
      </c>
      <c r="D4" s="3">
        <v>0</v>
      </c>
      <c r="E4" s="3">
        <v>2660801</v>
      </c>
      <c r="F4" s="3">
        <v>3713000</v>
      </c>
    </row>
    <row r="5" spans="1:6" x14ac:dyDescent="0.3">
      <c r="A5" s="2" t="s">
        <v>34</v>
      </c>
      <c r="B5" s="3">
        <f t="shared" si="0"/>
        <v>-1707344</v>
      </c>
      <c r="C5" s="3">
        <v>0</v>
      </c>
      <c r="D5" s="3">
        <v>0</v>
      </c>
      <c r="E5" s="3">
        <v>1707344</v>
      </c>
      <c r="F5" s="3">
        <v>1670000</v>
      </c>
    </row>
    <row r="6" spans="1:6" x14ac:dyDescent="0.3">
      <c r="A6" s="2" t="s">
        <v>8</v>
      </c>
      <c r="B6" s="3">
        <f t="shared" si="0"/>
        <v>-6004429</v>
      </c>
      <c r="C6" s="3">
        <v>0</v>
      </c>
      <c r="D6" s="3">
        <v>0</v>
      </c>
      <c r="E6" s="3">
        <v>6004429</v>
      </c>
      <c r="F6" s="3">
        <v>6771732</v>
      </c>
    </row>
    <row r="7" spans="1:6" x14ac:dyDescent="0.3">
      <c r="A7" s="2" t="s">
        <v>9</v>
      </c>
      <c r="B7" s="3">
        <f t="shared" si="0"/>
        <v>-1535888</v>
      </c>
      <c r="C7" s="3">
        <v>0</v>
      </c>
      <c r="D7" s="3">
        <v>0</v>
      </c>
      <c r="E7" s="3">
        <v>1535888</v>
      </c>
      <c r="F7" s="3">
        <v>2022968</v>
      </c>
    </row>
    <row r="8" spans="1:6" x14ac:dyDescent="0.3">
      <c r="A8" s="2" t="s">
        <v>10</v>
      </c>
      <c r="B8" s="3">
        <f t="shared" si="0"/>
        <v>-4232408</v>
      </c>
      <c r="C8" s="3">
        <v>0</v>
      </c>
      <c r="D8" s="3">
        <v>0</v>
      </c>
      <c r="E8" s="3">
        <v>4232408</v>
      </c>
      <c r="F8" s="3">
        <v>5625476</v>
      </c>
    </row>
    <row r="9" spans="1:6" x14ac:dyDescent="0.3">
      <c r="A9" s="2" t="s">
        <v>11</v>
      </c>
      <c r="B9" s="3">
        <f t="shared" si="0"/>
        <v>-2581812</v>
      </c>
      <c r="C9" s="3">
        <v>0</v>
      </c>
      <c r="D9" s="3">
        <v>0</v>
      </c>
      <c r="E9" s="3">
        <v>2581812</v>
      </c>
      <c r="F9" s="3">
        <v>3424884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-289668</v>
      </c>
      <c r="C11" s="3">
        <v>0</v>
      </c>
      <c r="D11" s="3">
        <v>0</v>
      </c>
      <c r="E11" s="3">
        <v>289668</v>
      </c>
      <c r="F11" s="3">
        <v>398961</v>
      </c>
    </row>
    <row r="12" spans="1:6" x14ac:dyDescent="0.3">
      <c r="A12" s="2" t="s">
        <v>14</v>
      </c>
      <c r="B12" s="3">
        <f t="shared" si="0"/>
        <v>-897826</v>
      </c>
      <c r="C12" s="3">
        <v>0</v>
      </c>
      <c r="D12" s="3">
        <v>0</v>
      </c>
      <c r="E12" s="3">
        <v>897826</v>
      </c>
      <c r="F12" s="3">
        <v>1216362</v>
      </c>
    </row>
    <row r="13" spans="1:6" x14ac:dyDescent="0.3">
      <c r="A13" s="2" t="s">
        <v>15</v>
      </c>
      <c r="B13" s="3">
        <f t="shared" si="0"/>
        <v>-511479</v>
      </c>
      <c r="C13" s="3">
        <v>0</v>
      </c>
      <c r="D13" s="3">
        <v>0</v>
      </c>
      <c r="E13" s="3">
        <v>511479</v>
      </c>
      <c r="F13" s="3">
        <v>698253</v>
      </c>
    </row>
    <row r="14" spans="1:6" x14ac:dyDescent="0.3">
      <c r="A14" s="2" t="s">
        <v>16</v>
      </c>
      <c r="B14" s="3">
        <f t="shared" si="0"/>
        <v>-365171</v>
      </c>
      <c r="C14" s="3">
        <v>0</v>
      </c>
      <c r="D14" s="3">
        <v>0</v>
      </c>
      <c r="E14" s="3">
        <v>365171</v>
      </c>
      <c r="F14" s="3">
        <v>498681</v>
      </c>
    </row>
    <row r="15" spans="1:6" ht="17.25" thickBot="1" x14ac:dyDescent="0.35">
      <c r="A15" s="4" t="s">
        <v>35</v>
      </c>
      <c r="B15" s="5">
        <f>SUM(B3:B14)</f>
        <v>-20786826</v>
      </c>
      <c r="C15" s="5">
        <f t="shared" ref="C15:F15" si="1">SUM(C3:C14)</f>
        <v>0</v>
      </c>
      <c r="D15" s="5">
        <f t="shared" si="1"/>
        <v>0</v>
      </c>
      <c r="E15" s="5">
        <f t="shared" si="1"/>
        <v>20786826</v>
      </c>
      <c r="F15" s="5">
        <f t="shared" si="1"/>
        <v>26040317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-40770</v>
      </c>
      <c r="C3" s="3">
        <v>0</v>
      </c>
      <c r="D3" s="3">
        <v>0</v>
      </c>
      <c r="E3" s="3">
        <v>40770</v>
      </c>
      <c r="F3" s="3">
        <v>38000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-40201</v>
      </c>
      <c r="C5" s="3">
        <v>0</v>
      </c>
      <c r="D5" s="3">
        <v>0</v>
      </c>
      <c r="E5" s="3">
        <v>40201</v>
      </c>
      <c r="F5" s="3">
        <v>38000</v>
      </c>
    </row>
    <row r="6" spans="1:6" x14ac:dyDescent="0.3">
      <c r="A6" s="2" t="s">
        <v>8</v>
      </c>
      <c r="B6" s="3">
        <f t="shared" si="0"/>
        <v>-40581</v>
      </c>
      <c r="C6" s="3">
        <v>0</v>
      </c>
      <c r="D6" s="3">
        <v>0</v>
      </c>
      <c r="E6" s="3">
        <v>40581</v>
      </c>
      <c r="F6" s="3">
        <v>38148</v>
      </c>
    </row>
    <row r="7" spans="1:6" x14ac:dyDescent="0.3">
      <c r="A7" s="2" t="s">
        <v>9</v>
      </c>
      <c r="B7" s="3">
        <f t="shared" si="0"/>
        <v>-7000558</v>
      </c>
      <c r="C7" s="3">
        <v>0</v>
      </c>
      <c r="D7" s="3">
        <v>0</v>
      </c>
      <c r="E7" s="3">
        <v>7000558</v>
      </c>
      <c r="F7" s="3">
        <v>8075933</v>
      </c>
    </row>
    <row r="8" spans="1:6" x14ac:dyDescent="0.3">
      <c r="A8" s="2" t="s">
        <v>10</v>
      </c>
      <c r="B8" s="3">
        <f t="shared" si="0"/>
        <v>-9148982</v>
      </c>
      <c r="C8" s="3">
        <v>0</v>
      </c>
      <c r="D8" s="3">
        <v>0</v>
      </c>
      <c r="E8" s="3">
        <v>9148982</v>
      </c>
      <c r="F8" s="3">
        <v>10760452</v>
      </c>
    </row>
    <row r="9" spans="1:6" x14ac:dyDescent="0.3">
      <c r="A9" s="2" t="s">
        <v>11</v>
      </c>
      <c r="B9" s="3">
        <f t="shared" si="0"/>
        <v>-4797599</v>
      </c>
      <c r="C9" s="3">
        <v>0</v>
      </c>
      <c r="D9" s="3">
        <v>0</v>
      </c>
      <c r="E9" s="3">
        <v>4797599</v>
      </c>
      <c r="F9" s="3">
        <v>5815682</v>
      </c>
    </row>
    <row r="10" spans="1:6" x14ac:dyDescent="0.3">
      <c r="A10" s="2" t="s">
        <v>12</v>
      </c>
      <c r="B10" s="3">
        <f t="shared" si="0"/>
        <v>-16428116</v>
      </c>
      <c r="C10" s="3">
        <v>0</v>
      </c>
      <c r="D10" s="3">
        <v>0</v>
      </c>
      <c r="E10" s="3">
        <v>16428116</v>
      </c>
      <c r="F10" s="3">
        <v>20816187</v>
      </c>
    </row>
    <row r="11" spans="1:6" x14ac:dyDescent="0.3">
      <c r="A11" s="2" t="s">
        <v>13</v>
      </c>
      <c r="B11" s="3">
        <f t="shared" si="0"/>
        <v>-4362269</v>
      </c>
      <c r="C11" s="3">
        <v>0</v>
      </c>
      <c r="D11" s="3">
        <v>0</v>
      </c>
      <c r="E11" s="3">
        <v>4362269</v>
      </c>
      <c r="F11" s="3">
        <v>5899751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-41859076</v>
      </c>
      <c r="C15" s="5">
        <f t="shared" ref="C15:F15" si="1">SUM(C3:C14)</f>
        <v>0</v>
      </c>
      <c r="D15" s="5">
        <f t="shared" si="1"/>
        <v>0</v>
      </c>
      <c r="E15" s="5">
        <f t="shared" si="1"/>
        <v>41859076</v>
      </c>
      <c r="F15" s="5">
        <f t="shared" si="1"/>
        <v>51482153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-37</v>
      </c>
      <c r="C3" s="3">
        <v>0</v>
      </c>
      <c r="D3" s="3">
        <v>0</v>
      </c>
      <c r="E3" s="3">
        <v>37</v>
      </c>
      <c r="F3" s="3">
        <v>14</v>
      </c>
    </row>
    <row r="4" spans="1:6" x14ac:dyDescent="0.3">
      <c r="A4" s="2" t="s">
        <v>33</v>
      </c>
      <c r="B4" s="3">
        <f t="shared" si="0"/>
        <v>-21862</v>
      </c>
      <c r="C4" s="3">
        <v>0</v>
      </c>
      <c r="D4" s="3">
        <v>0</v>
      </c>
      <c r="E4" s="3">
        <v>21862</v>
      </c>
      <c r="F4" s="3">
        <v>23001</v>
      </c>
    </row>
    <row r="5" spans="1:6" x14ac:dyDescent="0.3">
      <c r="A5" s="2" t="s">
        <v>34</v>
      </c>
      <c r="B5" s="3">
        <f t="shared" si="0"/>
        <v>-5425527</v>
      </c>
      <c r="C5" s="3">
        <v>0</v>
      </c>
      <c r="D5" s="3">
        <v>0</v>
      </c>
      <c r="E5" s="3">
        <v>5425527</v>
      </c>
      <c r="F5" s="3">
        <v>8018980</v>
      </c>
    </row>
    <row r="6" spans="1:6" x14ac:dyDescent="0.3">
      <c r="A6" s="2" t="s">
        <v>8</v>
      </c>
      <c r="B6" s="3">
        <f t="shared" si="0"/>
        <v>-5264389</v>
      </c>
      <c r="C6" s="3">
        <v>0</v>
      </c>
      <c r="D6" s="3">
        <v>0</v>
      </c>
      <c r="E6" s="3">
        <v>5264389</v>
      </c>
      <c r="F6" s="3">
        <v>7999545</v>
      </c>
    </row>
    <row r="7" spans="1:6" x14ac:dyDescent="0.3">
      <c r="A7" s="2" t="s">
        <v>9</v>
      </c>
      <c r="B7" s="3">
        <f t="shared" si="0"/>
        <v>-38492</v>
      </c>
      <c r="C7" s="3">
        <v>0</v>
      </c>
      <c r="D7" s="3">
        <v>0</v>
      </c>
      <c r="E7" s="3">
        <v>38492</v>
      </c>
      <c r="F7" s="3">
        <v>42000</v>
      </c>
    </row>
    <row r="8" spans="1:6" x14ac:dyDescent="0.3">
      <c r="A8" s="2" t="s">
        <v>10</v>
      </c>
      <c r="B8" s="3">
        <f t="shared" si="0"/>
        <v>-6371091</v>
      </c>
      <c r="C8" s="3">
        <v>0</v>
      </c>
      <c r="D8" s="3">
        <v>0</v>
      </c>
      <c r="E8" s="3">
        <v>6371091</v>
      </c>
      <c r="F8" s="3">
        <v>10218868</v>
      </c>
    </row>
    <row r="9" spans="1:6" x14ac:dyDescent="0.3">
      <c r="A9" s="2" t="s">
        <v>11</v>
      </c>
      <c r="B9" s="3">
        <f t="shared" si="0"/>
        <v>-13890131</v>
      </c>
      <c r="C9" s="3">
        <v>0</v>
      </c>
      <c r="D9" s="3">
        <v>0</v>
      </c>
      <c r="E9" s="3">
        <v>13890131</v>
      </c>
      <c r="F9" s="3">
        <v>22832277</v>
      </c>
    </row>
    <row r="10" spans="1:6" x14ac:dyDescent="0.3">
      <c r="A10" s="2" t="s">
        <v>12</v>
      </c>
      <c r="B10" s="3">
        <f t="shared" si="0"/>
        <v>-1717600</v>
      </c>
      <c r="C10" s="3">
        <v>0</v>
      </c>
      <c r="D10" s="3">
        <v>0</v>
      </c>
      <c r="E10" s="3">
        <v>1717600</v>
      </c>
      <c r="F10" s="3">
        <v>3040000</v>
      </c>
    </row>
    <row r="11" spans="1:6" x14ac:dyDescent="0.3">
      <c r="A11" s="2" t="s">
        <v>13</v>
      </c>
      <c r="B11" s="3">
        <f t="shared" si="0"/>
        <v>-10375419</v>
      </c>
      <c r="C11" s="3">
        <v>0</v>
      </c>
      <c r="D11" s="3">
        <v>0</v>
      </c>
      <c r="E11" s="3">
        <v>10375419</v>
      </c>
      <c r="F11" s="3">
        <v>18943132</v>
      </c>
    </row>
    <row r="12" spans="1:6" x14ac:dyDescent="0.3">
      <c r="A12" s="2" t="s">
        <v>14</v>
      </c>
      <c r="B12" s="3">
        <f t="shared" si="0"/>
        <v>-2535353</v>
      </c>
      <c r="C12" s="3">
        <v>0</v>
      </c>
      <c r="D12" s="3">
        <v>0</v>
      </c>
      <c r="E12" s="3">
        <v>2535353</v>
      </c>
      <c r="F12" s="3">
        <v>6100855</v>
      </c>
    </row>
    <row r="13" spans="1:6" x14ac:dyDescent="0.3">
      <c r="A13" s="2" t="s">
        <v>15</v>
      </c>
      <c r="B13" s="3">
        <f t="shared" si="0"/>
        <v>-9594369</v>
      </c>
      <c r="C13" s="3">
        <v>0</v>
      </c>
      <c r="D13" s="3">
        <v>0</v>
      </c>
      <c r="E13" s="3">
        <v>9594369</v>
      </c>
      <c r="F13" s="3">
        <v>21518396</v>
      </c>
    </row>
    <row r="14" spans="1:6" x14ac:dyDescent="0.3">
      <c r="A14" s="2" t="s">
        <v>16</v>
      </c>
      <c r="B14" s="3">
        <f t="shared" si="0"/>
        <v>-2887366</v>
      </c>
      <c r="C14" s="3">
        <v>0</v>
      </c>
      <c r="D14" s="3">
        <v>0</v>
      </c>
      <c r="E14" s="3">
        <v>2887366</v>
      </c>
      <c r="F14" s="3">
        <v>6377751</v>
      </c>
    </row>
    <row r="15" spans="1:6" ht="17.25" thickBot="1" x14ac:dyDescent="0.35">
      <c r="A15" s="4" t="s">
        <v>35</v>
      </c>
      <c r="B15" s="5">
        <f>SUM(B3:B14)</f>
        <v>-58121636</v>
      </c>
      <c r="C15" s="5">
        <f t="shared" ref="C15:F15" si="1">SUM(C3:C14)</f>
        <v>0</v>
      </c>
      <c r="D15" s="5">
        <f t="shared" si="1"/>
        <v>0</v>
      </c>
      <c r="E15" s="5">
        <f t="shared" si="1"/>
        <v>58121636</v>
      </c>
      <c r="F15" s="5">
        <f t="shared" si="1"/>
        <v>105114819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-8586143</v>
      </c>
      <c r="C3" s="3">
        <v>0</v>
      </c>
      <c r="D3" s="3">
        <v>0</v>
      </c>
      <c r="E3" s="3">
        <v>8586143</v>
      </c>
      <c r="F3" s="3">
        <v>17682188</v>
      </c>
    </row>
    <row r="4" spans="1:6" x14ac:dyDescent="0.3">
      <c r="A4" s="2" t="s">
        <v>33</v>
      </c>
      <c r="B4" s="3">
        <f t="shared" si="0"/>
        <v>-3093000</v>
      </c>
      <c r="C4" s="3">
        <v>0</v>
      </c>
      <c r="D4" s="3">
        <v>0</v>
      </c>
      <c r="E4" s="3">
        <v>3093000</v>
      </c>
      <c r="F4" s="3">
        <v>5980298</v>
      </c>
    </row>
    <row r="5" spans="1:6" x14ac:dyDescent="0.3">
      <c r="A5" s="2" t="s">
        <v>34</v>
      </c>
      <c r="B5" s="3">
        <f t="shared" si="0"/>
        <v>-8211092</v>
      </c>
      <c r="C5" s="3">
        <v>0</v>
      </c>
      <c r="D5" s="3">
        <v>0</v>
      </c>
      <c r="E5" s="3">
        <v>8211092</v>
      </c>
      <c r="F5" s="3">
        <v>13963146</v>
      </c>
    </row>
    <row r="6" spans="1:6" x14ac:dyDescent="0.3">
      <c r="A6" s="2" t="s">
        <v>8</v>
      </c>
      <c r="B6" s="3">
        <f t="shared" si="0"/>
        <v>-11222457</v>
      </c>
      <c r="C6" s="3">
        <v>0</v>
      </c>
      <c r="D6" s="3">
        <v>0</v>
      </c>
      <c r="E6" s="3">
        <v>11222457</v>
      </c>
      <c r="F6" s="3">
        <v>18707718</v>
      </c>
    </row>
    <row r="7" spans="1:6" x14ac:dyDescent="0.3">
      <c r="A7" s="2" t="s">
        <v>9</v>
      </c>
      <c r="B7" s="3">
        <f t="shared" si="0"/>
        <v>-4386247</v>
      </c>
      <c r="C7" s="3">
        <v>0</v>
      </c>
      <c r="D7" s="3">
        <v>0</v>
      </c>
      <c r="E7" s="3">
        <v>4386247</v>
      </c>
      <c r="F7" s="3">
        <v>6699874</v>
      </c>
    </row>
    <row r="8" spans="1:6" x14ac:dyDescent="0.3">
      <c r="A8" s="2" t="s">
        <v>10</v>
      </c>
      <c r="B8" s="3">
        <f t="shared" si="0"/>
        <v>-8031925</v>
      </c>
      <c r="C8" s="3">
        <v>0</v>
      </c>
      <c r="D8" s="3">
        <v>0</v>
      </c>
      <c r="E8" s="3">
        <v>8031925</v>
      </c>
      <c r="F8" s="3">
        <v>12612314</v>
      </c>
    </row>
    <row r="9" spans="1:6" x14ac:dyDescent="0.3">
      <c r="A9" s="2" t="s">
        <v>11</v>
      </c>
      <c r="B9" s="3">
        <f t="shared" si="0"/>
        <v>-14928567</v>
      </c>
      <c r="C9" s="3">
        <v>0</v>
      </c>
      <c r="D9" s="3">
        <v>0</v>
      </c>
      <c r="E9" s="3">
        <v>14928567</v>
      </c>
      <c r="F9" s="3">
        <v>22999423</v>
      </c>
    </row>
    <row r="10" spans="1:6" x14ac:dyDescent="0.3">
      <c r="A10" s="2" t="s">
        <v>12</v>
      </c>
      <c r="B10" s="3">
        <f t="shared" si="0"/>
        <v>-6293097</v>
      </c>
      <c r="C10" s="3">
        <v>0</v>
      </c>
      <c r="D10" s="3">
        <v>0</v>
      </c>
      <c r="E10" s="3">
        <v>6293097</v>
      </c>
      <c r="F10" s="3">
        <v>10018916</v>
      </c>
    </row>
    <row r="11" spans="1:6" x14ac:dyDescent="0.3">
      <c r="A11" s="2" t="s">
        <v>13</v>
      </c>
      <c r="B11" s="3">
        <f t="shared" si="0"/>
        <v>-6273293</v>
      </c>
      <c r="C11" s="3">
        <v>0</v>
      </c>
      <c r="D11" s="3">
        <v>0</v>
      </c>
      <c r="E11" s="3">
        <v>6273293</v>
      </c>
      <c r="F11" s="3">
        <v>9678978</v>
      </c>
    </row>
    <row r="12" spans="1:6" x14ac:dyDescent="0.3">
      <c r="A12" s="2" t="s">
        <v>14</v>
      </c>
      <c r="B12" s="3">
        <f t="shared" si="0"/>
        <v>-2563590</v>
      </c>
      <c r="C12" s="3">
        <v>0</v>
      </c>
      <c r="D12" s="3">
        <v>0</v>
      </c>
      <c r="E12" s="3">
        <v>2563590</v>
      </c>
      <c r="F12" s="3">
        <v>3518856</v>
      </c>
    </row>
    <row r="13" spans="1:6" x14ac:dyDescent="0.3">
      <c r="A13" s="2" t="s">
        <v>15</v>
      </c>
      <c r="B13" s="3">
        <f t="shared" si="0"/>
        <v>-1464127</v>
      </c>
      <c r="C13" s="3">
        <v>0</v>
      </c>
      <c r="D13" s="3">
        <v>0</v>
      </c>
      <c r="E13" s="3">
        <v>1464127</v>
      </c>
      <c r="F13" s="3">
        <v>1999752</v>
      </c>
    </row>
    <row r="14" spans="1:6" x14ac:dyDescent="0.3">
      <c r="A14" s="2" t="s">
        <v>16</v>
      </c>
      <c r="B14" s="3">
        <f t="shared" si="0"/>
        <v>-5300351</v>
      </c>
      <c r="C14" s="3">
        <v>0</v>
      </c>
      <c r="D14" s="3">
        <v>0</v>
      </c>
      <c r="E14" s="3">
        <v>5300351</v>
      </c>
      <c r="F14" s="3">
        <v>7018600</v>
      </c>
    </row>
    <row r="15" spans="1:6" ht="17.25" thickBot="1" x14ac:dyDescent="0.35">
      <c r="A15" s="4" t="s">
        <v>35</v>
      </c>
      <c r="B15" s="5">
        <f>SUM(B3:B14)</f>
        <v>-80353889</v>
      </c>
      <c r="C15" s="5">
        <f t="shared" ref="C15:F15" si="1">SUM(C3:C14)</f>
        <v>0</v>
      </c>
      <c r="D15" s="5">
        <f t="shared" si="1"/>
        <v>0</v>
      </c>
      <c r="E15" s="5">
        <f t="shared" si="1"/>
        <v>80353889</v>
      </c>
      <c r="F15" s="5">
        <f t="shared" si="1"/>
        <v>130880063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-10666666</v>
      </c>
      <c r="C3" s="3">
        <v>0</v>
      </c>
      <c r="D3" s="3">
        <v>0</v>
      </c>
      <c r="E3" s="3">
        <v>10666666</v>
      </c>
      <c r="F3" s="3">
        <v>13778657</v>
      </c>
    </row>
    <row r="4" spans="1:6" x14ac:dyDescent="0.3">
      <c r="A4" s="2" t="s">
        <v>6</v>
      </c>
      <c r="B4" s="3">
        <f t="shared" ref="B4:B14" si="0">C4-E4</f>
        <v>-18240</v>
      </c>
      <c r="C4" s="3">
        <v>0</v>
      </c>
      <c r="D4" s="3">
        <v>0</v>
      </c>
      <c r="E4" s="3">
        <v>18240</v>
      </c>
      <c r="F4" s="3">
        <v>19000</v>
      </c>
    </row>
    <row r="5" spans="1:6" x14ac:dyDescent="0.3">
      <c r="A5" s="2" t="s">
        <v>7</v>
      </c>
      <c r="B5" s="3">
        <f t="shared" si="0"/>
        <v>-10961235</v>
      </c>
      <c r="C5" s="3">
        <v>0</v>
      </c>
      <c r="D5" s="3">
        <v>0</v>
      </c>
      <c r="E5" s="3">
        <v>10961235</v>
      </c>
      <c r="F5" s="3">
        <v>14522804</v>
      </c>
    </row>
    <row r="6" spans="1:6" x14ac:dyDescent="0.3">
      <c r="A6" s="2" t="s">
        <v>8</v>
      </c>
      <c r="B6" s="3">
        <f t="shared" si="0"/>
        <v>-13044318</v>
      </c>
      <c r="C6" s="3">
        <v>0</v>
      </c>
      <c r="D6" s="3">
        <v>0</v>
      </c>
      <c r="E6" s="3">
        <v>13044318</v>
      </c>
      <c r="F6" s="3">
        <v>19168054</v>
      </c>
    </row>
    <row r="7" spans="1:6" x14ac:dyDescent="0.3">
      <c r="A7" s="2" t="s">
        <v>9</v>
      </c>
      <c r="B7" s="3">
        <f t="shared" si="0"/>
        <v>-9135745</v>
      </c>
      <c r="C7" s="3">
        <v>0</v>
      </c>
      <c r="D7" s="3">
        <v>0</v>
      </c>
      <c r="E7" s="3">
        <v>9135745</v>
      </c>
      <c r="F7" s="3">
        <v>14499731</v>
      </c>
    </row>
    <row r="8" spans="1:6" x14ac:dyDescent="0.3">
      <c r="A8" s="2" t="s">
        <v>10</v>
      </c>
      <c r="B8" s="3">
        <f t="shared" si="0"/>
        <v>-8945529</v>
      </c>
      <c r="C8" s="3">
        <v>0</v>
      </c>
      <c r="D8" s="3">
        <v>0</v>
      </c>
      <c r="E8" s="3">
        <v>8945529</v>
      </c>
      <c r="F8" s="3">
        <v>14135832</v>
      </c>
    </row>
    <row r="9" spans="1:6" x14ac:dyDescent="0.3">
      <c r="A9" s="2" t="s">
        <v>11</v>
      </c>
      <c r="B9" s="3">
        <f t="shared" si="0"/>
        <v>-16654829</v>
      </c>
      <c r="C9" s="3">
        <v>0</v>
      </c>
      <c r="D9" s="3">
        <v>0</v>
      </c>
      <c r="E9" s="3">
        <v>16654829</v>
      </c>
      <c r="F9" s="3">
        <v>26599215</v>
      </c>
    </row>
    <row r="10" spans="1:6" x14ac:dyDescent="0.3">
      <c r="A10" s="2" t="s">
        <v>12</v>
      </c>
      <c r="B10" s="3">
        <f t="shared" si="0"/>
        <v>-30754061</v>
      </c>
      <c r="C10" s="3">
        <v>0</v>
      </c>
      <c r="D10" s="3">
        <v>0</v>
      </c>
      <c r="E10" s="3">
        <v>30754061</v>
      </c>
      <c r="F10" s="3">
        <v>48417471</v>
      </c>
    </row>
    <row r="11" spans="1:6" x14ac:dyDescent="0.3">
      <c r="A11" s="2" t="s">
        <v>13</v>
      </c>
      <c r="B11" s="3">
        <f t="shared" si="0"/>
        <v>-4268130</v>
      </c>
      <c r="C11" s="3">
        <v>0</v>
      </c>
      <c r="D11" s="3">
        <v>0</v>
      </c>
      <c r="E11" s="3">
        <v>4268130</v>
      </c>
      <c r="F11" s="3">
        <v>6522837</v>
      </c>
    </row>
    <row r="12" spans="1:6" x14ac:dyDescent="0.3">
      <c r="A12" s="2" t="s">
        <v>14</v>
      </c>
      <c r="B12" s="3">
        <f t="shared" si="0"/>
        <v>-1078209</v>
      </c>
      <c r="C12" s="3">
        <v>0</v>
      </c>
      <c r="D12" s="3">
        <v>0</v>
      </c>
      <c r="E12" s="3">
        <v>1078209</v>
      </c>
      <c r="F12" s="3">
        <v>1518882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-17876</v>
      </c>
      <c r="C14" s="3">
        <v>0</v>
      </c>
      <c r="D14" s="3">
        <v>0</v>
      </c>
      <c r="E14" s="3">
        <v>17876</v>
      </c>
      <c r="F14" s="3">
        <v>19002</v>
      </c>
    </row>
    <row r="15" spans="1:6" ht="17.25" thickBot="1" x14ac:dyDescent="0.35">
      <c r="A15" s="4" t="s">
        <v>17</v>
      </c>
      <c r="B15" s="5">
        <f>SUM(B3:B14)</f>
        <v>-105544838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105544838</v>
      </c>
      <c r="F15" s="5">
        <f t="shared" si="2"/>
        <v>159201485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-34</v>
      </c>
      <c r="C3" s="3">
        <v>0</v>
      </c>
      <c r="D3" s="3">
        <v>0</v>
      </c>
      <c r="E3" s="3">
        <v>34</v>
      </c>
      <c r="F3" s="3">
        <v>3</v>
      </c>
    </row>
    <row r="4" spans="1:6" x14ac:dyDescent="0.3">
      <c r="A4" s="2" t="s">
        <v>6</v>
      </c>
      <c r="B4" s="3">
        <f t="shared" ref="B4:B14" si="0">C4-E4</f>
        <v>-999662</v>
      </c>
      <c r="C4" s="3">
        <v>0</v>
      </c>
      <c r="D4" s="3">
        <v>0</v>
      </c>
      <c r="E4" s="3">
        <v>999662</v>
      </c>
      <c r="F4" s="3">
        <v>1518934</v>
      </c>
    </row>
    <row r="5" spans="1:6" x14ac:dyDescent="0.3">
      <c r="A5" s="2" t="s">
        <v>7</v>
      </c>
      <c r="B5" s="3">
        <f t="shared" si="0"/>
        <v>-4862600</v>
      </c>
      <c r="C5" s="3">
        <v>0</v>
      </c>
      <c r="D5" s="3">
        <v>0</v>
      </c>
      <c r="E5" s="3">
        <v>4862600</v>
      </c>
      <c r="F5" s="3">
        <v>7041842</v>
      </c>
    </row>
    <row r="6" spans="1:6" x14ac:dyDescent="0.3">
      <c r="A6" s="2" t="s">
        <v>8</v>
      </c>
      <c r="B6" s="3">
        <f t="shared" si="0"/>
        <v>-13271872</v>
      </c>
      <c r="C6" s="3">
        <v>0</v>
      </c>
      <c r="D6" s="3">
        <v>0</v>
      </c>
      <c r="E6" s="3">
        <v>13271872</v>
      </c>
      <c r="F6" s="3">
        <v>19518588</v>
      </c>
    </row>
    <row r="7" spans="1:6" x14ac:dyDescent="0.3">
      <c r="A7" s="2" t="s">
        <v>9</v>
      </c>
      <c r="B7" s="3">
        <f t="shared" si="0"/>
        <v>-1015458</v>
      </c>
      <c r="C7" s="3">
        <v>0</v>
      </c>
      <c r="D7" s="3">
        <v>0</v>
      </c>
      <c r="E7" s="3">
        <v>1015458</v>
      </c>
      <c r="F7" s="3">
        <v>1518953</v>
      </c>
    </row>
    <row r="8" spans="1:6" x14ac:dyDescent="0.3">
      <c r="A8" s="2" t="s">
        <v>10</v>
      </c>
      <c r="B8" s="3">
        <f t="shared" si="0"/>
        <v>-11219764</v>
      </c>
      <c r="C8" s="3">
        <v>0</v>
      </c>
      <c r="D8" s="3">
        <v>0</v>
      </c>
      <c r="E8" s="3">
        <v>11219764</v>
      </c>
      <c r="F8" s="3">
        <v>17710483</v>
      </c>
    </row>
    <row r="9" spans="1:6" x14ac:dyDescent="0.3">
      <c r="A9" s="2" t="s">
        <v>11</v>
      </c>
      <c r="B9" s="3">
        <f t="shared" si="0"/>
        <v>-19213201</v>
      </c>
      <c r="C9" s="3">
        <v>0</v>
      </c>
      <c r="D9" s="3">
        <v>0</v>
      </c>
      <c r="E9" s="3">
        <v>19213201</v>
      </c>
      <c r="F9" s="3">
        <v>31378804</v>
      </c>
    </row>
    <row r="10" spans="1:6" x14ac:dyDescent="0.3">
      <c r="A10" s="2" t="s">
        <v>12</v>
      </c>
      <c r="B10" s="3">
        <f t="shared" si="0"/>
        <v>-8430941</v>
      </c>
      <c r="C10" s="3">
        <v>0</v>
      </c>
      <c r="D10" s="3">
        <v>0</v>
      </c>
      <c r="E10" s="3">
        <v>8430941</v>
      </c>
      <c r="F10" s="3">
        <v>14018890</v>
      </c>
    </row>
    <row r="11" spans="1:6" x14ac:dyDescent="0.3">
      <c r="A11" s="2" t="s">
        <v>13</v>
      </c>
      <c r="B11" s="3">
        <f t="shared" si="0"/>
        <v>-7322831</v>
      </c>
      <c r="C11" s="3">
        <v>0</v>
      </c>
      <c r="D11" s="3">
        <v>0</v>
      </c>
      <c r="E11" s="3">
        <v>7322831</v>
      </c>
      <c r="F11" s="3">
        <v>12822716</v>
      </c>
    </row>
    <row r="12" spans="1:6" x14ac:dyDescent="0.3">
      <c r="A12" s="2" t="s">
        <v>14</v>
      </c>
      <c r="B12" s="3">
        <f t="shared" si="0"/>
        <v>-5491038</v>
      </c>
      <c r="C12" s="3">
        <v>0</v>
      </c>
      <c r="D12" s="3">
        <v>0</v>
      </c>
      <c r="E12" s="3">
        <v>5491038</v>
      </c>
      <c r="F12" s="3">
        <v>10022663</v>
      </c>
    </row>
    <row r="13" spans="1:6" x14ac:dyDescent="0.3">
      <c r="A13" s="2" t="s">
        <v>15</v>
      </c>
      <c r="B13" s="3">
        <f t="shared" si="0"/>
        <v>-3513242</v>
      </c>
      <c r="C13" s="3">
        <v>0</v>
      </c>
      <c r="D13" s="3">
        <v>0</v>
      </c>
      <c r="E13" s="3">
        <v>3513242</v>
      </c>
      <c r="F13" s="3">
        <v>6499767</v>
      </c>
    </row>
    <row r="14" spans="1:6" x14ac:dyDescent="0.3">
      <c r="A14" s="2" t="s">
        <v>16</v>
      </c>
      <c r="B14" s="3">
        <f t="shared" si="0"/>
        <v>-6034156</v>
      </c>
      <c r="C14" s="3">
        <v>0</v>
      </c>
      <c r="D14" s="3">
        <v>0</v>
      </c>
      <c r="E14" s="3">
        <v>6034156</v>
      </c>
      <c r="F14" s="3">
        <v>12981120</v>
      </c>
    </row>
    <row r="15" spans="1:6" ht="17.25" thickBot="1" x14ac:dyDescent="0.35">
      <c r="A15" s="4" t="s">
        <v>17</v>
      </c>
      <c r="B15" s="5">
        <f>SUM(B3:B14)</f>
        <v>-81374799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81374799</v>
      </c>
      <c r="F15" s="5">
        <f t="shared" si="2"/>
        <v>135032763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-4078927</v>
      </c>
      <c r="C3" s="3">
        <v>0</v>
      </c>
      <c r="D3" s="3">
        <v>0</v>
      </c>
      <c r="E3" s="3">
        <v>4078927</v>
      </c>
      <c r="F3" s="3">
        <v>8518902</v>
      </c>
    </row>
    <row r="4" spans="1:6" x14ac:dyDescent="0.3">
      <c r="A4" s="2" t="s">
        <v>6</v>
      </c>
      <c r="B4" s="3">
        <f t="shared" ref="B4:B14" si="0">C4-E4</f>
        <v>-2458168</v>
      </c>
      <c r="C4" s="3">
        <v>0</v>
      </c>
      <c r="D4" s="3">
        <v>0</v>
      </c>
      <c r="E4" s="3">
        <v>2458168</v>
      </c>
      <c r="F4" s="3">
        <v>4522864</v>
      </c>
    </row>
    <row r="5" spans="1:6" x14ac:dyDescent="0.3">
      <c r="A5" s="2" t="s">
        <v>7</v>
      </c>
      <c r="B5" s="3">
        <f t="shared" si="0"/>
        <v>-11067774</v>
      </c>
      <c r="C5" s="3">
        <v>0</v>
      </c>
      <c r="D5" s="3">
        <v>0</v>
      </c>
      <c r="E5" s="3">
        <v>11067774</v>
      </c>
      <c r="F5" s="3">
        <v>20618745</v>
      </c>
    </row>
    <row r="6" spans="1:6" x14ac:dyDescent="0.3">
      <c r="A6" s="2" t="s">
        <v>8</v>
      </c>
      <c r="B6" s="3">
        <f t="shared" si="0"/>
        <v>-14750289</v>
      </c>
      <c r="C6" s="3">
        <v>0</v>
      </c>
      <c r="D6" s="3">
        <v>0</v>
      </c>
      <c r="E6" s="3">
        <v>14750289</v>
      </c>
      <c r="F6" s="3">
        <v>26485512</v>
      </c>
    </row>
    <row r="7" spans="1:6" x14ac:dyDescent="0.3">
      <c r="A7" s="2" t="s">
        <v>9</v>
      </c>
      <c r="B7" s="3">
        <f t="shared" si="0"/>
        <v>-13796640</v>
      </c>
      <c r="C7" s="3">
        <v>0</v>
      </c>
      <c r="D7" s="3">
        <v>0</v>
      </c>
      <c r="E7" s="3">
        <v>13796640</v>
      </c>
      <c r="F7" s="3">
        <v>25851593</v>
      </c>
    </row>
    <row r="8" spans="1:6" x14ac:dyDescent="0.3">
      <c r="A8" s="2" t="s">
        <v>10</v>
      </c>
      <c r="B8" s="3">
        <f t="shared" si="0"/>
        <v>-18306566</v>
      </c>
      <c r="C8" s="3">
        <v>0</v>
      </c>
      <c r="D8" s="3">
        <v>0</v>
      </c>
      <c r="E8" s="3">
        <v>18306566</v>
      </c>
      <c r="F8" s="3">
        <v>37065243</v>
      </c>
    </row>
    <row r="9" spans="1:6" x14ac:dyDescent="0.3">
      <c r="A9" s="2" t="s">
        <v>11</v>
      </c>
      <c r="B9" s="3">
        <f t="shared" si="0"/>
        <v>-12657933</v>
      </c>
      <c r="C9" s="3">
        <v>0</v>
      </c>
      <c r="D9" s="3">
        <v>0</v>
      </c>
      <c r="E9" s="3">
        <v>12657933</v>
      </c>
      <c r="F9" s="3">
        <v>25589949</v>
      </c>
    </row>
    <row r="10" spans="1:6" x14ac:dyDescent="0.3">
      <c r="A10" s="2" t="s">
        <v>12</v>
      </c>
      <c r="B10" s="3">
        <f t="shared" si="0"/>
        <v>-16719591</v>
      </c>
      <c r="C10" s="3">
        <v>0</v>
      </c>
      <c r="D10" s="3">
        <v>0</v>
      </c>
      <c r="E10" s="3">
        <v>16719591</v>
      </c>
      <c r="F10" s="3">
        <v>33935545</v>
      </c>
    </row>
    <row r="11" spans="1:6" x14ac:dyDescent="0.3">
      <c r="A11" s="2" t="s">
        <v>13</v>
      </c>
      <c r="B11" s="3">
        <f t="shared" si="0"/>
        <v>-9222833</v>
      </c>
      <c r="C11" s="3">
        <v>0</v>
      </c>
      <c r="D11" s="3">
        <v>0</v>
      </c>
      <c r="E11" s="3">
        <v>9222833</v>
      </c>
      <c r="F11" s="3">
        <v>17969204</v>
      </c>
    </row>
    <row r="12" spans="1:6" x14ac:dyDescent="0.3">
      <c r="A12" s="2" t="s">
        <v>14</v>
      </c>
      <c r="B12" s="3">
        <f t="shared" si="0"/>
        <v>-4737311</v>
      </c>
      <c r="C12" s="3">
        <v>0</v>
      </c>
      <c r="D12" s="3">
        <v>0</v>
      </c>
      <c r="E12" s="3">
        <v>4737311</v>
      </c>
      <c r="F12" s="3">
        <v>8499713</v>
      </c>
    </row>
    <row r="13" spans="1:6" x14ac:dyDescent="0.3">
      <c r="A13" s="2" t="s">
        <v>15</v>
      </c>
      <c r="B13" s="3">
        <f t="shared" si="0"/>
        <v>-2062849</v>
      </c>
      <c r="C13" s="3">
        <v>0</v>
      </c>
      <c r="D13" s="3">
        <v>0</v>
      </c>
      <c r="E13" s="3">
        <v>2062849</v>
      </c>
      <c r="F13" s="3">
        <v>3499821</v>
      </c>
    </row>
    <row r="14" spans="1:6" x14ac:dyDescent="0.3">
      <c r="A14" s="2" t="s">
        <v>16</v>
      </c>
      <c r="B14" s="3">
        <f t="shared" si="0"/>
        <v>-5168404</v>
      </c>
      <c r="C14" s="3">
        <v>0</v>
      </c>
      <c r="D14" s="3">
        <v>0</v>
      </c>
      <c r="E14" s="3">
        <v>5168404</v>
      </c>
      <c r="F14" s="3">
        <v>7999817</v>
      </c>
    </row>
    <row r="15" spans="1:6" ht="17.25" thickBot="1" x14ac:dyDescent="0.35">
      <c r="A15" s="4" t="s">
        <v>17</v>
      </c>
      <c r="B15" s="5">
        <f>SUM(B3:B14)</f>
        <v>-115027285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115027285</v>
      </c>
      <c r="F15" s="5">
        <f t="shared" si="2"/>
        <v>220556908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-18122211</v>
      </c>
      <c r="C3" s="3">
        <v>0</v>
      </c>
      <c r="D3" s="3">
        <v>0</v>
      </c>
      <c r="E3" s="3">
        <v>18122211</v>
      </c>
      <c r="F3" s="3">
        <v>27299602</v>
      </c>
    </row>
    <row r="4" spans="1:6" x14ac:dyDescent="0.3">
      <c r="A4" s="2" t="s">
        <v>6</v>
      </c>
      <c r="B4" s="3">
        <f t="shared" ref="B4:B14" si="0">C4-E4</f>
        <v>-11722468</v>
      </c>
      <c r="C4" s="3">
        <v>0</v>
      </c>
      <c r="D4" s="3">
        <v>0</v>
      </c>
      <c r="E4" s="3">
        <v>11722468</v>
      </c>
      <c r="F4" s="3">
        <v>16012561</v>
      </c>
    </row>
    <row r="5" spans="1:6" x14ac:dyDescent="0.3">
      <c r="A5" s="2" t="s">
        <v>7</v>
      </c>
      <c r="B5" s="3">
        <f t="shared" si="0"/>
        <v>-10148204</v>
      </c>
      <c r="C5" s="3">
        <v>0</v>
      </c>
      <c r="D5" s="3">
        <v>0</v>
      </c>
      <c r="E5" s="3">
        <v>10148204</v>
      </c>
      <c r="F5" s="3">
        <v>13984727</v>
      </c>
    </row>
    <row r="6" spans="1:6" x14ac:dyDescent="0.3">
      <c r="A6" s="2" t="s">
        <v>8</v>
      </c>
      <c r="B6" s="3">
        <f t="shared" si="0"/>
        <v>-9590615</v>
      </c>
      <c r="C6" s="3">
        <v>0</v>
      </c>
      <c r="D6" s="3">
        <v>0</v>
      </c>
      <c r="E6" s="3">
        <v>9590615</v>
      </c>
      <c r="F6" s="3">
        <v>14299825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-19356093</v>
      </c>
      <c r="C9" s="3">
        <v>0</v>
      </c>
      <c r="D9" s="3">
        <v>0</v>
      </c>
      <c r="E9" s="3">
        <v>19356093</v>
      </c>
      <c r="F9" s="3">
        <v>33541216</v>
      </c>
    </row>
    <row r="10" spans="1:6" x14ac:dyDescent="0.3">
      <c r="A10" s="2" t="s">
        <v>12</v>
      </c>
      <c r="B10" s="3">
        <f t="shared" si="0"/>
        <v>-11308409</v>
      </c>
      <c r="C10" s="3">
        <v>0</v>
      </c>
      <c r="D10" s="3">
        <v>0</v>
      </c>
      <c r="E10" s="3">
        <v>11308409</v>
      </c>
      <c r="F10" s="3">
        <v>17799794</v>
      </c>
    </row>
    <row r="11" spans="1:6" x14ac:dyDescent="0.3">
      <c r="A11" s="2" t="s">
        <v>13</v>
      </c>
      <c r="B11" s="3">
        <f t="shared" si="0"/>
        <v>-8842177</v>
      </c>
      <c r="C11" s="3">
        <v>0</v>
      </c>
      <c r="D11" s="3">
        <v>0</v>
      </c>
      <c r="E11" s="3">
        <v>8842177</v>
      </c>
      <c r="F11" s="3">
        <v>12995311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-1364394</v>
      </c>
      <c r="C14" s="3">
        <v>0</v>
      </c>
      <c r="D14" s="3">
        <v>0</v>
      </c>
      <c r="E14" s="3">
        <v>1364394</v>
      </c>
      <c r="F14" s="3">
        <v>1499893</v>
      </c>
    </row>
    <row r="15" spans="1:6" ht="17.25" thickBot="1" x14ac:dyDescent="0.35">
      <c r="A15" s="4" t="s">
        <v>17</v>
      </c>
      <c r="B15" s="5">
        <f>SUM(B3:B14)</f>
        <v>-90454571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90454571</v>
      </c>
      <c r="F15" s="5">
        <f t="shared" si="2"/>
        <v>137432929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-5693099</v>
      </c>
      <c r="C3" s="3">
        <v>0</v>
      </c>
      <c r="D3" s="3">
        <v>0</v>
      </c>
      <c r="E3" s="3">
        <v>5693099</v>
      </c>
      <c r="F3" s="3">
        <v>5817896</v>
      </c>
    </row>
    <row r="4" spans="1:6" x14ac:dyDescent="0.3">
      <c r="A4" s="2" t="s">
        <v>6</v>
      </c>
      <c r="B4" s="3">
        <f t="shared" ref="B4:B14" si="0">C4-E4</f>
        <v>-16708641</v>
      </c>
      <c r="C4" s="3">
        <v>0</v>
      </c>
      <c r="D4" s="3">
        <v>0</v>
      </c>
      <c r="E4" s="3">
        <v>16708641</v>
      </c>
      <c r="F4" s="3">
        <v>16744846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-19942382</v>
      </c>
      <c r="C6" s="3">
        <v>0</v>
      </c>
      <c r="D6" s="3">
        <v>0</v>
      </c>
      <c r="E6" s="3">
        <v>19942382</v>
      </c>
      <c r="F6" s="3">
        <v>19045061</v>
      </c>
    </row>
    <row r="7" spans="1:6" x14ac:dyDescent="0.3">
      <c r="A7" s="2" t="s">
        <v>9</v>
      </c>
      <c r="B7" s="3">
        <f t="shared" si="0"/>
        <v>-72087</v>
      </c>
      <c r="C7" s="3">
        <v>0</v>
      </c>
      <c r="D7" s="3">
        <v>0</v>
      </c>
      <c r="E7" s="3">
        <v>72087</v>
      </c>
      <c r="F7" s="3">
        <v>66110</v>
      </c>
    </row>
    <row r="8" spans="1:6" x14ac:dyDescent="0.3">
      <c r="A8" s="2" t="s">
        <v>10</v>
      </c>
      <c r="B8" s="3">
        <f t="shared" si="0"/>
        <v>-23212075</v>
      </c>
      <c r="C8" s="3">
        <v>0</v>
      </c>
      <c r="D8" s="3">
        <v>0</v>
      </c>
      <c r="E8" s="3">
        <v>23212075</v>
      </c>
      <c r="F8" s="3">
        <v>19899316</v>
      </c>
    </row>
    <row r="9" spans="1:6" x14ac:dyDescent="0.3">
      <c r="A9" s="2" t="s">
        <v>11</v>
      </c>
      <c r="B9" s="3">
        <f t="shared" si="0"/>
        <v>-30032695</v>
      </c>
      <c r="C9" s="3">
        <v>0</v>
      </c>
      <c r="D9" s="3">
        <v>0</v>
      </c>
      <c r="E9" s="3">
        <v>30032695</v>
      </c>
      <c r="F9" s="3">
        <v>28562046</v>
      </c>
    </row>
    <row r="10" spans="1:6" x14ac:dyDescent="0.3">
      <c r="A10" s="2" t="s">
        <v>12</v>
      </c>
      <c r="B10" s="3">
        <f t="shared" si="0"/>
        <v>-29347061</v>
      </c>
      <c r="C10" s="3">
        <v>0</v>
      </c>
      <c r="D10" s="3">
        <v>0</v>
      </c>
      <c r="E10" s="3">
        <v>29347061</v>
      </c>
      <c r="F10" s="3">
        <v>27633275</v>
      </c>
    </row>
    <row r="11" spans="1:6" x14ac:dyDescent="0.3">
      <c r="A11" s="2" t="s">
        <v>13</v>
      </c>
      <c r="B11" s="3">
        <f t="shared" si="0"/>
        <v>-9855934</v>
      </c>
      <c r="C11" s="3">
        <v>0</v>
      </c>
      <c r="D11" s="3">
        <v>0</v>
      </c>
      <c r="E11" s="3">
        <v>9855934</v>
      </c>
      <c r="F11" s="3">
        <v>9048307</v>
      </c>
    </row>
    <row r="12" spans="1:6" x14ac:dyDescent="0.3">
      <c r="A12" s="2" t="s">
        <v>14</v>
      </c>
      <c r="B12" s="3">
        <f t="shared" si="0"/>
        <v>-4612748</v>
      </c>
      <c r="C12" s="3">
        <v>0</v>
      </c>
      <c r="D12" s="3">
        <v>0</v>
      </c>
      <c r="E12" s="3">
        <v>4612748</v>
      </c>
      <c r="F12" s="3">
        <v>4000000</v>
      </c>
    </row>
    <row r="13" spans="1:6" x14ac:dyDescent="0.3">
      <c r="A13" s="2" t="s">
        <v>15</v>
      </c>
      <c r="B13" s="3">
        <f t="shared" si="0"/>
        <v>-3871980</v>
      </c>
      <c r="C13" s="3">
        <v>0</v>
      </c>
      <c r="D13" s="3">
        <v>0</v>
      </c>
      <c r="E13" s="3">
        <v>3871980</v>
      </c>
      <c r="F13" s="3">
        <v>3040646</v>
      </c>
    </row>
    <row r="14" spans="1:6" x14ac:dyDescent="0.3">
      <c r="A14" s="2" t="s">
        <v>16</v>
      </c>
      <c r="B14" s="3">
        <f t="shared" si="0"/>
        <v>-1486689</v>
      </c>
      <c r="C14" s="3">
        <v>0</v>
      </c>
      <c r="D14" s="3">
        <v>0</v>
      </c>
      <c r="E14" s="3">
        <v>1486689</v>
      </c>
      <c r="F14" s="3">
        <v>1091891</v>
      </c>
    </row>
    <row r="15" spans="1:6" ht="17.25" thickBot="1" x14ac:dyDescent="0.35">
      <c r="A15" s="4" t="s">
        <v>17</v>
      </c>
      <c r="B15" s="5">
        <f>SUM(B3:B14)</f>
        <v>-144835391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144835391</v>
      </c>
      <c r="F15" s="5">
        <f t="shared" si="2"/>
        <v>134949394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-7825279</v>
      </c>
      <c r="C3" s="3">
        <v>0</v>
      </c>
      <c r="D3" s="3">
        <v>0</v>
      </c>
      <c r="E3" s="3">
        <v>7825279</v>
      </c>
      <c r="F3" s="3">
        <v>6045713</v>
      </c>
    </row>
    <row r="4" spans="1:6" x14ac:dyDescent="0.3">
      <c r="A4" s="2" t="s">
        <v>6</v>
      </c>
      <c r="B4" s="3">
        <f t="shared" ref="B4:B14" si="0">C4-E4</f>
        <v>-8091533</v>
      </c>
      <c r="C4" s="3">
        <v>0</v>
      </c>
      <c r="D4" s="3">
        <v>0</v>
      </c>
      <c r="E4" s="3">
        <v>8091533</v>
      </c>
      <c r="F4" s="3">
        <v>5999988</v>
      </c>
    </row>
    <row r="5" spans="1:6" x14ac:dyDescent="0.3">
      <c r="A5" s="2" t="s">
        <v>7</v>
      </c>
      <c r="B5" s="3">
        <f t="shared" si="0"/>
        <v>-11594136</v>
      </c>
      <c r="C5" s="3">
        <v>0</v>
      </c>
      <c r="D5" s="3">
        <v>0</v>
      </c>
      <c r="E5" s="3">
        <v>11594136</v>
      </c>
      <c r="F5" s="3">
        <v>7499255</v>
      </c>
    </row>
    <row r="6" spans="1:6" x14ac:dyDescent="0.3">
      <c r="A6" s="2" t="s">
        <v>8</v>
      </c>
      <c r="B6" s="3">
        <f t="shared" si="0"/>
        <v>-19940677</v>
      </c>
      <c r="C6" s="3">
        <v>0</v>
      </c>
      <c r="D6" s="3">
        <v>0</v>
      </c>
      <c r="E6" s="3">
        <v>19940677</v>
      </c>
      <c r="F6" s="3">
        <v>11966705</v>
      </c>
    </row>
    <row r="7" spans="1:6" x14ac:dyDescent="0.3">
      <c r="A7" s="2" t="s">
        <v>9</v>
      </c>
      <c r="B7" s="3">
        <f t="shared" si="0"/>
        <v>-22545853</v>
      </c>
      <c r="C7" s="3">
        <v>0</v>
      </c>
      <c r="D7" s="3">
        <v>0</v>
      </c>
      <c r="E7" s="3">
        <v>22545853</v>
      </c>
      <c r="F7" s="3">
        <v>13546919</v>
      </c>
    </row>
    <row r="8" spans="1:6" x14ac:dyDescent="0.3">
      <c r="A8" s="2" t="s">
        <v>10</v>
      </c>
      <c r="B8" s="3">
        <f t="shared" si="0"/>
        <v>-25197353</v>
      </c>
      <c r="C8" s="3">
        <v>0</v>
      </c>
      <c r="D8" s="3">
        <v>0</v>
      </c>
      <c r="E8" s="3">
        <v>25197353</v>
      </c>
      <c r="F8" s="3">
        <v>15469421</v>
      </c>
    </row>
    <row r="9" spans="1:6" x14ac:dyDescent="0.3">
      <c r="A9" s="2" t="s">
        <v>11</v>
      </c>
      <c r="B9" s="3">
        <f t="shared" si="0"/>
        <v>-51691355</v>
      </c>
      <c r="C9" s="3">
        <v>0</v>
      </c>
      <c r="D9" s="3">
        <v>0</v>
      </c>
      <c r="E9" s="3">
        <v>51691355</v>
      </c>
      <c r="F9" s="3">
        <v>32997865</v>
      </c>
    </row>
    <row r="10" spans="1:6" x14ac:dyDescent="0.3">
      <c r="A10" s="2" t="s">
        <v>12</v>
      </c>
      <c r="B10" s="3">
        <f t="shared" si="0"/>
        <v>-7316993</v>
      </c>
      <c r="C10" s="3">
        <v>0</v>
      </c>
      <c r="D10" s="3">
        <v>0</v>
      </c>
      <c r="E10" s="3">
        <v>7316993</v>
      </c>
      <c r="F10" s="3">
        <v>7090982</v>
      </c>
    </row>
    <row r="11" spans="1:6" x14ac:dyDescent="0.3">
      <c r="A11" s="2" t="s">
        <v>13</v>
      </c>
      <c r="B11" s="3">
        <f t="shared" si="0"/>
        <v>-98510</v>
      </c>
      <c r="C11" s="3">
        <v>0</v>
      </c>
      <c r="D11" s="3">
        <v>0</v>
      </c>
      <c r="E11" s="3">
        <v>98510</v>
      </c>
      <c r="F11" s="3">
        <v>69000</v>
      </c>
    </row>
    <row r="12" spans="1:6" x14ac:dyDescent="0.3">
      <c r="A12" s="2" t="s">
        <v>14</v>
      </c>
      <c r="B12" s="3">
        <f t="shared" si="0"/>
        <v>-54547</v>
      </c>
      <c r="C12" s="3">
        <v>0</v>
      </c>
      <c r="D12" s="3">
        <v>0</v>
      </c>
      <c r="E12" s="3">
        <v>54547</v>
      </c>
      <c r="F12" s="3">
        <v>43000</v>
      </c>
    </row>
    <row r="13" spans="1:6" x14ac:dyDescent="0.3">
      <c r="A13" s="2" t="s">
        <v>15</v>
      </c>
      <c r="B13" s="3">
        <f t="shared" si="0"/>
        <v>-80155</v>
      </c>
      <c r="C13" s="3">
        <v>0</v>
      </c>
      <c r="D13" s="3">
        <v>0</v>
      </c>
      <c r="E13" s="3">
        <v>80155</v>
      </c>
      <c r="F13" s="3">
        <v>69000</v>
      </c>
    </row>
    <row r="14" spans="1:6" x14ac:dyDescent="0.3">
      <c r="A14" s="2" t="s">
        <v>16</v>
      </c>
      <c r="B14" s="3">
        <f t="shared" si="0"/>
        <v>-1511080</v>
      </c>
      <c r="C14" s="3">
        <v>0</v>
      </c>
      <c r="D14" s="3">
        <v>0</v>
      </c>
      <c r="E14" s="3">
        <v>1511080</v>
      </c>
      <c r="F14" s="3">
        <v>1565977</v>
      </c>
    </row>
    <row r="15" spans="1:6" ht="17.25" thickBot="1" x14ac:dyDescent="0.35">
      <c r="A15" s="4" t="s">
        <v>17</v>
      </c>
      <c r="B15" s="5">
        <f>SUM(B3:B14)</f>
        <v>-155947471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155947471</v>
      </c>
      <c r="F15" s="5">
        <f t="shared" si="2"/>
        <v>102363825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-12233583</v>
      </c>
      <c r="C3" s="3">
        <v>0</v>
      </c>
      <c r="D3" s="3">
        <v>0</v>
      </c>
      <c r="E3" s="3">
        <v>12233583</v>
      </c>
      <c r="F3" s="3">
        <v>13045640</v>
      </c>
    </row>
    <row r="4" spans="1:6" x14ac:dyDescent="0.3">
      <c r="A4" s="2" t="s">
        <v>6</v>
      </c>
      <c r="B4" s="3">
        <f t="shared" ref="B4:B14" si="0">C4-E4</f>
        <v>-5749094</v>
      </c>
      <c r="C4" s="3">
        <v>0</v>
      </c>
      <c r="D4" s="3">
        <v>0</v>
      </c>
      <c r="E4" s="3">
        <v>5749094</v>
      </c>
      <c r="F4" s="3">
        <v>6091976</v>
      </c>
    </row>
    <row r="5" spans="1:6" x14ac:dyDescent="0.3">
      <c r="A5" s="2" t="s">
        <v>7</v>
      </c>
      <c r="B5" s="3">
        <f t="shared" si="0"/>
        <v>-14666382</v>
      </c>
      <c r="C5" s="3">
        <v>0</v>
      </c>
      <c r="D5" s="3">
        <v>0</v>
      </c>
      <c r="E5" s="3">
        <v>14666382</v>
      </c>
      <c r="F5" s="3">
        <v>14694425</v>
      </c>
    </row>
    <row r="6" spans="1:6" x14ac:dyDescent="0.3">
      <c r="A6" s="2" t="s">
        <v>8</v>
      </c>
      <c r="B6" s="3">
        <f t="shared" si="0"/>
        <v>-29758940</v>
      </c>
      <c r="C6" s="3">
        <v>0</v>
      </c>
      <c r="D6" s="3">
        <v>0</v>
      </c>
      <c r="E6" s="3">
        <v>29758940</v>
      </c>
      <c r="F6" s="3">
        <v>31013561</v>
      </c>
    </row>
    <row r="7" spans="1:6" x14ac:dyDescent="0.3">
      <c r="A7" s="2" t="s">
        <v>9</v>
      </c>
      <c r="B7" s="3">
        <f t="shared" si="0"/>
        <v>-4658913</v>
      </c>
      <c r="C7" s="3">
        <v>0</v>
      </c>
      <c r="D7" s="3">
        <v>0</v>
      </c>
      <c r="E7" s="3">
        <v>4658913</v>
      </c>
      <c r="F7" s="3">
        <v>4984829</v>
      </c>
    </row>
    <row r="8" spans="1:6" x14ac:dyDescent="0.3">
      <c r="A8" s="2" t="s">
        <v>10</v>
      </c>
      <c r="B8" s="3">
        <f t="shared" si="0"/>
        <v>-32148876</v>
      </c>
      <c r="C8" s="3">
        <v>0</v>
      </c>
      <c r="D8" s="3">
        <v>0</v>
      </c>
      <c r="E8" s="3">
        <v>32148876</v>
      </c>
      <c r="F8" s="3">
        <v>35594064</v>
      </c>
    </row>
    <row r="9" spans="1:6" x14ac:dyDescent="0.3">
      <c r="A9" s="2" t="s">
        <v>11</v>
      </c>
      <c r="B9" s="3">
        <f t="shared" si="0"/>
        <v>-24890043</v>
      </c>
      <c r="C9" s="3">
        <v>0</v>
      </c>
      <c r="D9" s="3">
        <v>0</v>
      </c>
      <c r="E9" s="3">
        <v>24890043</v>
      </c>
      <c r="F9" s="3">
        <v>31498919</v>
      </c>
    </row>
    <row r="10" spans="1:6" x14ac:dyDescent="0.3">
      <c r="A10" s="2" t="s">
        <v>12</v>
      </c>
      <c r="B10" s="3">
        <f t="shared" si="0"/>
        <v>-15949066</v>
      </c>
      <c r="C10" s="3">
        <v>0</v>
      </c>
      <c r="D10" s="3">
        <v>0</v>
      </c>
      <c r="E10" s="3">
        <v>15949066</v>
      </c>
      <c r="F10" s="3">
        <v>18996672</v>
      </c>
    </row>
    <row r="11" spans="1:6" x14ac:dyDescent="0.3">
      <c r="A11" s="2" t="s">
        <v>13</v>
      </c>
      <c r="B11" s="3">
        <f t="shared" si="0"/>
        <v>-13065097</v>
      </c>
      <c r="C11" s="3">
        <v>0</v>
      </c>
      <c r="D11" s="3">
        <v>0</v>
      </c>
      <c r="E11" s="3">
        <v>13065097</v>
      </c>
      <c r="F11" s="3">
        <v>15483953</v>
      </c>
    </row>
    <row r="12" spans="1:6" x14ac:dyDescent="0.3">
      <c r="A12" s="2" t="s">
        <v>14</v>
      </c>
      <c r="B12" s="3">
        <f t="shared" si="0"/>
        <v>-2951247</v>
      </c>
      <c r="C12" s="3">
        <v>0</v>
      </c>
      <c r="D12" s="3">
        <v>0</v>
      </c>
      <c r="E12" s="3">
        <v>2951247</v>
      </c>
      <c r="F12" s="3">
        <v>3560876</v>
      </c>
    </row>
    <row r="13" spans="1:6" x14ac:dyDescent="0.3">
      <c r="A13" s="2" t="s">
        <v>15</v>
      </c>
      <c r="B13" s="3">
        <f t="shared" si="0"/>
        <v>-3220985</v>
      </c>
      <c r="C13" s="3">
        <v>0</v>
      </c>
      <c r="D13" s="3">
        <v>0</v>
      </c>
      <c r="E13" s="3">
        <v>3220985</v>
      </c>
      <c r="F13" s="3">
        <v>4065964</v>
      </c>
    </row>
    <row r="14" spans="1:6" x14ac:dyDescent="0.3">
      <c r="A14" s="2" t="s">
        <v>16</v>
      </c>
      <c r="B14" s="3">
        <f t="shared" si="0"/>
        <v>-48300</v>
      </c>
      <c r="C14" s="3">
        <v>0</v>
      </c>
      <c r="D14" s="3">
        <v>0</v>
      </c>
      <c r="E14" s="3">
        <v>48300</v>
      </c>
      <c r="F14" s="3">
        <v>46000</v>
      </c>
    </row>
    <row r="15" spans="1:6" ht="17.25" thickBot="1" x14ac:dyDescent="0.35">
      <c r="A15" s="4" t="s">
        <v>17</v>
      </c>
      <c r="B15" s="5">
        <f>SUM(B3:B14)</f>
        <v>-159340526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159340526</v>
      </c>
      <c r="F15" s="5">
        <f t="shared" si="2"/>
        <v>179076879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-9491595</v>
      </c>
      <c r="C3" s="3">
        <v>0</v>
      </c>
      <c r="D3" s="3">
        <v>0</v>
      </c>
      <c r="E3" s="3">
        <v>9491595</v>
      </c>
      <c r="F3" s="3">
        <v>11026011</v>
      </c>
    </row>
    <row r="4" spans="1:6" x14ac:dyDescent="0.3">
      <c r="A4" s="2" t="s">
        <v>6</v>
      </c>
      <c r="B4" s="3">
        <f t="shared" ref="B4:B14" si="0">C4-E4</f>
        <v>-6244077</v>
      </c>
      <c r="C4" s="3">
        <v>0</v>
      </c>
      <c r="D4" s="3">
        <v>0</v>
      </c>
      <c r="E4" s="3">
        <v>6244077</v>
      </c>
      <c r="F4" s="3">
        <v>7085840</v>
      </c>
    </row>
    <row r="5" spans="1:6" x14ac:dyDescent="0.3">
      <c r="A5" s="2" t="s">
        <v>7</v>
      </c>
      <c r="B5" s="3">
        <f t="shared" si="0"/>
        <v>-11814161</v>
      </c>
      <c r="C5" s="3">
        <v>0</v>
      </c>
      <c r="D5" s="3">
        <v>0</v>
      </c>
      <c r="E5" s="3">
        <v>11814161</v>
      </c>
      <c r="F5" s="3">
        <v>13030710</v>
      </c>
    </row>
    <row r="6" spans="1:6" x14ac:dyDescent="0.3">
      <c r="A6" s="2" t="s">
        <v>8</v>
      </c>
      <c r="B6" s="3">
        <f t="shared" si="0"/>
        <v>-8632455</v>
      </c>
      <c r="C6" s="3">
        <v>0</v>
      </c>
      <c r="D6" s="3">
        <v>0</v>
      </c>
      <c r="E6" s="3">
        <v>8632455</v>
      </c>
      <c r="F6" s="3">
        <v>9042410</v>
      </c>
    </row>
    <row r="7" spans="1:6" x14ac:dyDescent="0.3">
      <c r="A7" s="2" t="s">
        <v>9</v>
      </c>
      <c r="B7" s="3">
        <f t="shared" si="0"/>
        <v>-21404609</v>
      </c>
      <c r="C7" s="3">
        <v>0</v>
      </c>
      <c r="D7" s="3">
        <v>0</v>
      </c>
      <c r="E7" s="3">
        <v>21404609</v>
      </c>
      <c r="F7" s="3">
        <v>22368451</v>
      </c>
    </row>
    <row r="8" spans="1:6" x14ac:dyDescent="0.3">
      <c r="A8" s="2" t="s">
        <v>10</v>
      </c>
      <c r="B8" s="3">
        <f t="shared" si="0"/>
        <v>-9089375</v>
      </c>
      <c r="C8" s="3">
        <v>0</v>
      </c>
      <c r="D8" s="3">
        <v>0</v>
      </c>
      <c r="E8" s="3">
        <v>9089375</v>
      </c>
      <c r="F8" s="3">
        <v>9886070</v>
      </c>
    </row>
    <row r="9" spans="1:6" x14ac:dyDescent="0.3">
      <c r="A9" s="2" t="s">
        <v>11</v>
      </c>
      <c r="B9" s="3">
        <f t="shared" si="0"/>
        <v>-14839382</v>
      </c>
      <c r="C9" s="3">
        <v>0</v>
      </c>
      <c r="D9" s="3">
        <v>0</v>
      </c>
      <c r="E9" s="3">
        <v>14839382</v>
      </c>
      <c r="F9" s="3">
        <v>16066848</v>
      </c>
    </row>
    <row r="10" spans="1:6" x14ac:dyDescent="0.3">
      <c r="A10" s="2" t="s">
        <v>12</v>
      </c>
      <c r="B10" s="3">
        <f t="shared" si="0"/>
        <v>-3241708</v>
      </c>
      <c r="C10" s="3">
        <v>0</v>
      </c>
      <c r="D10" s="3">
        <v>0</v>
      </c>
      <c r="E10" s="3">
        <v>3241708</v>
      </c>
      <c r="F10" s="3">
        <v>3565810</v>
      </c>
    </row>
    <row r="11" spans="1:6" x14ac:dyDescent="0.3">
      <c r="A11" s="2" t="s">
        <v>13</v>
      </c>
      <c r="B11" s="3">
        <f t="shared" si="0"/>
        <v>-142868</v>
      </c>
      <c r="C11" s="3">
        <v>0</v>
      </c>
      <c r="D11" s="3">
        <v>0</v>
      </c>
      <c r="E11" s="3">
        <v>142868</v>
      </c>
      <c r="F11" s="3">
        <v>123000</v>
      </c>
    </row>
    <row r="12" spans="1:6" x14ac:dyDescent="0.3">
      <c r="A12" s="2" t="s">
        <v>14</v>
      </c>
      <c r="B12" s="3">
        <f t="shared" si="0"/>
        <v>-79759</v>
      </c>
      <c r="C12" s="3">
        <v>0</v>
      </c>
      <c r="D12" s="3">
        <v>0</v>
      </c>
      <c r="E12" s="3">
        <v>79759</v>
      </c>
      <c r="F12" s="3">
        <v>67090</v>
      </c>
    </row>
    <row r="13" spans="1:6" x14ac:dyDescent="0.3">
      <c r="A13" s="2" t="s">
        <v>15</v>
      </c>
      <c r="B13" s="3">
        <f t="shared" si="0"/>
        <v>-157516</v>
      </c>
      <c r="C13" s="3">
        <v>0</v>
      </c>
      <c r="D13" s="3">
        <v>0</v>
      </c>
      <c r="E13" s="3">
        <v>157516</v>
      </c>
      <c r="F13" s="3">
        <v>129930</v>
      </c>
    </row>
    <row r="14" spans="1:6" x14ac:dyDescent="0.3">
      <c r="A14" s="2" t="s">
        <v>16</v>
      </c>
      <c r="B14" s="3">
        <f t="shared" si="0"/>
        <v>-21796</v>
      </c>
      <c r="C14" s="3">
        <v>0</v>
      </c>
      <c r="D14" s="3">
        <v>0</v>
      </c>
      <c r="E14" s="3">
        <v>21796</v>
      </c>
      <c r="F14" s="3">
        <v>19950</v>
      </c>
    </row>
    <row r="15" spans="1:6" ht="17.25" thickBot="1" x14ac:dyDescent="0.35">
      <c r="A15" s="4" t="s">
        <v>17</v>
      </c>
      <c r="B15" s="5">
        <f>SUM(B3:B14)</f>
        <v>-85159301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85159301</v>
      </c>
      <c r="F15" s="5">
        <f t="shared" si="2"/>
        <v>92412120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-116810</v>
      </c>
      <c r="C3" s="3">
        <v>0</v>
      </c>
      <c r="D3" s="3">
        <v>0</v>
      </c>
      <c r="E3" s="3">
        <v>116810</v>
      </c>
      <c r="F3" s="3">
        <v>85970</v>
      </c>
    </row>
    <row r="4" spans="1:6" x14ac:dyDescent="0.3">
      <c r="A4" s="2" t="s">
        <v>6</v>
      </c>
      <c r="B4" s="3">
        <f t="shared" ref="B4:B14" si="0">C4-E4</f>
        <v>-6074918</v>
      </c>
      <c r="C4" s="3">
        <v>0</v>
      </c>
      <c r="D4" s="3">
        <v>0</v>
      </c>
      <c r="E4" s="3">
        <v>6074918</v>
      </c>
      <c r="F4" s="3">
        <v>5038401</v>
      </c>
    </row>
    <row r="5" spans="1:6" x14ac:dyDescent="0.3">
      <c r="A5" s="2" t="s">
        <v>7</v>
      </c>
      <c r="B5" s="3">
        <f t="shared" si="0"/>
        <v>-7871831</v>
      </c>
      <c r="C5" s="3">
        <v>0</v>
      </c>
      <c r="D5" s="3">
        <v>0</v>
      </c>
      <c r="E5" s="3">
        <v>7871831</v>
      </c>
      <c r="F5" s="3">
        <v>7062836</v>
      </c>
    </row>
    <row r="6" spans="1:6" x14ac:dyDescent="0.3">
      <c r="A6" s="2" t="s">
        <v>8</v>
      </c>
      <c r="B6" s="3">
        <f t="shared" si="0"/>
        <v>-16806057</v>
      </c>
      <c r="C6" s="3">
        <v>0</v>
      </c>
      <c r="D6" s="3">
        <v>0</v>
      </c>
      <c r="E6" s="3">
        <v>16806057</v>
      </c>
      <c r="F6" s="3">
        <v>15267482</v>
      </c>
    </row>
    <row r="7" spans="1:6" x14ac:dyDescent="0.3">
      <c r="A7" s="2" t="s">
        <v>9</v>
      </c>
      <c r="B7" s="3">
        <f t="shared" si="0"/>
        <v>-25799762</v>
      </c>
      <c r="C7" s="3">
        <v>0</v>
      </c>
      <c r="D7" s="3">
        <v>0</v>
      </c>
      <c r="E7" s="3">
        <v>25799762</v>
      </c>
      <c r="F7" s="3">
        <v>23931230</v>
      </c>
    </row>
    <row r="8" spans="1:6" x14ac:dyDescent="0.3">
      <c r="A8" s="2" t="s">
        <v>10</v>
      </c>
      <c r="B8" s="3">
        <f t="shared" si="0"/>
        <v>-9203554</v>
      </c>
      <c r="C8" s="3">
        <v>0</v>
      </c>
      <c r="D8" s="3">
        <v>0</v>
      </c>
      <c r="E8" s="3">
        <v>9203554</v>
      </c>
      <c r="F8" s="3">
        <v>9560047</v>
      </c>
    </row>
    <row r="9" spans="1:6" x14ac:dyDescent="0.3">
      <c r="A9" s="2" t="s">
        <v>11</v>
      </c>
      <c r="B9" s="3">
        <f t="shared" si="0"/>
        <v>-15382893</v>
      </c>
      <c r="C9" s="3">
        <v>0</v>
      </c>
      <c r="D9" s="3">
        <v>0</v>
      </c>
      <c r="E9" s="3">
        <v>15382893</v>
      </c>
      <c r="F9" s="3">
        <v>15553829</v>
      </c>
    </row>
    <row r="10" spans="1:6" x14ac:dyDescent="0.3">
      <c r="A10" s="2" t="s">
        <v>12</v>
      </c>
      <c r="B10" s="3">
        <f t="shared" si="0"/>
        <v>-15969330</v>
      </c>
      <c r="C10" s="3">
        <v>0</v>
      </c>
      <c r="D10" s="3">
        <v>0</v>
      </c>
      <c r="E10" s="3">
        <v>15969330</v>
      </c>
      <c r="F10" s="3">
        <v>15234878</v>
      </c>
    </row>
    <row r="11" spans="1:6" x14ac:dyDescent="0.3">
      <c r="A11" s="2" t="s">
        <v>13</v>
      </c>
      <c r="B11" s="3">
        <f t="shared" si="0"/>
        <v>-10276051</v>
      </c>
      <c r="C11" s="3">
        <v>0</v>
      </c>
      <c r="D11" s="3">
        <v>0</v>
      </c>
      <c r="E11" s="3">
        <v>10276051</v>
      </c>
      <c r="F11" s="3">
        <v>10545260</v>
      </c>
    </row>
    <row r="12" spans="1:6" x14ac:dyDescent="0.3">
      <c r="A12" s="2" t="s">
        <v>14</v>
      </c>
      <c r="B12" s="3">
        <f t="shared" si="0"/>
        <v>-3421469</v>
      </c>
      <c r="C12" s="3">
        <v>0</v>
      </c>
      <c r="D12" s="3">
        <v>0</v>
      </c>
      <c r="E12" s="3">
        <v>3421469</v>
      </c>
      <c r="F12" s="3">
        <v>3110580</v>
      </c>
    </row>
    <row r="13" spans="1:6" x14ac:dyDescent="0.3">
      <c r="A13" s="2" t="s">
        <v>15</v>
      </c>
      <c r="B13" s="3">
        <f t="shared" si="0"/>
        <v>-236694</v>
      </c>
      <c r="C13" s="3">
        <v>0</v>
      </c>
      <c r="D13" s="3">
        <v>0</v>
      </c>
      <c r="E13" s="3">
        <v>236694</v>
      </c>
      <c r="F13" s="3">
        <v>178000</v>
      </c>
    </row>
    <row r="14" spans="1:6" x14ac:dyDescent="0.3">
      <c r="A14" s="2" t="s">
        <v>16</v>
      </c>
      <c r="B14" s="3">
        <f t="shared" si="0"/>
        <v>-6278126</v>
      </c>
      <c r="C14" s="3">
        <v>0</v>
      </c>
      <c r="D14" s="3">
        <v>0</v>
      </c>
      <c r="E14" s="3">
        <v>6278126</v>
      </c>
      <c r="F14" s="3">
        <v>5010866</v>
      </c>
    </row>
    <row r="15" spans="1:6" ht="17.25" thickBot="1" x14ac:dyDescent="0.35">
      <c r="A15" s="4" t="s">
        <v>17</v>
      </c>
      <c r="B15" s="5">
        <f>SUM(B3:B14)</f>
        <v>-117437495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117437495</v>
      </c>
      <c r="F15" s="5">
        <f t="shared" si="2"/>
        <v>110579379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-8024239</v>
      </c>
      <c r="C4" s="3">
        <v>0</v>
      </c>
      <c r="D4" s="3">
        <v>0</v>
      </c>
      <c r="E4" s="3">
        <v>8024239</v>
      </c>
      <c r="F4" s="3">
        <v>7749734</v>
      </c>
    </row>
    <row r="5" spans="1:6" x14ac:dyDescent="0.3">
      <c r="A5" s="2" t="s">
        <v>7</v>
      </c>
      <c r="B5" s="3">
        <f t="shared" si="0"/>
        <v>-29104289</v>
      </c>
      <c r="C5" s="3">
        <v>0</v>
      </c>
      <c r="D5" s="3">
        <v>0</v>
      </c>
      <c r="E5" s="3">
        <v>29104289</v>
      </c>
      <c r="F5" s="3">
        <v>27480364</v>
      </c>
    </row>
    <row r="6" spans="1:6" x14ac:dyDescent="0.3">
      <c r="A6" s="2" t="s">
        <v>8</v>
      </c>
      <c r="B6" s="3">
        <f t="shared" si="0"/>
        <v>-25911609</v>
      </c>
      <c r="C6" s="3">
        <v>0</v>
      </c>
      <c r="D6" s="3">
        <v>0</v>
      </c>
      <c r="E6" s="3">
        <v>25911609</v>
      </c>
      <c r="F6" s="3">
        <v>22036743</v>
      </c>
    </row>
    <row r="7" spans="1:6" x14ac:dyDescent="0.3">
      <c r="A7" s="2" t="s">
        <v>9</v>
      </c>
      <c r="B7" s="3">
        <f t="shared" si="0"/>
        <v>-36372117</v>
      </c>
      <c r="C7" s="3">
        <v>0</v>
      </c>
      <c r="D7" s="3">
        <v>0</v>
      </c>
      <c r="E7" s="3">
        <v>36372117</v>
      </c>
      <c r="F7" s="3">
        <v>31231640</v>
      </c>
    </row>
    <row r="8" spans="1:6" x14ac:dyDescent="0.3">
      <c r="A8" s="2" t="s">
        <v>10</v>
      </c>
      <c r="B8" s="3">
        <f t="shared" si="0"/>
        <v>-37666630</v>
      </c>
      <c r="C8" s="3">
        <v>0</v>
      </c>
      <c r="D8" s="3">
        <v>0</v>
      </c>
      <c r="E8" s="3">
        <v>37666630</v>
      </c>
      <c r="F8" s="3">
        <v>32145968</v>
      </c>
    </row>
    <row r="9" spans="1:6" x14ac:dyDescent="0.3">
      <c r="A9" s="2" t="s">
        <v>11</v>
      </c>
      <c r="B9" s="3">
        <f t="shared" si="0"/>
        <v>-43656810</v>
      </c>
      <c r="C9" s="3">
        <v>0</v>
      </c>
      <c r="D9" s="3">
        <v>0</v>
      </c>
      <c r="E9" s="3">
        <v>43656810</v>
      </c>
      <c r="F9" s="3">
        <v>37574736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-180735694</v>
      </c>
      <c r="C15" s="5">
        <f t="shared" ref="C15:F15" si="1">SUM(C3:C14)</f>
        <v>0</v>
      </c>
      <c r="D15" s="5">
        <f t="shared" si="1"/>
        <v>0</v>
      </c>
      <c r="E15" s="5">
        <f t="shared" si="1"/>
        <v>180735694</v>
      </c>
      <c r="F15" s="5">
        <f t="shared" si="1"/>
        <v>158219185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2026-08-27T02:50:00Z</dcterms:modified>
</cp:coreProperties>
</file>