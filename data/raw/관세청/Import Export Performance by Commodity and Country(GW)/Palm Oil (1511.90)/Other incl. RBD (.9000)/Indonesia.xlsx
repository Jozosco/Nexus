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  <c r="B13" i="8"/>
  <c r="B11" i="8"/>
  <c r="B10" i="8"/>
  <c r="B9" i="8"/>
  <c r="B8" i="8"/>
  <c r="B7" i="8"/>
  <c r="B6" i="8"/>
  <c r="B5" i="8"/>
  <c r="B4" i="8"/>
  <c r="B3" i="8"/>
  <c r="B5" i="10" l="1"/>
  <c r="B4" i="10"/>
  <c r="B3" i="10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2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<sst xmlns="http://schemas.openxmlformats.org/spreadsheetml/2006/main" count="306" uniqueCount="40">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</sst>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1" spans="1:6" x14ac:dyDescent="0.3">
      <c r="A1">
        <v>9</v>
      </c>
    </row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-3217941</v>
      </c>
      <c r="C6" s="3">
        <v>0</v>
      </c>
      <c r="D6" s="3">
        <v>0</v>
      </c>
      <c r="E6" s="3">
        <v>3217941</v>
      </c>
      <c r="F6" s="3">
        <v>3999930</v>
      </c>
    </row>
    <row r="7" spans="1:6" x14ac:dyDescent="0.3">
      <c r="A7" s="2" t="s">
        <v>9</v>
      </c>
      <c r="B7" s="3">
        <f t="shared" si="0"/>
        <v>-16832</v>
      </c>
      <c r="C7" s="3">
        <v>0</v>
      </c>
      <c r="D7" s="3">
        <v>0</v>
      </c>
      <c r="E7" s="3">
        <v>16832</v>
      </c>
      <c r="F7" s="3">
        <v>20000</v>
      </c>
    </row>
    <row r="8" spans="1:6" x14ac:dyDescent="0.3">
      <c r="A8" s="2" t="s">
        <v>10</v>
      </c>
      <c r="B8" s="3">
        <f t="shared" si="0"/>
        <v>-34667</v>
      </c>
      <c r="C8" s="3">
        <v>0</v>
      </c>
      <c r="D8" s="3">
        <v>0</v>
      </c>
      <c r="E8" s="3">
        <v>34667</v>
      </c>
      <c r="F8" s="3">
        <v>98993</v>
      </c>
    </row>
    <row r="9" spans="1:6" x14ac:dyDescent="0.3">
      <c r="A9" s="2" t="s">
        <v>11</v>
      </c>
      <c r="B9" s="3">
        <f t="shared" si="0"/>
        <v>-909199</v>
      </c>
      <c r="C9" s="3">
        <v>0</v>
      </c>
      <c r="D9" s="3">
        <v>0</v>
      </c>
      <c r="E9" s="3">
        <v>909199</v>
      </c>
      <c r="F9" s="3">
        <v>1198021</v>
      </c>
    </row>
    <row r="10" spans="1:6" x14ac:dyDescent="0.3">
      <c r="A10" s="2" t="s">
        <v>12</v>
      </c>
      <c r="B10" s="3">
        <f t="shared" si="0"/>
        <v>-18</v>
      </c>
      <c r="C10" s="3">
        <v>0</v>
      </c>
      <c r="D10" s="3">
        <v>0</v>
      </c>
      <c r="E10" s="3">
        <v>18</v>
      </c>
      <c r="F10" s="3">
        <v>1</v>
      </c>
    </row>
    <row r="11" spans="1:6" x14ac:dyDescent="0.3">
      <c r="A11" s="2" t="s">
        <v>13</v>
      </c>
      <c r="B11" s="3">
        <f t="shared" si="0"/>
        <v>-34</v>
      </c>
      <c r="C11" s="3">
        <v>0</v>
      </c>
      <c r="D11" s="3">
        <v>0</v>
      </c>
      <c r="E11" s="3">
        <v>34</v>
      </c>
      <c r="F11" s="3">
        <v>4</v>
      </c>
    </row>
    <row r="12" spans="1:6" x14ac:dyDescent="0.3">
      <c r="A12" s="2" t="s">
        <v>14</v>
      </c>
      <c r="B12" s="3">
        <f t="shared" si="0"/>
        <v>-14</v>
      </c>
      <c r="C12" s="3">
        <v>0</v>
      </c>
      <c r="D12" s="3">
        <v>0</v>
      </c>
      <c r="E12" s="3">
        <v>14</v>
      </c>
      <c r="F12" s="3">
        <v>2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-4178705</v>
      </c>
      <c r="C15" s="5">
        <f t="shared" ref="C15:F15" si="1">SUM(C3:C14)</f>
        <v>0</v>
      </c>
      <c r="D15" s="5">
        <f t="shared" si="1"/>
        <v>0</v>
      </c>
      <c r="E15" s="5">
        <f t="shared" si="1"/>
        <v>4178705</v>
      </c>
      <c r="F15" s="5">
        <f t="shared" si="1"/>
        <v>5316951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-23</v>
      </c>
      <c r="C4" s="3">
        <v>0</v>
      </c>
      <c r="D4" s="3">
        <v>0</v>
      </c>
      <c r="E4" s="3">
        <v>23</v>
      </c>
      <c r="F4" s="3">
        <v>2</v>
      </c>
    </row>
    <row r="5" spans="1:6" x14ac:dyDescent="0.3">
      <c r="A5" s="2" t="s">
        <v>25</v>
      </c>
      <c r="B5" s="3">
        <f t="shared" si="0"/>
        <v>-24</v>
      </c>
      <c r="C5" s="3">
        <v>0</v>
      </c>
      <c r="D5" s="3">
        <v>0</v>
      </c>
      <c r="E5" s="3">
        <v>24</v>
      </c>
      <c r="F5" s="3">
        <v>1</v>
      </c>
    </row>
    <row r="6" spans="1:6" x14ac:dyDescent="0.3">
      <c r="A6" s="2" t="s">
        <v>8</v>
      </c>
      <c r="B6" s="3">
        <f t="shared" si="0"/>
        <v>-11</v>
      </c>
      <c r="C6" s="3">
        <v>0</v>
      </c>
      <c r="D6" s="3">
        <v>0</v>
      </c>
      <c r="E6" s="3">
        <v>11</v>
      </c>
      <c r="F6" s="3">
        <v>1</v>
      </c>
    </row>
    <row r="7" spans="1:6" x14ac:dyDescent="0.3">
      <c r="A7" s="2" t="s">
        <v>9</v>
      </c>
      <c r="B7" s="3">
        <f t="shared" si="0"/>
        <v>-11</v>
      </c>
      <c r="C7" s="3">
        <v>0</v>
      </c>
      <c r="D7" s="3">
        <v>0</v>
      </c>
      <c r="E7" s="3">
        <v>11</v>
      </c>
      <c r="F7" s="3">
        <v>0</v>
      </c>
    </row>
    <row r="8" spans="1:6" x14ac:dyDescent="0.3">
      <c r="A8" s="2" t="s">
        <v>10</v>
      </c>
      <c r="B8" s="3">
        <f t="shared" si="0"/>
        <v>-70031</v>
      </c>
      <c r="C8" s="3">
        <v>0</v>
      </c>
      <c r="D8" s="3">
        <v>0</v>
      </c>
      <c r="E8" s="3">
        <v>70031</v>
      </c>
      <c r="F8" s="3">
        <v>100003</v>
      </c>
    </row>
    <row r="9" spans="1:6" x14ac:dyDescent="0.3">
      <c r="A9" s="2" t="s">
        <v>11</v>
      </c>
      <c r="B9" s="3">
        <f t="shared" si="0"/>
        <v>-10111609</v>
      </c>
      <c r="C9" s="3">
        <v>0</v>
      </c>
      <c r="D9" s="3">
        <v>0</v>
      </c>
      <c r="E9" s="3">
        <v>10111609</v>
      </c>
      <c r="F9" s="3">
        <v>8199539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-180</v>
      </c>
      <c r="C13" s="3">
        <v>0</v>
      </c>
      <c r="D13" s="3">
        <v>0</v>
      </c>
      <c r="E13" s="3">
        <v>180</v>
      </c>
      <c r="F13" s="3">
        <v>200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-10181889</v>
      </c>
      <c r="C15" s="5">
        <f t="shared" ref="C15:F15" si="1">SUM(C3:C14)</f>
        <v>0</v>
      </c>
      <c r="D15" s="5">
        <f t="shared" si="1"/>
        <v>0</v>
      </c>
      <c r="E15" s="5">
        <f t="shared" si="1"/>
        <v>10181889</v>
      </c>
      <c r="F15" s="5">
        <f t="shared" si="1"/>
        <v>8299746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-3320810</v>
      </c>
      <c r="C4" s="3">
        <v>0</v>
      </c>
      <c r="D4" s="3">
        <v>0</v>
      </c>
      <c r="E4" s="3">
        <v>3320810</v>
      </c>
      <c r="F4" s="3">
        <v>2999745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-60</v>
      </c>
      <c r="C6" s="3">
        <v>0</v>
      </c>
      <c r="D6" s="3">
        <v>0</v>
      </c>
      <c r="E6" s="3">
        <v>60</v>
      </c>
      <c r="F6" s="3">
        <v>1</v>
      </c>
    </row>
    <row r="7" spans="1:6" x14ac:dyDescent="0.3">
      <c r="A7" s="2" t="s">
        <v>9</v>
      </c>
      <c r="B7" s="3">
        <f t="shared" si="0"/>
        <v>-51</v>
      </c>
      <c r="C7" s="3">
        <v>0</v>
      </c>
      <c r="D7" s="3">
        <v>0</v>
      </c>
      <c r="E7" s="3">
        <v>51</v>
      </c>
      <c r="F7" s="3">
        <v>5</v>
      </c>
    </row>
    <row r="8" spans="1:6" x14ac:dyDescent="0.3">
      <c r="A8" s="2" t="s">
        <v>10</v>
      </c>
      <c r="B8" s="3">
        <f t="shared" si="0"/>
        <v>-74</v>
      </c>
      <c r="C8" s="3">
        <v>0</v>
      </c>
      <c r="D8" s="3">
        <v>0</v>
      </c>
      <c r="E8" s="3">
        <v>74</v>
      </c>
      <c r="F8" s="3">
        <v>9</v>
      </c>
    </row>
    <row r="9" spans="1:6" x14ac:dyDescent="0.3">
      <c r="A9" s="2" t="s">
        <v>11</v>
      </c>
      <c r="B9" s="3">
        <f t="shared" si="0"/>
        <v>-16</v>
      </c>
      <c r="C9" s="3">
        <v>0</v>
      </c>
      <c r="D9" s="3">
        <v>0</v>
      </c>
      <c r="E9" s="3">
        <v>16</v>
      </c>
      <c r="F9" s="3">
        <v>2</v>
      </c>
    </row>
    <row r="10" spans="1:6" x14ac:dyDescent="0.3">
      <c r="A10" s="2" t="s">
        <v>12</v>
      </c>
      <c r="B10" s="3">
        <f t="shared" si="0"/>
        <v>-11</v>
      </c>
      <c r="C10" s="3">
        <v>0</v>
      </c>
      <c r="D10" s="3">
        <v>0</v>
      </c>
      <c r="E10" s="3">
        <v>11</v>
      </c>
      <c r="F10" s="3">
        <v>2</v>
      </c>
    </row>
    <row r="11" spans="1:6" x14ac:dyDescent="0.3">
      <c r="A11" s="2" t="s">
        <v>13</v>
      </c>
      <c r="B11" s="3">
        <f t="shared" si="0"/>
        <v>-15</v>
      </c>
      <c r="C11" s="3">
        <v>0</v>
      </c>
      <c r="D11" s="3">
        <v>0</v>
      </c>
      <c r="E11" s="3">
        <v>15</v>
      </c>
      <c r="F11" s="3">
        <v>3</v>
      </c>
    </row>
    <row r="12" spans="1:6" x14ac:dyDescent="0.3">
      <c r="A12" s="2" t="s">
        <v>14</v>
      </c>
      <c r="B12" s="3">
        <f t="shared" si="0"/>
        <v>-37</v>
      </c>
      <c r="C12" s="3">
        <v>0</v>
      </c>
      <c r="D12" s="3">
        <v>0</v>
      </c>
      <c r="E12" s="3">
        <v>37</v>
      </c>
      <c r="F12" s="3">
        <v>7</v>
      </c>
    </row>
    <row r="13" spans="1:6" x14ac:dyDescent="0.3">
      <c r="A13" s="2" t="s">
        <v>15</v>
      </c>
      <c r="B13" s="3">
        <f t="shared" si="0"/>
        <v>-38</v>
      </c>
      <c r="C13" s="3">
        <v>0</v>
      </c>
      <c r="D13" s="3">
        <v>0</v>
      </c>
      <c r="E13" s="3">
        <v>38</v>
      </c>
      <c r="F13" s="3">
        <v>6</v>
      </c>
    </row>
    <row r="14" spans="1:6" x14ac:dyDescent="0.3">
      <c r="A14" s="2" t="s">
        <v>16</v>
      </c>
      <c r="B14" s="3">
        <f t="shared" si="0"/>
        <v>-44</v>
      </c>
      <c r="C14" s="3">
        <v>0</v>
      </c>
      <c r="D14" s="3">
        <v>0</v>
      </c>
      <c r="E14" s="3">
        <v>44</v>
      </c>
      <c r="F14" s="3">
        <v>15</v>
      </c>
    </row>
    <row r="15" spans="1:6" ht="17.25" thickBot="1" x14ac:dyDescent="0.35">
      <c r="A15" s="4" t="s">
        <v>26</v>
      </c>
      <c r="B15" s="5">
        <f>SUM(B3:B14)</f>
        <v>-3321156</v>
      </c>
      <c r="C15" s="5">
        <f t="shared" ref="C15:F15" si="1">SUM(C3:C14)</f>
        <v>0</v>
      </c>
      <c r="D15" s="5">
        <f t="shared" si="1"/>
        <v>0</v>
      </c>
      <c r="E15" s="5">
        <f t="shared" si="1"/>
        <v>3321156</v>
      </c>
      <c r="F15" s="5">
        <f t="shared" si="1"/>
        <v>2999795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-42</v>
      </c>
      <c r="C5" s="3">
        <v>0</v>
      </c>
      <c r="D5" s="3">
        <v>0</v>
      </c>
      <c r="E5" s="3">
        <v>42</v>
      </c>
      <c r="F5" s="3">
        <v>7</v>
      </c>
    </row>
    <row r="6" spans="1:6" x14ac:dyDescent="0.3">
      <c r="A6" s="2" t="s">
        <v>8</v>
      </c>
      <c r="B6" s="3">
        <f t="shared" si="0"/>
        <v>-23123</v>
      </c>
      <c r="C6" s="3">
        <v>0</v>
      </c>
      <c r="D6" s="3">
        <v>0</v>
      </c>
      <c r="E6" s="3">
        <v>23123</v>
      </c>
      <c r="F6" s="3">
        <v>28125</v>
      </c>
    </row>
    <row r="7" spans="1:6" x14ac:dyDescent="0.3">
      <c r="A7" s="2" t="s">
        <v>9</v>
      </c>
      <c r="B7" s="3">
        <f t="shared" si="0"/>
        <v>-53558</v>
      </c>
      <c r="C7" s="3">
        <v>0</v>
      </c>
      <c r="D7" s="3">
        <v>0</v>
      </c>
      <c r="E7" s="3">
        <v>53558</v>
      </c>
      <c r="F7" s="3">
        <v>120172</v>
      </c>
    </row>
    <row r="8" spans="1:6" x14ac:dyDescent="0.3">
      <c r="A8" s="2" t="s">
        <v>10</v>
      </c>
      <c r="B8" s="3">
        <f t="shared" si="0"/>
        <v>-164574</v>
      </c>
      <c r="C8" s="3">
        <v>0</v>
      </c>
      <c r="D8" s="3">
        <v>0</v>
      </c>
      <c r="E8" s="3">
        <v>164574</v>
      </c>
      <c r="F8" s="3">
        <v>286055</v>
      </c>
    </row>
    <row r="9" spans="1:6" x14ac:dyDescent="0.3">
      <c r="A9" s="2" t="s">
        <v>11</v>
      </c>
      <c r="B9" s="3">
        <f t="shared" si="0"/>
        <v>-258539</v>
      </c>
      <c r="C9" s="3">
        <v>0</v>
      </c>
      <c r="D9" s="3">
        <v>0</v>
      </c>
      <c r="E9" s="3">
        <v>258539</v>
      </c>
      <c r="F9" s="3">
        <v>402111</v>
      </c>
    </row>
    <row r="10" spans="1:6" x14ac:dyDescent="0.3">
      <c r="A10" s="2" t="s">
        <v>12</v>
      </c>
      <c r="B10" s="3">
        <f t="shared" si="0"/>
        <v>-227682</v>
      </c>
      <c r="C10" s="3">
        <v>0</v>
      </c>
      <c r="D10" s="3">
        <v>0</v>
      </c>
      <c r="E10" s="3">
        <v>227682</v>
      </c>
      <c r="F10" s="3">
        <v>279159</v>
      </c>
    </row>
    <row r="11" spans="1:6" x14ac:dyDescent="0.3">
      <c r="A11" s="2" t="s">
        <v>13</v>
      </c>
      <c r="B11" s="3">
        <f t="shared" si="0"/>
        <v>-17769</v>
      </c>
      <c r="C11" s="3">
        <v>0</v>
      </c>
      <c r="D11" s="3">
        <v>0</v>
      </c>
      <c r="E11" s="3">
        <v>17769</v>
      </c>
      <c r="F11" s="3">
        <v>40139</v>
      </c>
    </row>
    <row r="12" spans="1:6" x14ac:dyDescent="0.3">
      <c r="A12" s="2" t="s">
        <v>14</v>
      </c>
      <c r="B12" s="3">
        <f t="shared" si="0"/>
        <v>-3701383</v>
      </c>
      <c r="C12" s="3">
        <v>0</v>
      </c>
      <c r="D12" s="3">
        <v>0</v>
      </c>
      <c r="E12" s="3">
        <v>3701383</v>
      </c>
      <c r="F12" s="3">
        <v>4696789</v>
      </c>
    </row>
    <row r="13" spans="1:6" x14ac:dyDescent="0.3">
      <c r="A13" s="2" t="s">
        <v>15</v>
      </c>
      <c r="B13" s="3">
        <f t="shared" si="0"/>
        <v>-4048155</v>
      </c>
      <c r="C13" s="3">
        <v>0</v>
      </c>
      <c r="D13" s="3">
        <v>0</v>
      </c>
      <c r="E13" s="3">
        <v>4048155</v>
      </c>
      <c r="F13" s="3">
        <v>4999928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-8494825</v>
      </c>
      <c r="C15" s="5">
        <f t="shared" ref="C15:F15" si="1">SUM(C3:C14)</f>
        <v>0</v>
      </c>
      <c r="D15" s="5">
        <f t="shared" si="1"/>
        <v>0</v>
      </c>
      <c r="E15" s="5">
        <f t="shared" si="1"/>
        <v>8494825</v>
      </c>
      <c r="F15" s="5">
        <f t="shared" si="1"/>
        <v>10852485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-80</v>
      </c>
      <c r="C3" s="3">
        <v>0</v>
      </c>
      <c r="D3" s="3">
        <v>0</v>
      </c>
      <c r="E3" s="3">
        <v>80</v>
      </c>
      <c r="F3" s="3">
        <v>28</v>
      </c>
    </row>
    <row r="4" spans="1:6" x14ac:dyDescent="0.3">
      <c r="A4" s="2" t="s">
        <v>38</v>
      </c>
      <c r="B4" s="3">
        <f t="shared" si="0"/>
        <v>-6745687</v>
      </c>
      <c r="C4" s="3">
        <v>0</v>
      </c>
      <c r="D4" s="3">
        <v>0</v>
      </c>
      <c r="E4" s="3">
        <v>6745687</v>
      </c>
      <c r="F4" s="3">
        <v>8088562</v>
      </c>
    </row>
    <row r="5" spans="1:6" x14ac:dyDescent="0.3">
      <c r="A5" s="2" t="s">
        <v>34</v>
      </c>
      <c r="B5" s="3">
        <f t="shared" si="0"/>
        <v>-4988267</v>
      </c>
      <c r="C5" s="3">
        <v>0</v>
      </c>
      <c r="D5" s="3">
        <v>0</v>
      </c>
      <c r="E5" s="3">
        <v>4988267</v>
      </c>
      <c r="F5" s="3">
        <v>6030670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-11958576</v>
      </c>
      <c r="C7" s="3">
        <v>0</v>
      </c>
      <c r="D7" s="3">
        <v>0</v>
      </c>
      <c r="E7" s="3">
        <v>11958576</v>
      </c>
      <c r="F7" s="3">
        <v>13011924</v>
      </c>
    </row>
    <row r="8" spans="1:6" x14ac:dyDescent="0.3">
      <c r="A8" s="2" t="s">
        <v>10</v>
      </c>
      <c r="B8" s="3">
        <f t="shared" si="0"/>
        <v>-122</v>
      </c>
      <c r="C8" s="3">
        <v>0</v>
      </c>
      <c r="D8" s="3">
        <v>0</v>
      </c>
      <c r="E8" s="3">
        <v>122</v>
      </c>
      <c r="F8" s="3">
        <v>14</v>
      </c>
    </row>
    <row r="9" spans="1:6" x14ac:dyDescent="0.3">
      <c r="A9" s="2" t="s">
        <v>11</v>
      </c>
      <c r="B9" s="3">
        <f t="shared" si="0"/>
        <v>-5093503</v>
      </c>
      <c r="C9" s="3">
        <v>0</v>
      </c>
      <c r="D9" s="3">
        <v>0</v>
      </c>
      <c r="E9" s="3">
        <v>5093503</v>
      </c>
      <c r="F9" s="3">
        <v>6000403</v>
      </c>
    </row>
    <row r="10" spans="1:6" x14ac:dyDescent="0.3">
      <c r="A10" s="2" t="s">
        <v>12</v>
      </c>
      <c r="B10" s="3">
        <f t="shared" si="0"/>
        <v>-6717962</v>
      </c>
      <c r="C10" s="3">
        <v>0</v>
      </c>
      <c r="D10" s="3">
        <v>0</v>
      </c>
      <c r="E10" s="3">
        <v>6717962</v>
      </c>
      <c r="F10" s="3">
        <v>6499907</v>
      </c>
    </row>
    <row r="11" spans="1:6" x14ac:dyDescent="0.3">
      <c r="A11" s="2" t="s">
        <v>13</v>
      </c>
      <c r="B11" s="3">
        <f t="shared" si="0"/>
        <v>-9050941</v>
      </c>
      <c r="C11" s="3">
        <v>0</v>
      </c>
      <c r="D11" s="3">
        <v>0</v>
      </c>
      <c r="E11" s="3">
        <v>9050941</v>
      </c>
      <c r="F11" s="3">
        <v>12299643</v>
      </c>
    </row>
    <row r="12" spans="1:6" x14ac:dyDescent="0.3">
      <c r="A12" s="2" t="s">
        <v>14</v>
      </c>
      <c r="B12" s="3">
        <f t="shared" si="0"/>
        <v>-474225</v>
      </c>
      <c r="C12" s="3">
        <v>0</v>
      </c>
      <c r="D12" s="3">
        <v>0</v>
      </c>
      <c r="E12" s="3">
        <v>474225</v>
      </c>
      <c r="F12" s="3">
        <v>637525</v>
      </c>
    </row>
    <row r="13" spans="1:6" x14ac:dyDescent="0.3">
      <c r="A13" s="2" t="s">
        <v>15</v>
      </c>
      <c r="B13" s="3">
        <f t="shared" si="0"/>
        <v>-2810328</v>
      </c>
      <c r="C13" s="3">
        <v>0</v>
      </c>
      <c r="D13" s="3">
        <v>0</v>
      </c>
      <c r="E13" s="3">
        <v>2810328</v>
      </c>
      <c r="F13" s="3">
        <v>3999864</v>
      </c>
    </row>
    <row r="14" spans="1:6" x14ac:dyDescent="0.3">
      <c r="A14" s="2" t="s">
        <v>16</v>
      </c>
      <c r="B14" s="3">
        <f t="shared" si="0"/>
        <v>-2930281</v>
      </c>
      <c r="C14" s="3">
        <v>0</v>
      </c>
      <c r="D14" s="3">
        <v>0</v>
      </c>
      <c r="E14" s="3">
        <v>2930281</v>
      </c>
      <c r="F14" s="3">
        <v>4194882</v>
      </c>
    </row>
    <row r="15" spans="1:6" ht="17.25" thickBot="1" x14ac:dyDescent="0.35">
      <c r="A15" s="4" t="s">
        <v>35</v>
      </c>
      <c r="B15" s="5">
        <f>SUM(B3:B14)</f>
        <v>-50769972</v>
      </c>
      <c r="C15" s="5">
        <f t="shared" ref="C15:F15" si="1">SUM(C3:C14)</f>
        <v>0</v>
      </c>
      <c r="D15" s="5">
        <f t="shared" si="1"/>
        <v>0</v>
      </c>
      <c r="E15" s="5">
        <f t="shared" si="1"/>
        <v>50769972</v>
      </c>
      <c r="F15" s="5">
        <f t="shared" si="1"/>
        <v>60763422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-3389741</v>
      </c>
      <c r="C3" s="3">
        <v>0</v>
      </c>
      <c r="D3" s="3">
        <v>0</v>
      </c>
      <c r="E3" s="3">
        <v>3389741</v>
      </c>
      <c r="F3" s="3">
        <v>5097549</v>
      </c>
    </row>
    <row r="4" spans="1:6" x14ac:dyDescent="0.3">
      <c r="A4" s="2" t="s">
        <v>24</v>
      </c>
      <c r="B4" s="3">
        <f t="shared" si="0"/>
        <v>-6651241</v>
      </c>
      <c r="C4" s="3">
        <v>0</v>
      </c>
      <c r="D4" s="3">
        <v>0</v>
      </c>
      <c r="E4" s="3">
        <v>6651241</v>
      </c>
      <c r="F4" s="3">
        <v>10499677</v>
      </c>
    </row>
    <row r="5" spans="1:6" x14ac:dyDescent="0.3">
      <c r="A5" s="2" t="s">
        <v>25</v>
      </c>
      <c r="B5" s="3">
        <f t="shared" si="0"/>
        <v>-350450</v>
      </c>
      <c r="C5" s="3">
        <v>0</v>
      </c>
      <c r="D5" s="3">
        <v>0</v>
      </c>
      <c r="E5" s="3">
        <v>350450</v>
      </c>
      <c r="F5" s="3">
        <v>499846</v>
      </c>
    </row>
    <row r="6" spans="1:6" x14ac:dyDescent="0.3">
      <c r="A6" s="2" t="s">
        <v>8</v>
      </c>
      <c r="B6" s="3">
        <f t="shared" si="0"/>
        <v>-160</v>
      </c>
      <c r="C6" s="3">
        <v>0</v>
      </c>
      <c r="D6" s="3">
        <v>0</v>
      </c>
      <c r="E6" s="3">
        <v>160</v>
      </c>
      <c r="F6" s="3">
        <v>39</v>
      </c>
    </row>
    <row r="7" spans="1:6" x14ac:dyDescent="0.3">
      <c r="A7" s="2" t="s">
        <v>9</v>
      </c>
      <c r="B7" s="3">
        <f t="shared" si="0"/>
        <v>-5122888</v>
      </c>
      <c r="C7" s="3">
        <v>0</v>
      </c>
      <c r="D7" s="3">
        <v>0</v>
      </c>
      <c r="E7" s="3">
        <v>5122888</v>
      </c>
      <c r="F7" s="3">
        <v>7999899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-2007278</v>
      </c>
      <c r="C9" s="3">
        <v>0</v>
      </c>
      <c r="D9" s="3">
        <v>0</v>
      </c>
      <c r="E9" s="3">
        <v>2007278</v>
      </c>
      <c r="F9" s="3">
        <v>3000000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-2854279</v>
      </c>
      <c r="C12" s="3">
        <v>0</v>
      </c>
      <c r="D12" s="3">
        <v>0</v>
      </c>
      <c r="E12" s="3">
        <v>2854279</v>
      </c>
      <c r="F12" s="3">
        <v>5000223</v>
      </c>
    </row>
    <row r="13" spans="1:6" x14ac:dyDescent="0.3">
      <c r="A13" s="2" t="s">
        <v>15</v>
      </c>
      <c r="B13" s="3">
        <f t="shared" si="0"/>
        <v>-1762527</v>
      </c>
      <c r="C13" s="3">
        <v>0</v>
      </c>
      <c r="D13" s="3">
        <v>0</v>
      </c>
      <c r="E13" s="3">
        <v>1762527</v>
      </c>
      <c r="F13" s="3">
        <v>2999795</v>
      </c>
    </row>
    <row r="14" spans="1:6" x14ac:dyDescent="0.3">
      <c r="A14" s="2" t="s">
        <v>16</v>
      </c>
      <c r="B14" s="3">
        <f t="shared" si="0"/>
        <v>-6</v>
      </c>
      <c r="C14" s="3">
        <v>0</v>
      </c>
      <c r="D14" s="3">
        <v>0</v>
      </c>
      <c r="E14" s="3">
        <v>6</v>
      </c>
      <c r="F14" s="3">
        <v>1</v>
      </c>
    </row>
    <row r="15" spans="1:6" ht="17.25" thickBot="1" x14ac:dyDescent="0.35">
      <c r="A15" s="4" t="s">
        <v>26</v>
      </c>
      <c r="B15" s="5">
        <f>SUM(B3:B14)</f>
        <v>-22138570</v>
      </c>
      <c r="C15" s="5">
        <f t="shared" ref="C15:F15" si="1">SUM(C3:C14)</f>
        <v>0</v>
      </c>
      <c r="D15" s="5">
        <f t="shared" si="1"/>
        <v>0</v>
      </c>
      <c r="E15" s="5">
        <f t="shared" si="1"/>
        <v>22138570</v>
      </c>
      <c r="F15" s="5">
        <f t="shared" si="1"/>
        <v>35097029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-2732493</v>
      </c>
      <c r="C3" s="3">
        <v>0</v>
      </c>
      <c r="D3" s="3">
        <v>0</v>
      </c>
      <c r="E3" s="3">
        <v>2732493</v>
      </c>
      <c r="F3" s="3">
        <v>4999729</v>
      </c>
    </row>
    <row r="4" spans="1:6" x14ac:dyDescent="0.3">
      <c r="A4" s="2" t="s">
        <v>33</v>
      </c>
      <c r="B4" s="3">
        <f t="shared" si="0"/>
        <v>-3210054</v>
      </c>
      <c r="C4" s="3">
        <v>0</v>
      </c>
      <c r="D4" s="3">
        <v>0</v>
      </c>
      <c r="E4" s="3">
        <v>3210054</v>
      </c>
      <c r="F4" s="3">
        <v>5999818</v>
      </c>
    </row>
    <row r="5" spans="1:6" x14ac:dyDescent="0.3">
      <c r="A5" s="2" t="s">
        <v>34</v>
      </c>
      <c r="B5" s="3">
        <f t="shared" si="0"/>
        <v>-12</v>
      </c>
      <c r="C5" s="3">
        <v>0</v>
      </c>
      <c r="D5" s="3">
        <v>0</v>
      </c>
      <c r="E5" s="3">
        <v>12</v>
      </c>
      <c r="F5" s="3">
        <v>1</v>
      </c>
    </row>
    <row r="6" spans="1:6" x14ac:dyDescent="0.3">
      <c r="A6" s="2" t="s">
        <v>8</v>
      </c>
      <c r="B6" s="3">
        <f t="shared" si="0"/>
        <v>-42</v>
      </c>
      <c r="C6" s="3">
        <v>0</v>
      </c>
      <c r="D6" s="3">
        <v>0</v>
      </c>
      <c r="E6" s="3">
        <v>42</v>
      </c>
      <c r="F6" s="3">
        <v>2</v>
      </c>
    </row>
    <row r="7" spans="1:6" x14ac:dyDescent="0.3">
      <c r="A7" s="2" t="s">
        <v>9</v>
      </c>
      <c r="B7" s="3">
        <f t="shared" si="0"/>
        <v>-2040184</v>
      </c>
      <c r="C7" s="3">
        <v>0</v>
      </c>
      <c r="D7" s="3">
        <v>0</v>
      </c>
      <c r="E7" s="3">
        <v>2040184</v>
      </c>
      <c r="F7" s="3">
        <v>2999853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-2670366</v>
      </c>
      <c r="C9" s="3">
        <v>0</v>
      </c>
      <c r="D9" s="3">
        <v>0</v>
      </c>
      <c r="E9" s="3">
        <v>2670366</v>
      </c>
      <c r="F9" s="3">
        <v>3999867</v>
      </c>
    </row>
    <row r="10" spans="1:6" x14ac:dyDescent="0.3">
      <c r="A10" s="2" t="s">
        <v>12</v>
      </c>
      <c r="B10" s="3">
        <f t="shared" si="0"/>
        <v>-11653863</v>
      </c>
      <c r="C10" s="3">
        <v>0</v>
      </c>
      <c r="D10" s="3">
        <v>0</v>
      </c>
      <c r="E10" s="3">
        <v>11653863</v>
      </c>
      <c r="F10" s="3">
        <v>18244780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-5250028</v>
      </c>
      <c r="C12" s="3">
        <v>0</v>
      </c>
      <c r="D12" s="3">
        <v>0</v>
      </c>
      <c r="E12" s="3">
        <v>5250028</v>
      </c>
      <c r="F12" s="3">
        <v>6999722</v>
      </c>
    </row>
    <row r="13" spans="1:6" x14ac:dyDescent="0.3">
      <c r="A13" s="2" t="s">
        <v>15</v>
      </c>
      <c r="B13" s="3">
        <f t="shared" si="0"/>
        <v>-7373857</v>
      </c>
      <c r="C13" s="3">
        <v>0</v>
      </c>
      <c r="D13" s="3">
        <v>0</v>
      </c>
      <c r="E13" s="3">
        <v>7373857</v>
      </c>
      <c r="F13" s="3">
        <v>9999556</v>
      </c>
    </row>
    <row r="14" spans="1:6" x14ac:dyDescent="0.3">
      <c r="A14" s="2" t="s">
        <v>16</v>
      </c>
      <c r="B14" s="3">
        <f t="shared" si="0"/>
        <v>-8507291</v>
      </c>
      <c r="C14" s="3">
        <v>0</v>
      </c>
      <c r="D14" s="3">
        <v>0</v>
      </c>
      <c r="E14" s="3">
        <v>8507291</v>
      </c>
      <c r="F14" s="3">
        <v>11499842</v>
      </c>
    </row>
    <row r="15" spans="1:6" ht="17.25" thickBot="1" x14ac:dyDescent="0.35">
      <c r="A15" s="4" t="s">
        <v>35</v>
      </c>
      <c r="B15" s="5">
        <f>SUM(B3:B14)</f>
        <v>-43438190</v>
      </c>
      <c r="C15" s="5">
        <f t="shared" ref="C15:F15" si="1">SUM(C3:C14)</f>
        <v>0</v>
      </c>
      <c r="D15" s="5">
        <f t="shared" si="1"/>
        <v>0</v>
      </c>
      <c r="E15" s="5">
        <f t="shared" si="1"/>
        <v>43438190</v>
      </c>
      <c r="F15" s="5">
        <f t="shared" si="1"/>
        <v>64743170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-10598412</v>
      </c>
      <c r="C3" s="3">
        <v>0</v>
      </c>
      <c r="D3" s="3">
        <v>0</v>
      </c>
      <c r="E3" s="3">
        <v>10598412</v>
      </c>
      <c r="F3" s="3">
        <v>14479517</v>
      </c>
    </row>
    <row r="4" spans="1:6" x14ac:dyDescent="0.3">
      <c r="A4" s="2" t="s">
        <v>6</v>
      </c>
      <c r="B4" s="3">
        <f t="shared" ref="B4:B14" si="0">C4-E4</f>
        <v>-13120028</v>
      </c>
      <c r="C4" s="3">
        <v>0</v>
      </c>
      <c r="D4" s="3">
        <v>0</v>
      </c>
      <c r="E4" s="3">
        <v>13120028</v>
      </c>
      <c r="F4" s="3">
        <v>16999599</v>
      </c>
    </row>
    <row r="5" spans="1:6" x14ac:dyDescent="0.3">
      <c r="A5" s="2" t="s">
        <v>7</v>
      </c>
      <c r="B5" s="3">
        <f t="shared" si="0"/>
        <v>-8557298</v>
      </c>
      <c r="C5" s="3">
        <v>0</v>
      </c>
      <c r="D5" s="3">
        <v>0</v>
      </c>
      <c r="E5" s="3">
        <v>8557298</v>
      </c>
      <c r="F5" s="3">
        <v>11099774</v>
      </c>
    </row>
    <row r="6" spans="1:6" x14ac:dyDescent="0.3">
      <c r="A6" s="2" t="s">
        <v>8</v>
      </c>
      <c r="B6" s="3">
        <f t="shared" si="0"/>
        <v>-3391647</v>
      </c>
      <c r="C6" s="3">
        <v>0</v>
      </c>
      <c r="D6" s="3">
        <v>0</v>
      </c>
      <c r="E6" s="3">
        <v>3391647</v>
      </c>
      <c r="F6" s="3">
        <v>4499898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-12</v>
      </c>
      <c r="C9" s="3">
        <v>0</v>
      </c>
      <c r="D9" s="3">
        <v>0</v>
      </c>
      <c r="E9" s="3">
        <v>12</v>
      </c>
      <c r="F9" s="3">
        <v>1</v>
      </c>
    </row>
    <row r="10" spans="1:6" x14ac:dyDescent="0.3">
      <c r="A10" s="2" t="s">
        <v>12</v>
      </c>
      <c r="B10" s="3">
        <f t="shared" si="0"/>
        <v>-1451590</v>
      </c>
      <c r="C10" s="3">
        <v>0</v>
      </c>
      <c r="D10" s="3">
        <v>0</v>
      </c>
      <c r="E10" s="3">
        <v>1451590</v>
      </c>
      <c r="F10" s="3">
        <v>2099805</v>
      </c>
    </row>
    <row r="11" spans="1:6" x14ac:dyDescent="0.3">
      <c r="A11" s="2" t="s">
        <v>13</v>
      </c>
      <c r="B11" s="3">
        <f t="shared" si="0"/>
        <v>-7452755</v>
      </c>
      <c r="C11" s="3">
        <v>0</v>
      </c>
      <c r="D11" s="3">
        <v>0</v>
      </c>
      <c r="E11" s="3">
        <v>7452755</v>
      </c>
      <c r="F11" s="3">
        <v>10999533</v>
      </c>
    </row>
    <row r="12" spans="1:6" x14ac:dyDescent="0.3">
      <c r="A12" s="2" t="s">
        <v>14</v>
      </c>
      <c r="B12" s="3">
        <f t="shared" si="0"/>
        <v>-9917814</v>
      </c>
      <c r="C12" s="3">
        <v>0</v>
      </c>
      <c r="D12" s="3">
        <v>0</v>
      </c>
      <c r="E12" s="3">
        <v>9917814</v>
      </c>
      <c r="F12" s="3">
        <v>13999677</v>
      </c>
    </row>
    <row r="13" spans="1:6" x14ac:dyDescent="0.3">
      <c r="A13" s="2" t="s">
        <v>15</v>
      </c>
      <c r="B13" s="3">
        <f t="shared" si="0"/>
        <v>-1438168</v>
      </c>
      <c r="C13" s="3">
        <v>0</v>
      </c>
      <c r="D13" s="3">
        <v>0</v>
      </c>
      <c r="E13" s="3">
        <v>1438168</v>
      </c>
      <c r="F13" s="3">
        <v>1999904</v>
      </c>
    </row>
    <row r="14" spans="1:6" x14ac:dyDescent="0.3">
      <c r="A14" s="2" t="s">
        <v>16</v>
      </c>
      <c r="B14" s="3">
        <f t="shared" si="0"/>
        <v>-1086509</v>
      </c>
      <c r="C14" s="3">
        <v>0</v>
      </c>
      <c r="D14" s="3">
        <v>0</v>
      </c>
      <c r="E14" s="3">
        <v>1086509</v>
      </c>
      <c r="F14" s="3">
        <v>1519974</v>
      </c>
    </row>
    <row r="15" spans="1:6" ht="17.25" thickBot="1" x14ac:dyDescent="0.35">
      <c r="A15" s="4" t="s">
        <v>17</v>
      </c>
      <c r="B15" s="5">
        <f>SUM(B3:B14)</f>
        <v>-57014233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57014233</v>
      </c>
      <c r="F15" s="5">
        <f t="shared" si="2"/>
        <v>77697682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-14154990</v>
      </c>
      <c r="C3" s="3">
        <v>0</v>
      </c>
      <c r="D3" s="3">
        <v>0</v>
      </c>
      <c r="E3" s="3">
        <v>14154990</v>
      </c>
      <c r="F3" s="3">
        <v>21495216</v>
      </c>
    </row>
    <row r="4" spans="1:6" x14ac:dyDescent="0.3">
      <c r="A4" s="2" t="s">
        <v>6</v>
      </c>
      <c r="B4" s="3">
        <f t="shared" ref="B4:B14" si="0">C4-E4</f>
        <v>-14514239</v>
      </c>
      <c r="C4" s="3">
        <v>0</v>
      </c>
      <c r="D4" s="3">
        <v>0</v>
      </c>
      <c r="E4" s="3">
        <v>14514239</v>
      </c>
      <c r="F4" s="3">
        <v>21499337</v>
      </c>
    </row>
    <row r="5" spans="1:6" x14ac:dyDescent="0.3">
      <c r="A5" s="2" t="s">
        <v>7</v>
      </c>
      <c r="B5" s="3">
        <f t="shared" si="0"/>
        <v>-17909378</v>
      </c>
      <c r="C5" s="3">
        <v>0</v>
      </c>
      <c r="D5" s="3">
        <v>0</v>
      </c>
      <c r="E5" s="3">
        <v>17909378</v>
      </c>
      <c r="F5" s="3">
        <v>26499560</v>
      </c>
    </row>
    <row r="6" spans="1:6" x14ac:dyDescent="0.3">
      <c r="A6" s="2" t="s">
        <v>8</v>
      </c>
      <c r="B6" s="3">
        <f t="shared" si="0"/>
        <v>-20542766</v>
      </c>
      <c r="C6" s="3">
        <v>0</v>
      </c>
      <c r="D6" s="3">
        <v>0</v>
      </c>
      <c r="E6" s="3">
        <v>20542766</v>
      </c>
      <c r="F6" s="3">
        <v>30499477</v>
      </c>
    </row>
    <row r="7" spans="1:6" x14ac:dyDescent="0.3">
      <c r="A7" s="2" t="s">
        <v>9</v>
      </c>
      <c r="B7" s="3">
        <f t="shared" si="0"/>
        <v>-14405991</v>
      </c>
      <c r="C7" s="3">
        <v>0</v>
      </c>
      <c r="D7" s="3">
        <v>0</v>
      </c>
      <c r="E7" s="3">
        <v>14405991</v>
      </c>
      <c r="F7" s="3">
        <v>21997410</v>
      </c>
    </row>
    <row r="8" spans="1:6" x14ac:dyDescent="0.3">
      <c r="A8" s="2" t="s">
        <v>10</v>
      </c>
      <c r="B8" s="3">
        <f t="shared" si="0"/>
        <v>-4102214</v>
      </c>
      <c r="C8" s="3">
        <v>0</v>
      </c>
      <c r="D8" s="3">
        <v>0</v>
      </c>
      <c r="E8" s="3">
        <v>4102214</v>
      </c>
      <c r="F8" s="3">
        <v>6099763</v>
      </c>
    </row>
    <row r="9" spans="1:6" x14ac:dyDescent="0.3">
      <c r="A9" s="2" t="s">
        <v>11</v>
      </c>
      <c r="B9" s="3">
        <f t="shared" si="0"/>
        <v>-3922501</v>
      </c>
      <c r="C9" s="3">
        <v>0</v>
      </c>
      <c r="D9" s="3">
        <v>0</v>
      </c>
      <c r="E9" s="3">
        <v>3922501</v>
      </c>
      <c r="F9" s="3">
        <v>6344639</v>
      </c>
    </row>
    <row r="10" spans="1:6" x14ac:dyDescent="0.3">
      <c r="A10" s="2" t="s">
        <v>12</v>
      </c>
      <c r="B10" s="3">
        <f t="shared" si="0"/>
        <v>-17338466</v>
      </c>
      <c r="C10" s="3">
        <v>0</v>
      </c>
      <c r="D10" s="3">
        <v>0</v>
      </c>
      <c r="E10" s="3">
        <v>17338466</v>
      </c>
      <c r="F10" s="3">
        <v>30299876</v>
      </c>
    </row>
    <row r="11" spans="1:6" x14ac:dyDescent="0.3">
      <c r="A11" s="2" t="s">
        <v>13</v>
      </c>
      <c r="B11" s="3">
        <f t="shared" si="0"/>
        <v>-9506187</v>
      </c>
      <c r="C11" s="3">
        <v>0</v>
      </c>
      <c r="D11" s="3">
        <v>0</v>
      </c>
      <c r="E11" s="3">
        <v>9506187</v>
      </c>
      <c r="F11" s="3">
        <v>16799778</v>
      </c>
    </row>
    <row r="12" spans="1:6" x14ac:dyDescent="0.3">
      <c r="A12" s="2" t="s">
        <v>14</v>
      </c>
      <c r="B12" s="3">
        <f t="shared" si="0"/>
        <v>-13312306</v>
      </c>
      <c r="C12" s="3">
        <v>0</v>
      </c>
      <c r="D12" s="3">
        <v>0</v>
      </c>
      <c r="E12" s="3">
        <v>13312306</v>
      </c>
      <c r="F12" s="3">
        <v>23499342</v>
      </c>
    </row>
    <row r="13" spans="1:6" x14ac:dyDescent="0.3">
      <c r="A13" s="2" t="s">
        <v>15</v>
      </c>
      <c r="B13" s="3">
        <f t="shared" si="0"/>
        <v>-6560205</v>
      </c>
      <c r="C13" s="3">
        <v>0</v>
      </c>
      <c r="D13" s="3">
        <v>0</v>
      </c>
      <c r="E13" s="3">
        <v>6560205</v>
      </c>
      <c r="F13" s="3">
        <v>7463920</v>
      </c>
    </row>
    <row r="14" spans="1:6" x14ac:dyDescent="0.3">
      <c r="A14" s="2" t="s">
        <v>16</v>
      </c>
      <c r="B14" s="3">
        <f t="shared" si="0"/>
        <v>-4005449</v>
      </c>
      <c r="C14" s="3">
        <v>0</v>
      </c>
      <c r="D14" s="3">
        <v>0</v>
      </c>
      <c r="E14" s="3">
        <v>4005449</v>
      </c>
      <c r="F14" s="3">
        <v>7387664</v>
      </c>
    </row>
    <row r="15" spans="1:6" ht="17.25" thickBot="1" x14ac:dyDescent="0.35">
      <c r="A15" s="4" t="s">
        <v>17</v>
      </c>
      <c r="B15" s="5">
        <f>SUM(B3:B14)</f>
        <v>-140274692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140274692</v>
      </c>
      <c r="F15" s="5">
        <f t="shared" si="2"/>
        <v>219885982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-2388698</v>
      </c>
      <c r="C3" s="3">
        <v>0</v>
      </c>
      <c r="D3" s="3">
        <v>0</v>
      </c>
      <c r="E3" s="3">
        <v>2388698</v>
      </c>
      <c r="F3" s="3">
        <v>4999176</v>
      </c>
    </row>
    <row r="4" spans="1:6" x14ac:dyDescent="0.3">
      <c r="A4" s="2" t="s">
        <v>6</v>
      </c>
      <c r="B4" s="3">
        <f t="shared" ref="B4:B14" si="0">C4-E4</f>
        <v>-7664067</v>
      </c>
      <c r="C4" s="3">
        <v>0</v>
      </c>
      <c r="D4" s="3">
        <v>0</v>
      </c>
      <c r="E4" s="3">
        <v>7664067</v>
      </c>
      <c r="F4" s="3">
        <v>10423679</v>
      </c>
    </row>
    <row r="5" spans="1:6" x14ac:dyDescent="0.3">
      <c r="A5" s="2" t="s">
        <v>7</v>
      </c>
      <c r="B5" s="3">
        <f t="shared" si="0"/>
        <v>-5053330</v>
      </c>
      <c r="C5" s="3">
        <v>0</v>
      </c>
      <c r="D5" s="3">
        <v>0</v>
      </c>
      <c r="E5" s="3">
        <v>5053330</v>
      </c>
      <c r="F5" s="3">
        <v>8997579</v>
      </c>
    </row>
    <row r="6" spans="1:6" x14ac:dyDescent="0.3">
      <c r="A6" s="2" t="s">
        <v>8</v>
      </c>
      <c r="B6" s="3">
        <f t="shared" si="0"/>
        <v>-11264406</v>
      </c>
      <c r="C6" s="3">
        <v>0</v>
      </c>
      <c r="D6" s="3">
        <v>0</v>
      </c>
      <c r="E6" s="3">
        <v>11264406</v>
      </c>
      <c r="F6" s="3">
        <v>20440817</v>
      </c>
    </row>
    <row r="7" spans="1:6" x14ac:dyDescent="0.3">
      <c r="A7" s="2" t="s">
        <v>9</v>
      </c>
      <c r="B7" s="3">
        <f t="shared" si="0"/>
        <v>-5360014</v>
      </c>
      <c r="C7" s="3">
        <v>0</v>
      </c>
      <c r="D7" s="3">
        <v>0</v>
      </c>
      <c r="E7" s="3">
        <v>5360014</v>
      </c>
      <c r="F7" s="3">
        <v>9953664</v>
      </c>
    </row>
    <row r="8" spans="1:6" x14ac:dyDescent="0.3">
      <c r="A8" s="2" t="s">
        <v>10</v>
      </c>
      <c r="B8" s="3">
        <f t="shared" si="0"/>
        <v>-2810508</v>
      </c>
      <c r="C8" s="3">
        <v>0</v>
      </c>
      <c r="D8" s="3">
        <v>0</v>
      </c>
      <c r="E8" s="3">
        <v>2810508</v>
      </c>
      <c r="F8" s="3">
        <v>5539175</v>
      </c>
    </row>
    <row r="9" spans="1:6" x14ac:dyDescent="0.3">
      <c r="A9" s="2" t="s">
        <v>11</v>
      </c>
      <c r="B9" s="3">
        <f t="shared" si="0"/>
        <v>-3500362</v>
      </c>
      <c r="C9" s="3">
        <v>0</v>
      </c>
      <c r="D9" s="3">
        <v>0</v>
      </c>
      <c r="E9" s="3">
        <v>3500362</v>
      </c>
      <c r="F9" s="3">
        <v>6941929</v>
      </c>
    </row>
    <row r="10" spans="1:6" x14ac:dyDescent="0.3">
      <c r="A10" s="2" t="s">
        <v>12</v>
      </c>
      <c r="B10" s="3">
        <f t="shared" si="0"/>
        <v>-8484659</v>
      </c>
      <c r="C10" s="3">
        <v>0</v>
      </c>
      <c r="D10" s="3">
        <v>0</v>
      </c>
      <c r="E10" s="3">
        <v>8484659</v>
      </c>
      <c r="F10" s="3">
        <v>17041216</v>
      </c>
    </row>
    <row r="11" spans="1:6" x14ac:dyDescent="0.3">
      <c r="A11" s="2" t="s">
        <v>13</v>
      </c>
      <c r="B11" s="3">
        <f t="shared" si="0"/>
        <v>-4941287</v>
      </c>
      <c r="C11" s="3">
        <v>0</v>
      </c>
      <c r="D11" s="3">
        <v>0</v>
      </c>
      <c r="E11" s="3">
        <v>4941287</v>
      </c>
      <c r="F11" s="3">
        <v>9039737</v>
      </c>
    </row>
    <row r="12" spans="1:6" x14ac:dyDescent="0.3">
      <c r="A12" s="2" t="s">
        <v>14</v>
      </c>
      <c r="B12" s="3">
        <f t="shared" si="0"/>
        <v>-7140496</v>
      </c>
      <c r="C12" s="3">
        <v>0</v>
      </c>
      <c r="D12" s="3">
        <v>0</v>
      </c>
      <c r="E12" s="3">
        <v>7140496</v>
      </c>
      <c r="F12" s="3">
        <v>12999447</v>
      </c>
    </row>
    <row r="13" spans="1:6" x14ac:dyDescent="0.3">
      <c r="A13" s="2" t="s">
        <v>15</v>
      </c>
      <c r="B13" s="3">
        <f t="shared" si="0"/>
        <v>-30780</v>
      </c>
      <c r="C13" s="3">
        <v>0</v>
      </c>
      <c r="D13" s="3">
        <v>0</v>
      </c>
      <c r="E13" s="3">
        <v>30780</v>
      </c>
      <c r="F13" s="3">
        <v>40000</v>
      </c>
    </row>
    <row r="14" spans="1:6" x14ac:dyDescent="0.3">
      <c r="A14" s="2" t="s">
        <v>16</v>
      </c>
      <c r="B14" s="3">
        <f t="shared" si="0"/>
        <v>-2197874</v>
      </c>
      <c r="C14" s="3">
        <v>0</v>
      </c>
      <c r="D14" s="3">
        <v>0</v>
      </c>
      <c r="E14" s="3">
        <v>2197874</v>
      </c>
      <c r="F14" s="3">
        <v>4039954</v>
      </c>
    </row>
    <row r="15" spans="1:6" ht="17.25" thickBot="1" x14ac:dyDescent="0.35">
      <c r="A15" s="4" t="s">
        <v>17</v>
      </c>
      <c r="B15" s="5">
        <f>SUM(B3:B14)</f>
        <v>-60836481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60836481</v>
      </c>
      <c r="F15" s="5">
        <f t="shared" si="2"/>
        <v>110456373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-2934372</v>
      </c>
      <c r="C3" s="3">
        <v>0</v>
      </c>
      <c r="D3" s="3">
        <v>0</v>
      </c>
      <c r="E3" s="3">
        <v>2934372</v>
      </c>
      <c r="F3" s="3">
        <v>3999896</v>
      </c>
    </row>
    <row r="4" spans="1:6" x14ac:dyDescent="0.3">
      <c r="A4" s="2" t="s">
        <v>6</v>
      </c>
      <c r="B4" s="3">
        <f t="shared" ref="B4:B14" si="0">C4-E4</f>
        <v>-3797210</v>
      </c>
      <c r="C4" s="3">
        <v>0</v>
      </c>
      <c r="D4" s="3">
        <v>0</v>
      </c>
      <c r="E4" s="3">
        <v>3797210</v>
      </c>
      <c r="F4" s="3">
        <v>4949791</v>
      </c>
    </row>
    <row r="5" spans="1:6" x14ac:dyDescent="0.3">
      <c r="A5" s="2" t="s">
        <v>7</v>
      </c>
      <c r="B5" s="3">
        <f t="shared" si="0"/>
        <v>-20913030</v>
      </c>
      <c r="C5" s="3">
        <v>0</v>
      </c>
      <c r="D5" s="3">
        <v>0</v>
      </c>
      <c r="E5" s="3">
        <v>20913030</v>
      </c>
      <c r="F5" s="3">
        <v>28744144</v>
      </c>
    </row>
    <row r="6" spans="1:6" x14ac:dyDescent="0.3">
      <c r="A6" s="2" t="s">
        <v>8</v>
      </c>
      <c r="B6" s="3">
        <f t="shared" si="0"/>
        <v>-14114497</v>
      </c>
      <c r="C6" s="3">
        <v>0</v>
      </c>
      <c r="D6" s="3">
        <v>0</v>
      </c>
      <c r="E6" s="3">
        <v>14114497</v>
      </c>
      <c r="F6" s="3">
        <v>23174234</v>
      </c>
    </row>
    <row r="7" spans="1:6" x14ac:dyDescent="0.3">
      <c r="A7" s="2" t="s">
        <v>9</v>
      </c>
      <c r="B7" s="3">
        <f t="shared" si="0"/>
        <v>-9099949</v>
      </c>
      <c r="C7" s="3">
        <v>0</v>
      </c>
      <c r="D7" s="3">
        <v>0</v>
      </c>
      <c r="E7" s="3">
        <v>9099949</v>
      </c>
      <c r="F7" s="3">
        <v>15458340</v>
      </c>
    </row>
    <row r="8" spans="1:6" x14ac:dyDescent="0.3">
      <c r="A8" s="2" t="s">
        <v>10</v>
      </c>
      <c r="B8" s="3">
        <f t="shared" si="0"/>
        <v>-13069570</v>
      </c>
      <c r="C8" s="3">
        <v>0</v>
      </c>
      <c r="D8" s="3">
        <v>0</v>
      </c>
      <c r="E8" s="3">
        <v>13069570</v>
      </c>
      <c r="F8" s="3">
        <v>23119554</v>
      </c>
    </row>
    <row r="9" spans="1:6" x14ac:dyDescent="0.3">
      <c r="A9" s="2" t="s">
        <v>11</v>
      </c>
      <c r="B9" s="3">
        <f t="shared" si="0"/>
        <v>-1992898</v>
      </c>
      <c r="C9" s="3">
        <v>0</v>
      </c>
      <c r="D9" s="3">
        <v>0</v>
      </c>
      <c r="E9" s="3">
        <v>1992898</v>
      </c>
      <c r="F9" s="3">
        <v>3119800</v>
      </c>
    </row>
    <row r="10" spans="1:6" x14ac:dyDescent="0.3">
      <c r="A10" s="2" t="s">
        <v>12</v>
      </c>
      <c r="B10" s="3">
        <f t="shared" si="0"/>
        <v>-7549992</v>
      </c>
      <c r="C10" s="3">
        <v>0</v>
      </c>
      <c r="D10" s="3">
        <v>0</v>
      </c>
      <c r="E10" s="3">
        <v>7549992</v>
      </c>
      <c r="F10" s="3">
        <v>8003689</v>
      </c>
    </row>
    <row r="11" spans="1:6" x14ac:dyDescent="0.3">
      <c r="A11" s="2" t="s">
        <v>13</v>
      </c>
      <c r="B11" s="3">
        <f t="shared" si="0"/>
        <v>-3050707</v>
      </c>
      <c r="C11" s="3">
        <v>0</v>
      </c>
      <c r="D11" s="3">
        <v>0</v>
      </c>
      <c r="E11" s="3">
        <v>3050707</v>
      </c>
      <c r="F11" s="3">
        <v>4119955</v>
      </c>
    </row>
    <row r="12" spans="1:6" x14ac:dyDescent="0.3">
      <c r="A12" s="2" t="s">
        <v>14</v>
      </c>
      <c r="B12" s="3">
        <f t="shared" si="0"/>
        <v>-2960092</v>
      </c>
      <c r="C12" s="3">
        <v>0</v>
      </c>
      <c r="D12" s="3">
        <v>0</v>
      </c>
      <c r="E12" s="3">
        <v>2960092</v>
      </c>
      <c r="F12" s="3">
        <v>3999972</v>
      </c>
    </row>
    <row r="13" spans="1:6" x14ac:dyDescent="0.3">
      <c r="A13" s="2" t="s">
        <v>15</v>
      </c>
      <c r="B13" s="3">
        <f t="shared" si="0"/>
        <v>-6189309</v>
      </c>
      <c r="C13" s="3">
        <v>0</v>
      </c>
      <c r="D13" s="3">
        <v>0</v>
      </c>
      <c r="E13" s="3">
        <v>6189309</v>
      </c>
      <c r="F13" s="3">
        <v>7999888</v>
      </c>
    </row>
    <row r="14" spans="1:6" x14ac:dyDescent="0.3">
      <c r="A14" s="2" t="s">
        <v>16</v>
      </c>
      <c r="B14" s="3">
        <f t="shared" si="0"/>
        <v>-11237965</v>
      </c>
      <c r="C14" s="3">
        <v>0</v>
      </c>
      <c r="D14" s="3">
        <v>0</v>
      </c>
      <c r="E14" s="3">
        <v>11237965</v>
      </c>
      <c r="F14" s="3">
        <v>12999786</v>
      </c>
    </row>
    <row r="15" spans="1:6" ht="17.25" thickBot="1" x14ac:dyDescent="0.35">
      <c r="A15" s="4" t="s">
        <v>17</v>
      </c>
      <c r="B15" s="5">
        <f>SUM(B3:B14)</f>
        <v>-96909591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96909591</v>
      </c>
      <c r="F15" s="5">
        <f t="shared" si="2"/>
        <v>139689049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-7989591</v>
      </c>
      <c r="C3" s="3">
        <v>0</v>
      </c>
      <c r="D3" s="3">
        <v>0</v>
      </c>
      <c r="E3" s="3">
        <v>7989591</v>
      </c>
      <c r="F3" s="3">
        <v>7999810</v>
      </c>
    </row>
    <row r="4" spans="1:6" x14ac:dyDescent="0.3">
      <c r="A4" s="2" t="s">
        <v>6</v>
      </c>
      <c r="B4" s="3">
        <f t="shared" ref="B4:B14" si="0">C4-E4</f>
        <v>-39135554</v>
      </c>
      <c r="C4" s="3">
        <v>0</v>
      </c>
      <c r="D4" s="3">
        <v>0</v>
      </c>
      <c r="E4" s="3">
        <v>39135554</v>
      </c>
      <c r="F4" s="3">
        <v>38998837</v>
      </c>
    </row>
    <row r="5" spans="1:6" x14ac:dyDescent="0.3">
      <c r="A5" s="2" t="s">
        <v>7</v>
      </c>
      <c r="B5" s="3">
        <f t="shared" si="0"/>
        <v>-14006682</v>
      </c>
      <c r="C5" s="3">
        <v>0</v>
      </c>
      <c r="D5" s="3">
        <v>0</v>
      </c>
      <c r="E5" s="3">
        <v>14006682</v>
      </c>
      <c r="F5" s="3">
        <v>13497459</v>
      </c>
    </row>
    <row r="6" spans="1:6" x14ac:dyDescent="0.3">
      <c r="A6" s="2" t="s">
        <v>8</v>
      </c>
      <c r="B6" s="3">
        <f t="shared" si="0"/>
        <v>-27455492</v>
      </c>
      <c r="C6" s="3">
        <v>0</v>
      </c>
      <c r="D6" s="3">
        <v>0</v>
      </c>
      <c r="E6" s="3">
        <v>27455492</v>
      </c>
      <c r="F6" s="3">
        <v>25998850</v>
      </c>
    </row>
    <row r="7" spans="1:6" x14ac:dyDescent="0.3">
      <c r="A7" s="2" t="s">
        <v>9</v>
      </c>
      <c r="B7" s="3">
        <f t="shared" si="0"/>
        <v>-40764867</v>
      </c>
      <c r="C7" s="3">
        <v>0</v>
      </c>
      <c r="D7" s="3">
        <v>0</v>
      </c>
      <c r="E7" s="3">
        <v>40764867</v>
      </c>
      <c r="F7" s="3">
        <v>37500528</v>
      </c>
    </row>
    <row r="8" spans="1:6" x14ac:dyDescent="0.3">
      <c r="A8" s="2" t="s">
        <v>10</v>
      </c>
      <c r="B8" s="3">
        <f t="shared" si="0"/>
        <v>-5923910</v>
      </c>
      <c r="C8" s="3">
        <v>0</v>
      </c>
      <c r="D8" s="3">
        <v>0</v>
      </c>
      <c r="E8" s="3">
        <v>5923910</v>
      </c>
      <c r="F8" s="3">
        <v>5075999</v>
      </c>
    </row>
    <row r="9" spans="1:6" x14ac:dyDescent="0.3">
      <c r="A9" s="2" t="s">
        <v>11</v>
      </c>
      <c r="B9" s="3">
        <f t="shared" si="0"/>
        <v>-16839883</v>
      </c>
      <c r="C9" s="3">
        <v>0</v>
      </c>
      <c r="D9" s="3">
        <v>0</v>
      </c>
      <c r="E9" s="3">
        <v>16839883</v>
      </c>
      <c r="F9" s="3">
        <v>16075798</v>
      </c>
    </row>
    <row r="10" spans="1:6" x14ac:dyDescent="0.3">
      <c r="A10" s="2" t="s">
        <v>12</v>
      </c>
      <c r="B10" s="3">
        <f t="shared" si="0"/>
        <v>-27409250</v>
      </c>
      <c r="C10" s="3">
        <v>0</v>
      </c>
      <c r="D10" s="3">
        <v>0</v>
      </c>
      <c r="E10" s="3">
        <v>27409250</v>
      </c>
      <c r="F10" s="3">
        <v>25069766</v>
      </c>
    </row>
    <row r="11" spans="1:6" x14ac:dyDescent="0.3">
      <c r="A11" s="2" t="s">
        <v>13</v>
      </c>
      <c r="B11" s="3">
        <f t="shared" si="0"/>
        <v>-2519318</v>
      </c>
      <c r="C11" s="3">
        <v>0</v>
      </c>
      <c r="D11" s="3">
        <v>0</v>
      </c>
      <c r="E11" s="3">
        <v>2519318</v>
      </c>
      <c r="F11" s="3">
        <v>2075937</v>
      </c>
    </row>
    <row r="12" spans="1:6" x14ac:dyDescent="0.3">
      <c r="A12" s="2" t="s">
        <v>14</v>
      </c>
      <c r="B12" s="3">
        <f t="shared" si="0"/>
        <v>-9392117</v>
      </c>
      <c r="C12" s="3">
        <v>0</v>
      </c>
      <c r="D12" s="3">
        <v>0</v>
      </c>
      <c r="E12" s="3">
        <v>9392117</v>
      </c>
      <c r="F12" s="3">
        <v>7999844</v>
      </c>
    </row>
    <row r="13" spans="1:6" x14ac:dyDescent="0.3">
      <c r="A13" s="2" t="s">
        <v>15</v>
      </c>
      <c r="B13" s="3">
        <f t="shared" si="0"/>
        <v>-14939967</v>
      </c>
      <c r="C13" s="3">
        <v>0</v>
      </c>
      <c r="D13" s="3">
        <v>0</v>
      </c>
      <c r="E13" s="3">
        <v>14939967</v>
      </c>
      <c r="F13" s="3">
        <v>11998992</v>
      </c>
    </row>
    <row r="14" spans="1:6" x14ac:dyDescent="0.3">
      <c r="A14" s="2" t="s">
        <v>16</v>
      </c>
      <c r="B14" s="3">
        <f t="shared" si="0"/>
        <v>-19730479</v>
      </c>
      <c r="C14" s="3">
        <v>0</v>
      </c>
      <c r="D14" s="3">
        <v>0</v>
      </c>
      <c r="E14" s="3">
        <v>19730479</v>
      </c>
      <c r="F14" s="3">
        <v>14499728</v>
      </c>
    </row>
    <row r="15" spans="1:6" ht="17.25" thickBot="1" x14ac:dyDescent="0.35">
      <c r="A15" s="4" t="s">
        <v>17</v>
      </c>
      <c r="B15" s="5">
        <f>SUM(B3:B14)</f>
        <v>-226107110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226107110</v>
      </c>
      <c r="F15" s="5">
        <f t="shared" si="2"/>
        <v>206791548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-17379814</v>
      </c>
      <c r="C3" s="3">
        <v>0</v>
      </c>
      <c r="D3" s="3">
        <v>0</v>
      </c>
      <c r="E3" s="3">
        <v>17379814</v>
      </c>
      <c r="F3" s="3">
        <v>12999502</v>
      </c>
    </row>
    <row r="4" spans="1:6" x14ac:dyDescent="0.3">
      <c r="A4" s="2" t="s">
        <v>6</v>
      </c>
      <c r="B4" s="3">
        <f t="shared" ref="B4:B14" si="0">C4-E4</f>
        <v>-29950984</v>
      </c>
      <c r="C4" s="3">
        <v>0</v>
      </c>
      <c r="D4" s="3">
        <v>0</v>
      </c>
      <c r="E4" s="3">
        <v>29950984</v>
      </c>
      <c r="F4" s="3">
        <v>22295056</v>
      </c>
    </row>
    <row r="5" spans="1:6" x14ac:dyDescent="0.3">
      <c r="A5" s="2" t="s">
        <v>7</v>
      </c>
      <c r="B5" s="3">
        <f t="shared" si="0"/>
        <v>-42054818</v>
      </c>
      <c r="C5" s="3">
        <v>0</v>
      </c>
      <c r="D5" s="3">
        <v>0</v>
      </c>
      <c r="E5" s="3">
        <v>42054818</v>
      </c>
      <c r="F5" s="3">
        <v>27783462</v>
      </c>
    </row>
    <row r="6" spans="1:6" x14ac:dyDescent="0.3">
      <c r="A6" s="2" t="s">
        <v>8</v>
      </c>
      <c r="B6" s="3">
        <f t="shared" si="0"/>
        <v>-28908006</v>
      </c>
      <c r="C6" s="3">
        <v>0</v>
      </c>
      <c r="D6" s="3">
        <v>0</v>
      </c>
      <c r="E6" s="3">
        <v>28908006</v>
      </c>
      <c r="F6" s="3">
        <v>17037330</v>
      </c>
    </row>
    <row r="7" spans="1:6" x14ac:dyDescent="0.3">
      <c r="A7" s="2" t="s">
        <v>9</v>
      </c>
      <c r="B7" s="3">
        <f t="shared" si="0"/>
        <v>-20564437</v>
      </c>
      <c r="C7" s="3">
        <v>0</v>
      </c>
      <c r="D7" s="3">
        <v>0</v>
      </c>
      <c r="E7" s="3">
        <v>20564437</v>
      </c>
      <c r="F7" s="3">
        <v>11537256</v>
      </c>
    </row>
    <row r="8" spans="1:6" x14ac:dyDescent="0.3">
      <c r="A8" s="2" t="s">
        <v>10</v>
      </c>
      <c r="B8" s="3">
        <f t="shared" si="0"/>
        <v>-213586</v>
      </c>
      <c r="C8" s="3">
        <v>0</v>
      </c>
      <c r="D8" s="3">
        <v>0</v>
      </c>
      <c r="E8" s="3">
        <v>213586</v>
      </c>
      <c r="F8" s="3">
        <v>114004</v>
      </c>
    </row>
    <row r="9" spans="1:6" x14ac:dyDescent="0.3">
      <c r="A9" s="2" t="s">
        <v>11</v>
      </c>
      <c r="B9" s="3">
        <f t="shared" si="0"/>
        <v>-18442270</v>
      </c>
      <c r="C9" s="3">
        <v>0</v>
      </c>
      <c r="D9" s="3">
        <v>0</v>
      </c>
      <c r="E9" s="3">
        <v>18442270</v>
      </c>
      <c r="F9" s="3">
        <v>11997946</v>
      </c>
    </row>
    <row r="10" spans="1:6" x14ac:dyDescent="0.3">
      <c r="A10" s="2" t="s">
        <v>12</v>
      </c>
      <c r="B10" s="3">
        <f t="shared" si="0"/>
        <v>-15990007</v>
      </c>
      <c r="C10" s="3">
        <v>0</v>
      </c>
      <c r="D10" s="3">
        <v>0</v>
      </c>
      <c r="E10" s="3">
        <v>15990007</v>
      </c>
      <c r="F10" s="3">
        <v>14683809</v>
      </c>
    </row>
    <row r="11" spans="1:6" x14ac:dyDescent="0.3">
      <c r="A11" s="2" t="s">
        <v>13</v>
      </c>
      <c r="B11" s="3">
        <f t="shared" si="0"/>
        <v>-18777317</v>
      </c>
      <c r="C11" s="3">
        <v>0</v>
      </c>
      <c r="D11" s="3">
        <v>0</v>
      </c>
      <c r="E11" s="3">
        <v>18777317</v>
      </c>
      <c r="F11" s="3">
        <v>17706513</v>
      </c>
    </row>
    <row r="12" spans="1:6" x14ac:dyDescent="0.3">
      <c r="A12" s="2" t="s">
        <v>14</v>
      </c>
      <c r="B12" s="3">
        <f t="shared" si="0"/>
        <v>-13003899</v>
      </c>
      <c r="C12" s="3">
        <v>0</v>
      </c>
      <c r="D12" s="3">
        <v>0</v>
      </c>
      <c r="E12" s="3">
        <v>13003899</v>
      </c>
      <c r="F12" s="3">
        <v>12755831</v>
      </c>
    </row>
    <row r="13" spans="1:6" x14ac:dyDescent="0.3">
      <c r="A13" s="2" t="s">
        <v>15</v>
      </c>
      <c r="B13" s="3">
        <f t="shared" si="0"/>
        <v>-9678787</v>
      </c>
      <c r="C13" s="3">
        <v>0</v>
      </c>
      <c r="D13" s="3">
        <v>0</v>
      </c>
      <c r="E13" s="3">
        <v>9678787</v>
      </c>
      <c r="F13" s="3">
        <v>9907808</v>
      </c>
    </row>
    <row r="14" spans="1:6" x14ac:dyDescent="0.3">
      <c r="A14" s="2" t="s">
        <v>16</v>
      </c>
      <c r="B14" s="3">
        <f t="shared" si="0"/>
        <v>-11672068</v>
      </c>
      <c r="C14" s="3">
        <v>0</v>
      </c>
      <c r="D14" s="3">
        <v>0</v>
      </c>
      <c r="E14" s="3">
        <v>11672068</v>
      </c>
      <c r="F14" s="3">
        <v>11984491</v>
      </c>
    </row>
    <row r="15" spans="1:6" ht="17.25" thickBot="1" x14ac:dyDescent="0.35">
      <c r="A15" s="4" t="s">
        <v>17</v>
      </c>
      <c r="B15" s="5">
        <f>SUM(B3:B14)</f>
        <v>-226635993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226635993</v>
      </c>
      <c r="F15" s="5">
        <f t="shared" si="2"/>
        <v>170803008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-24188199</v>
      </c>
      <c r="C3" s="3">
        <v>0</v>
      </c>
      <c r="D3" s="3">
        <v>0</v>
      </c>
      <c r="E3" s="3">
        <v>24188199</v>
      </c>
      <c r="F3" s="3">
        <v>24179675</v>
      </c>
    </row>
    <row r="4" spans="1:6" x14ac:dyDescent="0.3">
      <c r="A4" s="2" t="s">
        <v>6</v>
      </c>
      <c r="B4" s="3">
        <f t="shared" ref="B4:B14" si="0">C4-E4</f>
        <v>-13643646</v>
      </c>
      <c r="C4" s="3">
        <v>0</v>
      </c>
      <c r="D4" s="3">
        <v>0</v>
      </c>
      <c r="E4" s="3">
        <v>13643646</v>
      </c>
      <c r="F4" s="3">
        <v>13978307</v>
      </c>
    </row>
    <row r="5" spans="1:6" x14ac:dyDescent="0.3">
      <c r="A5" s="2" t="s">
        <v>7</v>
      </c>
      <c r="B5" s="3">
        <f t="shared" si="0"/>
        <v>-7012563</v>
      </c>
      <c r="C5" s="3">
        <v>0</v>
      </c>
      <c r="D5" s="3">
        <v>0</v>
      </c>
      <c r="E5" s="3">
        <v>7012563</v>
      </c>
      <c r="F5" s="3">
        <v>7185361</v>
      </c>
    </row>
    <row r="6" spans="1:6" x14ac:dyDescent="0.3">
      <c r="A6" s="2" t="s">
        <v>8</v>
      </c>
      <c r="B6" s="3">
        <f t="shared" si="0"/>
        <v>-6964519</v>
      </c>
      <c r="C6" s="3">
        <v>0</v>
      </c>
      <c r="D6" s="3">
        <v>0</v>
      </c>
      <c r="E6" s="3">
        <v>6964519</v>
      </c>
      <c r="F6" s="3">
        <v>7107526</v>
      </c>
    </row>
    <row r="7" spans="1:6" x14ac:dyDescent="0.3">
      <c r="A7" s="2" t="s">
        <v>9</v>
      </c>
      <c r="B7" s="3">
        <f t="shared" si="0"/>
        <v>-88160</v>
      </c>
      <c r="C7" s="3">
        <v>0</v>
      </c>
      <c r="D7" s="3">
        <v>0</v>
      </c>
      <c r="E7" s="3">
        <v>88160</v>
      </c>
      <c r="F7" s="3">
        <v>76000</v>
      </c>
    </row>
    <row r="8" spans="1:6" x14ac:dyDescent="0.3">
      <c r="A8" s="2" t="s">
        <v>10</v>
      </c>
      <c r="B8" s="3">
        <f t="shared" si="0"/>
        <v>-1386240</v>
      </c>
      <c r="C8" s="3">
        <v>0</v>
      </c>
      <c r="D8" s="3">
        <v>0</v>
      </c>
      <c r="E8" s="3">
        <v>1386240</v>
      </c>
      <c r="F8" s="3">
        <v>1376000</v>
      </c>
    </row>
    <row r="9" spans="1:6" x14ac:dyDescent="0.3">
      <c r="A9" s="2" t="s">
        <v>11</v>
      </c>
      <c r="B9" s="3">
        <f t="shared" si="0"/>
        <v>-3322038</v>
      </c>
      <c r="C9" s="3">
        <v>0</v>
      </c>
      <c r="D9" s="3">
        <v>0</v>
      </c>
      <c r="E9" s="3">
        <v>3322038</v>
      </c>
      <c r="F9" s="3">
        <v>4076002</v>
      </c>
    </row>
    <row r="10" spans="1:6" x14ac:dyDescent="0.3">
      <c r="A10" s="2" t="s">
        <v>12</v>
      </c>
      <c r="B10" s="3">
        <f t="shared" si="0"/>
        <v>-10386748</v>
      </c>
      <c r="C10" s="3">
        <v>0</v>
      </c>
      <c r="D10" s="3">
        <v>0</v>
      </c>
      <c r="E10" s="3">
        <v>10386748</v>
      </c>
      <c r="F10" s="3">
        <v>11537923</v>
      </c>
    </row>
    <row r="11" spans="1:6" x14ac:dyDescent="0.3">
      <c r="A11" s="2" t="s">
        <v>13</v>
      </c>
      <c r="B11" s="3">
        <f t="shared" si="0"/>
        <v>-8283198</v>
      </c>
      <c r="C11" s="3">
        <v>0</v>
      </c>
      <c r="D11" s="3">
        <v>0</v>
      </c>
      <c r="E11" s="3">
        <v>8283198</v>
      </c>
      <c r="F11" s="3">
        <v>9037796</v>
      </c>
    </row>
    <row r="12" spans="1:6" x14ac:dyDescent="0.3">
      <c r="A12" s="2" t="s">
        <v>14</v>
      </c>
      <c r="B12" s="3">
        <f t="shared" si="0"/>
        <v>-9982750</v>
      </c>
      <c r="C12" s="3">
        <v>0</v>
      </c>
      <c r="D12" s="3">
        <v>0</v>
      </c>
      <c r="E12" s="3">
        <v>9982750</v>
      </c>
      <c r="F12" s="3">
        <v>11063133</v>
      </c>
    </row>
    <row r="13" spans="1:6" x14ac:dyDescent="0.3">
      <c r="A13" s="2" t="s">
        <v>15</v>
      </c>
      <c r="B13" s="3">
        <f t="shared" si="0"/>
        <v>-11470141</v>
      </c>
      <c r="C13" s="3">
        <v>0</v>
      </c>
      <c r="D13" s="3">
        <v>0</v>
      </c>
      <c r="E13" s="3">
        <v>11470141</v>
      </c>
      <c r="F13" s="3">
        <v>13518547</v>
      </c>
    </row>
    <row r="14" spans="1:6" x14ac:dyDescent="0.3">
      <c r="A14" s="2" t="s">
        <v>16</v>
      </c>
      <c r="B14" s="3">
        <f t="shared" si="0"/>
        <v>-5548046</v>
      </c>
      <c r="C14" s="3">
        <v>0</v>
      </c>
      <c r="D14" s="3">
        <v>0</v>
      </c>
      <c r="E14" s="3">
        <v>5548046</v>
      </c>
      <c r="F14" s="3">
        <v>6401200</v>
      </c>
    </row>
    <row r="15" spans="1:6" ht="17.25" thickBot="1" x14ac:dyDescent="0.35">
      <c r="A15" s="4" t="s">
        <v>17</v>
      </c>
      <c r="B15" s="5">
        <f>SUM(B3:B14)</f>
        <v>-102276248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102276248</v>
      </c>
      <c r="F15" s="5">
        <f t="shared" si="2"/>
        <v>109537470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-1548092</v>
      </c>
      <c r="C3" s="3">
        <v>0</v>
      </c>
      <c r="D3" s="3">
        <v>0</v>
      </c>
      <c r="E3" s="3">
        <v>1548092</v>
      </c>
      <c r="F3" s="3">
        <v>1800001</v>
      </c>
    </row>
    <row r="4" spans="1:6" x14ac:dyDescent="0.3">
      <c r="A4" s="2" t="s">
        <v>6</v>
      </c>
      <c r="B4" s="3">
        <f t="shared" si="0"/>
        <v>-18737830</v>
      </c>
      <c r="C4" s="3">
        <v>0</v>
      </c>
      <c r="D4" s="3">
        <v>0</v>
      </c>
      <c r="E4" s="3">
        <v>18737830</v>
      </c>
      <c r="F4" s="3">
        <v>21486731</v>
      </c>
    </row>
    <row r="5" spans="1:6" x14ac:dyDescent="0.3">
      <c r="A5" s="2" t="s">
        <v>7</v>
      </c>
      <c r="B5" s="3">
        <f t="shared" si="0"/>
        <v>-15680913</v>
      </c>
      <c r="C5" s="3">
        <v>0</v>
      </c>
      <c r="D5" s="3">
        <v>0</v>
      </c>
      <c r="E5" s="3">
        <v>15680913</v>
      </c>
      <c r="F5" s="3">
        <v>17364098</v>
      </c>
    </row>
    <row r="6" spans="1:6" x14ac:dyDescent="0.3">
      <c r="A6" s="2" t="s">
        <v>8</v>
      </c>
      <c r="B6" s="3">
        <f t="shared" si="0"/>
        <v>-11178327</v>
      </c>
      <c r="C6" s="3">
        <v>0</v>
      </c>
      <c r="D6" s="3">
        <v>0</v>
      </c>
      <c r="E6" s="3">
        <v>11178327</v>
      </c>
      <c r="F6" s="3">
        <v>11999585</v>
      </c>
    </row>
    <row r="7" spans="1:6" x14ac:dyDescent="0.3">
      <c r="A7" s="2" t="s">
        <v>9</v>
      </c>
      <c r="B7" s="3">
        <f t="shared" si="0"/>
        <v>-12965868</v>
      </c>
      <c r="C7" s="3">
        <v>0</v>
      </c>
      <c r="D7" s="3">
        <v>0</v>
      </c>
      <c r="E7" s="3">
        <v>12965868</v>
      </c>
      <c r="F7" s="3">
        <v>13575725</v>
      </c>
    </row>
    <row r="8" spans="1:6" x14ac:dyDescent="0.3">
      <c r="A8" s="2" t="s">
        <v>10</v>
      </c>
      <c r="B8" s="3">
        <f t="shared" si="0"/>
        <v>-17181505</v>
      </c>
      <c r="C8" s="3">
        <v>0</v>
      </c>
      <c r="D8" s="3">
        <v>0</v>
      </c>
      <c r="E8" s="3">
        <v>17181505</v>
      </c>
      <c r="F8" s="3">
        <v>19156755</v>
      </c>
    </row>
    <row r="9" spans="1:6" x14ac:dyDescent="0.3">
      <c r="A9" s="2" t="s">
        <v>11</v>
      </c>
      <c r="B9" s="3">
        <f t="shared" si="0"/>
        <v>-14386560</v>
      </c>
      <c r="C9" s="3">
        <v>0</v>
      </c>
      <c r="D9" s="3">
        <v>0</v>
      </c>
      <c r="E9" s="3">
        <v>14386560</v>
      </c>
      <c r="F9" s="3">
        <v>15548126</v>
      </c>
    </row>
    <row r="10" spans="1:6" x14ac:dyDescent="0.3">
      <c r="A10" s="2" t="s">
        <v>12</v>
      </c>
      <c r="B10" s="3">
        <f t="shared" si="0"/>
        <v>-16950456</v>
      </c>
      <c r="C10" s="3">
        <v>0</v>
      </c>
      <c r="D10" s="3">
        <v>0</v>
      </c>
      <c r="E10" s="3">
        <v>16950456</v>
      </c>
      <c r="F10" s="3">
        <v>17712340</v>
      </c>
    </row>
    <row r="11" spans="1:6" x14ac:dyDescent="0.3">
      <c r="A11" s="2" t="s">
        <v>13</v>
      </c>
      <c r="B11" s="3">
        <f t="shared" si="0"/>
        <v>-6458691</v>
      </c>
      <c r="C11" s="3">
        <v>0</v>
      </c>
      <c r="D11" s="3">
        <v>0</v>
      </c>
      <c r="E11" s="3">
        <v>6458691</v>
      </c>
      <c r="F11" s="3">
        <v>6609051</v>
      </c>
    </row>
    <row r="12" spans="1:6" x14ac:dyDescent="0.3">
      <c r="A12" s="2" t="s">
        <v>14</v>
      </c>
      <c r="B12" s="3">
        <f t="shared" si="0"/>
        <v>-3917211</v>
      </c>
      <c r="C12" s="3">
        <v>0</v>
      </c>
      <c r="D12" s="3">
        <v>0</v>
      </c>
      <c r="E12" s="3">
        <v>3917211</v>
      </c>
      <c r="F12" s="3">
        <v>4071140</v>
      </c>
    </row>
    <row r="13" spans="1:6" x14ac:dyDescent="0.3">
      <c r="A13" s="2" t="s">
        <v>15</v>
      </c>
      <c r="B13" s="3">
        <f t="shared" si="0"/>
        <v>-3002018</v>
      </c>
      <c r="C13" s="3">
        <v>0</v>
      </c>
      <c r="D13" s="3">
        <v>0</v>
      </c>
      <c r="E13" s="3">
        <v>3002018</v>
      </c>
      <c r="F13" s="3">
        <v>3113740</v>
      </c>
    </row>
    <row r="14" spans="1:6" x14ac:dyDescent="0.3">
      <c r="A14" s="2" t="s">
        <v>16</v>
      </c>
      <c r="B14" s="3">
        <f t="shared" si="0"/>
        <v>-4519885</v>
      </c>
      <c r="C14" s="3">
        <v>0</v>
      </c>
      <c r="D14" s="3">
        <v>0</v>
      </c>
      <c r="E14" s="3">
        <v>4519885</v>
      </c>
      <c r="F14" s="3">
        <v>4075779</v>
      </c>
    </row>
    <row r="15" spans="1:6" ht="17.25" thickBot="1" x14ac:dyDescent="0.35">
      <c r="A15" s="4" t="s">
        <v>17</v>
      </c>
      <c r="B15" s="5">
        <f>SUM(B3:B14)</f>
        <v>-126527356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126527356</v>
      </c>
      <c r="F15" s="5">
        <f t="shared" si="2"/>
        <v>136513071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-53580</v>
      </c>
      <c r="C3" s="3">
        <v>0</v>
      </c>
      <c r="D3" s="3">
        <v>0</v>
      </c>
      <c r="E3" s="3">
        <v>53580</v>
      </c>
      <c r="F3" s="3">
        <v>38000</v>
      </c>
    </row>
    <row r="4" spans="1:6" x14ac:dyDescent="0.3">
      <c r="A4" s="2" t="s">
        <v>6</v>
      </c>
      <c r="B4" s="3">
        <f t="shared" ref="B4:B14" si="0">C4-E4</f>
        <v>-12481081</v>
      </c>
      <c r="C4" s="3">
        <v>0</v>
      </c>
      <c r="D4" s="3">
        <v>0</v>
      </c>
      <c r="E4" s="3">
        <v>12481081</v>
      </c>
      <c r="F4" s="3">
        <v>11037394</v>
      </c>
    </row>
    <row r="5" spans="1:6" x14ac:dyDescent="0.3">
      <c r="A5" s="2" t="s">
        <v>7</v>
      </c>
      <c r="B5" s="3">
        <f t="shared" si="0"/>
        <v>-14849333</v>
      </c>
      <c r="C5" s="3">
        <v>0</v>
      </c>
      <c r="D5" s="3">
        <v>0</v>
      </c>
      <c r="E5" s="3">
        <v>14849333</v>
      </c>
      <c r="F5" s="3">
        <v>12999682</v>
      </c>
    </row>
    <row r="6" spans="1:6" x14ac:dyDescent="0.3">
      <c r="A6" s="2" t="s">
        <v>8</v>
      </c>
      <c r="B6" s="3">
        <f t="shared" si="0"/>
        <v>-14733647</v>
      </c>
      <c r="C6" s="3">
        <v>0</v>
      </c>
      <c r="D6" s="3">
        <v>0</v>
      </c>
      <c r="E6" s="3">
        <v>14733647</v>
      </c>
      <c r="F6" s="3">
        <v>13075187</v>
      </c>
    </row>
    <row r="7" spans="1:6" x14ac:dyDescent="0.3">
      <c r="A7" s="2" t="s">
        <v>9</v>
      </c>
      <c r="B7" s="3">
        <f t="shared" si="0"/>
        <v>-5468503</v>
      </c>
      <c r="C7" s="3">
        <v>0</v>
      </c>
      <c r="D7" s="3">
        <v>0</v>
      </c>
      <c r="E7" s="3">
        <v>5468503</v>
      </c>
      <c r="F7" s="3">
        <v>5189897</v>
      </c>
    </row>
    <row r="8" spans="1:6" x14ac:dyDescent="0.3">
      <c r="A8" s="2" t="s">
        <v>10</v>
      </c>
      <c r="B8" s="3">
        <f t="shared" si="0"/>
        <v>-157922</v>
      </c>
      <c r="C8" s="3">
        <v>0</v>
      </c>
      <c r="D8" s="3">
        <v>0</v>
      </c>
      <c r="E8" s="3">
        <v>157922</v>
      </c>
      <c r="F8" s="3">
        <v>114004</v>
      </c>
    </row>
    <row r="9" spans="1:6" x14ac:dyDescent="0.3">
      <c r="A9" s="2" t="s">
        <v>11</v>
      </c>
      <c r="B9" s="3">
        <f t="shared" si="0"/>
        <v>-4375326</v>
      </c>
      <c r="C9" s="3">
        <v>0</v>
      </c>
      <c r="D9" s="3">
        <v>0</v>
      </c>
      <c r="E9" s="3">
        <v>4375326</v>
      </c>
      <c r="F9" s="3">
        <v>4152728</v>
      </c>
    </row>
    <row r="10" spans="1:6" x14ac:dyDescent="0.3">
      <c r="A10" s="2" t="s">
        <v>12</v>
      </c>
      <c r="B10" s="3">
        <f t="shared" si="0"/>
        <v>-6300150</v>
      </c>
      <c r="C10" s="3">
        <v>0</v>
      </c>
      <c r="D10" s="3">
        <v>0</v>
      </c>
      <c r="E10" s="3">
        <v>6300150</v>
      </c>
      <c r="F10" s="3">
        <v>6113886</v>
      </c>
    </row>
    <row r="11" spans="1:6" x14ac:dyDescent="0.3">
      <c r="A11" s="2" t="s">
        <v>13</v>
      </c>
      <c r="B11" s="3">
        <f t="shared" si="0"/>
        <v>-7543980</v>
      </c>
      <c r="C11" s="3">
        <v>0</v>
      </c>
      <c r="D11" s="3">
        <v>0</v>
      </c>
      <c r="E11" s="3">
        <v>7543980</v>
      </c>
      <c r="F11" s="3">
        <v>7227909</v>
      </c>
    </row>
    <row r="12" spans="1:6" x14ac:dyDescent="0.3">
      <c r="A12" s="2" t="s">
        <v>14</v>
      </c>
      <c r="B12" s="3">
        <f t="shared" si="0"/>
        <v>-25715738</v>
      </c>
      <c r="C12" s="3">
        <v>0</v>
      </c>
      <c r="D12" s="3">
        <v>0</v>
      </c>
      <c r="E12" s="3">
        <v>25715738</v>
      </c>
      <c r="F12" s="3">
        <v>23985937</v>
      </c>
    </row>
    <row r="13" spans="1:6" x14ac:dyDescent="0.3">
      <c r="A13" s="2" t="s">
        <v>15</v>
      </c>
      <c r="B13" s="3">
        <f t="shared" si="0"/>
        <v>-9422301</v>
      </c>
      <c r="C13" s="3">
        <v>0</v>
      </c>
      <c r="D13" s="3">
        <v>0</v>
      </c>
      <c r="E13" s="3">
        <v>9422301</v>
      </c>
      <c r="F13" s="3">
        <v>8499620</v>
      </c>
    </row>
    <row r="14" spans="1:6" x14ac:dyDescent="0.3">
      <c r="A14" s="2" t="s">
        <v>16</v>
      </c>
      <c r="B14" s="3">
        <f t="shared" si="0"/>
        <v>-4418526</v>
      </c>
      <c r="C14" s="3">
        <v>0</v>
      </c>
      <c r="D14" s="3">
        <v>0</v>
      </c>
      <c r="E14" s="3">
        <v>4418526</v>
      </c>
      <c r="F14" s="3">
        <v>3960926</v>
      </c>
    </row>
    <row r="15" spans="1:6" ht="17.25" thickBot="1" x14ac:dyDescent="0.35">
      <c r="A15" s="4" t="s">
        <v>17</v>
      </c>
      <c r="B15" s="5">
        <f>SUM(B3:B14)</f>
        <v>-105520087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105520087</v>
      </c>
      <c r="F15" s="5">
        <f t="shared" si="2"/>
        <v>96395170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-143697</v>
      </c>
      <c r="C4" s="3">
        <v>0</v>
      </c>
      <c r="D4" s="3">
        <v>0</v>
      </c>
      <c r="E4" s="3">
        <v>143697</v>
      </c>
      <c r="F4" s="3">
        <v>121000</v>
      </c>
    </row>
    <row r="5" spans="1:6" x14ac:dyDescent="0.3">
      <c r="A5" s="2" t="s">
        <v>7</v>
      </c>
      <c r="B5" s="3">
        <f t="shared" si="0"/>
        <v>-4783648</v>
      </c>
      <c r="C5" s="3">
        <v>0</v>
      </c>
      <c r="D5" s="3">
        <v>0</v>
      </c>
      <c r="E5" s="3">
        <v>4783648</v>
      </c>
      <c r="F5" s="3">
        <v>4099898</v>
      </c>
    </row>
    <row r="6" spans="1:6" x14ac:dyDescent="0.3">
      <c r="A6" s="2" t="s">
        <v>8</v>
      </c>
      <c r="B6" s="3">
        <f t="shared" si="0"/>
        <v>-8</v>
      </c>
      <c r="C6" s="3">
        <v>0</v>
      </c>
      <c r="D6" s="3">
        <v>0</v>
      </c>
      <c r="E6" s="3">
        <v>8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-1190204</v>
      </c>
      <c r="C8" s="3">
        <v>0</v>
      </c>
      <c r="D8" s="3">
        <v>0</v>
      </c>
      <c r="E8" s="3">
        <v>1190204</v>
      </c>
      <c r="F8" s="3">
        <v>999983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-6117557</v>
      </c>
      <c r="C15" s="5">
        <f t="shared" ref="C15:F15" si="1">SUM(C3:C14)</f>
        <v>0</v>
      </c>
      <c r="D15" s="5">
        <f t="shared" si="1"/>
        <v>0</v>
      </c>
      <c r="E15" s="5">
        <f t="shared" si="1"/>
        <v>6117557</v>
      </c>
      <c r="F15" s="5">
        <f t="shared" si="1"/>
        <v>5220882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2026-08-27T07:12:42Z</dcterms:modified>
</cp:coreProperties>
</file>