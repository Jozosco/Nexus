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U:\데이터플랫폼팀\00 데이터플랫폼팀_공유\데이터플랫폼팀(23.03~)\08 데이터 분석\00 분석과제정의서\☆구매\수입원료\대두유\데이터\외부\대체재, 보완재\관세청\15개년_품목별 국가별 수출입실적\팜유\1511.90(기타)\기타(.9000)\"/>
    </mc:Choice>
  </mc:AlternateContent>
  <bookViews>
    <workbookView xWindow="0" yWindow="0" windowWidth="28800" windowHeight="11640"/>
  </bookViews>
  <sheets>
    <sheet name="2010년" sheetId="10" r:id="rId1"/>
    <sheet name="2011년" sheetId="11" r:id="rId2"/>
    <sheet name="2012년" sheetId="12" r:id="rId3"/>
    <sheet name="2013년" sheetId="13" r:id="rId4"/>
    <sheet name="2014년" sheetId="14" r:id="rId5"/>
    <sheet name="2015년" sheetId="15" r:id="rId6"/>
    <sheet name="2016년" sheetId="16" r:id="rId7"/>
    <sheet name="2017년" sheetId="1" r:id="rId8"/>
    <sheet name="2018년" sheetId="2" r:id="rId9"/>
    <sheet name="2019년" sheetId="3" r:id="rId10"/>
    <sheet name="2020년" sheetId="4" r:id="rId11"/>
    <sheet name="2021년" sheetId="5" r:id="rId12"/>
    <sheet name="2022년" sheetId="6" r:id="rId13"/>
    <sheet name="2023년" sheetId="7" r:id="rId14"/>
    <sheet name="2024년" sheetId="8" r:id="rId15"/>
    <sheet name="2025년" sheetId="9" r:id="rId16"/>
    <sheet name="2026년" sheetId="17" r:id="rId17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14" i="8" l="1"/>
  <c r="B13" i="8"/>
  <c r="B11" i="8"/>
  <c r="B10" i="8"/>
  <c r="B9" i="8"/>
  <c r="B8" i="8"/>
  <c r="B7" i="8"/>
  <c r="B6" i="8"/>
  <c r="B5" i="8"/>
  <c r="B4" i="8"/>
  <c r="B3" i="8"/>
  <c r="B5" i="10" l="1"/>
  <c r="B4" i="10"/>
  <c r="B3" i="10"/>
  <c r="F15" i="17" l="1"/>
  <c r="E15" i="17"/>
  <c r="D15" i="17"/>
  <c r="C15" i="17"/>
  <c r="B14" i="17"/>
  <c r="B13" i="17"/>
  <c r="B12" i="17"/>
  <c r="B11" i="17"/>
  <c r="B10" i="17"/>
  <c r="B9" i="17"/>
  <c r="B8" i="17"/>
  <c r="B7" i="17"/>
  <c r="B6" i="17"/>
  <c r="B5" i="17"/>
  <c r="B4" i="17"/>
  <c r="B3" i="17"/>
  <c r="F15" i="16"/>
  <c r="E15" i="16"/>
  <c r="D15" i="16"/>
  <c r="C15" i="16"/>
  <c r="B14" i="16"/>
  <c r="B13" i="16"/>
  <c r="B12" i="16"/>
  <c r="B11" i="16"/>
  <c r="B10" i="16"/>
  <c r="B9" i="16"/>
  <c r="B8" i="16"/>
  <c r="B7" i="16"/>
  <c r="B6" i="16"/>
  <c r="B5" i="16"/>
  <c r="B4" i="16"/>
  <c r="B3" i="16"/>
  <c r="F15" i="15"/>
  <c r="E15" i="15"/>
  <c r="D15" i="15"/>
  <c r="C15" i="15"/>
  <c r="B14" i="15"/>
  <c r="B13" i="15"/>
  <c r="B12" i="15"/>
  <c r="B11" i="15"/>
  <c r="B10" i="15"/>
  <c r="B9" i="15"/>
  <c r="B8" i="15"/>
  <c r="B7" i="15"/>
  <c r="B6" i="15"/>
  <c r="B5" i="15"/>
  <c r="B4" i="15"/>
  <c r="B3" i="15"/>
  <c r="F15" i="14"/>
  <c r="E15" i="14"/>
  <c r="D15" i="14"/>
  <c r="C15" i="14"/>
  <c r="B14" i="14"/>
  <c r="B13" i="14"/>
  <c r="B12" i="14"/>
  <c r="B11" i="14"/>
  <c r="B10" i="14"/>
  <c r="B9" i="14"/>
  <c r="B8" i="14"/>
  <c r="B7" i="14"/>
  <c r="B6" i="14"/>
  <c r="B5" i="14"/>
  <c r="B4" i="14"/>
  <c r="B3" i="14"/>
  <c r="F15" i="13"/>
  <c r="E15" i="13"/>
  <c r="D15" i="13"/>
  <c r="C15" i="13"/>
  <c r="B14" i="13"/>
  <c r="B13" i="13"/>
  <c r="B12" i="13"/>
  <c r="B11" i="13"/>
  <c r="B10" i="13"/>
  <c r="B9" i="13"/>
  <c r="B8" i="13"/>
  <c r="B7" i="13"/>
  <c r="B6" i="13"/>
  <c r="B5" i="13"/>
  <c r="B4" i="13"/>
  <c r="B3" i="13"/>
  <c r="F15" i="12"/>
  <c r="E15" i="12"/>
  <c r="D15" i="12"/>
  <c r="C15" i="12"/>
  <c r="B14" i="12"/>
  <c r="B13" i="12"/>
  <c r="B12" i="12"/>
  <c r="B11" i="12"/>
  <c r="B10" i="12"/>
  <c r="B9" i="12"/>
  <c r="B8" i="12"/>
  <c r="B7" i="12"/>
  <c r="B6" i="12"/>
  <c r="B5" i="12"/>
  <c r="B4" i="12"/>
  <c r="B3" i="12"/>
  <c r="F15" i="11"/>
  <c r="E15" i="11"/>
  <c r="D15" i="11"/>
  <c r="C15" i="11"/>
  <c r="B14" i="11"/>
  <c r="B13" i="11"/>
  <c r="B12" i="11"/>
  <c r="B11" i="11"/>
  <c r="B10" i="11"/>
  <c r="B9" i="11"/>
  <c r="B8" i="11"/>
  <c r="B7" i="11"/>
  <c r="B6" i="11"/>
  <c r="B5" i="11"/>
  <c r="B4" i="11"/>
  <c r="B3" i="11"/>
  <c r="F15" i="10"/>
  <c r="E15" i="10"/>
  <c r="D15" i="10"/>
  <c r="C15" i="10"/>
  <c r="B14" i="10"/>
  <c r="B13" i="10"/>
  <c r="B12" i="10"/>
  <c r="B11" i="10"/>
  <c r="B10" i="10"/>
  <c r="B9" i="10"/>
  <c r="B8" i="10"/>
  <c r="B7" i="10"/>
  <c r="B6" i="10"/>
  <c r="B15" i="17" l="1"/>
  <c r="B15" i="16"/>
  <c r="B15" i="15"/>
  <c r="B15" i="14"/>
  <c r="B15" i="13"/>
  <c r="B15" i="12"/>
  <c r="B15" i="11"/>
  <c r="B15" i="10"/>
  <c r="F15" i="9"/>
  <c r="E15" i="9"/>
  <c r="D15" i="9"/>
  <c r="C15" i="9"/>
  <c r="B14" i="9"/>
  <c r="B13" i="9"/>
  <c r="B12" i="9"/>
  <c r="B11" i="9"/>
  <c r="B10" i="9"/>
  <c r="B9" i="9"/>
  <c r="B8" i="9"/>
  <c r="B7" i="9"/>
  <c r="B6" i="9"/>
  <c r="B5" i="9"/>
  <c r="B4" i="9"/>
  <c r="B3" i="9"/>
  <c r="F15" i="8"/>
  <c r="E15" i="8"/>
  <c r="D15" i="8"/>
  <c r="C15" i="8"/>
  <c r="B12" i="8"/>
  <c r="F15" i="7"/>
  <c r="E15" i="7"/>
  <c r="D15" i="7"/>
  <c r="C15" i="7"/>
  <c r="B14" i="7"/>
  <c r="B13" i="7"/>
  <c r="B12" i="7"/>
  <c r="B11" i="7"/>
  <c r="B10" i="7"/>
  <c r="B9" i="7"/>
  <c r="B8" i="7"/>
  <c r="B7" i="7"/>
  <c r="B6" i="7"/>
  <c r="B5" i="7"/>
  <c r="B4" i="7"/>
  <c r="B3" i="7"/>
  <c r="F15" i="6"/>
  <c r="E15" i="6"/>
  <c r="D15" i="6"/>
  <c r="C15" i="6"/>
  <c r="B14" i="6"/>
  <c r="B13" i="6"/>
  <c r="B12" i="6"/>
  <c r="B11" i="6"/>
  <c r="B10" i="6"/>
  <c r="B9" i="6"/>
  <c r="B8" i="6"/>
  <c r="B7" i="6"/>
  <c r="B6" i="6"/>
  <c r="B5" i="6"/>
  <c r="B4" i="6"/>
  <c r="B3" i="6"/>
  <c r="F15" i="5"/>
  <c r="E15" i="5"/>
  <c r="D15" i="5"/>
  <c r="C15" i="5"/>
  <c r="B14" i="5"/>
  <c r="B13" i="5"/>
  <c r="B12" i="5"/>
  <c r="B11" i="5"/>
  <c r="B10" i="5"/>
  <c r="B9" i="5"/>
  <c r="B8" i="5"/>
  <c r="B7" i="5"/>
  <c r="B6" i="5"/>
  <c r="B5" i="5"/>
  <c r="B4" i="5"/>
  <c r="B3" i="5"/>
  <c r="F15" i="4"/>
  <c r="E15" i="4"/>
  <c r="D15" i="4"/>
  <c r="C15" i="4"/>
  <c r="B14" i="4"/>
  <c r="B13" i="4"/>
  <c r="B12" i="4"/>
  <c r="B11" i="4"/>
  <c r="B10" i="4"/>
  <c r="B9" i="4"/>
  <c r="B8" i="4"/>
  <c r="B7" i="4"/>
  <c r="B6" i="4"/>
  <c r="B5" i="4"/>
  <c r="B4" i="4"/>
  <c r="B3" i="4"/>
  <c r="F15" i="3"/>
  <c r="E15" i="3"/>
  <c r="D15" i="3"/>
  <c r="C15" i="3"/>
  <c r="B14" i="3"/>
  <c r="B13" i="3"/>
  <c r="B12" i="3"/>
  <c r="B11" i="3"/>
  <c r="B10" i="3"/>
  <c r="B9" i="3"/>
  <c r="B8" i="3"/>
  <c r="B7" i="3"/>
  <c r="B6" i="3"/>
  <c r="B5" i="3"/>
  <c r="B4" i="3"/>
  <c r="B3" i="3"/>
  <c r="B14" i="2"/>
  <c r="B13" i="2"/>
  <c r="B12" i="2"/>
  <c r="B11" i="2"/>
  <c r="B10" i="2"/>
  <c r="B9" i="2"/>
  <c r="B8" i="2"/>
  <c r="B7" i="2"/>
  <c r="B6" i="2"/>
  <c r="B5" i="2"/>
  <c r="B4" i="2"/>
  <c r="B3" i="2"/>
  <c r="B14" i="1"/>
  <c r="B13" i="1"/>
  <c r="B12" i="1"/>
  <c r="B11" i="1"/>
  <c r="B10" i="1"/>
  <c r="B9" i="1"/>
  <c r="B8" i="1"/>
  <c r="B7" i="1"/>
  <c r="B6" i="1"/>
  <c r="B5" i="1"/>
  <c r="B4" i="1"/>
  <c r="B3" i="1"/>
  <c r="F15" i="2"/>
  <c r="E15" i="2"/>
  <c r="D15" i="2"/>
  <c r="C15" i="2"/>
  <c r="F15" i="1"/>
  <c r="E15" i="1"/>
  <c r="D15" i="1"/>
  <c r="C15" i="1"/>
  <c r="B15" i="9" l="1"/>
  <c r="B15" i="8"/>
  <c r="B15" i="7"/>
  <c r="B15" i="6"/>
  <c r="B15" i="5"/>
  <c r="B15" i="4"/>
  <c r="B15" i="3"/>
  <c r="B15" i="2"/>
  <c r="B15" i="1"/>
</calcChain>
</file>

<file path=xl/sharedStrings.xml><?xml version="1.0" encoding="utf-8"?>
<sst xmlns="http://schemas.openxmlformats.org/spreadsheetml/2006/main" count="306" uniqueCount="40">
  <si>
    <t>무역수지(달러)</t>
    <phoneticPr fontId="1" type="noConversion"/>
  </si>
  <si>
    <t>수출액(달러)</t>
    <phoneticPr fontId="1" type="noConversion"/>
  </si>
  <si>
    <t>수출량(kg)</t>
    <phoneticPr fontId="1" type="noConversion"/>
  </si>
  <si>
    <t>수입액(달러)</t>
    <phoneticPr fontId="1" type="noConversion"/>
  </si>
  <si>
    <t>수입량(kg)</t>
    <phoneticPr fontId="1" type="noConversion"/>
  </si>
  <si>
    <t>1월</t>
    <phoneticPr fontId="1" type="noConversion"/>
  </si>
  <si>
    <t>2월</t>
    <phoneticPr fontId="1" type="noConversion"/>
  </si>
  <si>
    <t>3월</t>
    <phoneticPr fontId="1" type="noConversion"/>
  </si>
  <si>
    <t>4월</t>
  </si>
  <si>
    <t>5월</t>
  </si>
  <si>
    <t>6월</t>
  </si>
  <si>
    <t>7월</t>
  </si>
  <si>
    <t>8월</t>
  </si>
  <si>
    <t>9월</t>
  </si>
  <si>
    <t>10월</t>
  </si>
  <si>
    <t>11월</t>
  </si>
  <si>
    <t>12월</t>
  </si>
  <si>
    <t>총계</t>
    <phoneticPr fontId="1" type="noConversion"/>
  </si>
  <si>
    <t>무역수지(달러)</t>
    <phoneticPr fontId="1" type="noConversion"/>
  </si>
  <si>
    <t>수출액(달러)</t>
    <phoneticPr fontId="1" type="noConversion"/>
  </si>
  <si>
    <t>수출량(kg)</t>
    <phoneticPr fontId="1" type="noConversion"/>
  </si>
  <si>
    <t>수입액(달러)</t>
    <phoneticPr fontId="1" type="noConversion"/>
  </si>
  <si>
    <t>수입량(kg)</t>
    <phoneticPr fontId="1" type="noConversion"/>
  </si>
  <si>
    <t>1월</t>
    <phoneticPr fontId="1" type="noConversion"/>
  </si>
  <si>
    <t>2월</t>
    <phoneticPr fontId="1" type="noConversion"/>
  </si>
  <si>
    <t>3월</t>
    <phoneticPr fontId="1" type="noConversion"/>
  </si>
  <si>
    <t>총계</t>
    <phoneticPr fontId="1" type="noConversion"/>
  </si>
  <si>
    <t>무역수지(달러)</t>
    <phoneticPr fontId="1" type="noConversion"/>
  </si>
  <si>
    <t>수출액(달러)</t>
    <phoneticPr fontId="1" type="noConversion"/>
  </si>
  <si>
    <t>수출량(kg)</t>
    <phoneticPr fontId="1" type="noConversion"/>
  </si>
  <si>
    <t>수입액(달러)</t>
    <phoneticPr fontId="1" type="noConversion"/>
  </si>
  <si>
    <t>수입량(kg)</t>
    <phoneticPr fontId="1" type="noConversion"/>
  </si>
  <si>
    <t>1월</t>
    <phoneticPr fontId="1" type="noConversion"/>
  </si>
  <si>
    <t>2월</t>
    <phoneticPr fontId="1" type="noConversion"/>
  </si>
  <si>
    <t>3월</t>
    <phoneticPr fontId="1" type="noConversion"/>
  </si>
  <si>
    <t>총계</t>
    <phoneticPr fontId="1" type="noConversion"/>
  </si>
  <si>
    <t>수출량(kg)</t>
    <phoneticPr fontId="1" type="noConversion"/>
  </si>
  <si>
    <t>수입액(달러)</t>
    <phoneticPr fontId="1" type="noConversion"/>
  </si>
  <si>
    <t>2월</t>
    <phoneticPr fontId="1" type="noConversion"/>
  </si>
  <si>
    <t>수출량(kg)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</si>
</sst>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#,##0_ "/>
  </numFmts>
  <fonts count="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49" fontId="2" fillId="2" borderId="1" xfId="0" applyNumberFormat="1" applyFont="1" applyFill="1" applyBorder="1" applyAlignment="1">
      <alignment horizontal="center" vertical="center"/>
    </xf>
    <xf numFmtId="176" fontId="2" fillId="2" borderId="1" xfId="0" applyNumberFormat="1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6"/>
  <sheetViews>
    <sheetView showGridLines="0" tabSelected="1" workbookViewId="0"/>
  </sheetViews>
  <sheetFormatPr defaultRowHeight="16.5" x14ac:dyDescent="0.3"/>
  <cols>
    <col min="2" max="2" width="14.375" bestFit="1" customWidth="1"/>
    <col min="3" max="4" width="14.375" customWidth="1"/>
    <col min="5" max="5" width="14.375" bestFit="1" customWidth="1"/>
    <col min="6" max="6" width="12.625" bestFit="1" customWidth="1"/>
  </cols>
  <sheetData>
    <row r="1" spans="1:6" x14ac:dyDescent="0.3">
      <c r="A1">
        <v>9</v>
      </c>
    </row>
    <row r="2" spans="1:6" x14ac:dyDescent="0.3">
      <c r="B2" s="1" t="s">
        <v>18</v>
      </c>
      <c r="C2" s="1" t="s">
        <v>19</v>
      </c>
      <c r="D2" s="1" t="s">
        <v>20</v>
      </c>
      <c r="E2" s="1" t="s">
        <v>21</v>
      </c>
      <c r="F2" s="1" t="s">
        <v>22</v>
      </c>
    </row>
    <row r="3" spans="1:6" x14ac:dyDescent="0.3">
      <c r="A3" s="2" t="s">
        <v>23</v>
      </c>
      <c r="B3" s="3">
        <f t="shared" ref="B3:B14" si="0">C3-E3</f>
        <v>0</v>
      </c>
      <c r="C3" s="3"/>
      <c r="D3" s="3"/>
      <c r="E3" s="3"/>
      <c r="F3" s="3"/>
    </row>
    <row r="4" spans="1:6" x14ac:dyDescent="0.3">
      <c r="A4" s="2" t="s">
        <v>24</v>
      </c>
      <c r="B4" s="3">
        <f t="shared" si="0"/>
        <v>0</v>
      </c>
      <c r="C4" s="3"/>
      <c r="D4" s="3"/>
      <c r="E4" s="3"/>
      <c r="F4" s="3"/>
    </row>
    <row r="5" spans="1:6" x14ac:dyDescent="0.3">
      <c r="A5" s="2" t="s">
        <v>25</v>
      </c>
      <c r="B5" s="3">
        <f t="shared" si="0"/>
        <v>0</v>
      </c>
      <c r="C5" s="3"/>
      <c r="D5" s="3"/>
      <c r="E5" s="3"/>
      <c r="F5" s="3"/>
    </row>
    <row r="6" spans="1:6" x14ac:dyDescent="0.3">
      <c r="A6" s="2" t="s">
        <v>8</v>
      </c>
      <c r="B6" s="3">
        <f t="shared" si="0"/>
        <v>12784</v>
      </c>
      <c r="C6" s="3">
        <v>12784</v>
      </c>
      <c r="D6" s="3">
        <v>3010</v>
      </c>
      <c r="E6" s="3">
        <v>0</v>
      </c>
      <c r="F6" s="3">
        <v>0</v>
      </c>
    </row>
    <row r="7" spans="1:6" x14ac:dyDescent="0.3">
      <c r="A7" s="2" t="s">
        <v>9</v>
      </c>
      <c r="B7" s="3">
        <f t="shared" si="0"/>
        <v>0</v>
      </c>
      <c r="C7" s="3"/>
      <c r="D7" s="3"/>
      <c r="E7" s="3"/>
      <c r="F7" s="3"/>
    </row>
    <row r="8" spans="1:6" x14ac:dyDescent="0.3">
      <c r="A8" s="2" t="s">
        <v>10</v>
      </c>
      <c r="B8" s="3">
        <f t="shared" si="0"/>
        <v>0</v>
      </c>
      <c r="C8" s="3"/>
      <c r="D8" s="3"/>
      <c r="E8" s="3"/>
      <c r="F8" s="3"/>
    </row>
    <row r="9" spans="1:6" x14ac:dyDescent="0.3">
      <c r="A9" s="2" t="s">
        <v>11</v>
      </c>
      <c r="B9" s="3">
        <f t="shared" si="0"/>
        <v>0</v>
      </c>
      <c r="C9" s="3"/>
      <c r="D9" s="3"/>
      <c r="E9" s="3"/>
      <c r="F9" s="3"/>
    </row>
    <row r="10" spans="1:6" x14ac:dyDescent="0.3">
      <c r="A10" s="2" t="s">
        <v>12</v>
      </c>
      <c r="B10" s="3">
        <f t="shared" si="0"/>
        <v>13179</v>
      </c>
      <c r="C10" s="3">
        <v>13179</v>
      </c>
      <c r="D10" s="3">
        <v>4200</v>
      </c>
      <c r="E10" s="3">
        <v>0</v>
      </c>
      <c r="F10" s="3">
        <v>0</v>
      </c>
    </row>
    <row r="11" spans="1:6" x14ac:dyDescent="0.3">
      <c r="A11" s="2" t="s">
        <v>13</v>
      </c>
      <c r="B11" s="3">
        <f t="shared" si="0"/>
        <v>0</v>
      </c>
      <c r="C11" s="3"/>
      <c r="D11" s="3"/>
      <c r="E11" s="3"/>
      <c r="F11" s="3"/>
    </row>
    <row r="12" spans="1:6" x14ac:dyDescent="0.3">
      <c r="A12" s="2" t="s">
        <v>14</v>
      </c>
      <c r="B12" s="3">
        <f t="shared" si="0"/>
        <v>0</v>
      </c>
      <c r="C12" s="3"/>
      <c r="D12" s="3"/>
      <c r="E12" s="3"/>
      <c r="F12" s="3"/>
    </row>
    <row r="13" spans="1:6" x14ac:dyDescent="0.3">
      <c r="A13" s="2" t="s">
        <v>15</v>
      </c>
      <c r="B13" s="3">
        <f t="shared" si="0"/>
        <v>0</v>
      </c>
      <c r="C13" s="3"/>
      <c r="D13" s="3"/>
      <c r="E13" s="3"/>
      <c r="F13" s="3"/>
    </row>
    <row r="14" spans="1:6" x14ac:dyDescent="0.3">
      <c r="A14" s="2" t="s">
        <v>16</v>
      </c>
      <c r="B14" s="3">
        <f t="shared" si="0"/>
        <v>0</v>
      </c>
      <c r="C14" s="3"/>
      <c r="D14" s="3"/>
      <c r="E14" s="3"/>
      <c r="F14" s="3"/>
    </row>
    <row r="15" spans="1:6" ht="17.25" thickBot="1" x14ac:dyDescent="0.35">
      <c r="A15" s="4" t="s">
        <v>26</v>
      </c>
      <c r="B15" s="5">
        <f>SUM(B3:B14)</f>
        <v>25963</v>
      </c>
      <c r="C15" s="5">
        <f t="shared" ref="C15:F15" si="1">SUM(C3:C14)</f>
        <v>25963</v>
      </c>
      <c r="D15" s="5">
        <f t="shared" si="1"/>
        <v>7210</v>
      </c>
      <c r="E15" s="5">
        <f t="shared" si="1"/>
        <v>0</v>
      </c>
      <c r="F15" s="5">
        <f t="shared" si="1"/>
        <v>0</v>
      </c>
    </row>
    <row r="16" spans="1:6" ht="17.25" thickTop="1" x14ac:dyDescent="0.3"/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2" width="14.625" bestFit="1" customWidth="1"/>
    <col min="3" max="4" width="14.625" customWidth="1"/>
    <col min="5" max="5" width="14.625" bestFit="1" customWidth="1"/>
    <col min="6" max="6" width="13.875" bestFit="1" customWidth="1"/>
  </cols>
  <sheetData>
    <row r="2" spans="1:6" x14ac:dyDescent="0.3">
      <c r="B2" s="1" t="s">
        <v>18</v>
      </c>
      <c r="C2" s="1" t="s">
        <v>19</v>
      </c>
      <c r="D2" s="1" t="s">
        <v>20</v>
      </c>
      <c r="E2" s="1" t="s">
        <v>21</v>
      </c>
      <c r="F2" s="1" t="s">
        <v>22</v>
      </c>
    </row>
    <row r="3" spans="1:6" x14ac:dyDescent="0.3">
      <c r="A3" s="2" t="s">
        <v>23</v>
      </c>
      <c r="B3" s="3">
        <f>C3-E3</f>
        <v>0</v>
      </c>
      <c r="C3" s="3"/>
      <c r="D3" s="3"/>
      <c r="E3" s="3"/>
      <c r="F3" s="3"/>
    </row>
    <row r="4" spans="1:6" x14ac:dyDescent="0.3">
      <c r="A4" s="2" t="s">
        <v>24</v>
      </c>
      <c r="B4" s="3">
        <f t="shared" ref="B4:B14" si="0">C4-E4</f>
        <v>0</v>
      </c>
      <c r="C4" s="3"/>
      <c r="D4" s="3"/>
      <c r="E4" s="3"/>
      <c r="F4" s="3"/>
    </row>
    <row r="5" spans="1:6" x14ac:dyDescent="0.3">
      <c r="A5" s="2" t="s">
        <v>25</v>
      </c>
      <c r="B5" s="3">
        <f t="shared" si="0"/>
        <v>13434</v>
      </c>
      <c r="C5" s="3">
        <v>13434</v>
      </c>
      <c r="D5" s="3">
        <v>3010</v>
      </c>
      <c r="E5" s="3">
        <v>0</v>
      </c>
      <c r="F5" s="3">
        <v>0</v>
      </c>
    </row>
    <row r="6" spans="1:6" x14ac:dyDescent="0.3">
      <c r="A6" s="2" t="s">
        <v>8</v>
      </c>
      <c r="B6" s="3">
        <f t="shared" si="0"/>
        <v>0</v>
      </c>
      <c r="C6" s="3"/>
      <c r="D6" s="3"/>
      <c r="E6" s="3"/>
      <c r="F6" s="3"/>
    </row>
    <row r="7" spans="1:6" x14ac:dyDescent="0.3">
      <c r="A7" s="2" t="s">
        <v>9</v>
      </c>
      <c r="B7" s="3">
        <f t="shared" si="0"/>
        <v>0</v>
      </c>
      <c r="C7" s="3"/>
      <c r="D7" s="3"/>
      <c r="E7" s="3"/>
      <c r="F7" s="3"/>
    </row>
    <row r="8" spans="1:6" x14ac:dyDescent="0.3">
      <c r="A8" s="2" t="s">
        <v>10</v>
      </c>
      <c r="B8" s="3">
        <f t="shared" si="0"/>
        <v>0</v>
      </c>
      <c r="C8" s="3"/>
      <c r="D8" s="3"/>
      <c r="E8" s="3"/>
      <c r="F8" s="3"/>
    </row>
    <row r="9" spans="1:6" x14ac:dyDescent="0.3">
      <c r="A9" s="2" t="s">
        <v>11</v>
      </c>
      <c r="B9" s="3">
        <f t="shared" si="0"/>
        <v>0</v>
      </c>
      <c r="C9" s="3"/>
      <c r="D9" s="3"/>
      <c r="E9" s="3"/>
      <c r="F9" s="3"/>
    </row>
    <row r="10" spans="1:6" x14ac:dyDescent="0.3">
      <c r="A10" s="2" t="s">
        <v>12</v>
      </c>
      <c r="B10" s="3">
        <f t="shared" si="0"/>
        <v>0</v>
      </c>
      <c r="C10" s="3"/>
      <c r="D10" s="3"/>
      <c r="E10" s="3"/>
      <c r="F10" s="3"/>
    </row>
    <row r="11" spans="1:6" x14ac:dyDescent="0.3">
      <c r="A11" s="2" t="s">
        <v>13</v>
      </c>
      <c r="B11" s="3">
        <f t="shared" si="0"/>
        <v>-20</v>
      </c>
      <c r="C11" s="3">
        <v>0</v>
      </c>
      <c r="D11" s="3">
        <v>0</v>
      </c>
      <c r="E11" s="3">
        <v>20</v>
      </c>
      <c r="F11" s="3">
        <v>3</v>
      </c>
    </row>
    <row r="12" spans="1:6" x14ac:dyDescent="0.3">
      <c r="A12" s="2" t="s">
        <v>14</v>
      </c>
      <c r="B12" s="3">
        <f t="shared" si="0"/>
        <v>0</v>
      </c>
      <c r="C12" s="3"/>
      <c r="D12" s="3"/>
      <c r="E12" s="3"/>
      <c r="F12" s="3"/>
    </row>
    <row r="13" spans="1:6" x14ac:dyDescent="0.3">
      <c r="A13" s="2" t="s">
        <v>15</v>
      </c>
      <c r="B13" s="3">
        <f t="shared" si="0"/>
        <v>0</v>
      </c>
      <c r="C13" s="3"/>
      <c r="D13" s="3"/>
      <c r="E13" s="3"/>
      <c r="F13" s="3"/>
    </row>
    <row r="14" spans="1:6" x14ac:dyDescent="0.3">
      <c r="A14" s="2" t="s">
        <v>16</v>
      </c>
      <c r="B14" s="3">
        <f t="shared" si="0"/>
        <v>8117</v>
      </c>
      <c r="C14" s="3">
        <v>8117</v>
      </c>
      <c r="D14" s="3">
        <v>3010</v>
      </c>
      <c r="E14" s="3">
        <v>0</v>
      </c>
      <c r="F14" s="3">
        <v>0</v>
      </c>
    </row>
    <row r="15" spans="1:6" ht="17.25" thickBot="1" x14ac:dyDescent="0.35">
      <c r="A15" s="4" t="s">
        <v>26</v>
      </c>
      <c r="B15" s="5">
        <f>SUM(B3:B14)</f>
        <v>21531</v>
      </c>
      <c r="C15" s="5">
        <f t="shared" ref="C15:F15" si="1">SUM(C3:C14)</f>
        <v>21551</v>
      </c>
      <c r="D15" s="5">
        <f t="shared" si="1"/>
        <v>6020</v>
      </c>
      <c r="E15" s="5">
        <f t="shared" si="1"/>
        <v>20</v>
      </c>
      <c r="F15" s="5">
        <f t="shared" si="1"/>
        <v>3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1" t="s">
        <v>18</v>
      </c>
      <c r="C2" s="1" t="s">
        <v>19</v>
      </c>
      <c r="D2" s="1" t="s">
        <v>20</v>
      </c>
      <c r="E2" s="1" t="s">
        <v>21</v>
      </c>
      <c r="F2" s="1" t="s">
        <v>22</v>
      </c>
    </row>
    <row r="3" spans="1:6" x14ac:dyDescent="0.3">
      <c r="A3" s="2" t="s">
        <v>23</v>
      </c>
      <c r="B3" s="3">
        <f>C3-E3</f>
        <v>0</v>
      </c>
      <c r="C3" s="3"/>
      <c r="D3" s="3"/>
      <c r="E3" s="3"/>
      <c r="F3" s="3"/>
    </row>
    <row r="4" spans="1:6" x14ac:dyDescent="0.3">
      <c r="A4" s="2" t="s">
        <v>24</v>
      </c>
      <c r="B4" s="3">
        <f t="shared" ref="B4:B14" si="0">C4-E4</f>
        <v>0</v>
      </c>
      <c r="C4" s="3"/>
      <c r="D4" s="3"/>
      <c r="E4" s="3"/>
      <c r="F4" s="3"/>
    </row>
    <row r="5" spans="1:6" x14ac:dyDescent="0.3">
      <c r="A5" s="2" t="s">
        <v>25</v>
      </c>
      <c r="B5" s="3">
        <f t="shared" si="0"/>
        <v>0</v>
      </c>
      <c r="C5" s="3"/>
      <c r="D5" s="3"/>
      <c r="E5" s="3"/>
      <c r="F5" s="3"/>
    </row>
    <row r="6" spans="1:6" x14ac:dyDescent="0.3">
      <c r="A6" s="2" t="s">
        <v>8</v>
      </c>
      <c r="B6" s="3">
        <f t="shared" si="0"/>
        <v>7997</v>
      </c>
      <c r="C6" s="3">
        <v>7997</v>
      </c>
      <c r="D6" s="3">
        <v>3010</v>
      </c>
      <c r="E6" s="3">
        <v>0</v>
      </c>
      <c r="F6" s="3">
        <v>0</v>
      </c>
    </row>
    <row r="7" spans="1:6" x14ac:dyDescent="0.3">
      <c r="A7" s="2" t="s">
        <v>9</v>
      </c>
      <c r="B7" s="3">
        <f t="shared" si="0"/>
        <v>7999</v>
      </c>
      <c r="C7" s="3">
        <v>8097</v>
      </c>
      <c r="D7" s="3">
        <v>3010</v>
      </c>
      <c r="E7" s="3">
        <v>98</v>
      </c>
      <c r="F7" s="3">
        <v>18</v>
      </c>
    </row>
    <row r="8" spans="1:6" x14ac:dyDescent="0.3">
      <c r="A8" s="2" t="s">
        <v>10</v>
      </c>
      <c r="B8" s="3">
        <f t="shared" si="0"/>
        <v>0</v>
      </c>
      <c r="C8" s="3"/>
      <c r="D8" s="3"/>
      <c r="E8" s="3"/>
      <c r="F8" s="3"/>
    </row>
    <row r="9" spans="1:6" x14ac:dyDescent="0.3">
      <c r="A9" s="2" t="s">
        <v>11</v>
      </c>
      <c r="B9" s="3">
        <f t="shared" si="0"/>
        <v>0</v>
      </c>
      <c r="C9" s="3"/>
      <c r="D9" s="3"/>
      <c r="E9" s="3"/>
      <c r="F9" s="3"/>
    </row>
    <row r="10" spans="1:6" x14ac:dyDescent="0.3">
      <c r="A10" s="2" t="s">
        <v>12</v>
      </c>
      <c r="B10" s="3">
        <f t="shared" si="0"/>
        <v>0</v>
      </c>
      <c r="C10" s="3"/>
      <c r="D10" s="3"/>
      <c r="E10" s="3"/>
      <c r="F10" s="3"/>
    </row>
    <row r="11" spans="1:6" x14ac:dyDescent="0.3">
      <c r="A11" s="2" t="s">
        <v>13</v>
      </c>
      <c r="B11" s="3">
        <f t="shared" si="0"/>
        <v>0</v>
      </c>
      <c r="C11" s="3"/>
      <c r="D11" s="3"/>
      <c r="E11" s="3"/>
      <c r="F11" s="3"/>
    </row>
    <row r="12" spans="1:6" x14ac:dyDescent="0.3">
      <c r="A12" s="2" t="s">
        <v>14</v>
      </c>
      <c r="B12" s="3">
        <f t="shared" si="0"/>
        <v>-1700</v>
      </c>
      <c r="C12" s="3">
        <v>0</v>
      </c>
      <c r="D12" s="3">
        <v>0</v>
      </c>
      <c r="E12" s="3">
        <v>1700</v>
      </c>
      <c r="F12" s="3">
        <v>20000</v>
      </c>
    </row>
    <row r="13" spans="1:6" x14ac:dyDescent="0.3">
      <c r="A13" s="2" t="s">
        <v>15</v>
      </c>
      <c r="B13" s="3">
        <f t="shared" si="0"/>
        <v>0</v>
      </c>
      <c r="C13" s="3"/>
      <c r="D13" s="3"/>
      <c r="E13" s="3"/>
      <c r="F13" s="3"/>
    </row>
    <row r="14" spans="1:6" x14ac:dyDescent="0.3">
      <c r="A14" s="2" t="s">
        <v>16</v>
      </c>
      <c r="B14" s="3">
        <f t="shared" si="0"/>
        <v>0</v>
      </c>
      <c r="C14" s="3"/>
      <c r="D14" s="3"/>
      <c r="E14" s="3"/>
      <c r="F14" s="3"/>
    </row>
    <row r="15" spans="1:6" ht="17.25" thickBot="1" x14ac:dyDescent="0.35">
      <c r="A15" s="4" t="s">
        <v>26</v>
      </c>
      <c r="B15" s="5">
        <f>SUM(B3:B14)</f>
        <v>14296</v>
      </c>
      <c r="C15" s="5">
        <f t="shared" ref="C15:F15" si="1">SUM(C3:C14)</f>
        <v>16094</v>
      </c>
      <c r="D15" s="5">
        <f t="shared" si="1"/>
        <v>6020</v>
      </c>
      <c r="E15" s="5">
        <f t="shared" si="1"/>
        <v>1798</v>
      </c>
      <c r="F15" s="5">
        <f t="shared" si="1"/>
        <v>20018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1" t="s">
        <v>27</v>
      </c>
      <c r="C2" s="1" t="s">
        <v>28</v>
      </c>
      <c r="D2" s="1" t="s">
        <v>29</v>
      </c>
      <c r="E2" s="1" t="s">
        <v>30</v>
      </c>
      <c r="F2" s="1" t="s">
        <v>31</v>
      </c>
    </row>
    <row r="3" spans="1:6" x14ac:dyDescent="0.3">
      <c r="A3" s="2" t="s">
        <v>32</v>
      </c>
      <c r="B3" s="3">
        <f t="shared" ref="B3:B14" si="0">C3-E3</f>
        <v>0</v>
      </c>
      <c r="C3" s="3"/>
      <c r="D3" s="3"/>
      <c r="E3" s="3"/>
      <c r="F3" s="3"/>
    </row>
    <row r="4" spans="1:6" x14ac:dyDescent="0.3">
      <c r="A4" s="2" t="s">
        <v>33</v>
      </c>
      <c r="B4" s="3">
        <f t="shared" si="0"/>
        <v>0</v>
      </c>
      <c r="C4" s="3"/>
      <c r="D4" s="3"/>
      <c r="E4" s="3"/>
      <c r="F4" s="3"/>
    </row>
    <row r="5" spans="1:6" x14ac:dyDescent="0.3">
      <c r="A5" s="2" t="s">
        <v>34</v>
      </c>
      <c r="B5" s="3">
        <f t="shared" si="0"/>
        <v>7497</v>
      </c>
      <c r="C5" s="3">
        <v>7545</v>
      </c>
      <c r="D5" s="3">
        <v>3010</v>
      </c>
      <c r="E5" s="3">
        <v>48</v>
      </c>
      <c r="F5" s="3">
        <v>10</v>
      </c>
    </row>
    <row r="6" spans="1:6" x14ac:dyDescent="0.3">
      <c r="A6" s="2" t="s">
        <v>8</v>
      </c>
      <c r="B6" s="3">
        <f t="shared" si="0"/>
        <v>7545</v>
      </c>
      <c r="C6" s="3">
        <v>7545</v>
      </c>
      <c r="D6" s="3">
        <v>3010</v>
      </c>
      <c r="E6" s="3">
        <v>0</v>
      </c>
      <c r="F6" s="3">
        <v>0</v>
      </c>
    </row>
    <row r="7" spans="1:6" x14ac:dyDescent="0.3">
      <c r="A7" s="2" t="s">
        <v>9</v>
      </c>
      <c r="B7" s="3">
        <f t="shared" si="0"/>
        <v>0</v>
      </c>
      <c r="C7" s="3"/>
      <c r="D7" s="3"/>
      <c r="E7" s="3"/>
      <c r="F7" s="3"/>
    </row>
    <row r="8" spans="1:6" x14ac:dyDescent="0.3">
      <c r="A8" s="2" t="s">
        <v>10</v>
      </c>
      <c r="B8" s="3">
        <f t="shared" si="0"/>
        <v>7549</v>
      </c>
      <c r="C8" s="3">
        <v>7549</v>
      </c>
      <c r="D8" s="3">
        <v>3010</v>
      </c>
      <c r="E8" s="3">
        <v>0</v>
      </c>
      <c r="F8" s="3">
        <v>0</v>
      </c>
    </row>
    <row r="9" spans="1:6" x14ac:dyDescent="0.3">
      <c r="A9" s="2" t="s">
        <v>11</v>
      </c>
      <c r="B9" s="3">
        <f t="shared" si="0"/>
        <v>7560</v>
      </c>
      <c r="C9" s="3">
        <v>7560</v>
      </c>
      <c r="D9" s="3">
        <v>3010</v>
      </c>
      <c r="E9" s="3">
        <v>0</v>
      </c>
      <c r="F9" s="3">
        <v>0</v>
      </c>
    </row>
    <row r="10" spans="1:6" x14ac:dyDescent="0.3">
      <c r="A10" s="2" t="s">
        <v>12</v>
      </c>
      <c r="B10" s="3">
        <f t="shared" si="0"/>
        <v>0</v>
      </c>
      <c r="C10" s="3"/>
      <c r="D10" s="3"/>
      <c r="E10" s="3"/>
      <c r="F10" s="3"/>
    </row>
    <row r="11" spans="1:6" x14ac:dyDescent="0.3">
      <c r="A11" s="2" t="s">
        <v>13</v>
      </c>
      <c r="B11" s="3">
        <f t="shared" si="0"/>
        <v>0</v>
      </c>
      <c r="C11" s="3"/>
      <c r="D11" s="3"/>
      <c r="E11" s="3"/>
      <c r="F11" s="3"/>
    </row>
    <row r="12" spans="1:6" x14ac:dyDescent="0.3">
      <c r="A12" s="2" t="s">
        <v>14</v>
      </c>
      <c r="B12" s="3">
        <f t="shared" si="0"/>
        <v>0</v>
      </c>
      <c r="C12" s="3"/>
      <c r="D12" s="3"/>
      <c r="E12" s="3"/>
      <c r="F12" s="3"/>
    </row>
    <row r="13" spans="1:6" x14ac:dyDescent="0.3">
      <c r="A13" s="2" t="s">
        <v>15</v>
      </c>
      <c r="B13" s="3">
        <f t="shared" si="0"/>
        <v>-17</v>
      </c>
      <c r="C13" s="3">
        <v>0</v>
      </c>
      <c r="D13" s="3">
        <v>0</v>
      </c>
      <c r="E13" s="3">
        <v>17</v>
      </c>
      <c r="F13" s="3">
        <v>3</v>
      </c>
    </row>
    <row r="14" spans="1:6" x14ac:dyDescent="0.3">
      <c r="A14" s="2" t="s">
        <v>16</v>
      </c>
      <c r="B14" s="3">
        <f t="shared" si="0"/>
        <v>7805</v>
      </c>
      <c r="C14" s="3">
        <v>7805</v>
      </c>
      <c r="D14" s="3">
        <v>3010</v>
      </c>
      <c r="E14" s="3">
        <v>0</v>
      </c>
      <c r="F14" s="3">
        <v>0</v>
      </c>
    </row>
    <row r="15" spans="1:6" ht="17.25" thickBot="1" x14ac:dyDescent="0.35">
      <c r="A15" s="4" t="s">
        <v>35</v>
      </c>
      <c r="B15" s="5">
        <f>SUM(B3:B14)</f>
        <v>37939</v>
      </c>
      <c r="C15" s="5">
        <f t="shared" ref="C15:F15" si="1">SUM(C3:C14)</f>
        <v>38004</v>
      </c>
      <c r="D15" s="5">
        <f t="shared" si="1"/>
        <v>15050</v>
      </c>
      <c r="E15" s="5">
        <f t="shared" si="1"/>
        <v>65</v>
      </c>
      <c r="F15" s="5">
        <f t="shared" si="1"/>
        <v>13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1" t="s">
        <v>27</v>
      </c>
      <c r="C2" s="1" t="s">
        <v>28</v>
      </c>
      <c r="D2" s="1" t="s">
        <v>36</v>
      </c>
      <c r="E2" s="1" t="s">
        <v>37</v>
      </c>
      <c r="F2" s="1" t="s">
        <v>31</v>
      </c>
    </row>
    <row r="3" spans="1:6" x14ac:dyDescent="0.3">
      <c r="A3" s="2" t="s">
        <v>32</v>
      </c>
      <c r="B3" s="3">
        <f t="shared" ref="B3:B14" si="0">C3-E3</f>
        <v>0</v>
      </c>
      <c r="C3" s="3"/>
      <c r="D3" s="3"/>
      <c r="E3" s="3"/>
      <c r="F3" s="3"/>
    </row>
    <row r="4" spans="1:6" x14ac:dyDescent="0.3">
      <c r="A4" s="2" t="s">
        <v>38</v>
      </c>
      <c r="B4" s="3">
        <f t="shared" si="0"/>
        <v>0</v>
      </c>
      <c r="C4" s="3"/>
      <c r="D4" s="3"/>
      <c r="E4" s="3"/>
      <c r="F4" s="3"/>
    </row>
    <row r="5" spans="1:6" x14ac:dyDescent="0.3">
      <c r="A5" s="2" t="s">
        <v>34</v>
      </c>
      <c r="B5" s="3">
        <f t="shared" si="0"/>
        <v>-19</v>
      </c>
      <c r="C5" s="3">
        <v>0</v>
      </c>
      <c r="D5" s="3">
        <v>0</v>
      </c>
      <c r="E5" s="3">
        <v>19</v>
      </c>
      <c r="F5" s="3">
        <v>4</v>
      </c>
    </row>
    <row r="6" spans="1:6" x14ac:dyDescent="0.3">
      <c r="A6" s="2" t="s">
        <v>8</v>
      </c>
      <c r="B6" s="3">
        <f t="shared" si="0"/>
        <v>7696</v>
      </c>
      <c r="C6" s="3">
        <v>7696</v>
      </c>
      <c r="D6" s="3">
        <v>3010</v>
      </c>
      <c r="E6" s="3">
        <v>0</v>
      </c>
      <c r="F6" s="3">
        <v>0</v>
      </c>
    </row>
    <row r="7" spans="1:6" x14ac:dyDescent="0.3">
      <c r="A7" s="2" t="s">
        <v>9</v>
      </c>
      <c r="B7" s="3">
        <f t="shared" si="0"/>
        <v>0</v>
      </c>
      <c r="C7" s="3"/>
      <c r="D7" s="3"/>
      <c r="E7" s="3"/>
      <c r="F7" s="3"/>
    </row>
    <row r="8" spans="1:6" x14ac:dyDescent="0.3">
      <c r="A8" s="2" t="s">
        <v>10</v>
      </c>
      <c r="B8" s="3">
        <f t="shared" si="0"/>
        <v>0</v>
      </c>
      <c r="C8" s="3"/>
      <c r="D8" s="3"/>
      <c r="E8" s="3"/>
      <c r="F8" s="3"/>
    </row>
    <row r="9" spans="1:6" x14ac:dyDescent="0.3">
      <c r="A9" s="2" t="s">
        <v>11</v>
      </c>
      <c r="B9" s="3">
        <f t="shared" si="0"/>
        <v>0</v>
      </c>
      <c r="C9" s="3"/>
      <c r="D9" s="3"/>
      <c r="E9" s="3"/>
      <c r="F9" s="3"/>
    </row>
    <row r="10" spans="1:6" x14ac:dyDescent="0.3">
      <c r="A10" s="2" t="s">
        <v>12</v>
      </c>
      <c r="B10" s="3">
        <f t="shared" si="0"/>
        <v>0</v>
      </c>
      <c r="C10" s="3"/>
      <c r="D10" s="3"/>
      <c r="E10" s="3"/>
      <c r="F10" s="3"/>
    </row>
    <row r="11" spans="1:6" x14ac:dyDescent="0.3">
      <c r="A11" s="2" t="s">
        <v>13</v>
      </c>
      <c r="B11" s="3">
        <f t="shared" si="0"/>
        <v>0</v>
      </c>
      <c r="C11" s="3"/>
      <c r="D11" s="3"/>
      <c r="E11" s="3"/>
      <c r="F11" s="3"/>
    </row>
    <row r="12" spans="1:6" x14ac:dyDescent="0.3">
      <c r="A12" s="2" t="s">
        <v>14</v>
      </c>
      <c r="B12" s="3">
        <f t="shared" si="0"/>
        <v>0</v>
      </c>
      <c r="C12" s="3"/>
      <c r="D12" s="3"/>
      <c r="E12" s="3"/>
      <c r="F12" s="3"/>
    </row>
    <row r="13" spans="1:6" x14ac:dyDescent="0.3">
      <c r="A13" s="2" t="s">
        <v>15</v>
      </c>
      <c r="B13" s="3">
        <f t="shared" si="0"/>
        <v>7716</v>
      </c>
      <c r="C13" s="3">
        <v>7716</v>
      </c>
      <c r="D13" s="3">
        <v>3010</v>
      </c>
      <c r="E13" s="3">
        <v>0</v>
      </c>
      <c r="F13" s="3">
        <v>0</v>
      </c>
    </row>
    <row r="14" spans="1:6" x14ac:dyDescent="0.3">
      <c r="A14" s="2" t="s">
        <v>16</v>
      </c>
      <c r="B14" s="3">
        <f t="shared" si="0"/>
        <v>0</v>
      </c>
      <c r="C14" s="3"/>
      <c r="D14" s="3"/>
      <c r="E14" s="3"/>
      <c r="F14" s="3"/>
    </row>
    <row r="15" spans="1:6" ht="17.25" thickBot="1" x14ac:dyDescent="0.35">
      <c r="A15" s="4" t="s">
        <v>35</v>
      </c>
      <c r="B15" s="5">
        <f>SUM(B3:B14)</f>
        <v>15393</v>
      </c>
      <c r="C15" s="5">
        <f t="shared" ref="C15:F15" si="1">SUM(C3:C14)</f>
        <v>15412</v>
      </c>
      <c r="D15" s="5">
        <f t="shared" si="1"/>
        <v>6020</v>
      </c>
      <c r="E15" s="5">
        <f t="shared" si="1"/>
        <v>19</v>
      </c>
      <c r="F15" s="5">
        <f t="shared" si="1"/>
        <v>4</v>
      </c>
    </row>
    <row r="16" spans="1:6" ht="17.25" thickTop="1" x14ac:dyDescent="0.3"/>
  </sheetData>
  <phoneticPr fontId="1" type="noConversion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1" t="s">
        <v>18</v>
      </c>
      <c r="C2" s="1" t="s">
        <v>19</v>
      </c>
      <c r="D2" s="1" t="s">
        <v>20</v>
      </c>
      <c r="E2" s="1" t="s">
        <v>21</v>
      </c>
      <c r="F2" s="1" t="s">
        <v>22</v>
      </c>
    </row>
    <row r="3" spans="1:6" x14ac:dyDescent="0.3">
      <c r="A3" s="2" t="s">
        <v>23</v>
      </c>
      <c r="B3" s="3">
        <f t="shared" ref="B3:B14" si="0">C3-E3</f>
        <v>0</v>
      </c>
      <c r="C3" s="3"/>
      <c r="D3" s="3"/>
      <c r="E3" s="3"/>
      <c r="F3" s="3"/>
    </row>
    <row r="4" spans="1:6" x14ac:dyDescent="0.3">
      <c r="A4" s="2" t="s">
        <v>24</v>
      </c>
      <c r="B4" s="3">
        <f t="shared" si="0"/>
        <v>0</v>
      </c>
      <c r="C4" s="3"/>
      <c r="D4" s="3"/>
      <c r="E4" s="3"/>
      <c r="F4" s="3"/>
    </row>
    <row r="5" spans="1:6" x14ac:dyDescent="0.3">
      <c r="A5" s="2" t="s">
        <v>25</v>
      </c>
      <c r="B5" s="3">
        <f t="shared" si="0"/>
        <v>7716</v>
      </c>
      <c r="C5" s="3">
        <v>7716</v>
      </c>
      <c r="D5" s="3">
        <v>3010</v>
      </c>
      <c r="E5" s="3">
        <v>0</v>
      </c>
      <c r="F5" s="3">
        <v>0</v>
      </c>
    </row>
    <row r="6" spans="1:6" x14ac:dyDescent="0.3">
      <c r="A6" s="2" t="s">
        <v>8</v>
      </c>
      <c r="B6" s="3">
        <f t="shared" si="0"/>
        <v>0</v>
      </c>
      <c r="C6" s="3"/>
      <c r="D6" s="3"/>
      <c r="E6" s="3"/>
      <c r="F6" s="3"/>
    </row>
    <row r="7" spans="1:6" x14ac:dyDescent="0.3">
      <c r="A7" s="2" t="s">
        <v>9</v>
      </c>
      <c r="B7" s="3">
        <f t="shared" si="0"/>
        <v>0</v>
      </c>
      <c r="C7" s="3"/>
      <c r="D7" s="3"/>
      <c r="E7" s="3"/>
      <c r="F7" s="3"/>
    </row>
    <row r="8" spans="1:6" x14ac:dyDescent="0.3">
      <c r="A8" s="2" t="s">
        <v>10</v>
      </c>
      <c r="B8" s="3">
        <f t="shared" si="0"/>
        <v>7706</v>
      </c>
      <c r="C8" s="3">
        <v>7706</v>
      </c>
      <c r="D8" s="3">
        <v>3010</v>
      </c>
      <c r="E8" s="3">
        <v>0</v>
      </c>
      <c r="F8" s="3">
        <v>0</v>
      </c>
    </row>
    <row r="9" spans="1:6" x14ac:dyDescent="0.3">
      <c r="A9" s="2" t="s">
        <v>11</v>
      </c>
      <c r="B9" s="3">
        <f t="shared" si="0"/>
        <v>0</v>
      </c>
      <c r="C9" s="3"/>
      <c r="D9" s="3"/>
      <c r="E9" s="3"/>
      <c r="F9" s="3"/>
    </row>
    <row r="10" spans="1:6" x14ac:dyDescent="0.3">
      <c r="A10" s="2" t="s">
        <v>12</v>
      </c>
      <c r="B10" s="3">
        <f t="shared" si="0"/>
        <v>0</v>
      </c>
      <c r="C10" s="3"/>
      <c r="D10" s="3"/>
      <c r="E10" s="3"/>
      <c r="F10" s="3"/>
    </row>
    <row r="11" spans="1:6" x14ac:dyDescent="0.3">
      <c r="A11" s="2" t="s">
        <v>13</v>
      </c>
      <c r="B11" s="3">
        <f t="shared" si="0"/>
        <v>7706</v>
      </c>
      <c r="C11" s="3">
        <v>7706</v>
      </c>
      <c r="D11" s="3">
        <v>3010</v>
      </c>
      <c r="E11" s="3">
        <v>0</v>
      </c>
      <c r="F11" s="3">
        <v>0</v>
      </c>
    </row>
    <row r="12" spans="1:6" x14ac:dyDescent="0.3">
      <c r="A12" s="2" t="s">
        <v>14</v>
      </c>
      <c r="B12" s="3">
        <f t="shared" si="0"/>
        <v>0</v>
      </c>
      <c r="C12" s="3"/>
      <c r="D12" s="3"/>
      <c r="E12" s="3"/>
      <c r="F12" s="3"/>
    </row>
    <row r="13" spans="1:6" x14ac:dyDescent="0.3">
      <c r="A13" s="2" t="s">
        <v>15</v>
      </c>
      <c r="B13" s="3">
        <f t="shared" si="0"/>
        <v>7706</v>
      </c>
      <c r="C13" s="3">
        <v>7706</v>
      </c>
      <c r="D13" s="3">
        <v>3010</v>
      </c>
      <c r="E13" s="3">
        <v>0</v>
      </c>
      <c r="F13" s="3">
        <v>0</v>
      </c>
    </row>
    <row r="14" spans="1:6" x14ac:dyDescent="0.3">
      <c r="A14" s="2" t="s">
        <v>16</v>
      </c>
      <c r="B14" s="3">
        <f t="shared" si="0"/>
        <v>0</v>
      </c>
      <c r="C14" s="3"/>
      <c r="D14" s="3"/>
      <c r="E14" s="3"/>
      <c r="F14" s="3"/>
    </row>
    <row r="15" spans="1:6" ht="17.25" thickBot="1" x14ac:dyDescent="0.35">
      <c r="A15" s="4" t="s">
        <v>26</v>
      </c>
      <c r="B15" s="5">
        <f>SUM(B3:B14)</f>
        <v>30834</v>
      </c>
      <c r="C15" s="5">
        <f t="shared" ref="C15:F15" si="1">SUM(C3:C14)</f>
        <v>30834</v>
      </c>
      <c r="D15" s="5">
        <f t="shared" si="1"/>
        <v>12040</v>
      </c>
      <c r="E15" s="5">
        <f t="shared" si="1"/>
        <v>0</v>
      </c>
      <c r="F15" s="5">
        <f t="shared" si="1"/>
        <v>0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1" t="s">
        <v>27</v>
      </c>
      <c r="C2" s="1" t="s">
        <v>28</v>
      </c>
      <c r="D2" s="1" t="s">
        <v>39</v>
      </c>
      <c r="E2" s="1" t="s">
        <v>30</v>
      </c>
      <c r="F2" s="1" t="s">
        <v>31</v>
      </c>
    </row>
    <row r="3" spans="1:6" x14ac:dyDescent="0.3">
      <c r="A3" s="2" t="s">
        <v>32</v>
      </c>
      <c r="B3" s="3">
        <f t="shared" ref="B3:B14" si="0">C3-E3</f>
        <v>0</v>
      </c>
      <c r="C3" s="3"/>
      <c r="D3" s="3"/>
      <c r="E3" s="3"/>
      <c r="F3" s="3"/>
    </row>
    <row r="4" spans="1:6" x14ac:dyDescent="0.3">
      <c r="A4" s="2" t="s">
        <v>33</v>
      </c>
      <c r="B4" s="3">
        <f t="shared" si="0"/>
        <v>7683</v>
      </c>
      <c r="C4" s="3">
        <v>7706</v>
      </c>
      <c r="D4" s="3">
        <v>3010</v>
      </c>
      <c r="E4" s="3">
        <v>23</v>
      </c>
      <c r="F4" s="3">
        <v>2</v>
      </c>
    </row>
    <row r="5" spans="1:6" x14ac:dyDescent="0.3">
      <c r="A5" s="2" t="s">
        <v>34</v>
      </c>
      <c r="B5" s="3">
        <f t="shared" si="0"/>
        <v>0</v>
      </c>
      <c r="C5" s="3"/>
      <c r="D5" s="3"/>
      <c r="E5" s="3"/>
      <c r="F5" s="3"/>
    </row>
    <row r="6" spans="1:6" x14ac:dyDescent="0.3">
      <c r="A6" s="2" t="s">
        <v>8</v>
      </c>
      <c r="B6" s="3">
        <f t="shared" si="0"/>
        <v>7690</v>
      </c>
      <c r="C6" s="3">
        <v>7711</v>
      </c>
      <c r="D6" s="3">
        <v>3010</v>
      </c>
      <c r="E6" s="3">
        <v>21</v>
      </c>
      <c r="F6" s="3">
        <v>2</v>
      </c>
    </row>
    <row r="7" spans="1:6" x14ac:dyDescent="0.3">
      <c r="A7" s="2" t="s">
        <v>9</v>
      </c>
      <c r="B7" s="3">
        <f t="shared" si="0"/>
        <v>0</v>
      </c>
      <c r="C7" s="3"/>
      <c r="D7" s="3"/>
      <c r="E7" s="3"/>
      <c r="F7" s="3"/>
    </row>
    <row r="8" spans="1:6" x14ac:dyDescent="0.3">
      <c r="A8" s="2" t="s">
        <v>10</v>
      </c>
      <c r="B8" s="3">
        <f t="shared" si="0"/>
        <v>0</v>
      </c>
      <c r="C8" s="3"/>
      <c r="D8" s="3"/>
      <c r="E8" s="3"/>
      <c r="F8" s="3"/>
    </row>
    <row r="9" spans="1:6" x14ac:dyDescent="0.3">
      <c r="A9" s="2" t="s">
        <v>11</v>
      </c>
      <c r="B9" s="3">
        <f t="shared" si="0"/>
        <v>7698</v>
      </c>
      <c r="C9" s="3">
        <v>7698</v>
      </c>
      <c r="D9" s="3">
        <v>3052</v>
      </c>
      <c r="E9" s="3">
        <v>0</v>
      </c>
      <c r="F9" s="3">
        <v>0</v>
      </c>
    </row>
    <row r="10" spans="1:6" x14ac:dyDescent="0.3">
      <c r="A10" s="2" t="s">
        <v>12</v>
      </c>
      <c r="B10" s="3">
        <f t="shared" si="0"/>
        <v>0</v>
      </c>
      <c r="C10" s="3"/>
      <c r="D10" s="3"/>
      <c r="E10" s="3"/>
      <c r="F10" s="3"/>
    </row>
    <row r="11" spans="1:6" x14ac:dyDescent="0.3">
      <c r="A11" s="2" t="s">
        <v>13</v>
      </c>
      <c r="B11" s="3">
        <f t="shared" si="0"/>
        <v>7711</v>
      </c>
      <c r="C11" s="3">
        <v>7711</v>
      </c>
      <c r="D11" s="3">
        <v>3010</v>
      </c>
      <c r="E11" s="3">
        <v>0</v>
      </c>
      <c r="F11" s="3">
        <v>0</v>
      </c>
    </row>
    <row r="12" spans="1:6" x14ac:dyDescent="0.3">
      <c r="A12" s="2" t="s">
        <v>14</v>
      </c>
      <c r="B12" s="3">
        <f t="shared" si="0"/>
        <v>0</v>
      </c>
      <c r="C12" s="3"/>
      <c r="D12" s="3"/>
      <c r="E12" s="3"/>
      <c r="F12" s="3"/>
    </row>
    <row r="13" spans="1:6" x14ac:dyDescent="0.3">
      <c r="A13" s="2" t="s">
        <v>15</v>
      </c>
      <c r="B13" s="3">
        <f t="shared" si="0"/>
        <v>0</v>
      </c>
      <c r="C13" s="3"/>
      <c r="D13" s="3"/>
      <c r="E13" s="3"/>
      <c r="F13" s="3"/>
    </row>
    <row r="14" spans="1:6" x14ac:dyDescent="0.3">
      <c r="A14" s="2" t="s">
        <v>16</v>
      </c>
      <c r="B14" s="3">
        <f t="shared" si="0"/>
        <v>9889</v>
      </c>
      <c r="C14" s="3">
        <v>9889</v>
      </c>
      <c r="D14" s="3">
        <v>3514</v>
      </c>
      <c r="E14" s="3">
        <v>0</v>
      </c>
      <c r="F14" s="3">
        <v>0</v>
      </c>
    </row>
    <row r="15" spans="1:6" ht="17.25" thickBot="1" x14ac:dyDescent="0.35">
      <c r="A15" s="4" t="s">
        <v>35</v>
      </c>
      <c r="B15" s="5">
        <f>SUM(B3:B14)</f>
        <v>40671</v>
      </c>
      <c r="C15" s="5">
        <f t="shared" ref="C15:F15" si="1">SUM(C3:C14)</f>
        <v>40715</v>
      </c>
      <c r="D15" s="5">
        <f t="shared" si="1"/>
        <v>15596</v>
      </c>
      <c r="E15" s="5">
        <f t="shared" si="1"/>
        <v>44</v>
      </c>
      <c r="F15" s="5">
        <f t="shared" si="1"/>
        <v>4</v>
      </c>
    </row>
    <row r="16" spans="1:6" ht="17.25" thickTop="1" x14ac:dyDescent="0.3"/>
  </sheetData>
  <phoneticPr fontId="1" type="noConversion"/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2" width="14.375" bestFit="1" customWidth="1"/>
    <col min="3" max="4" width="14.375" customWidth="1"/>
    <col min="5" max="5" width="14.375" bestFit="1" customWidth="1"/>
    <col min="6" max="6" width="12.625" bestFit="1" customWidth="1"/>
  </cols>
  <sheetData>
    <row r="2" spans="1:6" x14ac:dyDescent="0.3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</row>
    <row r="3" spans="1:6" x14ac:dyDescent="0.3">
      <c r="A3" s="2" t="s">
        <v>5</v>
      </c>
      <c r="B3" s="3">
        <f>C3-E3</f>
        <v>0</v>
      </c>
      <c r="C3" s="3"/>
      <c r="D3" s="3"/>
      <c r="E3" s="3"/>
      <c r="F3" s="3"/>
    </row>
    <row r="4" spans="1:6" x14ac:dyDescent="0.3">
      <c r="A4" s="2" t="s">
        <v>6</v>
      </c>
      <c r="B4" s="3">
        <f t="shared" ref="B4:B14" si="0">C4-E4</f>
        <v>7711</v>
      </c>
      <c r="C4" s="3">
        <v>7711</v>
      </c>
      <c r="D4" s="3">
        <v>3010</v>
      </c>
      <c r="E4" s="3">
        <v>0</v>
      </c>
      <c r="F4" s="3">
        <v>0</v>
      </c>
    </row>
    <row r="5" spans="1:6" x14ac:dyDescent="0.3">
      <c r="A5" s="2" t="s">
        <v>7</v>
      </c>
      <c r="B5" s="3">
        <f t="shared" si="0"/>
        <v>7711</v>
      </c>
      <c r="C5" s="3">
        <v>7711</v>
      </c>
      <c r="D5" s="3">
        <v>3010</v>
      </c>
      <c r="E5" s="3">
        <v>0</v>
      </c>
      <c r="F5" s="3">
        <v>0</v>
      </c>
    </row>
    <row r="6" spans="1:6" x14ac:dyDescent="0.3">
      <c r="A6" s="2" t="s">
        <v>8</v>
      </c>
      <c r="B6" s="3">
        <f t="shared" si="0"/>
        <v>0</v>
      </c>
      <c r="C6" s="3"/>
      <c r="D6" s="3"/>
      <c r="E6" s="3"/>
      <c r="F6" s="3"/>
    </row>
    <row r="7" spans="1:6" x14ac:dyDescent="0.3">
      <c r="A7" s="2" t="s">
        <v>9</v>
      </c>
      <c r="B7" s="3">
        <f t="shared" si="0"/>
        <v>0</v>
      </c>
      <c r="C7" s="3"/>
      <c r="D7" s="3"/>
      <c r="E7" s="3"/>
      <c r="F7" s="3"/>
    </row>
    <row r="8" spans="1:6" x14ac:dyDescent="0.3">
      <c r="A8" s="2" t="s">
        <v>10</v>
      </c>
      <c r="B8" s="3">
        <f t="shared" si="0"/>
        <v>7711</v>
      </c>
      <c r="C8" s="3">
        <v>7711</v>
      </c>
      <c r="D8" s="3">
        <v>3010</v>
      </c>
      <c r="E8" s="3">
        <v>0</v>
      </c>
      <c r="F8" s="3">
        <v>0</v>
      </c>
    </row>
    <row r="9" spans="1:6" x14ac:dyDescent="0.3">
      <c r="A9" s="2" t="s">
        <v>11</v>
      </c>
      <c r="B9" s="3">
        <f t="shared" si="0"/>
        <v>0</v>
      </c>
      <c r="C9" s="3"/>
      <c r="D9" s="3"/>
      <c r="E9" s="3"/>
      <c r="F9" s="3"/>
    </row>
    <row r="10" spans="1:6" x14ac:dyDescent="0.3">
      <c r="A10" s="2" t="s">
        <v>12</v>
      </c>
      <c r="B10" s="3">
        <f t="shared" si="0"/>
        <v>0</v>
      </c>
      <c r="C10" s="3"/>
      <c r="D10" s="3"/>
      <c r="E10" s="3"/>
      <c r="F10" s="3"/>
    </row>
    <row r="11" spans="1:6" x14ac:dyDescent="0.3">
      <c r="A11" s="2" t="s">
        <v>13</v>
      </c>
      <c r="B11" s="3">
        <f t="shared" si="0"/>
        <v>0</v>
      </c>
      <c r="C11" s="3"/>
      <c r="D11" s="3"/>
      <c r="E11" s="3"/>
      <c r="F11" s="3"/>
    </row>
    <row r="12" spans="1:6" x14ac:dyDescent="0.3">
      <c r="A12" s="2" t="s">
        <v>14</v>
      </c>
      <c r="B12" s="3">
        <f t="shared" si="0"/>
        <v>0</v>
      </c>
      <c r="C12" s="3"/>
      <c r="D12" s="3"/>
      <c r="E12" s="3"/>
      <c r="F12" s="3"/>
    </row>
    <row r="13" spans="1:6" x14ac:dyDescent="0.3">
      <c r="A13" s="2" t="s">
        <v>15</v>
      </c>
      <c r="B13" s="3">
        <f t="shared" si="0"/>
        <v>7711</v>
      </c>
      <c r="C13" s="3">
        <v>7711</v>
      </c>
      <c r="D13" s="3">
        <v>3010</v>
      </c>
      <c r="E13" s="3">
        <v>0</v>
      </c>
      <c r="F13" s="3">
        <v>0</v>
      </c>
    </row>
    <row r="14" spans="1:6" x14ac:dyDescent="0.3">
      <c r="A14" s="2" t="s">
        <v>16</v>
      </c>
      <c r="B14" s="3">
        <f t="shared" si="0"/>
        <v>0</v>
      </c>
      <c r="C14" s="3"/>
      <c r="D14" s="3"/>
      <c r="E14" s="3"/>
      <c r="F14" s="3"/>
    </row>
    <row r="15" spans="1:6" ht="17.25" thickBot="1" x14ac:dyDescent="0.35">
      <c r="A15" s="4" t="s">
        <v>17</v>
      </c>
      <c r="B15" s="5">
        <f>SUM(B3:B14)</f>
        <v>30844</v>
      </c>
      <c r="C15" s="5">
        <f t="shared" ref="C15" si="1">SUM(C3:C14)</f>
        <v>30844</v>
      </c>
      <c r="D15" s="5">
        <f t="shared" ref="D15:F15" si="2">SUM(D3:D14)</f>
        <v>12040</v>
      </c>
      <c r="E15" s="5">
        <f t="shared" si="2"/>
        <v>0</v>
      </c>
      <c r="F15" s="5">
        <f t="shared" si="2"/>
        <v>0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2" width="14.375" bestFit="1" customWidth="1"/>
    <col min="3" max="4" width="14.375" customWidth="1"/>
    <col min="5" max="5" width="14.375" bestFit="1" customWidth="1"/>
    <col min="6" max="6" width="12.625" bestFit="1" customWidth="1"/>
  </cols>
  <sheetData>
    <row r="2" spans="1:6" x14ac:dyDescent="0.3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</row>
    <row r="3" spans="1:6" x14ac:dyDescent="0.3">
      <c r="A3" s="2" t="s">
        <v>5</v>
      </c>
      <c r="B3" s="3">
        <f>C3-E3</f>
        <v>7711</v>
      </c>
      <c r="C3" s="3">
        <v>7711</v>
      </c>
      <c r="D3" s="3">
        <v>3010</v>
      </c>
      <c r="E3" s="3">
        <v>0</v>
      </c>
      <c r="F3" s="3">
        <v>0</v>
      </c>
    </row>
    <row r="4" spans="1:6" x14ac:dyDescent="0.3">
      <c r="A4" s="2" t="s">
        <v>6</v>
      </c>
      <c r="B4" s="3">
        <f t="shared" ref="B4:B14" si="0">C4-E4</f>
        <v>0</v>
      </c>
      <c r="C4" s="3"/>
      <c r="D4" s="3"/>
      <c r="E4" s="3"/>
      <c r="F4" s="3"/>
    </row>
    <row r="5" spans="1:6" x14ac:dyDescent="0.3">
      <c r="A5" s="2" t="s">
        <v>7</v>
      </c>
      <c r="B5" s="3">
        <f t="shared" si="0"/>
        <v>7711</v>
      </c>
      <c r="C5" s="3">
        <v>7711</v>
      </c>
      <c r="D5" s="3">
        <v>3010</v>
      </c>
      <c r="E5" s="3">
        <v>0</v>
      </c>
      <c r="F5" s="3">
        <v>0</v>
      </c>
    </row>
    <row r="6" spans="1:6" x14ac:dyDescent="0.3">
      <c r="A6" s="2" t="s">
        <v>8</v>
      </c>
      <c r="B6" s="3">
        <f t="shared" si="0"/>
        <v>-102</v>
      </c>
      <c r="C6" s="3">
        <v>0</v>
      </c>
      <c r="D6" s="3">
        <v>0</v>
      </c>
      <c r="E6" s="3">
        <v>102</v>
      </c>
      <c r="F6" s="3">
        <v>6</v>
      </c>
    </row>
    <row r="7" spans="1:6" x14ac:dyDescent="0.3">
      <c r="A7" s="2" t="s">
        <v>9</v>
      </c>
      <c r="B7" s="3">
        <f t="shared" si="0"/>
        <v>7711</v>
      </c>
      <c r="C7" s="3">
        <v>7711</v>
      </c>
      <c r="D7" s="3">
        <v>3010</v>
      </c>
      <c r="E7" s="3">
        <v>0</v>
      </c>
      <c r="F7" s="3">
        <v>0</v>
      </c>
    </row>
    <row r="8" spans="1:6" x14ac:dyDescent="0.3">
      <c r="A8" s="2" t="s">
        <v>10</v>
      </c>
      <c r="B8" s="3">
        <f t="shared" si="0"/>
        <v>0</v>
      </c>
      <c r="C8" s="3"/>
      <c r="D8" s="3"/>
      <c r="E8" s="3"/>
      <c r="F8" s="3"/>
    </row>
    <row r="9" spans="1:6" x14ac:dyDescent="0.3">
      <c r="A9" s="2" t="s">
        <v>11</v>
      </c>
      <c r="B9" s="3">
        <f t="shared" si="0"/>
        <v>0</v>
      </c>
      <c r="C9" s="3"/>
      <c r="D9" s="3"/>
      <c r="E9" s="3"/>
      <c r="F9" s="3"/>
    </row>
    <row r="10" spans="1:6" x14ac:dyDescent="0.3">
      <c r="A10" s="2" t="s">
        <v>12</v>
      </c>
      <c r="B10" s="3">
        <f t="shared" si="0"/>
        <v>7711</v>
      </c>
      <c r="C10" s="3">
        <v>7711</v>
      </c>
      <c r="D10" s="3">
        <v>3010</v>
      </c>
      <c r="E10" s="3">
        <v>0</v>
      </c>
      <c r="F10" s="3">
        <v>0</v>
      </c>
    </row>
    <row r="11" spans="1:6" x14ac:dyDescent="0.3">
      <c r="A11" s="2" t="s">
        <v>13</v>
      </c>
      <c r="B11" s="3">
        <f t="shared" si="0"/>
        <v>0</v>
      </c>
      <c r="C11" s="3"/>
      <c r="D11" s="3"/>
      <c r="E11" s="3"/>
      <c r="F11" s="3"/>
    </row>
    <row r="12" spans="1:6" x14ac:dyDescent="0.3">
      <c r="A12" s="2" t="s">
        <v>14</v>
      </c>
      <c r="B12" s="3">
        <f t="shared" si="0"/>
        <v>0</v>
      </c>
      <c r="C12" s="3"/>
      <c r="D12" s="3"/>
      <c r="E12" s="3"/>
      <c r="F12" s="3"/>
    </row>
    <row r="13" spans="1:6" x14ac:dyDescent="0.3">
      <c r="A13" s="2" t="s">
        <v>15</v>
      </c>
      <c r="B13" s="3">
        <f t="shared" si="0"/>
        <v>7711</v>
      </c>
      <c r="C13" s="3">
        <v>7711</v>
      </c>
      <c r="D13" s="3">
        <v>3010</v>
      </c>
      <c r="E13" s="3">
        <v>0</v>
      </c>
      <c r="F13" s="3">
        <v>0</v>
      </c>
    </row>
    <row r="14" spans="1:6" x14ac:dyDescent="0.3">
      <c r="A14" s="2" t="s">
        <v>16</v>
      </c>
      <c r="B14" s="3">
        <f t="shared" si="0"/>
        <v>0</v>
      </c>
      <c r="C14" s="3"/>
      <c r="D14" s="3"/>
      <c r="E14" s="3"/>
      <c r="F14" s="3"/>
    </row>
    <row r="15" spans="1:6" ht="17.25" thickBot="1" x14ac:dyDescent="0.35">
      <c r="A15" s="4" t="s">
        <v>17</v>
      </c>
      <c r="B15" s="5">
        <f>SUM(B3:B14)</f>
        <v>38453</v>
      </c>
      <c r="C15" s="5">
        <f t="shared" ref="C15" si="1">SUM(C3:C14)</f>
        <v>38555</v>
      </c>
      <c r="D15" s="5">
        <f t="shared" ref="D15:F15" si="2">SUM(D3:D14)</f>
        <v>15050</v>
      </c>
      <c r="E15" s="5">
        <f t="shared" si="2"/>
        <v>102</v>
      </c>
      <c r="F15" s="5">
        <f t="shared" si="2"/>
        <v>6</v>
      </c>
    </row>
    <row r="16" spans="1:6" ht="17.25" thickTop="1" x14ac:dyDescent="0.3"/>
  </sheetData>
  <phoneticPr fontId="1" type="noConversion"/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2" width="14.375" bestFit="1" customWidth="1"/>
    <col min="3" max="4" width="14.375" customWidth="1"/>
    <col min="5" max="5" width="14.375" bestFit="1" customWidth="1"/>
    <col min="6" max="6" width="12.625" bestFit="1" customWidth="1"/>
  </cols>
  <sheetData>
    <row r="2" spans="1:6" x14ac:dyDescent="0.3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</row>
    <row r="3" spans="1:6" x14ac:dyDescent="0.3">
      <c r="A3" s="2" t="s">
        <v>5</v>
      </c>
      <c r="B3" s="3">
        <f>C3-E3</f>
        <v>0</v>
      </c>
      <c r="C3" s="3"/>
      <c r="D3" s="3"/>
      <c r="E3" s="3"/>
      <c r="F3" s="3"/>
    </row>
    <row r="4" spans="1:6" x14ac:dyDescent="0.3">
      <c r="A4" s="2" t="s">
        <v>6</v>
      </c>
      <c r="B4" s="3">
        <f t="shared" ref="B4:B14" si="0">C4-E4</f>
        <v>7709</v>
      </c>
      <c r="C4" s="3">
        <v>7709</v>
      </c>
      <c r="D4" s="3">
        <v>3010</v>
      </c>
      <c r="E4" s="3">
        <v>0</v>
      </c>
      <c r="F4" s="3">
        <v>0</v>
      </c>
    </row>
    <row r="5" spans="1:6" x14ac:dyDescent="0.3">
      <c r="A5" s="2" t="s">
        <v>7</v>
      </c>
      <c r="B5" s="3">
        <f t="shared" si="0"/>
        <v>0</v>
      </c>
      <c r="C5" s="3"/>
      <c r="D5" s="3"/>
      <c r="E5" s="3"/>
      <c r="F5" s="3"/>
    </row>
    <row r="6" spans="1:6" x14ac:dyDescent="0.3">
      <c r="A6" s="2" t="s">
        <v>8</v>
      </c>
      <c r="B6" s="3">
        <f t="shared" si="0"/>
        <v>7710</v>
      </c>
      <c r="C6" s="3">
        <v>7710</v>
      </c>
      <c r="D6" s="3">
        <v>3010</v>
      </c>
      <c r="E6" s="3">
        <v>0</v>
      </c>
      <c r="F6" s="3">
        <v>0</v>
      </c>
    </row>
    <row r="7" spans="1:6" x14ac:dyDescent="0.3">
      <c r="A7" s="2" t="s">
        <v>9</v>
      </c>
      <c r="B7" s="3">
        <f t="shared" si="0"/>
        <v>0</v>
      </c>
      <c r="C7" s="3"/>
      <c r="D7" s="3"/>
      <c r="E7" s="3"/>
      <c r="F7" s="3"/>
    </row>
    <row r="8" spans="1:6" x14ac:dyDescent="0.3">
      <c r="A8" s="2" t="s">
        <v>10</v>
      </c>
      <c r="B8" s="3">
        <f t="shared" si="0"/>
        <v>0</v>
      </c>
      <c r="C8" s="3"/>
      <c r="D8" s="3"/>
      <c r="E8" s="3"/>
      <c r="F8" s="3"/>
    </row>
    <row r="9" spans="1:6" x14ac:dyDescent="0.3">
      <c r="A9" s="2" t="s">
        <v>11</v>
      </c>
      <c r="B9" s="3">
        <f t="shared" si="0"/>
        <v>7710</v>
      </c>
      <c r="C9" s="3">
        <v>7710</v>
      </c>
      <c r="D9" s="3">
        <v>3010</v>
      </c>
      <c r="E9" s="3">
        <v>0</v>
      </c>
      <c r="F9" s="3">
        <v>0</v>
      </c>
    </row>
    <row r="10" spans="1:6" x14ac:dyDescent="0.3">
      <c r="A10" s="2" t="s">
        <v>12</v>
      </c>
      <c r="B10" s="3">
        <f t="shared" si="0"/>
        <v>0</v>
      </c>
      <c r="C10" s="3"/>
      <c r="D10" s="3"/>
      <c r="E10" s="3"/>
      <c r="F10" s="3"/>
    </row>
    <row r="11" spans="1:6" x14ac:dyDescent="0.3">
      <c r="A11" s="2" t="s">
        <v>13</v>
      </c>
      <c r="B11" s="3">
        <f t="shared" si="0"/>
        <v>0</v>
      </c>
      <c r="C11" s="3"/>
      <c r="D11" s="3"/>
      <c r="E11" s="3"/>
      <c r="F11" s="3"/>
    </row>
    <row r="12" spans="1:6" x14ac:dyDescent="0.3">
      <c r="A12" s="2" t="s">
        <v>14</v>
      </c>
      <c r="B12" s="3">
        <f t="shared" si="0"/>
        <v>7710</v>
      </c>
      <c r="C12" s="3">
        <v>7710</v>
      </c>
      <c r="D12" s="3">
        <v>3010</v>
      </c>
      <c r="E12" s="3">
        <v>0</v>
      </c>
      <c r="F12" s="3">
        <v>0</v>
      </c>
    </row>
    <row r="13" spans="1:6" x14ac:dyDescent="0.3">
      <c r="A13" s="2" t="s">
        <v>15</v>
      </c>
      <c r="B13" s="3">
        <f t="shared" si="0"/>
        <v>0</v>
      </c>
      <c r="C13" s="3"/>
      <c r="D13" s="3"/>
      <c r="E13" s="3"/>
      <c r="F13" s="3"/>
    </row>
    <row r="14" spans="1:6" x14ac:dyDescent="0.3">
      <c r="A14" s="2" t="s">
        <v>16</v>
      </c>
      <c r="B14" s="3">
        <f t="shared" si="0"/>
        <v>0</v>
      </c>
      <c r="C14" s="3"/>
      <c r="D14" s="3"/>
      <c r="E14" s="3"/>
      <c r="F14" s="3"/>
    </row>
    <row r="15" spans="1:6" ht="17.25" thickBot="1" x14ac:dyDescent="0.35">
      <c r="A15" s="4" t="s">
        <v>17</v>
      </c>
      <c r="B15" s="5">
        <f>SUM(B3:B14)</f>
        <v>30839</v>
      </c>
      <c r="C15" s="5">
        <f t="shared" ref="C15" si="1">SUM(C3:C14)</f>
        <v>30839</v>
      </c>
      <c r="D15" s="5">
        <f t="shared" ref="D15:F15" si="2">SUM(D3:D14)</f>
        <v>12040</v>
      </c>
      <c r="E15" s="5">
        <f t="shared" si="2"/>
        <v>0</v>
      </c>
      <c r="F15" s="5">
        <f t="shared" si="2"/>
        <v>0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2" width="14.375" bestFit="1" customWidth="1"/>
    <col min="3" max="4" width="14.375" customWidth="1"/>
    <col min="5" max="5" width="14.375" bestFit="1" customWidth="1"/>
    <col min="6" max="6" width="12.625" bestFit="1" customWidth="1"/>
  </cols>
  <sheetData>
    <row r="2" spans="1:6" x14ac:dyDescent="0.3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</row>
    <row r="3" spans="1:6" x14ac:dyDescent="0.3">
      <c r="A3" s="2" t="s">
        <v>5</v>
      </c>
      <c r="B3" s="3">
        <f>C3-E3</f>
        <v>7710</v>
      </c>
      <c r="C3" s="3">
        <v>7710</v>
      </c>
      <c r="D3" s="3">
        <v>3010</v>
      </c>
      <c r="E3" s="3">
        <v>0</v>
      </c>
      <c r="F3" s="3">
        <v>0</v>
      </c>
    </row>
    <row r="4" spans="1:6" x14ac:dyDescent="0.3">
      <c r="A4" s="2" t="s">
        <v>6</v>
      </c>
      <c r="B4" s="3">
        <f t="shared" ref="B4:B14" si="0">C4-E4</f>
        <v>0</v>
      </c>
      <c r="C4" s="3"/>
      <c r="D4" s="3"/>
      <c r="E4" s="3"/>
      <c r="F4" s="3"/>
    </row>
    <row r="5" spans="1:6" x14ac:dyDescent="0.3">
      <c r="A5" s="2" t="s">
        <v>7</v>
      </c>
      <c r="B5" s="3">
        <f t="shared" si="0"/>
        <v>373</v>
      </c>
      <c r="C5" s="3">
        <v>373</v>
      </c>
      <c r="D5" s="3">
        <v>280</v>
      </c>
      <c r="E5" s="3">
        <v>0</v>
      </c>
      <c r="F5" s="3">
        <v>0</v>
      </c>
    </row>
    <row r="6" spans="1:6" x14ac:dyDescent="0.3">
      <c r="A6" s="2" t="s">
        <v>8</v>
      </c>
      <c r="B6" s="3">
        <f t="shared" si="0"/>
        <v>7710</v>
      </c>
      <c r="C6" s="3">
        <v>7710</v>
      </c>
      <c r="D6" s="3">
        <v>3010</v>
      </c>
      <c r="E6" s="3">
        <v>0</v>
      </c>
      <c r="F6" s="3">
        <v>0</v>
      </c>
    </row>
    <row r="7" spans="1:6" x14ac:dyDescent="0.3">
      <c r="A7" s="2" t="s">
        <v>9</v>
      </c>
      <c r="B7" s="3">
        <f t="shared" si="0"/>
        <v>0</v>
      </c>
      <c r="C7" s="3"/>
      <c r="D7" s="3"/>
      <c r="E7" s="3"/>
      <c r="F7" s="3"/>
    </row>
    <row r="8" spans="1:6" x14ac:dyDescent="0.3">
      <c r="A8" s="2" t="s">
        <v>10</v>
      </c>
      <c r="B8" s="3">
        <f t="shared" si="0"/>
        <v>0</v>
      </c>
      <c r="C8" s="3"/>
      <c r="D8" s="3"/>
      <c r="E8" s="3"/>
      <c r="F8" s="3"/>
    </row>
    <row r="9" spans="1:6" x14ac:dyDescent="0.3">
      <c r="A9" s="2" t="s">
        <v>11</v>
      </c>
      <c r="B9" s="3">
        <f t="shared" si="0"/>
        <v>0</v>
      </c>
      <c r="C9" s="3"/>
      <c r="D9" s="3"/>
      <c r="E9" s="3"/>
      <c r="F9" s="3"/>
    </row>
    <row r="10" spans="1:6" x14ac:dyDescent="0.3">
      <c r="A10" s="2" t="s">
        <v>12</v>
      </c>
      <c r="B10" s="3">
        <f t="shared" si="0"/>
        <v>0</v>
      </c>
      <c r="C10" s="3"/>
      <c r="D10" s="3"/>
      <c r="E10" s="3"/>
      <c r="F10" s="3"/>
    </row>
    <row r="11" spans="1:6" x14ac:dyDescent="0.3">
      <c r="A11" s="2" t="s">
        <v>13</v>
      </c>
      <c r="B11" s="3">
        <f t="shared" si="0"/>
        <v>0</v>
      </c>
      <c r="C11" s="3"/>
      <c r="D11" s="3"/>
      <c r="E11" s="3"/>
      <c r="F11" s="3"/>
    </row>
    <row r="12" spans="1:6" x14ac:dyDescent="0.3">
      <c r="A12" s="2" t="s">
        <v>14</v>
      </c>
      <c r="B12" s="3">
        <f t="shared" si="0"/>
        <v>0</v>
      </c>
      <c r="C12" s="3"/>
      <c r="D12" s="3"/>
      <c r="E12" s="3"/>
      <c r="F12" s="3"/>
    </row>
    <row r="13" spans="1:6" x14ac:dyDescent="0.3">
      <c r="A13" s="2" t="s">
        <v>15</v>
      </c>
      <c r="B13" s="3">
        <f t="shared" si="0"/>
        <v>0</v>
      </c>
      <c r="C13" s="3"/>
      <c r="D13" s="3"/>
      <c r="E13" s="3"/>
      <c r="F13" s="3"/>
    </row>
    <row r="14" spans="1:6" x14ac:dyDescent="0.3">
      <c r="A14" s="2" t="s">
        <v>16</v>
      </c>
      <c r="B14" s="3">
        <f t="shared" si="0"/>
        <v>0</v>
      </c>
      <c r="C14" s="3"/>
      <c r="D14" s="3"/>
      <c r="E14" s="3"/>
      <c r="F14" s="3"/>
    </row>
    <row r="15" spans="1:6" ht="17.25" thickBot="1" x14ac:dyDescent="0.35">
      <c r="A15" s="4" t="s">
        <v>17</v>
      </c>
      <c r="B15" s="5">
        <f>SUM(B3:B14)</f>
        <v>15793</v>
      </c>
      <c r="C15" s="5">
        <f t="shared" ref="C15" si="1">SUM(C3:C14)</f>
        <v>15793</v>
      </c>
      <c r="D15" s="5">
        <f t="shared" ref="D15:F15" si="2">SUM(D3:D14)</f>
        <v>6300</v>
      </c>
      <c r="E15" s="5">
        <f t="shared" si="2"/>
        <v>0</v>
      </c>
      <c r="F15" s="5">
        <f t="shared" si="2"/>
        <v>0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2" width="14.375" bestFit="1" customWidth="1"/>
    <col min="3" max="4" width="14.375" customWidth="1"/>
    <col min="5" max="5" width="14.375" bestFit="1" customWidth="1"/>
    <col min="6" max="6" width="12.625" bestFit="1" customWidth="1"/>
  </cols>
  <sheetData>
    <row r="2" spans="1:6" x14ac:dyDescent="0.3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</row>
    <row r="3" spans="1:6" x14ac:dyDescent="0.3">
      <c r="A3" s="2" t="s">
        <v>5</v>
      </c>
      <c r="B3" s="3">
        <f>C3-E3</f>
        <v>0</v>
      </c>
      <c r="C3" s="3"/>
      <c r="D3" s="3"/>
      <c r="E3" s="3"/>
      <c r="F3" s="3"/>
    </row>
    <row r="4" spans="1:6" x14ac:dyDescent="0.3">
      <c r="A4" s="2" t="s">
        <v>6</v>
      </c>
      <c r="B4" s="3">
        <f t="shared" ref="B4:B14" si="0">C4-E4</f>
        <v>0</v>
      </c>
      <c r="C4" s="3"/>
      <c r="D4" s="3"/>
      <c r="E4" s="3"/>
      <c r="F4" s="3"/>
    </row>
    <row r="5" spans="1:6" x14ac:dyDescent="0.3">
      <c r="A5" s="2" t="s">
        <v>7</v>
      </c>
      <c r="B5" s="3">
        <f t="shared" si="0"/>
        <v>0</v>
      </c>
      <c r="C5" s="3"/>
      <c r="D5" s="3"/>
      <c r="E5" s="3"/>
      <c r="F5" s="3"/>
    </row>
    <row r="6" spans="1:6" x14ac:dyDescent="0.3">
      <c r="A6" s="2" t="s">
        <v>8</v>
      </c>
      <c r="B6" s="3">
        <f t="shared" si="0"/>
        <v>0</v>
      </c>
      <c r="C6" s="3"/>
      <c r="D6" s="3"/>
      <c r="E6" s="3"/>
      <c r="F6" s="3"/>
    </row>
    <row r="7" spans="1:6" x14ac:dyDescent="0.3">
      <c r="A7" s="2" t="s">
        <v>9</v>
      </c>
      <c r="B7" s="3">
        <f t="shared" si="0"/>
        <v>0</v>
      </c>
      <c r="C7" s="3"/>
      <c r="D7" s="3"/>
      <c r="E7" s="3"/>
      <c r="F7" s="3"/>
    </row>
    <row r="8" spans="1:6" x14ac:dyDescent="0.3">
      <c r="A8" s="2" t="s">
        <v>10</v>
      </c>
      <c r="B8" s="3">
        <f t="shared" si="0"/>
        <v>0</v>
      </c>
      <c r="C8" s="3"/>
      <c r="D8" s="3"/>
      <c r="E8" s="3"/>
      <c r="F8" s="3"/>
    </row>
    <row r="9" spans="1:6" x14ac:dyDescent="0.3">
      <c r="A9" s="2" t="s">
        <v>11</v>
      </c>
      <c r="B9" s="3">
        <f t="shared" si="0"/>
        <v>0</v>
      </c>
      <c r="C9" s="3"/>
      <c r="D9" s="3"/>
      <c r="E9" s="3"/>
      <c r="F9" s="3"/>
    </row>
    <row r="10" spans="1:6" x14ac:dyDescent="0.3">
      <c r="A10" s="2" t="s">
        <v>12</v>
      </c>
      <c r="B10" s="3">
        <f t="shared" si="0"/>
        <v>0</v>
      </c>
      <c r="C10" s="3"/>
      <c r="D10" s="3"/>
      <c r="E10" s="3"/>
      <c r="F10" s="3"/>
    </row>
    <row r="11" spans="1:6" x14ac:dyDescent="0.3">
      <c r="A11" s="2" t="s">
        <v>13</v>
      </c>
      <c r="B11" s="3">
        <f t="shared" si="0"/>
        <v>0</v>
      </c>
      <c r="C11" s="3"/>
      <c r="D11" s="3"/>
      <c r="E11" s="3"/>
      <c r="F11" s="3"/>
    </row>
    <row r="12" spans="1:6" x14ac:dyDescent="0.3">
      <c r="A12" s="2" t="s">
        <v>14</v>
      </c>
      <c r="B12" s="3">
        <f t="shared" si="0"/>
        <v>0</v>
      </c>
      <c r="C12" s="3"/>
      <c r="D12" s="3"/>
      <c r="E12" s="3"/>
      <c r="F12" s="3"/>
    </row>
    <row r="13" spans="1:6" x14ac:dyDescent="0.3">
      <c r="A13" s="2" t="s">
        <v>15</v>
      </c>
      <c r="B13" s="3">
        <f t="shared" si="0"/>
        <v>0</v>
      </c>
      <c r="C13" s="3"/>
      <c r="D13" s="3"/>
      <c r="E13" s="3"/>
      <c r="F13" s="3"/>
    </row>
    <row r="14" spans="1:6" x14ac:dyDescent="0.3">
      <c r="A14" s="2" t="s">
        <v>16</v>
      </c>
      <c r="B14" s="3">
        <f t="shared" si="0"/>
        <v>24</v>
      </c>
      <c r="C14" s="3">
        <v>24</v>
      </c>
      <c r="D14" s="3">
        <v>18</v>
      </c>
      <c r="E14" s="3">
        <v>0</v>
      </c>
      <c r="F14" s="3">
        <v>0</v>
      </c>
    </row>
    <row r="15" spans="1:6" ht="17.25" thickBot="1" x14ac:dyDescent="0.35">
      <c r="A15" s="4" t="s">
        <v>17</v>
      </c>
      <c r="B15" s="5">
        <f>SUM(B3:B14)</f>
        <v>24</v>
      </c>
      <c r="C15" s="5">
        <f t="shared" ref="C15" si="1">SUM(C3:C14)</f>
        <v>24</v>
      </c>
      <c r="D15" s="5">
        <f t="shared" ref="D15:F15" si="2">SUM(D3:D14)</f>
        <v>18</v>
      </c>
      <c r="E15" s="5">
        <f t="shared" si="2"/>
        <v>0</v>
      </c>
      <c r="F15" s="5">
        <f t="shared" si="2"/>
        <v>0</v>
      </c>
    </row>
    <row r="16" spans="1:6" ht="17.25" thickTop="1" x14ac:dyDescent="0.3"/>
  </sheetData>
  <phoneticPr fontId="1" type="noConversion"/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2" width="14.375" bestFit="1" customWidth="1"/>
    <col min="3" max="4" width="14.375" customWidth="1"/>
    <col min="5" max="5" width="14.375" bestFit="1" customWidth="1"/>
    <col min="6" max="6" width="12.625" bestFit="1" customWidth="1"/>
  </cols>
  <sheetData>
    <row r="2" spans="1:6" x14ac:dyDescent="0.3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</row>
    <row r="3" spans="1:6" x14ac:dyDescent="0.3">
      <c r="A3" s="2" t="s">
        <v>5</v>
      </c>
      <c r="B3" s="3">
        <f>C3-E3</f>
        <v>0</v>
      </c>
      <c r="C3" s="3"/>
      <c r="D3" s="3"/>
      <c r="E3" s="3"/>
      <c r="F3" s="3"/>
    </row>
    <row r="4" spans="1:6" x14ac:dyDescent="0.3">
      <c r="A4" s="2" t="s">
        <v>6</v>
      </c>
      <c r="B4" s="3">
        <f t="shared" ref="B4:B14" si="0">C4-E4</f>
        <v>0</v>
      </c>
      <c r="C4" s="3"/>
      <c r="D4" s="3"/>
      <c r="E4" s="3"/>
      <c r="F4" s="3"/>
    </row>
    <row r="5" spans="1:6" x14ac:dyDescent="0.3">
      <c r="A5" s="2" t="s">
        <v>7</v>
      </c>
      <c r="B5" s="3">
        <f t="shared" si="0"/>
        <v>0</v>
      </c>
      <c r="C5" s="3"/>
      <c r="D5" s="3"/>
      <c r="E5" s="3"/>
      <c r="F5" s="3"/>
    </row>
    <row r="6" spans="1:6" x14ac:dyDescent="0.3">
      <c r="A6" s="2" t="s">
        <v>8</v>
      </c>
      <c r="B6" s="3">
        <f t="shared" si="0"/>
        <v>0</v>
      </c>
      <c r="C6" s="3"/>
      <c r="D6" s="3"/>
      <c r="E6" s="3"/>
      <c r="F6" s="3"/>
    </row>
    <row r="7" spans="1:6" x14ac:dyDescent="0.3">
      <c r="A7" s="2" t="s">
        <v>9</v>
      </c>
      <c r="B7" s="3">
        <f t="shared" si="0"/>
        <v>0</v>
      </c>
      <c r="C7" s="3"/>
      <c r="D7" s="3"/>
      <c r="E7" s="3"/>
      <c r="F7" s="3"/>
    </row>
    <row r="8" spans="1:6" x14ac:dyDescent="0.3">
      <c r="A8" s="2" t="s">
        <v>10</v>
      </c>
      <c r="B8" s="3">
        <f t="shared" si="0"/>
        <v>0</v>
      </c>
      <c r="C8" s="3"/>
      <c r="D8" s="3"/>
      <c r="E8" s="3"/>
      <c r="F8" s="3"/>
    </row>
    <row r="9" spans="1:6" x14ac:dyDescent="0.3">
      <c r="A9" s="2" t="s">
        <v>11</v>
      </c>
      <c r="B9" s="3">
        <f t="shared" si="0"/>
        <v>0</v>
      </c>
      <c r="C9" s="3"/>
      <c r="D9" s="3"/>
      <c r="E9" s="3"/>
      <c r="F9" s="3"/>
    </row>
    <row r="10" spans="1:6" x14ac:dyDescent="0.3">
      <c r="A10" s="2" t="s">
        <v>12</v>
      </c>
      <c r="B10" s="3">
        <f t="shared" si="0"/>
        <v>1005</v>
      </c>
      <c r="C10" s="3">
        <v>1005</v>
      </c>
      <c r="D10" s="3">
        <v>414</v>
      </c>
      <c r="E10" s="3">
        <v>0</v>
      </c>
      <c r="F10" s="3">
        <v>0</v>
      </c>
    </row>
    <row r="11" spans="1:6" x14ac:dyDescent="0.3">
      <c r="A11" s="2" t="s">
        <v>13</v>
      </c>
      <c r="B11" s="3">
        <f t="shared" si="0"/>
        <v>0</v>
      </c>
      <c r="C11" s="3"/>
      <c r="D11" s="3"/>
      <c r="E11" s="3"/>
      <c r="F11" s="3"/>
    </row>
    <row r="12" spans="1:6" x14ac:dyDescent="0.3">
      <c r="A12" s="2" t="s">
        <v>14</v>
      </c>
      <c r="B12" s="3">
        <f t="shared" si="0"/>
        <v>975</v>
      </c>
      <c r="C12" s="3">
        <v>975</v>
      </c>
      <c r="D12" s="3">
        <v>306</v>
      </c>
      <c r="E12" s="3">
        <v>0</v>
      </c>
      <c r="F12" s="3">
        <v>0</v>
      </c>
    </row>
    <row r="13" spans="1:6" x14ac:dyDescent="0.3">
      <c r="A13" s="2" t="s">
        <v>15</v>
      </c>
      <c r="B13" s="3">
        <f t="shared" si="0"/>
        <v>0</v>
      </c>
      <c r="C13" s="3"/>
      <c r="D13" s="3"/>
      <c r="E13" s="3"/>
      <c r="F13" s="3"/>
    </row>
    <row r="14" spans="1:6" x14ac:dyDescent="0.3">
      <c r="A14" s="2" t="s">
        <v>16</v>
      </c>
      <c r="B14" s="3">
        <f t="shared" si="0"/>
        <v>0</v>
      </c>
      <c r="C14" s="3"/>
      <c r="D14" s="3"/>
      <c r="E14" s="3"/>
      <c r="F14" s="3"/>
    </row>
    <row r="15" spans="1:6" ht="17.25" thickBot="1" x14ac:dyDescent="0.35">
      <c r="A15" s="4" t="s">
        <v>17</v>
      </c>
      <c r="B15" s="5">
        <f>SUM(B3:B14)</f>
        <v>1980</v>
      </c>
      <c r="C15" s="5">
        <f t="shared" ref="C15" si="1">SUM(C3:C14)</f>
        <v>1980</v>
      </c>
      <c r="D15" s="5">
        <f t="shared" ref="D15:F15" si="2">SUM(D3:D14)</f>
        <v>720</v>
      </c>
      <c r="E15" s="5">
        <f t="shared" si="2"/>
        <v>0</v>
      </c>
      <c r="F15" s="5">
        <f t="shared" si="2"/>
        <v>0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2" width="14.375" bestFit="1" customWidth="1"/>
    <col min="3" max="4" width="14.375" customWidth="1"/>
    <col min="5" max="5" width="14.375" bestFit="1" customWidth="1"/>
    <col min="6" max="6" width="12.625" bestFit="1" customWidth="1"/>
  </cols>
  <sheetData>
    <row r="2" spans="1:6" x14ac:dyDescent="0.3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</row>
    <row r="3" spans="1:6" x14ac:dyDescent="0.3">
      <c r="A3" s="2" t="s">
        <v>5</v>
      </c>
      <c r="B3" s="3">
        <f>C3-E3</f>
        <v>0</v>
      </c>
      <c r="C3" s="3"/>
      <c r="D3" s="3"/>
      <c r="E3" s="3"/>
      <c r="F3" s="3"/>
    </row>
    <row r="4" spans="1:6" x14ac:dyDescent="0.3">
      <c r="A4" s="2" t="s">
        <v>6</v>
      </c>
      <c r="B4" s="3">
        <f t="shared" ref="B4:B14" si="0">C4-E4</f>
        <v>0</v>
      </c>
      <c r="C4" s="3"/>
      <c r="D4" s="3"/>
      <c r="E4" s="3"/>
      <c r="F4" s="3"/>
    </row>
    <row r="5" spans="1:6" x14ac:dyDescent="0.3">
      <c r="A5" s="2" t="s">
        <v>7</v>
      </c>
      <c r="B5" s="3">
        <f t="shared" si="0"/>
        <v>0</v>
      </c>
      <c r="C5" s="3"/>
      <c r="D5" s="3"/>
      <c r="E5" s="3"/>
      <c r="F5" s="3"/>
    </row>
    <row r="6" spans="1:6" x14ac:dyDescent="0.3">
      <c r="A6" s="2" t="s">
        <v>8</v>
      </c>
      <c r="B6" s="3">
        <f t="shared" si="0"/>
        <v>0</v>
      </c>
      <c r="C6" s="3"/>
      <c r="D6" s="3"/>
      <c r="E6" s="3"/>
      <c r="F6" s="3"/>
    </row>
    <row r="7" spans="1:6" x14ac:dyDescent="0.3">
      <c r="A7" s="2" t="s">
        <v>9</v>
      </c>
      <c r="B7" s="3">
        <f t="shared" si="0"/>
        <v>0</v>
      </c>
      <c r="C7" s="3"/>
      <c r="D7" s="3"/>
      <c r="E7" s="3"/>
      <c r="F7" s="3"/>
    </row>
    <row r="8" spans="1:6" x14ac:dyDescent="0.3">
      <c r="A8" s="2" t="s">
        <v>10</v>
      </c>
      <c r="B8" s="3">
        <f t="shared" si="0"/>
        <v>0</v>
      </c>
      <c r="C8" s="3"/>
      <c r="D8" s="3"/>
      <c r="E8" s="3"/>
      <c r="F8" s="3"/>
    </row>
    <row r="9" spans="1:6" x14ac:dyDescent="0.3">
      <c r="A9" s="2" t="s">
        <v>11</v>
      </c>
      <c r="B9" s="3">
        <f t="shared" si="0"/>
        <v>0</v>
      </c>
      <c r="C9" s="3"/>
      <c r="D9" s="3"/>
      <c r="E9" s="3"/>
      <c r="F9" s="3"/>
    </row>
    <row r="10" spans="1:6" x14ac:dyDescent="0.3">
      <c r="A10" s="2" t="s">
        <v>12</v>
      </c>
      <c r="B10" s="3">
        <f t="shared" si="0"/>
        <v>0</v>
      </c>
      <c r="C10" s="3"/>
      <c r="D10" s="3"/>
      <c r="E10" s="3"/>
      <c r="F10" s="3"/>
    </row>
    <row r="11" spans="1:6" x14ac:dyDescent="0.3">
      <c r="A11" s="2" t="s">
        <v>13</v>
      </c>
      <c r="B11" s="3">
        <f t="shared" si="0"/>
        <v>1014</v>
      </c>
      <c r="C11" s="3">
        <v>1018</v>
      </c>
      <c r="D11" s="3">
        <v>198</v>
      </c>
      <c r="E11" s="3">
        <v>4</v>
      </c>
      <c r="F11" s="3">
        <v>1</v>
      </c>
    </row>
    <row r="12" spans="1:6" x14ac:dyDescent="0.3">
      <c r="A12" s="2" t="s">
        <v>14</v>
      </c>
      <c r="B12" s="3">
        <f t="shared" si="0"/>
        <v>-2</v>
      </c>
      <c r="C12" s="3">
        <v>0</v>
      </c>
      <c r="D12" s="3">
        <v>0</v>
      </c>
      <c r="E12" s="3">
        <v>2</v>
      </c>
      <c r="F12" s="3">
        <v>0</v>
      </c>
    </row>
    <row r="13" spans="1:6" x14ac:dyDescent="0.3">
      <c r="A13" s="2" t="s">
        <v>15</v>
      </c>
      <c r="B13" s="3">
        <f t="shared" si="0"/>
        <v>-46</v>
      </c>
      <c r="C13" s="3">
        <v>0</v>
      </c>
      <c r="D13" s="3">
        <v>0</v>
      </c>
      <c r="E13" s="3">
        <v>46</v>
      </c>
      <c r="F13" s="3">
        <v>8</v>
      </c>
    </row>
    <row r="14" spans="1:6" x14ac:dyDescent="0.3">
      <c r="A14" s="2" t="s">
        <v>16</v>
      </c>
      <c r="B14" s="3">
        <f t="shared" si="0"/>
        <v>84</v>
      </c>
      <c r="C14" s="3">
        <v>101</v>
      </c>
      <c r="D14" s="3">
        <v>36</v>
      </c>
      <c r="E14" s="3">
        <v>17</v>
      </c>
      <c r="F14" s="3">
        <v>3</v>
      </c>
    </row>
    <row r="15" spans="1:6" ht="17.25" thickBot="1" x14ac:dyDescent="0.35">
      <c r="A15" s="4" t="s">
        <v>17</v>
      </c>
      <c r="B15" s="5">
        <f>SUM(B3:B14)</f>
        <v>1050</v>
      </c>
      <c r="C15" s="5">
        <f t="shared" ref="C15" si="1">SUM(C3:C14)</f>
        <v>1119</v>
      </c>
      <c r="D15" s="5">
        <f t="shared" ref="D15:F15" si="2">SUM(D3:D14)</f>
        <v>234</v>
      </c>
      <c r="E15" s="5">
        <f t="shared" si="2"/>
        <v>69</v>
      </c>
      <c r="F15" s="5">
        <f t="shared" si="2"/>
        <v>12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2" width="14.375" bestFit="1" customWidth="1"/>
    <col min="3" max="4" width="14.375" customWidth="1"/>
    <col min="5" max="5" width="14.375" bestFit="1" customWidth="1"/>
    <col min="6" max="6" width="12.625" bestFit="1" customWidth="1"/>
  </cols>
  <sheetData>
    <row r="2" spans="1:6" x14ac:dyDescent="0.3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</row>
    <row r="3" spans="1:6" x14ac:dyDescent="0.3">
      <c r="A3" s="2" t="s">
        <v>5</v>
      </c>
      <c r="B3" s="3">
        <f t="shared" ref="B3:B14" si="0">C3-E3</f>
        <v>-10</v>
      </c>
      <c r="C3" s="3">
        <v>0</v>
      </c>
      <c r="D3" s="3">
        <v>0</v>
      </c>
      <c r="E3" s="3">
        <v>10</v>
      </c>
      <c r="F3" s="3">
        <v>3</v>
      </c>
    </row>
    <row r="4" spans="1:6" x14ac:dyDescent="0.3">
      <c r="A4" s="2" t="s">
        <v>6</v>
      </c>
      <c r="B4" s="3">
        <f t="shared" si="0"/>
        <v>546</v>
      </c>
      <c r="C4" s="3">
        <v>546</v>
      </c>
      <c r="D4" s="3">
        <v>198</v>
      </c>
      <c r="E4" s="3">
        <v>0</v>
      </c>
      <c r="F4" s="3">
        <v>0</v>
      </c>
    </row>
    <row r="5" spans="1:6" x14ac:dyDescent="0.3">
      <c r="A5" s="2" t="s">
        <v>7</v>
      </c>
      <c r="B5" s="3">
        <f t="shared" si="0"/>
        <v>-8</v>
      </c>
      <c r="C5" s="3">
        <v>0</v>
      </c>
      <c r="D5" s="3">
        <v>0</v>
      </c>
      <c r="E5" s="3">
        <v>8</v>
      </c>
      <c r="F5" s="3">
        <v>1</v>
      </c>
    </row>
    <row r="6" spans="1:6" x14ac:dyDescent="0.3">
      <c r="A6" s="2" t="s">
        <v>8</v>
      </c>
      <c r="B6" s="3">
        <f t="shared" si="0"/>
        <v>-23</v>
      </c>
      <c r="C6" s="3">
        <v>0</v>
      </c>
      <c r="D6" s="3">
        <v>0</v>
      </c>
      <c r="E6" s="3">
        <v>23</v>
      </c>
      <c r="F6" s="3">
        <v>4</v>
      </c>
    </row>
    <row r="7" spans="1:6" x14ac:dyDescent="0.3">
      <c r="A7" s="2" t="s">
        <v>9</v>
      </c>
      <c r="B7" s="3">
        <f t="shared" si="0"/>
        <v>233</v>
      </c>
      <c r="C7" s="3">
        <v>283</v>
      </c>
      <c r="D7" s="3">
        <v>54</v>
      </c>
      <c r="E7" s="3">
        <v>50</v>
      </c>
      <c r="F7" s="3">
        <v>8</v>
      </c>
    </row>
    <row r="8" spans="1:6" x14ac:dyDescent="0.3">
      <c r="A8" s="2" t="s">
        <v>10</v>
      </c>
      <c r="B8" s="3">
        <f t="shared" si="0"/>
        <v>994</v>
      </c>
      <c r="C8" s="3">
        <v>1045</v>
      </c>
      <c r="D8" s="3">
        <v>198</v>
      </c>
      <c r="E8" s="3">
        <v>51</v>
      </c>
      <c r="F8" s="3">
        <v>5</v>
      </c>
    </row>
    <row r="9" spans="1:6" x14ac:dyDescent="0.3">
      <c r="A9" s="2" t="s">
        <v>11</v>
      </c>
      <c r="B9" s="3">
        <f t="shared" si="0"/>
        <v>-17</v>
      </c>
      <c r="C9" s="3">
        <v>0</v>
      </c>
      <c r="D9" s="3">
        <v>0</v>
      </c>
      <c r="E9" s="3">
        <v>17</v>
      </c>
      <c r="F9" s="3">
        <v>3</v>
      </c>
    </row>
    <row r="10" spans="1:6" x14ac:dyDescent="0.3">
      <c r="A10" s="2" t="s">
        <v>12</v>
      </c>
      <c r="B10" s="3">
        <f t="shared" si="0"/>
        <v>954</v>
      </c>
      <c r="C10" s="3">
        <v>995</v>
      </c>
      <c r="D10" s="3">
        <v>198</v>
      </c>
      <c r="E10" s="3">
        <v>41</v>
      </c>
      <c r="F10" s="3">
        <v>3</v>
      </c>
    </row>
    <row r="11" spans="1:6" x14ac:dyDescent="0.3">
      <c r="A11" s="2" t="s">
        <v>13</v>
      </c>
      <c r="B11" s="3">
        <f t="shared" si="0"/>
        <v>1280</v>
      </c>
      <c r="C11" s="3">
        <v>1280</v>
      </c>
      <c r="D11" s="3">
        <v>252</v>
      </c>
      <c r="E11" s="3">
        <v>0</v>
      </c>
      <c r="F11" s="3">
        <v>0</v>
      </c>
    </row>
    <row r="12" spans="1:6" x14ac:dyDescent="0.3">
      <c r="A12" s="2" t="s">
        <v>14</v>
      </c>
      <c r="B12" s="3">
        <f t="shared" si="0"/>
        <v>0</v>
      </c>
      <c r="C12" s="3"/>
      <c r="D12" s="3"/>
      <c r="E12" s="3"/>
      <c r="F12" s="3"/>
    </row>
    <row r="13" spans="1:6" x14ac:dyDescent="0.3">
      <c r="A13" s="2" t="s">
        <v>15</v>
      </c>
      <c r="B13" s="3">
        <f t="shared" si="0"/>
        <v>713</v>
      </c>
      <c r="C13" s="3">
        <v>731</v>
      </c>
      <c r="D13" s="3">
        <v>126</v>
      </c>
      <c r="E13" s="3">
        <v>18</v>
      </c>
      <c r="F13" s="3">
        <v>4</v>
      </c>
    </row>
    <row r="14" spans="1:6" x14ac:dyDescent="0.3">
      <c r="A14" s="2" t="s">
        <v>16</v>
      </c>
      <c r="B14" s="3">
        <f t="shared" si="0"/>
        <v>0</v>
      </c>
      <c r="C14" s="3"/>
      <c r="D14" s="3"/>
      <c r="E14" s="3"/>
      <c r="F14" s="3"/>
    </row>
    <row r="15" spans="1:6" ht="17.25" thickBot="1" x14ac:dyDescent="0.35">
      <c r="A15" s="4" t="s">
        <v>17</v>
      </c>
      <c r="B15" s="5">
        <f>SUM(B3:B14)</f>
        <v>4662</v>
      </c>
      <c r="C15" s="5">
        <f t="shared" ref="C15" si="1">SUM(C3:C14)</f>
        <v>4880</v>
      </c>
      <c r="D15" s="5">
        <f t="shared" ref="D15:F15" si="2">SUM(D3:D14)</f>
        <v>1026</v>
      </c>
      <c r="E15" s="5">
        <f t="shared" si="2"/>
        <v>218</v>
      </c>
      <c r="F15" s="5">
        <f t="shared" si="2"/>
        <v>31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2" width="14.375" bestFit="1" customWidth="1"/>
    <col min="3" max="4" width="14.375" customWidth="1"/>
    <col min="5" max="5" width="14.375" bestFit="1" customWidth="1"/>
    <col min="6" max="6" width="12.625" bestFit="1" customWidth="1"/>
  </cols>
  <sheetData>
    <row r="2" spans="1:6" x14ac:dyDescent="0.3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</row>
    <row r="3" spans="1:6" x14ac:dyDescent="0.3">
      <c r="A3" s="2" t="s">
        <v>5</v>
      </c>
      <c r="B3" s="3">
        <f>C3-E3</f>
        <v>1444</v>
      </c>
      <c r="C3" s="3">
        <v>1444</v>
      </c>
      <c r="D3" s="3">
        <v>306</v>
      </c>
      <c r="E3" s="3">
        <v>0</v>
      </c>
      <c r="F3" s="3">
        <v>0</v>
      </c>
    </row>
    <row r="4" spans="1:6" x14ac:dyDescent="0.3">
      <c r="A4" s="2" t="s">
        <v>6</v>
      </c>
      <c r="B4" s="3">
        <f t="shared" ref="B4:B14" si="0">C4-E4</f>
        <v>-13</v>
      </c>
      <c r="C4" s="3">
        <v>0</v>
      </c>
      <c r="D4" s="3">
        <v>0</v>
      </c>
      <c r="E4" s="3">
        <v>13</v>
      </c>
      <c r="F4" s="3">
        <v>4</v>
      </c>
    </row>
    <row r="5" spans="1:6" x14ac:dyDescent="0.3">
      <c r="A5" s="2" t="s">
        <v>7</v>
      </c>
      <c r="B5" s="3">
        <f t="shared" si="0"/>
        <v>959</v>
      </c>
      <c r="C5" s="3">
        <v>1004</v>
      </c>
      <c r="D5" s="3">
        <v>216</v>
      </c>
      <c r="E5" s="3">
        <v>45</v>
      </c>
      <c r="F5" s="3">
        <v>12</v>
      </c>
    </row>
    <row r="6" spans="1:6" x14ac:dyDescent="0.3">
      <c r="A6" s="2" t="s">
        <v>8</v>
      </c>
      <c r="B6" s="3">
        <f t="shared" si="0"/>
        <v>194</v>
      </c>
      <c r="C6" s="3">
        <v>194</v>
      </c>
      <c r="D6" s="3">
        <v>36</v>
      </c>
      <c r="E6" s="3">
        <v>0</v>
      </c>
      <c r="F6" s="3">
        <v>0</v>
      </c>
    </row>
    <row r="7" spans="1:6" x14ac:dyDescent="0.3">
      <c r="A7" s="2" t="s">
        <v>9</v>
      </c>
      <c r="B7" s="3">
        <f t="shared" si="0"/>
        <v>0</v>
      </c>
      <c r="C7" s="3"/>
      <c r="D7" s="3"/>
      <c r="E7" s="3"/>
      <c r="F7" s="3"/>
    </row>
    <row r="8" spans="1:6" x14ac:dyDescent="0.3">
      <c r="A8" s="2" t="s">
        <v>10</v>
      </c>
      <c r="B8" s="3">
        <f t="shared" si="0"/>
        <v>1141</v>
      </c>
      <c r="C8" s="3">
        <v>1141</v>
      </c>
      <c r="D8" s="3">
        <v>216</v>
      </c>
      <c r="E8" s="3">
        <v>0</v>
      </c>
      <c r="F8" s="3">
        <v>0</v>
      </c>
    </row>
    <row r="9" spans="1:6" x14ac:dyDescent="0.3">
      <c r="A9" s="2" t="s">
        <v>11</v>
      </c>
      <c r="B9" s="3">
        <f t="shared" si="0"/>
        <v>0</v>
      </c>
      <c r="C9" s="3"/>
      <c r="D9" s="3"/>
      <c r="E9" s="3"/>
      <c r="F9" s="3"/>
    </row>
    <row r="10" spans="1:6" x14ac:dyDescent="0.3">
      <c r="A10" s="2" t="s">
        <v>12</v>
      </c>
      <c r="B10" s="3">
        <f t="shared" si="0"/>
        <v>1079</v>
      </c>
      <c r="C10" s="3">
        <v>1079</v>
      </c>
      <c r="D10" s="3">
        <v>180</v>
      </c>
      <c r="E10" s="3">
        <v>0</v>
      </c>
      <c r="F10" s="3">
        <v>0</v>
      </c>
    </row>
    <row r="11" spans="1:6" x14ac:dyDescent="0.3">
      <c r="A11" s="2" t="s">
        <v>13</v>
      </c>
      <c r="B11" s="3">
        <f t="shared" si="0"/>
        <v>0</v>
      </c>
      <c r="C11" s="3"/>
      <c r="D11" s="3"/>
      <c r="E11" s="3"/>
      <c r="F11" s="3"/>
    </row>
    <row r="12" spans="1:6" x14ac:dyDescent="0.3">
      <c r="A12" s="2" t="s">
        <v>14</v>
      </c>
      <c r="B12" s="3">
        <f t="shared" si="0"/>
        <v>1404</v>
      </c>
      <c r="C12" s="3">
        <v>1404</v>
      </c>
      <c r="D12" s="3">
        <v>234</v>
      </c>
      <c r="E12" s="3">
        <v>0</v>
      </c>
      <c r="F12" s="3">
        <v>0</v>
      </c>
    </row>
    <row r="13" spans="1:6" x14ac:dyDescent="0.3">
      <c r="A13" s="2" t="s">
        <v>15</v>
      </c>
      <c r="B13" s="3">
        <f t="shared" si="0"/>
        <v>1145</v>
      </c>
      <c r="C13" s="3">
        <v>1145</v>
      </c>
      <c r="D13" s="3">
        <v>234</v>
      </c>
      <c r="E13" s="3">
        <v>0</v>
      </c>
      <c r="F13" s="3">
        <v>0</v>
      </c>
    </row>
    <row r="14" spans="1:6" x14ac:dyDescent="0.3">
      <c r="A14" s="2" t="s">
        <v>16</v>
      </c>
      <c r="B14" s="3">
        <f t="shared" si="0"/>
        <v>0</v>
      </c>
      <c r="C14" s="3"/>
      <c r="D14" s="3"/>
      <c r="E14" s="3"/>
      <c r="F14" s="3"/>
    </row>
    <row r="15" spans="1:6" ht="17.25" thickBot="1" x14ac:dyDescent="0.35">
      <c r="A15" s="4" t="s">
        <v>17</v>
      </c>
      <c r="B15" s="5">
        <f>SUM(B3:B14)</f>
        <v>7353</v>
      </c>
      <c r="C15" s="5">
        <f t="shared" ref="C15" si="1">SUM(C3:C14)</f>
        <v>7411</v>
      </c>
      <c r="D15" s="5">
        <f t="shared" ref="D15:F15" si="2">SUM(D3:D14)</f>
        <v>1422</v>
      </c>
      <c r="E15" s="5">
        <f t="shared" si="2"/>
        <v>58</v>
      </c>
      <c r="F15" s="5">
        <f t="shared" si="2"/>
        <v>16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2" width="14.375" bestFit="1" customWidth="1"/>
    <col min="3" max="4" width="14.375" customWidth="1"/>
    <col min="5" max="5" width="14.375" bestFit="1" customWidth="1"/>
    <col min="6" max="6" width="12.625" bestFit="1" customWidth="1"/>
  </cols>
  <sheetData>
    <row r="2" spans="1:6" x14ac:dyDescent="0.3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</row>
    <row r="3" spans="1:6" x14ac:dyDescent="0.3">
      <c r="A3" s="2" t="s">
        <v>5</v>
      </c>
      <c r="B3" s="3">
        <f>C3-E3</f>
        <v>1039</v>
      </c>
      <c r="C3" s="3">
        <v>1039</v>
      </c>
      <c r="D3" s="3">
        <v>216</v>
      </c>
      <c r="E3" s="3">
        <v>0</v>
      </c>
      <c r="F3" s="3">
        <v>0</v>
      </c>
    </row>
    <row r="4" spans="1:6" x14ac:dyDescent="0.3">
      <c r="A4" s="2" t="s">
        <v>6</v>
      </c>
      <c r="B4" s="3">
        <f t="shared" ref="B4:B14" si="0">C4-E4</f>
        <v>0</v>
      </c>
      <c r="C4" s="3"/>
      <c r="D4" s="3"/>
      <c r="E4" s="3"/>
      <c r="F4" s="3"/>
    </row>
    <row r="5" spans="1:6" x14ac:dyDescent="0.3">
      <c r="A5" s="2" t="s">
        <v>7</v>
      </c>
      <c r="B5" s="3">
        <f t="shared" si="0"/>
        <v>1161</v>
      </c>
      <c r="C5" s="3">
        <v>1161</v>
      </c>
      <c r="D5" s="3">
        <v>234</v>
      </c>
      <c r="E5" s="3">
        <v>0</v>
      </c>
      <c r="F5" s="3">
        <v>0</v>
      </c>
    </row>
    <row r="6" spans="1:6" x14ac:dyDescent="0.3">
      <c r="A6" s="2" t="s">
        <v>8</v>
      </c>
      <c r="B6" s="3">
        <f t="shared" si="0"/>
        <v>-51</v>
      </c>
      <c r="C6" s="3">
        <v>0</v>
      </c>
      <c r="D6" s="3">
        <v>0</v>
      </c>
      <c r="E6" s="3">
        <v>51</v>
      </c>
      <c r="F6" s="3">
        <v>15</v>
      </c>
    </row>
    <row r="7" spans="1:6" x14ac:dyDescent="0.3">
      <c r="A7" s="2" t="s">
        <v>9</v>
      </c>
      <c r="B7" s="3">
        <f t="shared" si="0"/>
        <v>0</v>
      </c>
      <c r="C7" s="3"/>
      <c r="D7" s="3"/>
      <c r="E7" s="3"/>
      <c r="F7" s="3"/>
    </row>
    <row r="8" spans="1:6" x14ac:dyDescent="0.3">
      <c r="A8" s="2" t="s">
        <v>10</v>
      </c>
      <c r="B8" s="3">
        <f t="shared" si="0"/>
        <v>1137</v>
      </c>
      <c r="C8" s="3">
        <v>1137</v>
      </c>
      <c r="D8" s="3">
        <v>234</v>
      </c>
      <c r="E8" s="3">
        <v>0</v>
      </c>
      <c r="F8" s="3">
        <v>0</v>
      </c>
    </row>
    <row r="9" spans="1:6" x14ac:dyDescent="0.3">
      <c r="A9" s="2" t="s">
        <v>11</v>
      </c>
      <c r="B9" s="3">
        <f t="shared" si="0"/>
        <v>1357</v>
      </c>
      <c r="C9" s="3">
        <v>1357</v>
      </c>
      <c r="D9" s="3">
        <v>288</v>
      </c>
      <c r="E9" s="3">
        <v>0</v>
      </c>
      <c r="F9" s="3">
        <v>0</v>
      </c>
    </row>
    <row r="10" spans="1:6" x14ac:dyDescent="0.3">
      <c r="A10" s="2" t="s">
        <v>12</v>
      </c>
      <c r="B10" s="3">
        <f t="shared" si="0"/>
        <v>0</v>
      </c>
      <c r="C10" s="3"/>
      <c r="D10" s="3"/>
      <c r="E10" s="3"/>
      <c r="F10" s="3"/>
    </row>
    <row r="11" spans="1:6" x14ac:dyDescent="0.3">
      <c r="A11" s="2" t="s">
        <v>13</v>
      </c>
      <c r="B11" s="3">
        <f t="shared" si="0"/>
        <v>0</v>
      </c>
      <c r="C11" s="3"/>
      <c r="D11" s="3"/>
      <c r="E11" s="3"/>
      <c r="F11" s="3"/>
    </row>
    <row r="12" spans="1:6" x14ac:dyDescent="0.3">
      <c r="A12" s="2" t="s">
        <v>14</v>
      </c>
      <c r="B12" s="3">
        <f t="shared" si="0"/>
        <v>0</v>
      </c>
      <c r="C12" s="3"/>
      <c r="D12" s="3"/>
      <c r="E12" s="3"/>
      <c r="F12" s="3"/>
    </row>
    <row r="13" spans="1:6" x14ac:dyDescent="0.3">
      <c r="A13" s="2" t="s">
        <v>15</v>
      </c>
      <c r="B13" s="3">
        <f t="shared" si="0"/>
        <v>0</v>
      </c>
      <c r="C13" s="3"/>
      <c r="D13" s="3"/>
      <c r="E13" s="3"/>
      <c r="F13" s="3"/>
    </row>
    <row r="14" spans="1:6" x14ac:dyDescent="0.3">
      <c r="A14" s="2" t="s">
        <v>16</v>
      </c>
      <c r="B14" s="3">
        <f t="shared" si="0"/>
        <v>0</v>
      </c>
      <c r="C14" s="3"/>
      <c r="D14" s="3"/>
      <c r="E14" s="3"/>
      <c r="F14" s="3"/>
    </row>
    <row r="15" spans="1:6" ht="17.25" thickBot="1" x14ac:dyDescent="0.35">
      <c r="A15" s="4" t="s">
        <v>17</v>
      </c>
      <c r="B15" s="5">
        <f>SUM(B3:B14)</f>
        <v>4643</v>
      </c>
      <c r="C15" s="5">
        <f t="shared" ref="C15:F15" si="1">SUM(C3:C14)</f>
        <v>4694</v>
      </c>
      <c r="D15" s="5">
        <f t="shared" si="1"/>
        <v>972</v>
      </c>
      <c r="E15" s="5">
        <f t="shared" si="1"/>
        <v>51</v>
      </c>
      <c r="F15" s="5">
        <f t="shared" si="1"/>
        <v>15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17</vt:i4>
      </vt:variant>
    </vt:vector>
  </HeadingPairs>
  <TitlesOfParts>
    <vt:vector size="17" baseType="lpstr">
      <vt:lpstr>2010년</vt:lpstr>
      <vt:lpstr>2011년</vt:lpstr>
      <vt:lpstr>2012년</vt:lpstr>
      <vt:lpstr>2013년</vt:lpstr>
      <vt:lpstr>2014년</vt:lpstr>
      <vt:lpstr>2015년</vt:lpstr>
      <vt:lpstr>2016년</vt:lpstr>
      <vt:lpstr>2017년</vt:lpstr>
      <vt:lpstr>2018년</vt:lpstr>
      <vt:lpstr>2019년</vt:lpstr>
      <vt:lpstr>2020년</vt:lpstr>
      <vt:lpstr>2021년</vt:lpstr>
      <vt:lpstr>2022년</vt:lpstr>
      <vt:lpstr>2023년</vt:lpstr>
      <vt:lpstr>2024년</vt:lpstr>
      <vt:lpstr>2025년</vt:lpstr>
      <vt:lpstr>2026년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ds</dc:creator>
  <cp:lastModifiedBy>ds</cp:lastModifiedBy>
  <dcterms:created xsi:type="dcterms:W3CDTF">2026-06-01T00:19:24Z</dcterms:created>
  <dcterms:modified xsi:type="dcterms:W3CDTF">2026-08-27T05:02:43Z</dcterms:modified>
</cp:coreProperties>
</file>