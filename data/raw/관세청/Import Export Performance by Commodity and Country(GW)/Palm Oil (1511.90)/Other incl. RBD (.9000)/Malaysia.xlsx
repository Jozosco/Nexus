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기타(.9000)\"/>
    </mc:Choice>
  </mc:AlternateContent>
  <bookViews>
    <workbookView xWindow="0" yWindow="0" windowWidth="28800" windowHeight="11640" firstSheet="3" activeTab="16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8" l="1"/>
  <c r="B13" i="8"/>
  <c r="B11" i="8"/>
  <c r="B10" i="8"/>
  <c r="B9" i="8"/>
  <c r="B8" i="8"/>
  <c r="B7" i="8"/>
  <c r="B6" i="8"/>
  <c r="B5" i="8"/>
  <c r="B4" i="8"/>
  <c r="B3" i="8"/>
  <c r="B5" i="10" l="1"/>
  <c r="B4" i="10"/>
  <c r="B3" i="10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15" i="17" l="1"/>
  <c r="B15" i="16"/>
  <c r="B15" i="15"/>
  <c r="B15" i="14"/>
  <c r="B15" i="13"/>
  <c r="B15" i="12"/>
  <c r="B15" i="11"/>
  <c r="B15" i="10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2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<sst xmlns="http://schemas.openxmlformats.org/spreadsheetml/2006/main" count="306" uniqueCount="40">
  <si>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</si>
  <si>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</si>
  <si>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</si>
  <si>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</si>
  <si>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</si>
  <si>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</si>
  <si>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</si>
  <si>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</si>
  <si>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</si>
  <si>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</si>
  <si>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</si>
  <si>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</si>
  <si>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</si>
  <si>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</si>
  <si>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</si>
  <si>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</si>
  <si>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</si>
  <si>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</si>
  <si>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</si>
  <si>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</si>
  <si>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</si>
  <si>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</si>
  <si>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</si>
  <si>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</si>
  <si>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</si>
  <si>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</si>
  <si>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</si>
  <si>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</si>
  <si>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</si>
  <si>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</si>
  <si>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</si>
  <si>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</si>
  <si>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</si>
  <si>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</si>
  <si>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</si>
  <si>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</si>
  <si>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</si>
  <si>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</si>
  <si>
    <t>2월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</si>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</sst>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-6357855</v>
      </c>
      <c r="C3" s="3">
        <v>0</v>
      </c>
      <c r="D3" s="3">
        <v>0</v>
      </c>
      <c r="E3" s="3">
        <v>6357855</v>
      </c>
      <c r="F3" s="3">
        <v>8727027</v>
      </c>
    </row>
    <row r="4" spans="1:6" x14ac:dyDescent="0.3">
      <c r="A4" s="2" t="s">
        <v>24</v>
      </c>
      <c r="B4" s="3">
        <f t="shared" si="0"/>
        <v>-13324414</v>
      </c>
      <c r="C4" s="3">
        <v>0</v>
      </c>
      <c r="D4" s="3">
        <v>0</v>
      </c>
      <c r="E4" s="3">
        <v>13324414</v>
      </c>
      <c r="F4" s="3">
        <v>17092847</v>
      </c>
    </row>
    <row r="5" spans="1:6" x14ac:dyDescent="0.3">
      <c r="A5" s="2" t="s">
        <v>25</v>
      </c>
      <c r="B5" s="3">
        <f t="shared" si="0"/>
        <v>-9904784</v>
      </c>
      <c r="C5" s="3">
        <v>0</v>
      </c>
      <c r="D5" s="3">
        <v>0</v>
      </c>
      <c r="E5" s="3">
        <v>9904784</v>
      </c>
      <c r="F5" s="3">
        <v>12291485</v>
      </c>
    </row>
    <row r="6" spans="1:6" x14ac:dyDescent="0.3">
      <c r="A6" s="2" t="s">
        <v>8</v>
      </c>
      <c r="B6" s="3">
        <f t="shared" si="0"/>
        <v>-12559849</v>
      </c>
      <c r="C6" s="3">
        <v>0</v>
      </c>
      <c r="D6" s="3">
        <v>0</v>
      </c>
      <c r="E6" s="3">
        <v>12559849</v>
      </c>
      <c r="F6" s="3">
        <v>14864062</v>
      </c>
    </row>
    <row r="7" spans="1:6" x14ac:dyDescent="0.3">
      <c r="A7" s="2" t="s">
        <v>9</v>
      </c>
      <c r="B7" s="3">
        <f t="shared" si="0"/>
        <v>-12465943</v>
      </c>
      <c r="C7" s="3">
        <v>0</v>
      </c>
      <c r="D7" s="3">
        <v>0</v>
      </c>
      <c r="E7" s="3">
        <v>12465943</v>
      </c>
      <c r="F7" s="3">
        <v>15237232</v>
      </c>
    </row>
    <row r="8" spans="1:6" x14ac:dyDescent="0.3">
      <c r="A8" s="2" t="s">
        <v>10</v>
      </c>
      <c r="B8" s="3">
        <f t="shared" si="0"/>
        <v>-15293914</v>
      </c>
      <c r="C8" s="3">
        <v>0</v>
      </c>
      <c r="D8" s="3">
        <v>0</v>
      </c>
      <c r="E8" s="3">
        <v>15293914</v>
      </c>
      <c r="F8" s="3">
        <v>18418368</v>
      </c>
    </row>
    <row r="9" spans="1:6" x14ac:dyDescent="0.3">
      <c r="A9" s="2" t="s">
        <v>11</v>
      </c>
      <c r="B9" s="3">
        <f t="shared" si="0"/>
        <v>-18108605</v>
      </c>
      <c r="C9" s="3">
        <v>0</v>
      </c>
      <c r="D9" s="3">
        <v>0</v>
      </c>
      <c r="E9" s="3">
        <v>18108605</v>
      </c>
      <c r="F9" s="3">
        <v>22250605</v>
      </c>
    </row>
    <row r="10" spans="1:6" x14ac:dyDescent="0.3">
      <c r="A10" s="2" t="s">
        <v>12</v>
      </c>
      <c r="B10" s="3">
        <f t="shared" si="0"/>
        <v>-10834123</v>
      </c>
      <c r="C10" s="3">
        <v>0</v>
      </c>
      <c r="D10" s="3">
        <v>0</v>
      </c>
      <c r="E10" s="3">
        <v>10834123</v>
      </c>
      <c r="F10" s="3">
        <v>13084180</v>
      </c>
    </row>
    <row r="11" spans="1:6" x14ac:dyDescent="0.3">
      <c r="A11" s="2" t="s">
        <v>13</v>
      </c>
      <c r="B11" s="3">
        <f t="shared" si="0"/>
        <v>-6403753</v>
      </c>
      <c r="C11" s="3">
        <v>0</v>
      </c>
      <c r="D11" s="3">
        <v>0</v>
      </c>
      <c r="E11" s="3">
        <v>6403753</v>
      </c>
      <c r="F11" s="3">
        <v>7790852</v>
      </c>
    </row>
    <row r="12" spans="1:6" x14ac:dyDescent="0.3">
      <c r="A12" s="2" t="s">
        <v>14</v>
      </c>
      <c r="B12" s="3">
        <f t="shared" si="0"/>
        <v>-8502469</v>
      </c>
      <c r="C12" s="3">
        <v>0</v>
      </c>
      <c r="D12" s="3">
        <v>0</v>
      </c>
      <c r="E12" s="3">
        <v>8502469</v>
      </c>
      <c r="F12" s="3">
        <v>9682857</v>
      </c>
    </row>
    <row r="13" spans="1:6" x14ac:dyDescent="0.3">
      <c r="A13" s="2" t="s">
        <v>15</v>
      </c>
      <c r="B13" s="3">
        <f t="shared" si="0"/>
        <v>-7009116</v>
      </c>
      <c r="C13" s="3">
        <v>0</v>
      </c>
      <c r="D13" s="3">
        <v>0</v>
      </c>
      <c r="E13" s="3">
        <v>7009116</v>
      </c>
      <c r="F13" s="3">
        <v>7090303</v>
      </c>
    </row>
    <row r="14" spans="1:6" x14ac:dyDescent="0.3">
      <c r="A14" s="2" t="s">
        <v>16</v>
      </c>
      <c r="B14" s="3">
        <f t="shared" si="0"/>
        <v>-9316063</v>
      </c>
      <c r="C14" s="3">
        <v>0</v>
      </c>
      <c r="D14" s="3">
        <v>0</v>
      </c>
      <c r="E14" s="3">
        <v>9316063</v>
      </c>
      <c r="F14" s="3">
        <v>9480863</v>
      </c>
    </row>
    <row r="15" spans="1:6" ht="17.25" thickBot="1" x14ac:dyDescent="0.35">
      <c r="A15" s="4" t="s">
        <v>26</v>
      </c>
      <c r="B15" s="5">
        <f>SUM(B3:B14)</f>
        <v>-130080888</v>
      </c>
      <c r="C15" s="5">
        <f t="shared" ref="C15:F15" si="1">SUM(C3:C14)</f>
        <v>0</v>
      </c>
      <c r="D15" s="5">
        <f t="shared" si="1"/>
        <v>0</v>
      </c>
      <c r="E15" s="5">
        <f t="shared" si="1"/>
        <v>130080888</v>
      </c>
      <c r="F15" s="5">
        <f t="shared" si="1"/>
        <v>156010681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-13805416</v>
      </c>
      <c r="C3" s="3">
        <v>0</v>
      </c>
      <c r="D3" s="3">
        <v>0</v>
      </c>
      <c r="E3" s="3">
        <v>13805416</v>
      </c>
      <c r="F3" s="3">
        <v>12141886</v>
      </c>
    </row>
    <row r="4" spans="1:6" x14ac:dyDescent="0.3">
      <c r="A4" s="2" t="s">
        <v>24</v>
      </c>
      <c r="B4" s="3">
        <f t="shared" ref="B4:B14" si="0">C4-E4</f>
        <v>-14450058</v>
      </c>
      <c r="C4" s="3">
        <v>0</v>
      </c>
      <c r="D4" s="3">
        <v>0</v>
      </c>
      <c r="E4" s="3">
        <v>14450058</v>
      </c>
      <c r="F4" s="3">
        <v>11282475</v>
      </c>
    </row>
    <row r="5" spans="1:6" x14ac:dyDescent="0.3">
      <c r="A5" s="2" t="s">
        <v>25</v>
      </c>
      <c r="B5" s="3">
        <f t="shared" si="0"/>
        <v>-15303030</v>
      </c>
      <c r="C5" s="3">
        <v>0</v>
      </c>
      <c r="D5" s="3">
        <v>0</v>
      </c>
      <c r="E5" s="3">
        <v>15303030</v>
      </c>
      <c r="F5" s="3">
        <v>11760152</v>
      </c>
    </row>
    <row r="6" spans="1:6" x14ac:dyDescent="0.3">
      <c r="A6" s="2" t="s">
        <v>8</v>
      </c>
      <c r="B6" s="3">
        <f t="shared" si="0"/>
        <v>-14766950</v>
      </c>
      <c r="C6" s="3">
        <v>0</v>
      </c>
      <c r="D6" s="3">
        <v>0</v>
      </c>
      <c r="E6" s="3">
        <v>14766950</v>
      </c>
      <c r="F6" s="3">
        <v>11546932</v>
      </c>
    </row>
    <row r="7" spans="1:6" x14ac:dyDescent="0.3">
      <c r="A7" s="2" t="s">
        <v>9</v>
      </c>
      <c r="B7" s="3">
        <f t="shared" si="0"/>
        <v>-24401576</v>
      </c>
      <c r="C7" s="3">
        <v>0</v>
      </c>
      <c r="D7" s="3">
        <v>0</v>
      </c>
      <c r="E7" s="3">
        <v>24401576</v>
      </c>
      <c r="F7" s="3">
        <v>20030159</v>
      </c>
    </row>
    <row r="8" spans="1:6" x14ac:dyDescent="0.3">
      <c r="A8" s="2" t="s">
        <v>10</v>
      </c>
      <c r="B8" s="3">
        <f t="shared" si="0"/>
        <v>-6885593</v>
      </c>
      <c r="C8" s="3">
        <v>0</v>
      </c>
      <c r="D8" s="3">
        <v>0</v>
      </c>
      <c r="E8" s="3">
        <v>6885593</v>
      </c>
      <c r="F8" s="3">
        <v>5520221</v>
      </c>
    </row>
    <row r="9" spans="1:6" x14ac:dyDescent="0.3">
      <c r="A9" s="2" t="s">
        <v>11</v>
      </c>
      <c r="B9" s="3">
        <f t="shared" si="0"/>
        <v>-13652244</v>
      </c>
      <c r="C9" s="3">
        <v>0</v>
      </c>
      <c r="D9" s="3">
        <v>0</v>
      </c>
      <c r="E9" s="3">
        <v>13652244</v>
      </c>
      <c r="F9" s="3">
        <v>11384242</v>
      </c>
    </row>
    <row r="10" spans="1:6" x14ac:dyDescent="0.3">
      <c r="A10" s="2" t="s">
        <v>12</v>
      </c>
      <c r="B10" s="3">
        <f t="shared" si="0"/>
        <v>-14861244</v>
      </c>
      <c r="C10" s="3">
        <v>0</v>
      </c>
      <c r="D10" s="3">
        <v>0</v>
      </c>
      <c r="E10" s="3">
        <v>14861244</v>
      </c>
      <c r="F10" s="3">
        <v>12274615</v>
      </c>
    </row>
    <row r="11" spans="1:6" x14ac:dyDescent="0.3">
      <c r="A11" s="2" t="s">
        <v>13</v>
      </c>
      <c r="B11" s="3">
        <f t="shared" si="0"/>
        <v>-12178200</v>
      </c>
      <c r="C11" s="3">
        <v>0</v>
      </c>
      <c r="D11" s="3">
        <v>0</v>
      </c>
      <c r="E11" s="3">
        <v>12178200</v>
      </c>
      <c r="F11" s="3">
        <v>10529097</v>
      </c>
    </row>
    <row r="12" spans="1:6" x14ac:dyDescent="0.3">
      <c r="A12" s="2" t="s">
        <v>14</v>
      </c>
      <c r="B12" s="3">
        <f t="shared" si="0"/>
        <v>-5102389</v>
      </c>
      <c r="C12" s="3">
        <v>0</v>
      </c>
      <c r="D12" s="3">
        <v>0</v>
      </c>
      <c r="E12" s="3">
        <v>5102389</v>
      </c>
      <c r="F12" s="3">
        <v>4330583</v>
      </c>
    </row>
    <row r="13" spans="1:6" x14ac:dyDescent="0.3">
      <c r="A13" s="2" t="s">
        <v>15</v>
      </c>
      <c r="B13" s="3">
        <f t="shared" si="0"/>
        <v>-13740646</v>
      </c>
      <c r="C13" s="3">
        <v>0</v>
      </c>
      <c r="D13" s="3">
        <v>0</v>
      </c>
      <c r="E13" s="3">
        <v>13740646</v>
      </c>
      <c r="F13" s="3">
        <v>12671681</v>
      </c>
    </row>
    <row r="14" spans="1:6" x14ac:dyDescent="0.3">
      <c r="A14" s="2" t="s">
        <v>16</v>
      </c>
      <c r="B14" s="3">
        <f t="shared" si="0"/>
        <v>-14654379</v>
      </c>
      <c r="C14" s="3">
        <v>0</v>
      </c>
      <c r="D14" s="3">
        <v>0</v>
      </c>
      <c r="E14" s="3">
        <v>14654379</v>
      </c>
      <c r="F14" s="3">
        <v>13719924</v>
      </c>
    </row>
    <row r="15" spans="1:6" ht="17.25" thickBot="1" x14ac:dyDescent="0.35">
      <c r="A15" s="4" t="s">
        <v>26</v>
      </c>
      <c r="B15" s="5">
        <f>SUM(B3:B14)</f>
        <v>-163801725</v>
      </c>
      <c r="C15" s="5">
        <f t="shared" ref="C15:F15" si="1">SUM(C3:C14)</f>
        <v>0</v>
      </c>
      <c r="D15" s="5">
        <f t="shared" si="1"/>
        <v>0</v>
      </c>
      <c r="E15" s="5">
        <f t="shared" si="1"/>
        <v>163801725</v>
      </c>
      <c r="F15" s="5">
        <f t="shared" si="1"/>
        <v>137191967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-8597503</v>
      </c>
      <c r="C3" s="3">
        <v>0</v>
      </c>
      <c r="D3" s="3">
        <v>0</v>
      </c>
      <c r="E3" s="3">
        <v>8597503</v>
      </c>
      <c r="F3" s="3">
        <v>7842720</v>
      </c>
    </row>
    <row r="4" spans="1:6" x14ac:dyDescent="0.3">
      <c r="A4" s="2" t="s">
        <v>24</v>
      </c>
      <c r="B4" s="3">
        <f t="shared" ref="B4:B14" si="0">C4-E4</f>
        <v>-13126408</v>
      </c>
      <c r="C4" s="3">
        <v>0</v>
      </c>
      <c r="D4" s="3">
        <v>0</v>
      </c>
      <c r="E4" s="3">
        <v>13126408</v>
      </c>
      <c r="F4" s="3">
        <v>12514468</v>
      </c>
    </row>
    <row r="5" spans="1:6" x14ac:dyDescent="0.3">
      <c r="A5" s="2" t="s">
        <v>25</v>
      </c>
      <c r="B5" s="3">
        <f t="shared" si="0"/>
        <v>-12052567</v>
      </c>
      <c r="C5" s="3">
        <v>0</v>
      </c>
      <c r="D5" s="3">
        <v>0</v>
      </c>
      <c r="E5" s="3">
        <v>12052567</v>
      </c>
      <c r="F5" s="3">
        <v>11005670</v>
      </c>
    </row>
    <row r="6" spans="1:6" x14ac:dyDescent="0.3">
      <c r="A6" s="2" t="s">
        <v>8</v>
      </c>
      <c r="B6" s="3">
        <f t="shared" si="0"/>
        <v>-14050596</v>
      </c>
      <c r="C6" s="3">
        <v>0</v>
      </c>
      <c r="D6" s="3">
        <v>0</v>
      </c>
      <c r="E6" s="3">
        <v>14050596</v>
      </c>
      <c r="F6" s="3">
        <v>12754063</v>
      </c>
    </row>
    <row r="7" spans="1:6" x14ac:dyDescent="0.3">
      <c r="A7" s="2" t="s">
        <v>9</v>
      </c>
      <c r="B7" s="3">
        <f t="shared" si="0"/>
        <v>-10396382</v>
      </c>
      <c r="C7" s="3">
        <v>0</v>
      </c>
      <c r="D7" s="3">
        <v>0</v>
      </c>
      <c r="E7" s="3">
        <v>10396382</v>
      </c>
      <c r="F7" s="3">
        <v>8668347</v>
      </c>
    </row>
    <row r="8" spans="1:6" x14ac:dyDescent="0.3">
      <c r="A8" s="2" t="s">
        <v>10</v>
      </c>
      <c r="B8" s="3">
        <f t="shared" si="0"/>
        <v>-15305781</v>
      </c>
      <c r="C8" s="3">
        <v>0</v>
      </c>
      <c r="D8" s="3">
        <v>0</v>
      </c>
      <c r="E8" s="3">
        <v>15305781</v>
      </c>
      <c r="F8" s="3">
        <v>12865151</v>
      </c>
    </row>
    <row r="9" spans="1:6" x14ac:dyDescent="0.3">
      <c r="A9" s="2" t="s">
        <v>11</v>
      </c>
      <c r="B9" s="3">
        <f t="shared" si="0"/>
        <v>-5615283</v>
      </c>
      <c r="C9" s="3">
        <v>0</v>
      </c>
      <c r="D9" s="3">
        <v>0</v>
      </c>
      <c r="E9" s="3">
        <v>5615283</v>
      </c>
      <c r="F9" s="3">
        <v>5134242</v>
      </c>
    </row>
    <row r="10" spans="1:6" x14ac:dyDescent="0.3">
      <c r="A10" s="2" t="s">
        <v>12</v>
      </c>
      <c r="B10" s="3">
        <f t="shared" si="0"/>
        <v>-11345370</v>
      </c>
      <c r="C10" s="3">
        <v>0</v>
      </c>
      <c r="D10" s="3">
        <v>0</v>
      </c>
      <c r="E10" s="3">
        <v>11345370</v>
      </c>
      <c r="F10" s="3">
        <v>10675350</v>
      </c>
    </row>
    <row r="11" spans="1:6" x14ac:dyDescent="0.3">
      <c r="A11" s="2" t="s">
        <v>13</v>
      </c>
      <c r="B11" s="3">
        <f t="shared" si="0"/>
        <v>-12985509</v>
      </c>
      <c r="C11" s="3">
        <v>0</v>
      </c>
      <c r="D11" s="3">
        <v>0</v>
      </c>
      <c r="E11" s="3">
        <v>12985509</v>
      </c>
      <c r="F11" s="3">
        <v>12691419</v>
      </c>
    </row>
    <row r="12" spans="1:6" x14ac:dyDescent="0.3">
      <c r="A12" s="2" t="s">
        <v>14</v>
      </c>
      <c r="B12" s="3">
        <f t="shared" si="0"/>
        <v>-12808543</v>
      </c>
      <c r="C12" s="3">
        <v>0</v>
      </c>
      <c r="D12" s="3">
        <v>0</v>
      </c>
      <c r="E12" s="3">
        <v>12808543</v>
      </c>
      <c r="F12" s="3">
        <v>12730209</v>
      </c>
    </row>
    <row r="13" spans="1:6" x14ac:dyDescent="0.3">
      <c r="A13" s="2" t="s">
        <v>15</v>
      </c>
      <c r="B13" s="3">
        <f t="shared" si="0"/>
        <v>-15489004</v>
      </c>
      <c r="C13" s="3">
        <v>0</v>
      </c>
      <c r="D13" s="3">
        <v>0</v>
      </c>
      <c r="E13" s="3">
        <v>15489004</v>
      </c>
      <c r="F13" s="3">
        <v>16272593</v>
      </c>
    </row>
    <row r="14" spans="1:6" x14ac:dyDescent="0.3">
      <c r="A14" s="2" t="s">
        <v>16</v>
      </c>
      <c r="B14" s="3">
        <f t="shared" si="0"/>
        <v>-12836829</v>
      </c>
      <c r="C14" s="3">
        <v>0</v>
      </c>
      <c r="D14" s="3">
        <v>0</v>
      </c>
      <c r="E14" s="3">
        <v>12836829</v>
      </c>
      <c r="F14" s="3">
        <v>14866960</v>
      </c>
    </row>
    <row r="15" spans="1:6" ht="17.25" thickBot="1" x14ac:dyDescent="0.35">
      <c r="A15" s="4" t="s">
        <v>26</v>
      </c>
      <c r="B15" s="5">
        <f>SUM(B3:B14)</f>
        <v>-144609775</v>
      </c>
      <c r="C15" s="5">
        <f t="shared" ref="C15:F15" si="1">SUM(C3:C14)</f>
        <v>0</v>
      </c>
      <c r="D15" s="5">
        <f t="shared" si="1"/>
        <v>0</v>
      </c>
      <c r="E15" s="5">
        <f t="shared" si="1"/>
        <v>144609775</v>
      </c>
      <c r="F15" s="5">
        <f t="shared" si="1"/>
        <v>138021192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-9645824</v>
      </c>
      <c r="C3" s="3">
        <v>0</v>
      </c>
      <c r="D3" s="3">
        <v>0</v>
      </c>
      <c r="E3" s="3">
        <v>9645824</v>
      </c>
      <c r="F3" s="3">
        <v>11076722</v>
      </c>
    </row>
    <row r="4" spans="1:6" x14ac:dyDescent="0.3">
      <c r="A4" s="2" t="s">
        <v>33</v>
      </c>
      <c r="B4" s="3">
        <f t="shared" si="0"/>
        <v>-7421561</v>
      </c>
      <c r="C4" s="3">
        <v>0</v>
      </c>
      <c r="D4" s="3">
        <v>0</v>
      </c>
      <c r="E4" s="3">
        <v>7421561</v>
      </c>
      <c r="F4" s="3">
        <v>9272514</v>
      </c>
    </row>
    <row r="5" spans="1:6" x14ac:dyDescent="0.3">
      <c r="A5" s="2" t="s">
        <v>34</v>
      </c>
      <c r="B5" s="3">
        <f t="shared" si="0"/>
        <v>-7256916</v>
      </c>
      <c r="C5" s="3">
        <v>0</v>
      </c>
      <c r="D5" s="3">
        <v>0</v>
      </c>
      <c r="E5" s="3">
        <v>7256916</v>
      </c>
      <c r="F5" s="3">
        <v>7997313</v>
      </c>
    </row>
    <row r="6" spans="1:6" x14ac:dyDescent="0.3">
      <c r="A6" s="2" t="s">
        <v>8</v>
      </c>
      <c r="B6" s="3">
        <f t="shared" si="0"/>
        <v>-11334145</v>
      </c>
      <c r="C6" s="3">
        <v>0</v>
      </c>
      <c r="D6" s="3">
        <v>0</v>
      </c>
      <c r="E6" s="3">
        <v>11334145</v>
      </c>
      <c r="F6" s="3">
        <v>13236826</v>
      </c>
    </row>
    <row r="7" spans="1:6" x14ac:dyDescent="0.3">
      <c r="A7" s="2" t="s">
        <v>9</v>
      </c>
      <c r="B7" s="3">
        <f t="shared" si="0"/>
        <v>-3760369</v>
      </c>
      <c r="C7" s="3">
        <v>0</v>
      </c>
      <c r="D7" s="3">
        <v>0</v>
      </c>
      <c r="E7" s="3">
        <v>3760369</v>
      </c>
      <c r="F7" s="3">
        <v>4340322</v>
      </c>
    </row>
    <row r="8" spans="1:6" x14ac:dyDescent="0.3">
      <c r="A8" s="2" t="s">
        <v>10</v>
      </c>
      <c r="B8" s="3">
        <f t="shared" si="0"/>
        <v>-10168197</v>
      </c>
      <c r="C8" s="3">
        <v>0</v>
      </c>
      <c r="D8" s="3">
        <v>0</v>
      </c>
      <c r="E8" s="3">
        <v>10168197</v>
      </c>
      <c r="F8" s="3">
        <v>11754540</v>
      </c>
    </row>
    <row r="9" spans="1:6" x14ac:dyDescent="0.3">
      <c r="A9" s="2" t="s">
        <v>11</v>
      </c>
      <c r="B9" s="3">
        <f t="shared" si="0"/>
        <v>-10230612</v>
      </c>
      <c r="C9" s="3">
        <v>0</v>
      </c>
      <c r="D9" s="3">
        <v>0</v>
      </c>
      <c r="E9" s="3">
        <v>10230612</v>
      </c>
      <c r="F9" s="3">
        <v>12330478</v>
      </c>
    </row>
    <row r="10" spans="1:6" x14ac:dyDescent="0.3">
      <c r="A10" s="2" t="s">
        <v>12</v>
      </c>
      <c r="B10" s="3">
        <f t="shared" si="0"/>
        <v>-9046125</v>
      </c>
      <c r="C10" s="3">
        <v>0</v>
      </c>
      <c r="D10" s="3">
        <v>0</v>
      </c>
      <c r="E10" s="3">
        <v>9046125</v>
      </c>
      <c r="F10" s="3">
        <v>11102437</v>
      </c>
    </row>
    <row r="11" spans="1:6" x14ac:dyDescent="0.3">
      <c r="A11" s="2" t="s">
        <v>13</v>
      </c>
      <c r="B11" s="3">
        <f t="shared" si="0"/>
        <v>-8275598</v>
      </c>
      <c r="C11" s="3">
        <v>0</v>
      </c>
      <c r="D11" s="3">
        <v>0</v>
      </c>
      <c r="E11" s="3">
        <v>8275598</v>
      </c>
      <c r="F11" s="3">
        <v>10165129</v>
      </c>
    </row>
    <row r="12" spans="1:6" x14ac:dyDescent="0.3">
      <c r="A12" s="2" t="s">
        <v>14</v>
      </c>
      <c r="B12" s="3">
        <f t="shared" si="0"/>
        <v>-9057971</v>
      </c>
      <c r="C12" s="3">
        <v>0</v>
      </c>
      <c r="D12" s="3">
        <v>0</v>
      </c>
      <c r="E12" s="3">
        <v>9057971</v>
      </c>
      <c r="F12" s="3">
        <v>11151489</v>
      </c>
    </row>
    <row r="13" spans="1:6" x14ac:dyDescent="0.3">
      <c r="A13" s="2" t="s">
        <v>15</v>
      </c>
      <c r="B13" s="3">
        <f t="shared" si="0"/>
        <v>-3501611</v>
      </c>
      <c r="C13" s="3">
        <v>0</v>
      </c>
      <c r="D13" s="3">
        <v>0</v>
      </c>
      <c r="E13" s="3">
        <v>3501611</v>
      </c>
      <c r="F13" s="3">
        <v>4285729</v>
      </c>
    </row>
    <row r="14" spans="1:6" x14ac:dyDescent="0.3">
      <c r="A14" s="2" t="s">
        <v>16</v>
      </c>
      <c r="B14" s="3">
        <f t="shared" si="0"/>
        <v>-9140423</v>
      </c>
      <c r="C14" s="3">
        <v>0</v>
      </c>
      <c r="D14" s="3">
        <v>0</v>
      </c>
      <c r="E14" s="3">
        <v>9140423</v>
      </c>
      <c r="F14" s="3">
        <v>10890944</v>
      </c>
    </row>
    <row r="15" spans="1:6" ht="17.25" thickBot="1" x14ac:dyDescent="0.35">
      <c r="A15" s="4" t="s">
        <v>35</v>
      </c>
      <c r="B15" s="5">
        <f>SUM(B3:B14)</f>
        <v>-98839352</v>
      </c>
      <c r="C15" s="5">
        <f t="shared" ref="C15:F15" si="1">SUM(C3:C14)</f>
        <v>0</v>
      </c>
      <c r="D15" s="5">
        <f t="shared" si="1"/>
        <v>0</v>
      </c>
      <c r="E15" s="5">
        <f t="shared" si="1"/>
        <v>98839352</v>
      </c>
      <c r="F15" s="5">
        <f t="shared" si="1"/>
        <v>117604443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-8494529</v>
      </c>
      <c r="C3" s="3">
        <v>0</v>
      </c>
      <c r="D3" s="3">
        <v>0</v>
      </c>
      <c r="E3" s="3">
        <v>8494529</v>
      </c>
      <c r="F3" s="3">
        <v>9874305</v>
      </c>
    </row>
    <row r="4" spans="1:6" x14ac:dyDescent="0.3">
      <c r="A4" s="2" t="s">
        <v>38</v>
      </c>
      <c r="B4" s="3">
        <f t="shared" si="0"/>
        <v>-12778676</v>
      </c>
      <c r="C4" s="3">
        <v>0</v>
      </c>
      <c r="D4" s="3">
        <v>0</v>
      </c>
      <c r="E4" s="3">
        <v>12778676</v>
      </c>
      <c r="F4" s="3">
        <v>15098697</v>
      </c>
    </row>
    <row r="5" spans="1:6" x14ac:dyDescent="0.3">
      <c r="A5" s="2" t="s">
        <v>34</v>
      </c>
      <c r="B5" s="3">
        <f t="shared" si="0"/>
        <v>-8552471</v>
      </c>
      <c r="C5" s="3">
        <v>0</v>
      </c>
      <c r="D5" s="3">
        <v>0</v>
      </c>
      <c r="E5" s="3">
        <v>8552471</v>
      </c>
      <c r="F5" s="3">
        <v>10313604</v>
      </c>
    </row>
    <row r="6" spans="1:6" x14ac:dyDescent="0.3">
      <c r="A6" s="2" t="s">
        <v>8</v>
      </c>
      <c r="B6" s="3">
        <f t="shared" si="0"/>
        <v>-8805227</v>
      </c>
      <c r="C6" s="3">
        <v>0</v>
      </c>
      <c r="D6" s="3">
        <v>0</v>
      </c>
      <c r="E6" s="3">
        <v>8805227</v>
      </c>
      <c r="F6" s="3">
        <v>9879156</v>
      </c>
    </row>
    <row r="7" spans="1:6" x14ac:dyDescent="0.3">
      <c r="A7" s="2" t="s">
        <v>9</v>
      </c>
      <c r="B7" s="3">
        <f t="shared" si="0"/>
        <v>-11724438</v>
      </c>
      <c r="C7" s="3">
        <v>0</v>
      </c>
      <c r="D7" s="3">
        <v>0</v>
      </c>
      <c r="E7" s="3">
        <v>11724438</v>
      </c>
      <c r="F7" s="3">
        <v>13229767</v>
      </c>
    </row>
    <row r="8" spans="1:6" x14ac:dyDescent="0.3">
      <c r="A8" s="2" t="s">
        <v>10</v>
      </c>
      <c r="B8" s="3">
        <f t="shared" si="0"/>
        <v>-9737715</v>
      </c>
      <c r="C8" s="3">
        <v>0</v>
      </c>
      <c r="D8" s="3">
        <v>0</v>
      </c>
      <c r="E8" s="3">
        <v>9737715</v>
      </c>
      <c r="F8" s="3">
        <v>10849771</v>
      </c>
    </row>
    <row r="9" spans="1:6" x14ac:dyDescent="0.3">
      <c r="A9" s="2" t="s">
        <v>11</v>
      </c>
      <c r="B9" s="3">
        <f t="shared" si="0"/>
        <v>-15775263</v>
      </c>
      <c r="C9" s="3">
        <v>0</v>
      </c>
      <c r="D9" s="3">
        <v>0</v>
      </c>
      <c r="E9" s="3">
        <v>15775263</v>
      </c>
      <c r="F9" s="3">
        <v>17986091</v>
      </c>
    </row>
    <row r="10" spans="1:6" x14ac:dyDescent="0.3">
      <c r="A10" s="2" t="s">
        <v>12</v>
      </c>
      <c r="B10" s="3">
        <f t="shared" si="0"/>
        <v>-5079520</v>
      </c>
      <c r="C10" s="3">
        <v>0</v>
      </c>
      <c r="D10" s="3">
        <v>0</v>
      </c>
      <c r="E10" s="3">
        <v>5079520</v>
      </c>
      <c r="F10" s="3">
        <v>5846584</v>
      </c>
    </row>
    <row r="11" spans="1:6" x14ac:dyDescent="0.3">
      <c r="A11" s="2" t="s">
        <v>13</v>
      </c>
      <c r="B11" s="3">
        <f t="shared" si="0"/>
        <v>-12637085</v>
      </c>
      <c r="C11" s="3">
        <v>0</v>
      </c>
      <c r="D11" s="3">
        <v>0</v>
      </c>
      <c r="E11" s="3">
        <v>12637085</v>
      </c>
      <c r="F11" s="3">
        <v>15361523</v>
      </c>
    </row>
    <row r="12" spans="1:6" x14ac:dyDescent="0.3">
      <c r="A12" s="2" t="s">
        <v>14</v>
      </c>
      <c r="B12" s="3">
        <f t="shared" si="0"/>
        <v>-15805946</v>
      </c>
      <c r="C12" s="3">
        <v>0</v>
      </c>
      <c r="D12" s="3">
        <v>0</v>
      </c>
      <c r="E12" s="3">
        <v>15805946</v>
      </c>
      <c r="F12" s="3">
        <v>20133786</v>
      </c>
    </row>
    <row r="13" spans="1:6" x14ac:dyDescent="0.3">
      <c r="A13" s="2" t="s">
        <v>15</v>
      </c>
      <c r="B13" s="3">
        <f t="shared" si="0"/>
        <v>-9335926</v>
      </c>
      <c r="C13" s="3">
        <v>0</v>
      </c>
      <c r="D13" s="3">
        <v>0</v>
      </c>
      <c r="E13" s="3">
        <v>9335926</v>
      </c>
      <c r="F13" s="3">
        <v>12585288</v>
      </c>
    </row>
    <row r="14" spans="1:6" x14ac:dyDescent="0.3">
      <c r="A14" s="2" t="s">
        <v>16</v>
      </c>
      <c r="B14" s="3">
        <f t="shared" si="0"/>
        <v>-11348756</v>
      </c>
      <c r="C14" s="3">
        <v>0</v>
      </c>
      <c r="D14" s="3">
        <v>0</v>
      </c>
      <c r="E14" s="3">
        <v>11348756</v>
      </c>
      <c r="F14" s="3">
        <v>15277643</v>
      </c>
    </row>
    <row r="15" spans="1:6" ht="17.25" thickBot="1" x14ac:dyDescent="0.35">
      <c r="A15" s="4" t="s">
        <v>35</v>
      </c>
      <c r="B15" s="5">
        <f>SUM(B3:B14)</f>
        <v>-130075552</v>
      </c>
      <c r="C15" s="5">
        <f t="shared" ref="C15:F15" si="1">SUM(C3:C14)</f>
        <v>0</v>
      </c>
      <c r="D15" s="5">
        <f t="shared" si="1"/>
        <v>0</v>
      </c>
      <c r="E15" s="5">
        <f t="shared" si="1"/>
        <v>130075552</v>
      </c>
      <c r="F15" s="5">
        <f t="shared" si="1"/>
        <v>156436215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-10559120</v>
      </c>
      <c r="C3" s="3">
        <v>0</v>
      </c>
      <c r="D3" s="3">
        <v>0</v>
      </c>
      <c r="E3" s="3">
        <v>10559120</v>
      </c>
      <c r="F3" s="3">
        <v>15289979</v>
      </c>
    </row>
    <row r="4" spans="1:6" x14ac:dyDescent="0.3">
      <c r="A4" s="2" t="s">
        <v>24</v>
      </c>
      <c r="B4" s="3">
        <f t="shared" si="0"/>
        <v>-11549860</v>
      </c>
      <c r="C4" s="3">
        <v>0</v>
      </c>
      <c r="D4" s="3">
        <v>0</v>
      </c>
      <c r="E4" s="3">
        <v>11549860</v>
      </c>
      <c r="F4" s="3">
        <v>16002676</v>
      </c>
    </row>
    <row r="5" spans="1:6" x14ac:dyDescent="0.3">
      <c r="A5" s="2" t="s">
        <v>25</v>
      </c>
      <c r="B5" s="3">
        <f t="shared" si="0"/>
        <v>-5299042</v>
      </c>
      <c r="C5" s="3">
        <v>0</v>
      </c>
      <c r="D5" s="3">
        <v>0</v>
      </c>
      <c r="E5" s="3">
        <v>5299042</v>
      </c>
      <c r="F5" s="3">
        <v>7782057</v>
      </c>
    </row>
    <row r="6" spans="1:6" x14ac:dyDescent="0.3">
      <c r="A6" s="2" t="s">
        <v>8</v>
      </c>
      <c r="B6" s="3">
        <f t="shared" si="0"/>
        <v>-10204587</v>
      </c>
      <c r="C6" s="3">
        <v>0</v>
      </c>
      <c r="D6" s="3">
        <v>0</v>
      </c>
      <c r="E6" s="3">
        <v>10204587</v>
      </c>
      <c r="F6" s="3">
        <v>15393738</v>
      </c>
    </row>
    <row r="7" spans="1:6" x14ac:dyDescent="0.3">
      <c r="A7" s="2" t="s">
        <v>9</v>
      </c>
      <c r="B7" s="3">
        <f t="shared" si="0"/>
        <v>-6842498</v>
      </c>
      <c r="C7" s="3">
        <v>0</v>
      </c>
      <c r="D7" s="3">
        <v>0</v>
      </c>
      <c r="E7" s="3">
        <v>6842498</v>
      </c>
      <c r="F7" s="3">
        <v>10048053</v>
      </c>
    </row>
    <row r="8" spans="1:6" x14ac:dyDescent="0.3">
      <c r="A8" s="2" t="s">
        <v>10</v>
      </c>
      <c r="B8" s="3">
        <f t="shared" si="0"/>
        <v>-5897201</v>
      </c>
      <c r="C8" s="3">
        <v>0</v>
      </c>
      <c r="D8" s="3">
        <v>0</v>
      </c>
      <c r="E8" s="3">
        <v>5897201</v>
      </c>
      <c r="F8" s="3">
        <v>8922546</v>
      </c>
    </row>
    <row r="9" spans="1:6" x14ac:dyDescent="0.3">
      <c r="A9" s="2" t="s">
        <v>11</v>
      </c>
      <c r="B9" s="3">
        <f t="shared" si="0"/>
        <v>-11066680</v>
      </c>
      <c r="C9" s="3">
        <v>0</v>
      </c>
      <c r="D9" s="3">
        <v>0</v>
      </c>
      <c r="E9" s="3">
        <v>11066680</v>
      </c>
      <c r="F9" s="3">
        <v>16352580</v>
      </c>
    </row>
    <row r="10" spans="1:6" x14ac:dyDescent="0.3">
      <c r="A10" s="2" t="s">
        <v>12</v>
      </c>
      <c r="B10" s="3">
        <f t="shared" si="0"/>
        <v>-5089933</v>
      </c>
      <c r="C10" s="3">
        <v>0</v>
      </c>
      <c r="D10" s="3">
        <v>0</v>
      </c>
      <c r="E10" s="3">
        <v>5089933</v>
      </c>
      <c r="F10" s="3">
        <v>7601767</v>
      </c>
    </row>
    <row r="11" spans="1:6" x14ac:dyDescent="0.3">
      <c r="A11" s="2" t="s">
        <v>13</v>
      </c>
      <c r="B11" s="3">
        <f t="shared" si="0"/>
        <v>-6544743</v>
      </c>
      <c r="C11" s="3">
        <v>0</v>
      </c>
      <c r="D11" s="3">
        <v>0</v>
      </c>
      <c r="E11" s="3">
        <v>6544743</v>
      </c>
      <c r="F11" s="3">
        <v>10113236</v>
      </c>
    </row>
    <row r="12" spans="1:6" x14ac:dyDescent="0.3">
      <c r="A12" s="2" t="s">
        <v>14</v>
      </c>
      <c r="B12" s="3">
        <f t="shared" si="0"/>
        <v>-4957090</v>
      </c>
      <c r="C12" s="3">
        <v>0</v>
      </c>
      <c r="D12" s="3">
        <v>0</v>
      </c>
      <c r="E12" s="3">
        <v>4957090</v>
      </c>
      <c r="F12" s="3">
        <v>7995795</v>
      </c>
    </row>
    <row r="13" spans="1:6" x14ac:dyDescent="0.3">
      <c r="A13" s="2" t="s">
        <v>15</v>
      </c>
      <c r="B13" s="3">
        <f t="shared" si="0"/>
        <v>-3094740</v>
      </c>
      <c r="C13" s="3">
        <v>0</v>
      </c>
      <c r="D13" s="3">
        <v>0</v>
      </c>
      <c r="E13" s="3">
        <v>3094740</v>
      </c>
      <c r="F13" s="3">
        <v>5296963</v>
      </c>
    </row>
    <row r="14" spans="1:6" x14ac:dyDescent="0.3">
      <c r="A14" s="2" t="s">
        <v>16</v>
      </c>
      <c r="B14" s="3">
        <f t="shared" si="0"/>
        <v>-8380815</v>
      </c>
      <c r="C14" s="3">
        <v>38844</v>
      </c>
      <c r="D14" s="3">
        <v>31075</v>
      </c>
      <c r="E14" s="3">
        <v>8419659</v>
      </c>
      <c r="F14" s="3">
        <v>14914225</v>
      </c>
    </row>
    <row r="15" spans="1:6" ht="17.25" thickBot="1" x14ac:dyDescent="0.35">
      <c r="A15" s="4" t="s">
        <v>26</v>
      </c>
      <c r="B15" s="5">
        <f>SUM(B3:B14)</f>
        <v>-89486309</v>
      </c>
      <c r="C15" s="5">
        <f t="shared" ref="C15:F15" si="1">SUM(C3:C14)</f>
        <v>38844</v>
      </c>
      <c r="D15" s="5">
        <f t="shared" si="1"/>
        <v>31075</v>
      </c>
      <c r="E15" s="5">
        <f t="shared" si="1"/>
        <v>89525153</v>
      </c>
      <c r="F15" s="5">
        <f t="shared" si="1"/>
        <v>135713615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-5102095</v>
      </c>
      <c r="C3" s="3">
        <v>0</v>
      </c>
      <c r="D3" s="3">
        <v>0</v>
      </c>
      <c r="E3" s="3">
        <v>5102095</v>
      </c>
      <c r="F3" s="3">
        <v>9112553</v>
      </c>
    </row>
    <row r="4" spans="1:6" x14ac:dyDescent="0.3">
      <c r="A4" s="2" t="s">
        <v>33</v>
      </c>
      <c r="B4" s="3">
        <f t="shared" si="0"/>
        <v>-5374380</v>
      </c>
      <c r="C4" s="3">
        <v>0</v>
      </c>
      <c r="D4" s="3">
        <v>0</v>
      </c>
      <c r="E4" s="3">
        <v>5374380</v>
      </c>
      <c r="F4" s="3">
        <v>9409879</v>
      </c>
    </row>
    <row r="5" spans="1:6" x14ac:dyDescent="0.3">
      <c r="A5" s="2" t="s">
        <v>34</v>
      </c>
      <c r="B5" s="3">
        <f t="shared" si="0"/>
        <v>-4361035</v>
      </c>
      <c r="C5" s="3">
        <v>0</v>
      </c>
      <c r="D5" s="3">
        <v>0</v>
      </c>
      <c r="E5" s="3">
        <v>4361035</v>
      </c>
      <c r="F5" s="3">
        <v>7358224</v>
      </c>
    </row>
    <row r="6" spans="1:6" x14ac:dyDescent="0.3">
      <c r="A6" s="2" t="s">
        <v>8</v>
      </c>
      <c r="B6" s="3">
        <f t="shared" si="0"/>
        <v>-2225071</v>
      </c>
      <c r="C6" s="3">
        <v>40473</v>
      </c>
      <c r="D6" s="3">
        <v>16189</v>
      </c>
      <c r="E6" s="3">
        <v>2265544</v>
      </c>
      <c r="F6" s="3">
        <v>3494805</v>
      </c>
    </row>
    <row r="7" spans="1:6" x14ac:dyDescent="0.3">
      <c r="A7" s="2" t="s">
        <v>9</v>
      </c>
      <c r="B7" s="3">
        <f t="shared" si="0"/>
        <v>-6469062</v>
      </c>
      <c r="C7" s="3">
        <v>0</v>
      </c>
      <c r="D7" s="3">
        <v>0</v>
      </c>
      <c r="E7" s="3">
        <v>6469062</v>
      </c>
      <c r="F7" s="3">
        <v>9958257</v>
      </c>
    </row>
    <row r="8" spans="1:6" x14ac:dyDescent="0.3">
      <c r="A8" s="2" t="s">
        <v>10</v>
      </c>
      <c r="B8" s="3">
        <f t="shared" si="0"/>
        <v>-3056583</v>
      </c>
      <c r="C8" s="3">
        <v>0</v>
      </c>
      <c r="D8" s="3">
        <v>0</v>
      </c>
      <c r="E8" s="3">
        <v>3056583</v>
      </c>
      <c r="F8" s="3">
        <v>4367679</v>
      </c>
    </row>
    <row r="9" spans="1:6" x14ac:dyDescent="0.3">
      <c r="A9" s="2" t="s">
        <v>11</v>
      </c>
      <c r="B9" s="3">
        <f t="shared" si="0"/>
        <v>-3393813</v>
      </c>
      <c r="C9" s="3">
        <v>0</v>
      </c>
      <c r="D9" s="3">
        <v>0</v>
      </c>
      <c r="E9" s="3">
        <v>3393813</v>
      </c>
      <c r="F9" s="3">
        <v>4756500</v>
      </c>
    </row>
    <row r="10" spans="1:6" x14ac:dyDescent="0.3">
      <c r="A10" s="2" t="s">
        <v>12</v>
      </c>
      <c r="B10" s="3">
        <f t="shared" si="0"/>
        <v>-9468425</v>
      </c>
      <c r="C10" s="3">
        <v>0</v>
      </c>
      <c r="D10" s="3">
        <v>0</v>
      </c>
      <c r="E10" s="3">
        <v>9468425</v>
      </c>
      <c r="F10" s="3">
        <v>13981248</v>
      </c>
    </row>
    <row r="11" spans="1:6" x14ac:dyDescent="0.3">
      <c r="A11" s="2" t="s">
        <v>13</v>
      </c>
      <c r="B11" s="3">
        <f t="shared" si="0"/>
        <v>-4694826</v>
      </c>
      <c r="C11" s="3">
        <v>0</v>
      </c>
      <c r="D11" s="3">
        <v>0</v>
      </c>
      <c r="E11" s="3">
        <v>4694826</v>
      </c>
      <c r="F11" s="3">
        <v>7003163</v>
      </c>
    </row>
    <row r="12" spans="1:6" x14ac:dyDescent="0.3">
      <c r="A12" s="2" t="s">
        <v>14</v>
      </c>
      <c r="B12" s="3">
        <f t="shared" si="0"/>
        <v>-5978026</v>
      </c>
      <c r="C12" s="3">
        <v>0</v>
      </c>
      <c r="D12" s="3">
        <v>0</v>
      </c>
      <c r="E12" s="3">
        <v>5978026</v>
      </c>
      <c r="F12" s="3">
        <v>9646022</v>
      </c>
    </row>
    <row r="13" spans="1:6" x14ac:dyDescent="0.3">
      <c r="A13" s="2" t="s">
        <v>15</v>
      </c>
      <c r="B13" s="3">
        <f t="shared" si="0"/>
        <v>-5247972</v>
      </c>
      <c r="C13" s="3">
        <v>0</v>
      </c>
      <c r="D13" s="3">
        <v>0</v>
      </c>
      <c r="E13" s="3">
        <v>5247972</v>
      </c>
      <c r="F13" s="3">
        <v>7865038</v>
      </c>
    </row>
    <row r="14" spans="1:6" x14ac:dyDescent="0.3">
      <c r="A14" s="2" t="s">
        <v>16</v>
      </c>
      <c r="B14" s="3">
        <f t="shared" si="0"/>
        <v>-12626477</v>
      </c>
      <c r="C14" s="3">
        <v>0</v>
      </c>
      <c r="D14" s="3">
        <v>0</v>
      </c>
      <c r="E14" s="3">
        <v>12626477</v>
      </c>
      <c r="F14" s="3">
        <v>18864920</v>
      </c>
    </row>
    <row r="15" spans="1:6" ht="17.25" thickBot="1" x14ac:dyDescent="0.35">
      <c r="A15" s="4" t="s">
        <v>35</v>
      </c>
      <c r="B15" s="5">
        <f>SUM(B3:B14)</f>
        <v>-67997765</v>
      </c>
      <c r="C15" s="5">
        <f t="shared" ref="C15:F15" si="1">SUM(C3:C14)</f>
        <v>40473</v>
      </c>
      <c r="D15" s="5">
        <f t="shared" si="1"/>
        <v>16189</v>
      </c>
      <c r="E15" s="5">
        <f t="shared" si="1"/>
        <v>68038238</v>
      </c>
      <c r="F15" s="5">
        <f t="shared" si="1"/>
        <v>105818288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-6065832</v>
      </c>
      <c r="C3" s="3">
        <v>0</v>
      </c>
      <c r="D3" s="3">
        <v>0</v>
      </c>
      <c r="E3" s="3">
        <v>6065832</v>
      </c>
      <c r="F3" s="3">
        <v>8496192</v>
      </c>
    </row>
    <row r="4" spans="1:6" x14ac:dyDescent="0.3">
      <c r="A4" s="2" t="s">
        <v>6</v>
      </c>
      <c r="B4" s="3">
        <f t="shared" ref="B4:B14" si="0">C4-E4</f>
        <v>-11048600</v>
      </c>
      <c r="C4" s="3">
        <v>0</v>
      </c>
      <c r="D4" s="3">
        <v>0</v>
      </c>
      <c r="E4" s="3">
        <v>11048600</v>
      </c>
      <c r="F4" s="3">
        <v>14657484</v>
      </c>
    </row>
    <row r="5" spans="1:6" x14ac:dyDescent="0.3">
      <c r="A5" s="2" t="s">
        <v>7</v>
      </c>
      <c r="B5" s="3">
        <f t="shared" si="0"/>
        <v>-9689332</v>
      </c>
      <c r="C5" s="3">
        <v>0</v>
      </c>
      <c r="D5" s="3">
        <v>0</v>
      </c>
      <c r="E5" s="3">
        <v>9689332</v>
      </c>
      <c r="F5" s="3">
        <v>12853595</v>
      </c>
    </row>
    <row r="6" spans="1:6" x14ac:dyDescent="0.3">
      <c r="A6" s="2" t="s">
        <v>8</v>
      </c>
      <c r="B6" s="3">
        <f t="shared" si="0"/>
        <v>-11759936</v>
      </c>
      <c r="C6" s="3">
        <v>0</v>
      </c>
      <c r="D6" s="3">
        <v>0</v>
      </c>
      <c r="E6" s="3">
        <v>11759936</v>
      </c>
      <c r="F6" s="3">
        <v>15286334</v>
      </c>
    </row>
    <row r="7" spans="1:6" x14ac:dyDescent="0.3">
      <c r="A7" s="2" t="s">
        <v>9</v>
      </c>
      <c r="B7" s="3">
        <f t="shared" si="0"/>
        <v>-8003946</v>
      </c>
      <c r="C7" s="3">
        <v>0</v>
      </c>
      <c r="D7" s="3">
        <v>0</v>
      </c>
      <c r="E7" s="3">
        <v>8003946</v>
      </c>
      <c r="F7" s="3">
        <v>10819345</v>
      </c>
    </row>
    <row r="8" spans="1:6" x14ac:dyDescent="0.3">
      <c r="A8" s="2" t="s">
        <v>10</v>
      </c>
      <c r="B8" s="3">
        <f t="shared" si="0"/>
        <v>-4842427</v>
      </c>
      <c r="C8" s="3">
        <v>0</v>
      </c>
      <c r="D8" s="3">
        <v>0</v>
      </c>
      <c r="E8" s="3">
        <v>4842427</v>
      </c>
      <c r="F8" s="3">
        <v>6548319</v>
      </c>
    </row>
    <row r="9" spans="1:6" x14ac:dyDescent="0.3">
      <c r="A9" s="2" t="s">
        <v>11</v>
      </c>
      <c r="B9" s="3">
        <f t="shared" si="0"/>
        <v>-7665078</v>
      </c>
      <c r="C9" s="3">
        <v>0</v>
      </c>
      <c r="D9" s="3">
        <v>0</v>
      </c>
      <c r="E9" s="3">
        <v>7665078</v>
      </c>
      <c r="F9" s="3">
        <v>10742434</v>
      </c>
    </row>
    <row r="10" spans="1:6" x14ac:dyDescent="0.3">
      <c r="A10" s="2" t="s">
        <v>12</v>
      </c>
      <c r="B10" s="3">
        <f t="shared" si="0"/>
        <v>-7571556</v>
      </c>
      <c r="C10" s="3">
        <v>0</v>
      </c>
      <c r="D10" s="3">
        <v>0</v>
      </c>
      <c r="E10" s="3">
        <v>7571556</v>
      </c>
      <c r="F10" s="3">
        <v>10944333</v>
      </c>
    </row>
    <row r="11" spans="1:6" x14ac:dyDescent="0.3">
      <c r="A11" s="2" t="s">
        <v>13</v>
      </c>
      <c r="B11" s="3">
        <f t="shared" si="0"/>
        <v>-7205543</v>
      </c>
      <c r="C11" s="3">
        <v>0</v>
      </c>
      <c r="D11" s="3">
        <v>0</v>
      </c>
      <c r="E11" s="3">
        <v>7205543</v>
      </c>
      <c r="F11" s="3">
        <v>10644006</v>
      </c>
    </row>
    <row r="12" spans="1:6" x14ac:dyDescent="0.3">
      <c r="A12" s="2" t="s">
        <v>14</v>
      </c>
      <c r="B12" s="3">
        <f t="shared" si="0"/>
        <v>-4025297</v>
      </c>
      <c r="C12" s="3">
        <v>0</v>
      </c>
      <c r="D12" s="3">
        <v>0</v>
      </c>
      <c r="E12" s="3">
        <v>4025297</v>
      </c>
      <c r="F12" s="3">
        <v>5635556</v>
      </c>
    </row>
    <row r="13" spans="1:6" x14ac:dyDescent="0.3">
      <c r="A13" s="2" t="s">
        <v>15</v>
      </c>
      <c r="B13" s="3">
        <f t="shared" si="0"/>
        <v>-7210033</v>
      </c>
      <c r="C13" s="3">
        <v>0</v>
      </c>
      <c r="D13" s="3">
        <v>0</v>
      </c>
      <c r="E13" s="3">
        <v>7210033</v>
      </c>
      <c r="F13" s="3">
        <v>10790333</v>
      </c>
    </row>
    <row r="14" spans="1:6" x14ac:dyDescent="0.3">
      <c r="A14" s="2" t="s">
        <v>16</v>
      </c>
      <c r="B14" s="3">
        <f t="shared" si="0"/>
        <v>-11735138</v>
      </c>
      <c r="C14" s="3">
        <v>0</v>
      </c>
      <c r="D14" s="3">
        <v>0</v>
      </c>
      <c r="E14" s="3">
        <v>11735138</v>
      </c>
      <c r="F14" s="3">
        <v>17042908</v>
      </c>
    </row>
    <row r="15" spans="1:6" ht="17.25" thickBot="1" x14ac:dyDescent="0.35">
      <c r="A15" s="4" t="s">
        <v>17</v>
      </c>
      <c r="B15" s="5">
        <f>SUM(B3:B14)</f>
        <v>-96822718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96822718</v>
      </c>
      <c r="F15" s="5">
        <f t="shared" si="2"/>
        <v>134460839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-8495857</v>
      </c>
      <c r="C3" s="3">
        <v>0</v>
      </c>
      <c r="D3" s="3">
        <v>0</v>
      </c>
      <c r="E3" s="3">
        <v>8495857</v>
      </c>
      <c r="F3" s="3">
        <v>12507601</v>
      </c>
    </row>
    <row r="4" spans="1:6" x14ac:dyDescent="0.3">
      <c r="A4" s="2" t="s">
        <v>6</v>
      </c>
      <c r="B4" s="3">
        <f t="shared" ref="B4:B14" si="0">C4-E4</f>
        <v>-4494124</v>
      </c>
      <c r="C4" s="3">
        <v>0</v>
      </c>
      <c r="D4" s="3">
        <v>0</v>
      </c>
      <c r="E4" s="3">
        <v>4494124</v>
      </c>
      <c r="F4" s="3">
        <v>6493044</v>
      </c>
    </row>
    <row r="5" spans="1:6" x14ac:dyDescent="0.3">
      <c r="A5" s="2" t="s">
        <v>7</v>
      </c>
      <c r="B5" s="3">
        <f t="shared" si="0"/>
        <v>-9911618</v>
      </c>
      <c r="C5" s="3">
        <v>0</v>
      </c>
      <c r="D5" s="3">
        <v>0</v>
      </c>
      <c r="E5" s="3">
        <v>9911618</v>
      </c>
      <c r="F5" s="3">
        <v>14819648</v>
      </c>
    </row>
    <row r="6" spans="1:6" x14ac:dyDescent="0.3">
      <c r="A6" s="2" t="s">
        <v>8</v>
      </c>
      <c r="B6" s="3">
        <f t="shared" si="0"/>
        <v>-10400251</v>
      </c>
      <c r="C6" s="3">
        <v>0</v>
      </c>
      <c r="D6" s="3">
        <v>0</v>
      </c>
      <c r="E6" s="3">
        <v>10400251</v>
      </c>
      <c r="F6" s="3">
        <v>15126102</v>
      </c>
    </row>
    <row r="7" spans="1:6" x14ac:dyDescent="0.3">
      <c r="A7" s="2" t="s">
        <v>9</v>
      </c>
      <c r="B7" s="3">
        <f t="shared" si="0"/>
        <v>-12071749</v>
      </c>
      <c r="C7" s="3">
        <v>0</v>
      </c>
      <c r="D7" s="3">
        <v>0</v>
      </c>
      <c r="E7" s="3">
        <v>12071749</v>
      </c>
      <c r="F7" s="3">
        <v>17681220</v>
      </c>
    </row>
    <row r="8" spans="1:6" x14ac:dyDescent="0.3">
      <c r="A8" s="2" t="s">
        <v>10</v>
      </c>
      <c r="B8" s="3">
        <f t="shared" si="0"/>
        <v>-7231925</v>
      </c>
      <c r="C8" s="3">
        <v>0</v>
      </c>
      <c r="D8" s="3">
        <v>0</v>
      </c>
      <c r="E8" s="3">
        <v>7231925</v>
      </c>
      <c r="F8" s="3">
        <v>10490404</v>
      </c>
    </row>
    <row r="9" spans="1:6" x14ac:dyDescent="0.3">
      <c r="A9" s="2" t="s">
        <v>11</v>
      </c>
      <c r="B9" s="3">
        <f t="shared" si="0"/>
        <v>-6045047</v>
      </c>
      <c r="C9" s="3">
        <v>0</v>
      </c>
      <c r="D9" s="3">
        <v>0</v>
      </c>
      <c r="E9" s="3">
        <v>6045047</v>
      </c>
      <c r="F9" s="3">
        <v>8899256</v>
      </c>
    </row>
    <row r="10" spans="1:6" x14ac:dyDescent="0.3">
      <c r="A10" s="2" t="s">
        <v>12</v>
      </c>
      <c r="B10" s="3">
        <f t="shared" si="0"/>
        <v>-7148829</v>
      </c>
      <c r="C10" s="3">
        <v>0</v>
      </c>
      <c r="D10" s="3">
        <v>0</v>
      </c>
      <c r="E10" s="3">
        <v>7148829</v>
      </c>
      <c r="F10" s="3">
        <v>11572867</v>
      </c>
    </row>
    <row r="11" spans="1:6" x14ac:dyDescent="0.3">
      <c r="A11" s="2" t="s">
        <v>13</v>
      </c>
      <c r="B11" s="3">
        <f t="shared" si="0"/>
        <v>-5803537</v>
      </c>
      <c r="C11" s="3">
        <v>0</v>
      </c>
      <c r="D11" s="3">
        <v>0</v>
      </c>
      <c r="E11" s="3">
        <v>5803537</v>
      </c>
      <c r="F11" s="3">
        <v>8853800</v>
      </c>
    </row>
    <row r="12" spans="1:6" x14ac:dyDescent="0.3">
      <c r="A12" s="2" t="s">
        <v>14</v>
      </c>
      <c r="B12" s="3">
        <f t="shared" si="0"/>
        <v>-5984497</v>
      </c>
      <c r="C12" s="3">
        <v>0</v>
      </c>
      <c r="D12" s="3">
        <v>0</v>
      </c>
      <c r="E12" s="3">
        <v>5984497</v>
      </c>
      <c r="F12" s="3">
        <v>9590649</v>
      </c>
    </row>
    <row r="13" spans="1:6" x14ac:dyDescent="0.3">
      <c r="A13" s="2" t="s">
        <v>15</v>
      </c>
      <c r="B13" s="3">
        <f t="shared" si="0"/>
        <v>-11320156</v>
      </c>
      <c r="C13" s="3">
        <v>0</v>
      </c>
      <c r="D13" s="3">
        <v>0</v>
      </c>
      <c r="E13" s="3">
        <v>11320156</v>
      </c>
      <c r="F13" s="3">
        <v>18431724</v>
      </c>
    </row>
    <row r="14" spans="1:6" x14ac:dyDescent="0.3">
      <c r="A14" s="2" t="s">
        <v>16</v>
      </c>
      <c r="B14" s="3">
        <f t="shared" si="0"/>
        <v>-6548911</v>
      </c>
      <c r="C14" s="3">
        <v>0</v>
      </c>
      <c r="D14" s="3">
        <v>0</v>
      </c>
      <c r="E14" s="3">
        <v>6548911</v>
      </c>
      <c r="F14" s="3">
        <v>11026643</v>
      </c>
    </row>
    <row r="15" spans="1:6" ht="17.25" thickBot="1" x14ac:dyDescent="0.35">
      <c r="A15" s="4" t="s">
        <v>17</v>
      </c>
      <c r="B15" s="5">
        <f>SUM(B3:B14)</f>
        <v>-95456501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95456501</v>
      </c>
      <c r="F15" s="5">
        <f t="shared" si="2"/>
        <v>145492958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-3744840</v>
      </c>
      <c r="C3" s="3">
        <v>0</v>
      </c>
      <c r="D3" s="3">
        <v>0</v>
      </c>
      <c r="E3" s="3">
        <v>3744840</v>
      </c>
      <c r="F3" s="3">
        <v>6723204</v>
      </c>
    </row>
    <row r="4" spans="1:6" x14ac:dyDescent="0.3">
      <c r="A4" s="2" t="s">
        <v>6</v>
      </c>
      <c r="B4" s="3">
        <f t="shared" ref="B4:B14" si="0">C4-E4</f>
        <v>-6140409</v>
      </c>
      <c r="C4" s="3">
        <v>0</v>
      </c>
      <c r="D4" s="3">
        <v>0</v>
      </c>
      <c r="E4" s="3">
        <v>6140409</v>
      </c>
      <c r="F4" s="3">
        <v>11481916</v>
      </c>
    </row>
    <row r="5" spans="1:6" x14ac:dyDescent="0.3">
      <c r="A5" s="2" t="s">
        <v>7</v>
      </c>
      <c r="B5" s="3">
        <f t="shared" si="0"/>
        <v>-6962278</v>
      </c>
      <c r="C5" s="3">
        <v>0</v>
      </c>
      <c r="D5" s="3">
        <v>0</v>
      </c>
      <c r="E5" s="3">
        <v>6962278</v>
      </c>
      <c r="F5" s="3">
        <v>12507690</v>
      </c>
    </row>
    <row r="6" spans="1:6" x14ac:dyDescent="0.3">
      <c r="A6" s="2" t="s">
        <v>8</v>
      </c>
      <c r="B6" s="3">
        <f t="shared" si="0"/>
        <v>-5173264</v>
      </c>
      <c r="C6" s="3">
        <v>0</v>
      </c>
      <c r="D6" s="3">
        <v>0</v>
      </c>
      <c r="E6" s="3">
        <v>5173264</v>
      </c>
      <c r="F6" s="3">
        <v>9244648</v>
      </c>
    </row>
    <row r="7" spans="1:6" x14ac:dyDescent="0.3">
      <c r="A7" s="2" t="s">
        <v>9</v>
      </c>
      <c r="B7" s="3">
        <f t="shared" si="0"/>
        <v>-3112353</v>
      </c>
      <c r="C7" s="3">
        <v>0</v>
      </c>
      <c r="D7" s="3">
        <v>0</v>
      </c>
      <c r="E7" s="3">
        <v>3112353</v>
      </c>
      <c r="F7" s="3">
        <v>5371814</v>
      </c>
    </row>
    <row r="8" spans="1:6" x14ac:dyDescent="0.3">
      <c r="A8" s="2" t="s">
        <v>10</v>
      </c>
      <c r="B8" s="3">
        <f t="shared" si="0"/>
        <v>-6051236</v>
      </c>
      <c r="C8" s="3">
        <v>0</v>
      </c>
      <c r="D8" s="3">
        <v>0</v>
      </c>
      <c r="E8" s="3">
        <v>6051236</v>
      </c>
      <c r="F8" s="3">
        <v>10935719</v>
      </c>
    </row>
    <row r="9" spans="1:6" x14ac:dyDescent="0.3">
      <c r="A9" s="2" t="s">
        <v>11</v>
      </c>
      <c r="B9" s="3">
        <f t="shared" si="0"/>
        <v>-8560447</v>
      </c>
      <c r="C9" s="3">
        <v>0</v>
      </c>
      <c r="D9" s="3">
        <v>0</v>
      </c>
      <c r="E9" s="3">
        <v>8560447</v>
      </c>
      <c r="F9" s="3">
        <v>16103228</v>
      </c>
    </row>
    <row r="10" spans="1:6" x14ac:dyDescent="0.3">
      <c r="A10" s="2" t="s">
        <v>12</v>
      </c>
      <c r="B10" s="3">
        <f t="shared" si="0"/>
        <v>-6732827</v>
      </c>
      <c r="C10" s="3">
        <v>0</v>
      </c>
      <c r="D10" s="3">
        <v>0</v>
      </c>
      <c r="E10" s="3">
        <v>6732827</v>
      </c>
      <c r="F10" s="3">
        <v>12254974</v>
      </c>
    </row>
    <row r="11" spans="1:6" x14ac:dyDescent="0.3">
      <c r="A11" s="2" t="s">
        <v>13</v>
      </c>
      <c r="B11" s="3">
        <f t="shared" si="0"/>
        <v>-9084830</v>
      </c>
      <c r="C11" s="3">
        <v>0</v>
      </c>
      <c r="D11" s="3">
        <v>0</v>
      </c>
      <c r="E11" s="3">
        <v>9084830</v>
      </c>
      <c r="F11" s="3">
        <v>16941260</v>
      </c>
    </row>
    <row r="12" spans="1:6" x14ac:dyDescent="0.3">
      <c r="A12" s="2" t="s">
        <v>14</v>
      </c>
      <c r="B12" s="3">
        <f t="shared" si="0"/>
        <v>-5656819</v>
      </c>
      <c r="C12" s="3">
        <v>0</v>
      </c>
      <c r="D12" s="3">
        <v>0</v>
      </c>
      <c r="E12" s="3">
        <v>5656819</v>
      </c>
      <c r="F12" s="3">
        <v>10274204</v>
      </c>
    </row>
    <row r="13" spans="1:6" x14ac:dyDescent="0.3">
      <c r="A13" s="2" t="s">
        <v>15</v>
      </c>
      <c r="B13" s="3">
        <f t="shared" si="0"/>
        <v>-8569098</v>
      </c>
      <c r="C13" s="3">
        <v>0</v>
      </c>
      <c r="D13" s="3">
        <v>0</v>
      </c>
      <c r="E13" s="3">
        <v>8569098</v>
      </c>
      <c r="F13" s="3">
        <v>14770091</v>
      </c>
    </row>
    <row r="14" spans="1:6" x14ac:dyDescent="0.3">
      <c r="A14" s="2" t="s">
        <v>16</v>
      </c>
      <c r="B14" s="3">
        <f t="shared" si="0"/>
        <v>-7259733</v>
      </c>
      <c r="C14" s="3">
        <v>0</v>
      </c>
      <c r="D14" s="3">
        <v>0</v>
      </c>
      <c r="E14" s="3">
        <v>7259733</v>
      </c>
      <c r="F14" s="3">
        <v>11462167</v>
      </c>
    </row>
    <row r="15" spans="1:6" ht="17.25" thickBot="1" x14ac:dyDescent="0.35">
      <c r="A15" s="4" t="s">
        <v>17</v>
      </c>
      <c r="B15" s="5">
        <f>SUM(B3:B14)</f>
        <v>-77048134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77048134</v>
      </c>
      <c r="F15" s="5">
        <f t="shared" si="2"/>
        <v>138070915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-9997710</v>
      </c>
      <c r="C3" s="3">
        <v>0</v>
      </c>
      <c r="D3" s="3">
        <v>0</v>
      </c>
      <c r="E3" s="3">
        <v>9997710</v>
      </c>
      <c r="F3" s="3">
        <v>14685626</v>
      </c>
    </row>
    <row r="4" spans="1:6" x14ac:dyDescent="0.3">
      <c r="A4" s="2" t="s">
        <v>6</v>
      </c>
      <c r="B4" s="3">
        <f t="shared" ref="B4:B14" si="0">C4-E4</f>
        <v>-11950150</v>
      </c>
      <c r="C4" s="3">
        <v>0</v>
      </c>
      <c r="D4" s="3">
        <v>0</v>
      </c>
      <c r="E4" s="3">
        <v>11950150</v>
      </c>
      <c r="F4" s="3">
        <v>15441344</v>
      </c>
    </row>
    <row r="5" spans="1:6" x14ac:dyDescent="0.3">
      <c r="A5" s="2" t="s">
        <v>7</v>
      </c>
      <c r="B5" s="3">
        <f t="shared" si="0"/>
        <v>-6855986</v>
      </c>
      <c r="C5" s="3">
        <v>0</v>
      </c>
      <c r="D5" s="3">
        <v>0</v>
      </c>
      <c r="E5" s="3">
        <v>6855986</v>
      </c>
      <c r="F5" s="3">
        <v>8645067</v>
      </c>
    </row>
    <row r="6" spans="1:6" x14ac:dyDescent="0.3">
      <c r="A6" s="2" t="s">
        <v>8</v>
      </c>
      <c r="B6" s="3">
        <f t="shared" si="0"/>
        <v>-10925936</v>
      </c>
      <c r="C6" s="3">
        <v>0</v>
      </c>
      <c r="D6" s="3">
        <v>0</v>
      </c>
      <c r="E6" s="3">
        <v>10925936</v>
      </c>
      <c r="F6" s="3">
        <v>15481149</v>
      </c>
    </row>
    <row r="7" spans="1:6" x14ac:dyDescent="0.3">
      <c r="A7" s="2" t="s">
        <v>9</v>
      </c>
      <c r="B7" s="3">
        <f t="shared" si="0"/>
        <v>-14938527</v>
      </c>
      <c r="C7" s="3">
        <v>0</v>
      </c>
      <c r="D7" s="3">
        <v>0</v>
      </c>
      <c r="E7" s="3">
        <v>14938527</v>
      </c>
      <c r="F7" s="3">
        <v>23029855</v>
      </c>
    </row>
    <row r="8" spans="1:6" x14ac:dyDescent="0.3">
      <c r="A8" s="2" t="s">
        <v>10</v>
      </c>
      <c r="B8" s="3">
        <f t="shared" si="0"/>
        <v>-10307172</v>
      </c>
      <c r="C8" s="3">
        <v>0</v>
      </c>
      <c r="D8" s="3">
        <v>0</v>
      </c>
      <c r="E8" s="3">
        <v>10307172</v>
      </c>
      <c r="F8" s="3">
        <v>15821821</v>
      </c>
    </row>
    <row r="9" spans="1:6" x14ac:dyDescent="0.3">
      <c r="A9" s="2" t="s">
        <v>11</v>
      </c>
      <c r="B9" s="3">
        <f t="shared" si="0"/>
        <v>-10346915</v>
      </c>
      <c r="C9" s="3">
        <v>0</v>
      </c>
      <c r="D9" s="3">
        <v>0</v>
      </c>
      <c r="E9" s="3">
        <v>10346915</v>
      </c>
      <c r="F9" s="3">
        <v>16773146</v>
      </c>
    </row>
    <row r="10" spans="1:6" x14ac:dyDescent="0.3">
      <c r="A10" s="2" t="s">
        <v>12</v>
      </c>
      <c r="B10" s="3">
        <f t="shared" si="0"/>
        <v>-9374206</v>
      </c>
      <c r="C10" s="3">
        <v>0</v>
      </c>
      <c r="D10" s="3">
        <v>0</v>
      </c>
      <c r="E10" s="3">
        <v>9374206</v>
      </c>
      <c r="F10" s="3">
        <v>14920024</v>
      </c>
    </row>
    <row r="11" spans="1:6" x14ac:dyDescent="0.3">
      <c r="A11" s="2" t="s">
        <v>13</v>
      </c>
      <c r="B11" s="3">
        <f t="shared" si="0"/>
        <v>-10380239</v>
      </c>
      <c r="C11" s="3">
        <v>0</v>
      </c>
      <c r="D11" s="3">
        <v>0</v>
      </c>
      <c r="E11" s="3">
        <v>10380239</v>
      </c>
      <c r="F11" s="3">
        <v>15656346</v>
      </c>
    </row>
    <row r="12" spans="1:6" x14ac:dyDescent="0.3">
      <c r="A12" s="2" t="s">
        <v>14</v>
      </c>
      <c r="B12" s="3">
        <f t="shared" si="0"/>
        <v>-8492051</v>
      </c>
      <c r="C12" s="3">
        <v>0</v>
      </c>
      <c r="D12" s="3">
        <v>0</v>
      </c>
      <c r="E12" s="3">
        <v>8492051</v>
      </c>
      <c r="F12" s="3">
        <v>12305852</v>
      </c>
    </row>
    <row r="13" spans="1:6" x14ac:dyDescent="0.3">
      <c r="A13" s="2" t="s">
        <v>15</v>
      </c>
      <c r="B13" s="3">
        <f t="shared" si="0"/>
        <v>-9705437</v>
      </c>
      <c r="C13" s="3">
        <v>0</v>
      </c>
      <c r="D13" s="3">
        <v>0</v>
      </c>
      <c r="E13" s="3">
        <v>9705437</v>
      </c>
      <c r="F13" s="3">
        <v>13845150</v>
      </c>
    </row>
    <row r="14" spans="1:6" x14ac:dyDescent="0.3">
      <c r="A14" s="2" t="s">
        <v>16</v>
      </c>
      <c r="B14" s="3">
        <f t="shared" si="0"/>
        <v>-19784744</v>
      </c>
      <c r="C14" s="3">
        <v>0</v>
      </c>
      <c r="D14" s="3">
        <v>0</v>
      </c>
      <c r="E14" s="3">
        <v>19784744</v>
      </c>
      <c r="F14" s="3">
        <v>25020636</v>
      </c>
    </row>
    <row r="15" spans="1:6" ht="17.25" thickBot="1" x14ac:dyDescent="0.35">
      <c r="A15" s="4" t="s">
        <v>17</v>
      </c>
      <c r="B15" s="5">
        <f>SUM(B3:B14)</f>
        <v>-133059073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133059073</v>
      </c>
      <c r="F15" s="5">
        <f t="shared" si="2"/>
        <v>191626016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-7398845</v>
      </c>
      <c r="C3" s="3">
        <v>0</v>
      </c>
      <c r="D3" s="3">
        <v>0</v>
      </c>
      <c r="E3" s="3">
        <v>7398845</v>
      </c>
      <c r="F3" s="3">
        <v>7931931</v>
      </c>
    </row>
    <row r="4" spans="1:6" x14ac:dyDescent="0.3">
      <c r="A4" s="2" t="s">
        <v>6</v>
      </c>
      <c r="B4" s="3">
        <f t="shared" ref="B4:B14" si="0">C4-E4</f>
        <v>-8587417</v>
      </c>
      <c r="C4" s="3">
        <v>0</v>
      </c>
      <c r="D4" s="3">
        <v>0</v>
      </c>
      <c r="E4" s="3">
        <v>8587417</v>
      </c>
      <c r="F4" s="3">
        <v>8676708</v>
      </c>
    </row>
    <row r="5" spans="1:6" x14ac:dyDescent="0.3">
      <c r="A5" s="2" t="s">
        <v>7</v>
      </c>
      <c r="B5" s="3">
        <f t="shared" si="0"/>
        <v>-9555833</v>
      </c>
      <c r="C5" s="3">
        <v>0</v>
      </c>
      <c r="D5" s="3">
        <v>0</v>
      </c>
      <c r="E5" s="3">
        <v>9555833</v>
      </c>
      <c r="F5" s="3">
        <v>9482129</v>
      </c>
    </row>
    <row r="6" spans="1:6" x14ac:dyDescent="0.3">
      <c r="A6" s="2" t="s">
        <v>8</v>
      </c>
      <c r="B6" s="3">
        <f t="shared" si="0"/>
        <v>-13772162</v>
      </c>
      <c r="C6" s="3">
        <v>0</v>
      </c>
      <c r="D6" s="3">
        <v>0</v>
      </c>
      <c r="E6" s="3">
        <v>13772162</v>
      </c>
      <c r="F6" s="3">
        <v>13800175</v>
      </c>
    </row>
    <row r="7" spans="1:6" x14ac:dyDescent="0.3">
      <c r="A7" s="2" t="s">
        <v>9</v>
      </c>
      <c r="B7" s="3">
        <f t="shared" si="0"/>
        <v>-11025315</v>
      </c>
      <c r="C7" s="3">
        <v>0</v>
      </c>
      <c r="D7" s="3">
        <v>0</v>
      </c>
      <c r="E7" s="3">
        <v>11025315</v>
      </c>
      <c r="F7" s="3">
        <v>10675293</v>
      </c>
    </row>
    <row r="8" spans="1:6" x14ac:dyDescent="0.3">
      <c r="A8" s="2" t="s">
        <v>10</v>
      </c>
      <c r="B8" s="3">
        <f t="shared" si="0"/>
        <v>-7551726</v>
      </c>
      <c r="C8" s="3">
        <v>0</v>
      </c>
      <c r="D8" s="3">
        <v>0</v>
      </c>
      <c r="E8" s="3">
        <v>7551726</v>
      </c>
      <c r="F8" s="3">
        <v>7286390</v>
      </c>
    </row>
    <row r="9" spans="1:6" x14ac:dyDescent="0.3">
      <c r="A9" s="2" t="s">
        <v>11</v>
      </c>
      <c r="B9" s="3">
        <f t="shared" si="0"/>
        <v>-13496193</v>
      </c>
      <c r="C9" s="3">
        <v>0</v>
      </c>
      <c r="D9" s="3">
        <v>0</v>
      </c>
      <c r="E9" s="3">
        <v>13496193</v>
      </c>
      <c r="F9" s="3">
        <v>12817264</v>
      </c>
    </row>
    <row r="10" spans="1:6" x14ac:dyDescent="0.3">
      <c r="A10" s="2" t="s">
        <v>12</v>
      </c>
      <c r="B10" s="3">
        <f t="shared" si="0"/>
        <v>-14838609</v>
      </c>
      <c r="C10" s="3">
        <v>0</v>
      </c>
      <c r="D10" s="3">
        <v>0</v>
      </c>
      <c r="E10" s="3">
        <v>14838609</v>
      </c>
      <c r="F10" s="3">
        <v>13721137</v>
      </c>
    </row>
    <row r="11" spans="1:6" x14ac:dyDescent="0.3">
      <c r="A11" s="2" t="s">
        <v>13</v>
      </c>
      <c r="B11" s="3">
        <f t="shared" si="0"/>
        <v>-8729539</v>
      </c>
      <c r="C11" s="3">
        <v>0</v>
      </c>
      <c r="D11" s="3">
        <v>0</v>
      </c>
      <c r="E11" s="3">
        <v>8729539</v>
      </c>
      <c r="F11" s="3">
        <v>7783161</v>
      </c>
    </row>
    <row r="12" spans="1:6" x14ac:dyDescent="0.3">
      <c r="A12" s="2" t="s">
        <v>14</v>
      </c>
      <c r="B12" s="3">
        <f t="shared" si="0"/>
        <v>-14674662</v>
      </c>
      <c r="C12" s="3">
        <v>0</v>
      </c>
      <c r="D12" s="3">
        <v>0</v>
      </c>
      <c r="E12" s="3">
        <v>14674662</v>
      </c>
      <c r="F12" s="3">
        <v>14389793</v>
      </c>
    </row>
    <row r="13" spans="1:6" x14ac:dyDescent="0.3">
      <c r="A13" s="2" t="s">
        <v>15</v>
      </c>
      <c r="B13" s="3">
        <f t="shared" si="0"/>
        <v>-10843905</v>
      </c>
      <c r="C13" s="3">
        <v>0</v>
      </c>
      <c r="D13" s="3">
        <v>0</v>
      </c>
      <c r="E13" s="3">
        <v>10843905</v>
      </c>
      <c r="F13" s="3">
        <v>8486489</v>
      </c>
    </row>
    <row r="14" spans="1:6" x14ac:dyDescent="0.3">
      <c r="A14" s="2" t="s">
        <v>16</v>
      </c>
      <c r="B14" s="3">
        <f t="shared" si="0"/>
        <v>-18523210</v>
      </c>
      <c r="C14" s="3">
        <v>0</v>
      </c>
      <c r="D14" s="3">
        <v>0</v>
      </c>
      <c r="E14" s="3">
        <v>18523210</v>
      </c>
      <c r="F14" s="3">
        <v>13748320</v>
      </c>
    </row>
    <row r="15" spans="1:6" ht="17.25" thickBot="1" x14ac:dyDescent="0.35">
      <c r="A15" s="4" t="s">
        <v>17</v>
      </c>
      <c r="B15" s="5">
        <f>SUM(B3:B14)</f>
        <v>-138997416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138997416</v>
      </c>
      <c r="F15" s="5">
        <f t="shared" si="2"/>
        <v>128798790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-11497203</v>
      </c>
      <c r="C3" s="3">
        <v>0</v>
      </c>
      <c r="D3" s="3">
        <v>0</v>
      </c>
      <c r="E3" s="3">
        <v>11497203</v>
      </c>
      <c r="F3" s="3">
        <v>8479517</v>
      </c>
    </row>
    <row r="4" spans="1:6" x14ac:dyDescent="0.3">
      <c r="A4" s="2" t="s">
        <v>6</v>
      </c>
      <c r="B4" s="3">
        <f t="shared" ref="B4:B14" si="0">C4-E4</f>
        <v>-18466804</v>
      </c>
      <c r="C4" s="3">
        <v>0</v>
      </c>
      <c r="D4" s="3">
        <v>0</v>
      </c>
      <c r="E4" s="3">
        <v>18466804</v>
      </c>
      <c r="F4" s="3">
        <v>14657126</v>
      </c>
    </row>
    <row r="5" spans="1:6" x14ac:dyDescent="0.3">
      <c r="A5" s="2" t="s">
        <v>7</v>
      </c>
      <c r="B5" s="3">
        <f t="shared" si="0"/>
        <v>-25155418</v>
      </c>
      <c r="C5" s="3">
        <v>0</v>
      </c>
      <c r="D5" s="3">
        <v>0</v>
      </c>
      <c r="E5" s="3">
        <v>25155418</v>
      </c>
      <c r="F5" s="3">
        <v>18355639</v>
      </c>
    </row>
    <row r="6" spans="1:6" x14ac:dyDescent="0.3">
      <c r="A6" s="2" t="s">
        <v>8</v>
      </c>
      <c r="B6" s="3">
        <f t="shared" si="0"/>
        <v>-22149645</v>
      </c>
      <c r="C6" s="3">
        <v>0</v>
      </c>
      <c r="D6" s="3">
        <v>0</v>
      </c>
      <c r="E6" s="3">
        <v>22149645</v>
      </c>
      <c r="F6" s="3">
        <v>13492896</v>
      </c>
    </row>
    <row r="7" spans="1:6" x14ac:dyDescent="0.3">
      <c r="A7" s="2" t="s">
        <v>9</v>
      </c>
      <c r="B7" s="3">
        <f t="shared" si="0"/>
        <v>-32199012</v>
      </c>
      <c r="C7" s="3">
        <v>0</v>
      </c>
      <c r="D7" s="3">
        <v>0</v>
      </c>
      <c r="E7" s="3">
        <v>32199012</v>
      </c>
      <c r="F7" s="3">
        <v>19959537</v>
      </c>
    </row>
    <row r="8" spans="1:6" x14ac:dyDescent="0.3">
      <c r="A8" s="2" t="s">
        <v>10</v>
      </c>
      <c r="B8" s="3">
        <f t="shared" si="0"/>
        <v>-35173845</v>
      </c>
      <c r="C8" s="3">
        <v>0</v>
      </c>
      <c r="D8" s="3">
        <v>0</v>
      </c>
      <c r="E8" s="3">
        <v>35173845</v>
      </c>
      <c r="F8" s="3">
        <v>21682286</v>
      </c>
    </row>
    <row r="9" spans="1:6" x14ac:dyDescent="0.3">
      <c r="A9" s="2" t="s">
        <v>11</v>
      </c>
      <c r="B9" s="3">
        <f t="shared" si="0"/>
        <v>-14045911</v>
      </c>
      <c r="C9" s="3">
        <v>0</v>
      </c>
      <c r="D9" s="3">
        <v>0</v>
      </c>
      <c r="E9" s="3">
        <v>14045911</v>
      </c>
      <c r="F9" s="3">
        <v>8749074</v>
      </c>
    </row>
    <row r="10" spans="1:6" x14ac:dyDescent="0.3">
      <c r="A10" s="2" t="s">
        <v>12</v>
      </c>
      <c r="B10" s="3">
        <f t="shared" si="0"/>
        <v>-16182827</v>
      </c>
      <c r="C10" s="3">
        <v>0</v>
      </c>
      <c r="D10" s="3">
        <v>0</v>
      </c>
      <c r="E10" s="3">
        <v>16182827</v>
      </c>
      <c r="F10" s="3">
        <v>10179370</v>
      </c>
    </row>
    <row r="11" spans="1:6" x14ac:dyDescent="0.3">
      <c r="A11" s="2" t="s">
        <v>13</v>
      </c>
      <c r="B11" s="3">
        <f t="shared" si="0"/>
        <v>-19668778</v>
      </c>
      <c r="C11" s="3">
        <v>0</v>
      </c>
      <c r="D11" s="3">
        <v>0</v>
      </c>
      <c r="E11" s="3">
        <v>19668778</v>
      </c>
      <c r="F11" s="3">
        <v>15271723</v>
      </c>
    </row>
    <row r="12" spans="1:6" x14ac:dyDescent="0.3">
      <c r="A12" s="2" t="s">
        <v>14</v>
      </c>
      <c r="B12" s="3">
        <f t="shared" si="0"/>
        <v>-9693958</v>
      </c>
      <c r="C12" s="3">
        <v>0</v>
      </c>
      <c r="D12" s="3">
        <v>0</v>
      </c>
      <c r="E12" s="3">
        <v>9693958</v>
      </c>
      <c r="F12" s="3">
        <v>8824478</v>
      </c>
    </row>
    <row r="13" spans="1:6" x14ac:dyDescent="0.3">
      <c r="A13" s="2" t="s">
        <v>15</v>
      </c>
      <c r="B13" s="3">
        <f t="shared" si="0"/>
        <v>-16443467</v>
      </c>
      <c r="C13" s="3">
        <v>0</v>
      </c>
      <c r="D13" s="3">
        <v>0</v>
      </c>
      <c r="E13" s="3">
        <v>16443467</v>
      </c>
      <c r="F13" s="3">
        <v>14676500</v>
      </c>
    </row>
    <row r="14" spans="1:6" x14ac:dyDescent="0.3">
      <c r="A14" s="2" t="s">
        <v>16</v>
      </c>
      <c r="B14" s="3">
        <f t="shared" si="0"/>
        <v>-15824598</v>
      </c>
      <c r="C14" s="3">
        <v>0</v>
      </c>
      <c r="D14" s="3">
        <v>0</v>
      </c>
      <c r="E14" s="3">
        <v>15824598</v>
      </c>
      <c r="F14" s="3">
        <v>15457749</v>
      </c>
    </row>
    <row r="15" spans="1:6" ht="17.25" thickBot="1" x14ac:dyDescent="0.35">
      <c r="A15" s="4" t="s">
        <v>17</v>
      </c>
      <c r="B15" s="5">
        <f>SUM(B3:B14)</f>
        <v>-236501466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236501466</v>
      </c>
      <c r="F15" s="5">
        <f t="shared" si="2"/>
        <v>169785895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-19038122</v>
      </c>
      <c r="C3" s="3">
        <v>0</v>
      </c>
      <c r="D3" s="3">
        <v>0</v>
      </c>
      <c r="E3" s="3">
        <v>19038122</v>
      </c>
      <c r="F3" s="3">
        <v>18478613</v>
      </c>
    </row>
    <row r="4" spans="1:6" x14ac:dyDescent="0.3">
      <c r="A4" s="2" t="s">
        <v>6</v>
      </c>
      <c r="B4" s="3">
        <f t="shared" ref="B4:B14" si="0">C4-E4</f>
        <v>-20127719</v>
      </c>
      <c r="C4" s="3">
        <v>0</v>
      </c>
      <c r="D4" s="3">
        <v>0</v>
      </c>
      <c r="E4" s="3">
        <v>20127719</v>
      </c>
      <c r="F4" s="3">
        <v>20431981</v>
      </c>
    </row>
    <row r="5" spans="1:6" x14ac:dyDescent="0.3">
      <c r="A5" s="2" t="s">
        <v>7</v>
      </c>
      <c r="B5" s="3">
        <f t="shared" si="0"/>
        <v>-18385834</v>
      </c>
      <c r="C5" s="3">
        <v>0</v>
      </c>
      <c r="D5" s="3">
        <v>0</v>
      </c>
      <c r="E5" s="3">
        <v>18385834</v>
      </c>
      <c r="F5" s="3">
        <v>18523178</v>
      </c>
    </row>
    <row r="6" spans="1:6" x14ac:dyDescent="0.3">
      <c r="A6" s="2" t="s">
        <v>8</v>
      </c>
      <c r="B6" s="3">
        <f t="shared" si="0"/>
        <v>-13595521</v>
      </c>
      <c r="C6" s="3">
        <v>0</v>
      </c>
      <c r="D6" s="3">
        <v>0</v>
      </c>
      <c r="E6" s="3">
        <v>13595521</v>
      </c>
      <c r="F6" s="3">
        <v>13751595</v>
      </c>
    </row>
    <row r="7" spans="1:6" x14ac:dyDescent="0.3">
      <c r="A7" s="2" t="s">
        <v>9</v>
      </c>
      <c r="B7" s="3">
        <f t="shared" si="0"/>
        <v>-13656458</v>
      </c>
      <c r="C7" s="3">
        <v>0</v>
      </c>
      <c r="D7" s="3">
        <v>0</v>
      </c>
      <c r="E7" s="3">
        <v>13656458</v>
      </c>
      <c r="F7" s="3">
        <v>13685687</v>
      </c>
    </row>
    <row r="8" spans="1:6" x14ac:dyDescent="0.3">
      <c r="A8" s="2" t="s">
        <v>10</v>
      </c>
      <c r="B8" s="3">
        <f t="shared" si="0"/>
        <v>-21434597</v>
      </c>
      <c r="C8" s="3">
        <v>0</v>
      </c>
      <c r="D8" s="3">
        <v>0</v>
      </c>
      <c r="E8" s="3">
        <v>21434597</v>
      </c>
      <c r="F8" s="3">
        <v>22418163</v>
      </c>
    </row>
    <row r="9" spans="1:6" x14ac:dyDescent="0.3">
      <c r="A9" s="2" t="s">
        <v>11</v>
      </c>
      <c r="B9" s="3">
        <f t="shared" si="0"/>
        <v>-13040415</v>
      </c>
      <c r="C9" s="3">
        <v>0</v>
      </c>
      <c r="D9" s="3">
        <v>0</v>
      </c>
      <c r="E9" s="3">
        <v>13040415</v>
      </c>
      <c r="F9" s="3">
        <v>15059417</v>
      </c>
    </row>
    <row r="10" spans="1:6" x14ac:dyDescent="0.3">
      <c r="A10" s="2" t="s">
        <v>12</v>
      </c>
      <c r="B10" s="3">
        <f t="shared" si="0"/>
        <v>-9169721</v>
      </c>
      <c r="C10" s="3">
        <v>0</v>
      </c>
      <c r="D10" s="3">
        <v>0</v>
      </c>
      <c r="E10" s="3">
        <v>9169721</v>
      </c>
      <c r="F10" s="3">
        <v>10246722</v>
      </c>
    </row>
    <row r="11" spans="1:6" x14ac:dyDescent="0.3">
      <c r="A11" s="2" t="s">
        <v>13</v>
      </c>
      <c r="B11" s="3">
        <f t="shared" si="0"/>
        <v>-16280654</v>
      </c>
      <c r="C11" s="3">
        <v>0</v>
      </c>
      <c r="D11" s="3">
        <v>0</v>
      </c>
      <c r="E11" s="3">
        <v>16280654</v>
      </c>
      <c r="F11" s="3">
        <v>17809935</v>
      </c>
    </row>
    <row r="12" spans="1:6" x14ac:dyDescent="0.3">
      <c r="A12" s="2" t="s">
        <v>14</v>
      </c>
      <c r="B12" s="3">
        <f t="shared" si="0"/>
        <v>-13835607</v>
      </c>
      <c r="C12" s="3">
        <v>0</v>
      </c>
      <c r="D12" s="3">
        <v>0</v>
      </c>
      <c r="E12" s="3">
        <v>13835607</v>
      </c>
      <c r="F12" s="3">
        <v>15205290</v>
      </c>
    </row>
    <row r="13" spans="1:6" x14ac:dyDescent="0.3">
      <c r="A13" s="2" t="s">
        <v>15</v>
      </c>
      <c r="B13" s="3">
        <f t="shared" si="0"/>
        <v>-18112062</v>
      </c>
      <c r="C13" s="3">
        <v>0</v>
      </c>
      <c r="D13" s="3">
        <v>0</v>
      </c>
      <c r="E13" s="3">
        <v>18112062</v>
      </c>
      <c r="F13" s="3">
        <v>20750053</v>
      </c>
    </row>
    <row r="14" spans="1:6" x14ac:dyDescent="0.3">
      <c r="A14" s="2" t="s">
        <v>16</v>
      </c>
      <c r="B14" s="3">
        <f t="shared" si="0"/>
        <v>-13909247</v>
      </c>
      <c r="C14" s="3">
        <v>0</v>
      </c>
      <c r="D14" s="3">
        <v>0</v>
      </c>
      <c r="E14" s="3">
        <v>13909247</v>
      </c>
      <c r="F14" s="3">
        <v>16097232</v>
      </c>
    </row>
    <row r="15" spans="1:6" ht="17.25" thickBot="1" x14ac:dyDescent="0.35">
      <c r="A15" s="4" t="s">
        <v>17</v>
      </c>
      <c r="B15" s="5">
        <f>SUM(B3:B14)</f>
        <v>-190585957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190585957</v>
      </c>
      <c r="F15" s="5">
        <f t="shared" si="2"/>
        <v>202457866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-17294094</v>
      </c>
      <c r="C3" s="3">
        <v>0</v>
      </c>
      <c r="D3" s="3">
        <v>0</v>
      </c>
      <c r="E3" s="3">
        <v>17294094</v>
      </c>
      <c r="F3" s="3">
        <v>19739917</v>
      </c>
    </row>
    <row r="4" spans="1:6" x14ac:dyDescent="0.3">
      <c r="A4" s="2" t="s">
        <v>6</v>
      </c>
      <c r="B4" s="3">
        <f t="shared" si="0"/>
        <v>-17454899</v>
      </c>
      <c r="C4" s="3">
        <v>0</v>
      </c>
      <c r="D4" s="3">
        <v>0</v>
      </c>
      <c r="E4" s="3">
        <v>17454899</v>
      </c>
      <c r="F4" s="3">
        <v>20328865</v>
      </c>
    </row>
    <row r="5" spans="1:6" x14ac:dyDescent="0.3">
      <c r="A5" s="2" t="s">
        <v>7</v>
      </c>
      <c r="B5" s="3">
        <f t="shared" si="0"/>
        <v>-10045069</v>
      </c>
      <c r="C5" s="3">
        <v>0</v>
      </c>
      <c r="D5" s="3">
        <v>0</v>
      </c>
      <c r="E5" s="3">
        <v>10045069</v>
      </c>
      <c r="F5" s="3">
        <v>11095491</v>
      </c>
    </row>
    <row r="6" spans="1:6" x14ac:dyDescent="0.3">
      <c r="A6" s="2" t="s">
        <v>8</v>
      </c>
      <c r="B6" s="3">
        <f t="shared" si="0"/>
        <v>-18651842</v>
      </c>
      <c r="C6" s="3">
        <v>0</v>
      </c>
      <c r="D6" s="3">
        <v>0</v>
      </c>
      <c r="E6" s="3">
        <v>18651842</v>
      </c>
      <c r="F6" s="3">
        <v>19615117</v>
      </c>
    </row>
    <row r="7" spans="1:6" x14ac:dyDescent="0.3">
      <c r="A7" s="2" t="s">
        <v>9</v>
      </c>
      <c r="B7" s="3">
        <f t="shared" si="0"/>
        <v>-18230454</v>
      </c>
      <c r="C7" s="3">
        <v>0</v>
      </c>
      <c r="D7" s="3">
        <v>0</v>
      </c>
      <c r="E7" s="3">
        <v>18230454</v>
      </c>
      <c r="F7" s="3">
        <v>18465187</v>
      </c>
    </row>
    <row r="8" spans="1:6" x14ac:dyDescent="0.3">
      <c r="A8" s="2" t="s">
        <v>10</v>
      </c>
      <c r="B8" s="3">
        <f t="shared" si="0"/>
        <v>-10751835</v>
      </c>
      <c r="C8" s="3">
        <v>0</v>
      </c>
      <c r="D8" s="3">
        <v>0</v>
      </c>
      <c r="E8" s="3">
        <v>10751835</v>
      </c>
      <c r="F8" s="3">
        <v>11227496</v>
      </c>
    </row>
    <row r="9" spans="1:6" x14ac:dyDescent="0.3">
      <c r="A9" s="2" t="s">
        <v>11</v>
      </c>
      <c r="B9" s="3">
        <f t="shared" si="0"/>
        <v>-26681576</v>
      </c>
      <c r="C9" s="3">
        <v>0</v>
      </c>
      <c r="D9" s="3">
        <v>0</v>
      </c>
      <c r="E9" s="3">
        <v>26681576</v>
      </c>
      <c r="F9" s="3">
        <v>29268541</v>
      </c>
    </row>
    <row r="10" spans="1:6" x14ac:dyDescent="0.3">
      <c r="A10" s="2" t="s">
        <v>12</v>
      </c>
      <c r="B10" s="3">
        <f t="shared" si="0"/>
        <v>-24907099</v>
      </c>
      <c r="C10" s="3">
        <v>0</v>
      </c>
      <c r="D10" s="3">
        <v>0</v>
      </c>
      <c r="E10" s="3">
        <v>24907099</v>
      </c>
      <c r="F10" s="3">
        <v>26837209</v>
      </c>
    </row>
    <row r="11" spans="1:6" x14ac:dyDescent="0.3">
      <c r="A11" s="2" t="s">
        <v>13</v>
      </c>
      <c r="B11" s="3">
        <f t="shared" si="0"/>
        <v>-23498423</v>
      </c>
      <c r="C11" s="3">
        <v>0</v>
      </c>
      <c r="D11" s="3">
        <v>0</v>
      </c>
      <c r="E11" s="3">
        <v>23498423</v>
      </c>
      <c r="F11" s="3">
        <v>24434506</v>
      </c>
    </row>
    <row r="12" spans="1:6" x14ac:dyDescent="0.3">
      <c r="A12" s="2" t="s">
        <v>14</v>
      </c>
      <c r="B12" s="3">
        <f t="shared" si="0"/>
        <v>-19585054</v>
      </c>
      <c r="C12" s="3">
        <v>0</v>
      </c>
      <c r="D12" s="3">
        <v>0</v>
      </c>
      <c r="E12" s="3">
        <v>19585054</v>
      </c>
      <c r="F12" s="3">
        <v>20391458</v>
      </c>
    </row>
    <row r="13" spans="1:6" x14ac:dyDescent="0.3">
      <c r="A13" s="2" t="s">
        <v>15</v>
      </c>
      <c r="B13" s="3">
        <f t="shared" si="0"/>
        <v>-31536960</v>
      </c>
      <c r="C13" s="3">
        <v>0</v>
      </c>
      <c r="D13" s="3">
        <v>0</v>
      </c>
      <c r="E13" s="3">
        <v>31536960</v>
      </c>
      <c r="F13" s="3">
        <v>29020385</v>
      </c>
    </row>
    <row r="14" spans="1:6" x14ac:dyDescent="0.3">
      <c r="A14" s="2" t="s">
        <v>16</v>
      </c>
      <c r="B14" s="3">
        <f t="shared" si="0"/>
        <v>-8227939</v>
      </c>
      <c r="C14" s="3">
        <v>0</v>
      </c>
      <c r="D14" s="3">
        <v>0</v>
      </c>
      <c r="E14" s="3">
        <v>8227939</v>
      </c>
      <c r="F14" s="3">
        <v>7407023</v>
      </c>
    </row>
    <row r="15" spans="1:6" ht="17.25" thickBot="1" x14ac:dyDescent="0.35">
      <c r="A15" s="4" t="s">
        <v>17</v>
      </c>
      <c r="B15" s="5">
        <f>SUM(B3:B14)</f>
        <v>-226865244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226865244</v>
      </c>
      <c r="F15" s="5">
        <f t="shared" si="2"/>
        <v>237831195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-27428337</v>
      </c>
      <c r="C3" s="3">
        <v>0</v>
      </c>
      <c r="D3" s="3">
        <v>0</v>
      </c>
      <c r="E3" s="3">
        <v>27428337</v>
      </c>
      <c r="F3" s="3">
        <v>22605428</v>
      </c>
    </row>
    <row r="4" spans="1:6" x14ac:dyDescent="0.3">
      <c r="A4" s="2" t="s">
        <v>6</v>
      </c>
      <c r="B4" s="3">
        <f t="shared" ref="B4:B14" si="0">C4-E4</f>
        <v>-24715833</v>
      </c>
      <c r="C4" s="3">
        <v>0</v>
      </c>
      <c r="D4" s="3">
        <v>0</v>
      </c>
      <c r="E4" s="3">
        <v>24715833</v>
      </c>
      <c r="F4" s="3">
        <v>20579333</v>
      </c>
    </row>
    <row r="5" spans="1:6" x14ac:dyDescent="0.3">
      <c r="A5" s="2" t="s">
        <v>7</v>
      </c>
      <c r="B5" s="3">
        <f t="shared" si="0"/>
        <v>-18521440</v>
      </c>
      <c r="C5" s="3">
        <v>0</v>
      </c>
      <c r="D5" s="3">
        <v>0</v>
      </c>
      <c r="E5" s="3">
        <v>18521440</v>
      </c>
      <c r="F5" s="3">
        <v>15498202</v>
      </c>
    </row>
    <row r="6" spans="1:6" x14ac:dyDescent="0.3">
      <c r="A6" s="2" t="s">
        <v>8</v>
      </c>
      <c r="B6" s="3">
        <f t="shared" si="0"/>
        <v>-24445701</v>
      </c>
      <c r="C6" s="3">
        <v>0</v>
      </c>
      <c r="D6" s="3">
        <v>0</v>
      </c>
      <c r="E6" s="3">
        <v>24445701</v>
      </c>
      <c r="F6" s="3">
        <v>21269784</v>
      </c>
    </row>
    <row r="7" spans="1:6" x14ac:dyDescent="0.3">
      <c r="A7" s="2" t="s">
        <v>9</v>
      </c>
      <c r="B7" s="3">
        <f t="shared" si="0"/>
        <v>-23685719</v>
      </c>
      <c r="C7" s="3">
        <v>0</v>
      </c>
      <c r="D7" s="3">
        <v>0</v>
      </c>
      <c r="E7" s="3">
        <v>23685719</v>
      </c>
      <c r="F7" s="3">
        <v>21066677</v>
      </c>
    </row>
    <row r="8" spans="1:6" x14ac:dyDescent="0.3">
      <c r="A8" s="2" t="s">
        <v>10</v>
      </c>
      <c r="B8" s="3">
        <f t="shared" si="0"/>
        <v>-12040571</v>
      </c>
      <c r="C8" s="3">
        <v>0</v>
      </c>
      <c r="D8" s="3">
        <v>0</v>
      </c>
      <c r="E8" s="3">
        <v>12040571</v>
      </c>
      <c r="F8" s="3">
        <v>10883047</v>
      </c>
    </row>
    <row r="9" spans="1:6" x14ac:dyDescent="0.3">
      <c r="A9" s="2" t="s">
        <v>11</v>
      </c>
      <c r="B9" s="3">
        <f t="shared" si="0"/>
        <v>-15592760</v>
      </c>
      <c r="C9" s="3">
        <v>0</v>
      </c>
      <c r="D9" s="3">
        <v>0</v>
      </c>
      <c r="E9" s="3">
        <v>15592760</v>
      </c>
      <c r="F9" s="3">
        <v>15184066</v>
      </c>
    </row>
    <row r="10" spans="1:6" x14ac:dyDescent="0.3">
      <c r="A10" s="2" t="s">
        <v>12</v>
      </c>
      <c r="B10" s="3">
        <f t="shared" si="0"/>
        <v>-16062113</v>
      </c>
      <c r="C10" s="3">
        <v>0</v>
      </c>
      <c r="D10" s="3">
        <v>0</v>
      </c>
      <c r="E10" s="3">
        <v>16062113</v>
      </c>
      <c r="F10" s="3">
        <v>15537195</v>
      </c>
    </row>
    <row r="11" spans="1:6" x14ac:dyDescent="0.3">
      <c r="A11" s="2" t="s">
        <v>13</v>
      </c>
      <c r="B11" s="3">
        <f t="shared" si="0"/>
        <v>-17260408</v>
      </c>
      <c r="C11" s="3">
        <v>0</v>
      </c>
      <c r="D11" s="3">
        <v>0</v>
      </c>
      <c r="E11" s="3">
        <v>17260408</v>
      </c>
      <c r="F11" s="3">
        <v>15835556</v>
      </c>
    </row>
    <row r="12" spans="1:6" x14ac:dyDescent="0.3">
      <c r="A12" s="2" t="s">
        <v>14</v>
      </c>
      <c r="B12" s="3">
        <f t="shared" si="0"/>
        <v>-9924663</v>
      </c>
      <c r="C12" s="3">
        <v>0</v>
      </c>
      <c r="D12" s="3">
        <v>0</v>
      </c>
      <c r="E12" s="3">
        <v>9924663</v>
      </c>
      <c r="F12" s="3">
        <v>8916271</v>
      </c>
    </row>
    <row r="13" spans="1:6" x14ac:dyDescent="0.3">
      <c r="A13" s="2" t="s">
        <v>15</v>
      </c>
      <c r="B13" s="3">
        <f t="shared" si="0"/>
        <v>-15662878</v>
      </c>
      <c r="C13" s="3">
        <v>0</v>
      </c>
      <c r="D13" s="3">
        <v>0</v>
      </c>
      <c r="E13" s="3">
        <v>15662878</v>
      </c>
      <c r="F13" s="3">
        <v>13859956</v>
      </c>
    </row>
    <row r="14" spans="1:6" x14ac:dyDescent="0.3">
      <c r="A14" s="2" t="s">
        <v>16</v>
      </c>
      <c r="B14" s="3">
        <f t="shared" si="0"/>
        <v>-24045107</v>
      </c>
      <c r="C14" s="3">
        <v>0</v>
      </c>
      <c r="D14" s="3">
        <v>0</v>
      </c>
      <c r="E14" s="3">
        <v>24045107</v>
      </c>
      <c r="F14" s="3">
        <v>21907233</v>
      </c>
    </row>
    <row r="15" spans="1:6" ht="17.25" thickBot="1" x14ac:dyDescent="0.35">
      <c r="A15" s="4" t="s">
        <v>17</v>
      </c>
      <c r="B15" s="5">
        <f>SUM(B3:B14)</f>
        <v>-229385530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229385530</v>
      </c>
      <c r="F15" s="5">
        <f t="shared" si="2"/>
        <v>203142748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-17862716</v>
      </c>
      <c r="C3" s="3">
        <v>0</v>
      </c>
      <c r="D3" s="3">
        <v>0</v>
      </c>
      <c r="E3" s="3">
        <v>17862716</v>
      </c>
      <c r="F3" s="3">
        <v>16536842</v>
      </c>
    </row>
    <row r="4" spans="1:6" x14ac:dyDescent="0.3">
      <c r="A4" s="2" t="s">
        <v>6</v>
      </c>
      <c r="B4" s="3">
        <f t="shared" ref="B4:B14" si="0">C4-E4</f>
        <v>-8965420</v>
      </c>
      <c r="C4" s="3">
        <v>0</v>
      </c>
      <c r="D4" s="3">
        <v>0</v>
      </c>
      <c r="E4" s="3">
        <v>8965420</v>
      </c>
      <c r="F4" s="3">
        <v>8297698</v>
      </c>
    </row>
    <row r="5" spans="1:6" x14ac:dyDescent="0.3">
      <c r="A5" s="2" t="s">
        <v>7</v>
      </c>
      <c r="B5" s="3">
        <f t="shared" si="0"/>
        <v>-9967636</v>
      </c>
      <c r="C5" s="3">
        <v>0</v>
      </c>
      <c r="D5" s="3">
        <v>0</v>
      </c>
      <c r="E5" s="3">
        <v>9967636</v>
      </c>
      <c r="F5" s="3">
        <v>9115221</v>
      </c>
    </row>
    <row r="6" spans="1:6" x14ac:dyDescent="0.3">
      <c r="A6" s="2" t="s">
        <v>8</v>
      </c>
      <c r="B6" s="3">
        <f t="shared" si="0"/>
        <v>-16568887</v>
      </c>
      <c r="C6" s="3">
        <v>0</v>
      </c>
      <c r="D6" s="3">
        <v>0</v>
      </c>
      <c r="E6" s="3">
        <v>16568887</v>
      </c>
      <c r="F6" s="3">
        <v>14850431</v>
      </c>
    </row>
    <row r="7" spans="1:6" x14ac:dyDescent="0.3">
      <c r="A7" s="2" t="s">
        <v>9</v>
      </c>
      <c r="B7" s="3">
        <f t="shared" si="0"/>
        <v>-14970051</v>
      </c>
      <c r="C7" s="3">
        <v>0</v>
      </c>
      <c r="D7" s="3">
        <v>0</v>
      </c>
      <c r="E7" s="3">
        <v>14970051</v>
      </c>
      <c r="F7" s="3">
        <v>12797742</v>
      </c>
    </row>
    <row r="8" spans="1:6" x14ac:dyDescent="0.3">
      <c r="A8" s="2" t="s">
        <v>10</v>
      </c>
      <c r="B8" s="3">
        <f t="shared" si="0"/>
        <v>-17792673</v>
      </c>
      <c r="C8" s="3">
        <v>0</v>
      </c>
      <c r="D8" s="3">
        <v>0</v>
      </c>
      <c r="E8" s="3">
        <v>17792673</v>
      </c>
      <c r="F8" s="3">
        <v>14470314</v>
      </c>
    </row>
    <row r="9" spans="1:6" x14ac:dyDescent="0.3">
      <c r="A9" s="2" t="s">
        <v>11</v>
      </c>
      <c r="B9" s="3">
        <f t="shared" si="0"/>
        <v>-29601667</v>
      </c>
      <c r="C9" s="3">
        <v>0</v>
      </c>
      <c r="D9" s="3">
        <v>0</v>
      </c>
      <c r="E9" s="3">
        <v>29601667</v>
      </c>
      <c r="F9" s="3">
        <v>24012789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-115729050</v>
      </c>
      <c r="C15" s="5">
        <f t="shared" ref="C15:F15" si="1">SUM(C3:C14)</f>
        <v>0</v>
      </c>
      <c r="D15" s="5">
        <f t="shared" si="1"/>
        <v>0</v>
      </c>
      <c r="E15" s="5">
        <f t="shared" si="1"/>
        <v>115729050</v>
      </c>
      <c r="F15" s="5">
        <f t="shared" si="1"/>
        <v>100081037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2026-08-28T04:21:43Z</dcterms:modified>
</cp:coreProperties>
</file>