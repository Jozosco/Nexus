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90(기타)\팜 올레인(.1000)\"/>
    </mc:Choice>
  </mc:AlternateContent>
  <bookViews>
    <workbookView xWindow="0" yWindow="0" windowWidth="28800" windowHeight="11640" firstSheet="3" activeTab="16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2" l="1"/>
  <c r="B14" i="1" l="1"/>
  <c r="B13" i="1"/>
  <c r="B12" i="1"/>
  <c r="B11" i="1"/>
  <c r="B10" i="1"/>
  <c r="B9" i="1"/>
  <c r="B8" i="1"/>
  <c r="B7" i="1"/>
  <c r="B6" i="1"/>
  <c r="B5" i="1"/>
  <c r="B4" i="1"/>
  <c r="B3" i="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4" l="1"/>
  <c r="B15" i="13"/>
  <c r="B15" i="12"/>
  <c r="B15" i="10"/>
  <c r="B15" i="11"/>
  <c r="B15" i="17"/>
  <c r="B15" i="16"/>
  <c r="B15" i="15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<sst xmlns="http://schemas.openxmlformats.org/spreadsheetml/2006/main" count="306" uniqueCount="45">
  <si>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</si>
  <si>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</si>
  <si>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</si>
  <si>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</si>
  <si>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</si>
  <si>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</si>
  <si>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</si>
  <si>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</si>
  <si>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</si>
  <si>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</si>
  <si>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</si>
  <si>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</si>
  <si>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</si>
  <si>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</si>
  <si>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</si>
  <si>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</si>
  <si>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</si>
  <si>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</si>
  <si>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</si>
  <si>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</si>
  <si>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</si>
  <si>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</si>
  <si>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</si>
  <si>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</si>
  <si>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</si>
  <si>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</si>
  <si>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</si>
  <si>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</si>
  <si>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</si>
  <si>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</si>
  <si>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</si>
  <si>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</si>
  <si>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</si>
  <si>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</si>
  <si>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</si>
  <si>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수출액(달러)</t>
    <phoneticPr fontId="1" type="noConversion"/>
  </si>
  <si>
    <t>수출량(kg)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</si>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</sst>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-1662861</v>
      </c>
      <c r="C3" s="3">
        <v>0</v>
      </c>
      <c r="D3" s="3">
        <v>0</v>
      </c>
      <c r="E3" s="3">
        <v>1662861</v>
      </c>
      <c r="F3" s="3">
        <v>2053314</v>
      </c>
    </row>
    <row r="4" spans="1:6" x14ac:dyDescent="0.3">
      <c r="A4" s="2" t="s">
        <v>24</v>
      </c>
      <c r="B4" s="3">
        <f t="shared" ref="B4:B14" si="0">C4-E4</f>
        <v>-3514056</v>
      </c>
      <c r="C4" s="3">
        <v>0</v>
      </c>
      <c r="D4" s="3">
        <v>0</v>
      </c>
      <c r="E4" s="3">
        <v>3514056</v>
      </c>
      <c r="F4" s="3">
        <v>4294848</v>
      </c>
    </row>
    <row r="5" spans="1:6" x14ac:dyDescent="0.3">
      <c r="A5" s="2" t="s">
        <v>25</v>
      </c>
      <c r="B5" s="3">
        <f t="shared" si="0"/>
        <v>-1739401</v>
      </c>
      <c r="C5" s="3">
        <v>0</v>
      </c>
      <c r="D5" s="3">
        <v>0</v>
      </c>
      <c r="E5" s="3">
        <v>1739401</v>
      </c>
      <c r="F5" s="3">
        <v>2114134</v>
      </c>
    </row>
    <row r="6" spans="1:6" x14ac:dyDescent="0.3">
      <c r="A6" s="2" t="s">
        <v>8</v>
      </c>
      <c r="B6" s="3">
        <f t="shared" si="0"/>
        <v>-3284261</v>
      </c>
      <c r="C6" s="3">
        <v>0</v>
      </c>
      <c r="D6" s="3">
        <v>0</v>
      </c>
      <c r="E6" s="3">
        <v>3284261</v>
      </c>
      <c r="F6" s="3">
        <v>3697508</v>
      </c>
    </row>
    <row r="7" spans="1:6" x14ac:dyDescent="0.3">
      <c r="A7" s="2" t="s">
        <v>9</v>
      </c>
      <c r="B7" s="3">
        <f t="shared" si="0"/>
        <v>-3681379</v>
      </c>
      <c r="C7" s="3">
        <v>0</v>
      </c>
      <c r="D7" s="3">
        <v>0</v>
      </c>
      <c r="E7" s="3">
        <v>3681379</v>
      </c>
      <c r="F7" s="3">
        <v>4353091</v>
      </c>
    </row>
    <row r="8" spans="1:6" x14ac:dyDescent="0.3">
      <c r="A8" s="2" t="s">
        <v>10</v>
      </c>
      <c r="B8" s="3">
        <f t="shared" si="0"/>
        <v>-2942233</v>
      </c>
      <c r="C8" s="3">
        <v>0</v>
      </c>
      <c r="D8" s="3">
        <v>0</v>
      </c>
      <c r="E8" s="3">
        <v>2942233</v>
      </c>
      <c r="F8" s="3">
        <v>3431733</v>
      </c>
    </row>
    <row r="9" spans="1:6" x14ac:dyDescent="0.3">
      <c r="A9" s="2" t="s">
        <v>11</v>
      </c>
      <c r="B9" s="3">
        <f t="shared" si="0"/>
        <v>-2473841</v>
      </c>
      <c r="C9" s="3">
        <v>0</v>
      </c>
      <c r="D9" s="3">
        <v>0</v>
      </c>
      <c r="E9" s="3">
        <v>2473841</v>
      </c>
      <c r="F9" s="3">
        <v>2898578</v>
      </c>
    </row>
    <row r="10" spans="1:6" x14ac:dyDescent="0.3">
      <c r="A10" s="2" t="s">
        <v>12</v>
      </c>
      <c r="B10" s="3">
        <f t="shared" si="0"/>
        <v>-2667456</v>
      </c>
      <c r="C10" s="3">
        <v>0</v>
      </c>
      <c r="D10" s="3">
        <v>0</v>
      </c>
      <c r="E10" s="3">
        <v>2667456</v>
      </c>
      <c r="F10" s="3">
        <v>3145702</v>
      </c>
    </row>
    <row r="11" spans="1:6" x14ac:dyDescent="0.3">
      <c r="A11" s="2" t="s">
        <v>13</v>
      </c>
      <c r="B11" s="3">
        <f t="shared" si="0"/>
        <v>-2028414</v>
      </c>
      <c r="C11" s="3">
        <v>0</v>
      </c>
      <c r="D11" s="3">
        <v>0</v>
      </c>
      <c r="E11" s="3">
        <v>2028414</v>
      </c>
      <c r="F11" s="3">
        <v>2348750</v>
      </c>
    </row>
    <row r="12" spans="1:6" x14ac:dyDescent="0.3">
      <c r="A12" s="2" t="s">
        <v>14</v>
      </c>
      <c r="B12" s="3">
        <f t="shared" si="0"/>
        <v>-3591914</v>
      </c>
      <c r="C12" s="3">
        <v>0</v>
      </c>
      <c r="D12" s="3">
        <v>0</v>
      </c>
      <c r="E12" s="3">
        <v>3591914</v>
      </c>
      <c r="F12" s="3">
        <v>3707297</v>
      </c>
    </row>
    <row r="13" spans="1:6" x14ac:dyDescent="0.3">
      <c r="A13" s="2" t="s">
        <v>15</v>
      </c>
      <c r="B13" s="3">
        <f t="shared" si="0"/>
        <v>-2887767</v>
      </c>
      <c r="C13" s="3">
        <v>0</v>
      </c>
      <c r="D13" s="3">
        <v>0</v>
      </c>
      <c r="E13" s="3">
        <v>2887767</v>
      </c>
      <c r="F13" s="3">
        <v>2813454</v>
      </c>
    </row>
    <row r="14" spans="1:6" x14ac:dyDescent="0.3">
      <c r="A14" s="2" t="s">
        <v>16</v>
      </c>
      <c r="B14" s="3">
        <f t="shared" si="0"/>
        <v>-4005035</v>
      </c>
      <c r="C14" s="3">
        <v>0</v>
      </c>
      <c r="D14" s="3">
        <v>0</v>
      </c>
      <c r="E14" s="3">
        <v>4005035</v>
      </c>
      <c r="F14" s="3">
        <v>3519584</v>
      </c>
    </row>
    <row r="15" spans="1:6" ht="17.25" thickBot="1" x14ac:dyDescent="0.35">
      <c r="A15" s="4" t="s">
        <v>26</v>
      </c>
      <c r="B15" s="5">
        <f>SUM(B3:B14)</f>
        <v>-34478618</v>
      </c>
      <c r="C15" s="5">
        <f t="shared" ref="C15:F15" si="1">SUM(C3:C14)</f>
        <v>0</v>
      </c>
      <c r="D15" s="5">
        <f t="shared" si="1"/>
        <v>0</v>
      </c>
      <c r="E15" s="5">
        <f t="shared" si="1"/>
        <v>34478618</v>
      </c>
      <c r="F15" s="5">
        <f t="shared" si="1"/>
        <v>38377993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-4778221</v>
      </c>
      <c r="C3" s="3">
        <v>0</v>
      </c>
      <c r="D3" s="3">
        <v>0</v>
      </c>
      <c r="E3" s="3">
        <v>4778221</v>
      </c>
      <c r="F3" s="3">
        <v>3873991</v>
      </c>
    </row>
    <row r="4" spans="1:6" x14ac:dyDescent="0.3">
      <c r="A4" s="2" t="s">
        <v>32</v>
      </c>
      <c r="B4" s="3">
        <f t="shared" ref="B4:B14" si="0">C4-E4</f>
        <v>-8246175</v>
      </c>
      <c r="C4" s="3">
        <v>0</v>
      </c>
      <c r="D4" s="3">
        <v>0</v>
      </c>
      <c r="E4" s="3">
        <v>8246175</v>
      </c>
      <c r="F4" s="3">
        <v>6732096</v>
      </c>
    </row>
    <row r="5" spans="1:6" x14ac:dyDescent="0.3">
      <c r="A5" s="2" t="s">
        <v>33</v>
      </c>
      <c r="B5" s="3">
        <f t="shared" si="0"/>
        <v>-10441889</v>
      </c>
      <c r="C5" s="3">
        <v>0</v>
      </c>
      <c r="D5" s="3">
        <v>0</v>
      </c>
      <c r="E5" s="3">
        <v>10441889</v>
      </c>
      <c r="F5" s="3">
        <v>8094338</v>
      </c>
    </row>
    <row r="6" spans="1:6" x14ac:dyDescent="0.3">
      <c r="A6" s="2" t="s">
        <v>8</v>
      </c>
      <c r="B6" s="3">
        <f t="shared" si="0"/>
        <v>-10995241</v>
      </c>
      <c r="C6" s="3">
        <v>0</v>
      </c>
      <c r="D6" s="3">
        <v>0</v>
      </c>
      <c r="E6" s="3">
        <v>10995241</v>
      </c>
      <c r="F6" s="3">
        <v>8506736</v>
      </c>
    </row>
    <row r="7" spans="1:6" x14ac:dyDescent="0.3">
      <c r="A7" s="2" t="s">
        <v>9</v>
      </c>
      <c r="B7" s="3">
        <f t="shared" si="0"/>
        <v>-10557654</v>
      </c>
      <c r="C7" s="3">
        <v>0</v>
      </c>
      <c r="D7" s="3">
        <v>0</v>
      </c>
      <c r="E7" s="3">
        <v>10557654</v>
      </c>
      <c r="F7" s="3">
        <v>8449366</v>
      </c>
    </row>
    <row r="8" spans="1:6" x14ac:dyDescent="0.3">
      <c r="A8" s="2" t="s">
        <v>10</v>
      </c>
      <c r="B8" s="3">
        <f t="shared" si="0"/>
        <v>-5225479</v>
      </c>
      <c r="C8" s="3">
        <v>0</v>
      </c>
      <c r="D8" s="3">
        <v>0</v>
      </c>
      <c r="E8" s="3">
        <v>5225479</v>
      </c>
      <c r="F8" s="3">
        <v>4253147</v>
      </c>
    </row>
    <row r="9" spans="1:6" x14ac:dyDescent="0.3">
      <c r="A9" s="2" t="s">
        <v>11</v>
      </c>
      <c r="B9" s="3">
        <f t="shared" si="0"/>
        <v>-4339786</v>
      </c>
      <c r="C9" s="3">
        <v>0</v>
      </c>
      <c r="D9" s="3">
        <v>0</v>
      </c>
      <c r="E9" s="3">
        <v>4339786</v>
      </c>
      <c r="F9" s="3">
        <v>3649953</v>
      </c>
    </row>
    <row r="10" spans="1:6" x14ac:dyDescent="0.3">
      <c r="A10" s="2" t="s">
        <v>12</v>
      </c>
      <c r="B10" s="3">
        <f t="shared" si="0"/>
        <v>-5231567</v>
      </c>
      <c r="C10" s="3">
        <v>0</v>
      </c>
      <c r="D10" s="3">
        <v>0</v>
      </c>
      <c r="E10" s="3">
        <v>5231567</v>
      </c>
      <c r="F10" s="3">
        <v>4430848</v>
      </c>
    </row>
    <row r="11" spans="1:6" x14ac:dyDescent="0.3">
      <c r="A11" s="2" t="s">
        <v>13</v>
      </c>
      <c r="B11" s="3">
        <f t="shared" si="0"/>
        <v>-7737613</v>
      </c>
      <c r="C11" s="3">
        <v>0</v>
      </c>
      <c r="D11" s="3">
        <v>0</v>
      </c>
      <c r="E11" s="3">
        <v>7737613</v>
      </c>
      <c r="F11" s="3">
        <v>6649884</v>
      </c>
    </row>
    <row r="12" spans="1:6" x14ac:dyDescent="0.3">
      <c r="A12" s="2" t="s">
        <v>14</v>
      </c>
      <c r="B12" s="3">
        <f t="shared" si="0"/>
        <v>-3657752</v>
      </c>
      <c r="C12" s="3">
        <v>0</v>
      </c>
      <c r="D12" s="3">
        <v>0</v>
      </c>
      <c r="E12" s="3">
        <v>3657752</v>
      </c>
      <c r="F12" s="3">
        <v>3125011</v>
      </c>
    </row>
    <row r="13" spans="1:6" x14ac:dyDescent="0.3">
      <c r="A13" s="2" t="s">
        <v>15</v>
      </c>
      <c r="B13" s="3">
        <f t="shared" si="0"/>
        <v>-7256319</v>
      </c>
      <c r="C13" s="3">
        <v>0</v>
      </c>
      <c r="D13" s="3">
        <v>0</v>
      </c>
      <c r="E13" s="3">
        <v>7256319</v>
      </c>
      <c r="F13" s="3">
        <v>6614021</v>
      </c>
    </row>
    <row r="14" spans="1:6" x14ac:dyDescent="0.3">
      <c r="A14" s="2" t="s">
        <v>16</v>
      </c>
      <c r="B14" s="3">
        <f t="shared" si="0"/>
        <v>-4163934</v>
      </c>
      <c r="C14" s="3">
        <v>0</v>
      </c>
      <c r="D14" s="3">
        <v>0</v>
      </c>
      <c r="E14" s="3">
        <v>4163934</v>
      </c>
      <c r="F14" s="3">
        <v>3772519</v>
      </c>
    </row>
    <row r="15" spans="1:6" ht="17.25" thickBot="1" x14ac:dyDescent="0.35">
      <c r="A15" s="4" t="s">
        <v>26</v>
      </c>
      <c r="B15" s="5">
        <f>SUM(B3:B14)</f>
        <v>-82631630</v>
      </c>
      <c r="C15" s="5">
        <f t="shared" ref="C15:F15" si="1">SUM(C3:C14)</f>
        <v>0</v>
      </c>
      <c r="D15" s="5">
        <f t="shared" si="1"/>
        <v>0</v>
      </c>
      <c r="E15" s="5">
        <f t="shared" si="1"/>
        <v>82631630</v>
      </c>
      <c r="F15" s="5">
        <f t="shared" si="1"/>
        <v>68151910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-5312643</v>
      </c>
      <c r="C3" s="3">
        <v>0</v>
      </c>
      <c r="D3" s="3">
        <v>0</v>
      </c>
      <c r="E3" s="3">
        <v>5312643</v>
      </c>
      <c r="F3" s="3">
        <v>4929473</v>
      </c>
    </row>
    <row r="4" spans="1:6" x14ac:dyDescent="0.3">
      <c r="A4" s="2" t="s">
        <v>32</v>
      </c>
      <c r="B4" s="3">
        <f t="shared" ref="B4:B14" si="0">C4-E4</f>
        <v>-11003821</v>
      </c>
      <c r="C4" s="3">
        <v>0</v>
      </c>
      <c r="D4" s="3">
        <v>0</v>
      </c>
      <c r="E4" s="3">
        <v>11003821</v>
      </c>
      <c r="F4" s="3">
        <v>10775239</v>
      </c>
    </row>
    <row r="5" spans="1:6" x14ac:dyDescent="0.3">
      <c r="A5" s="2" t="s">
        <v>33</v>
      </c>
      <c r="B5" s="3">
        <f t="shared" si="0"/>
        <v>-7966215</v>
      </c>
      <c r="C5" s="3">
        <v>0</v>
      </c>
      <c r="D5" s="3">
        <v>0</v>
      </c>
      <c r="E5" s="3">
        <v>7966215</v>
      </c>
      <c r="F5" s="3">
        <v>7489120</v>
      </c>
    </row>
    <row r="6" spans="1:6" x14ac:dyDescent="0.3">
      <c r="A6" s="2" t="s">
        <v>8</v>
      </c>
      <c r="B6" s="3">
        <f t="shared" si="0"/>
        <v>-6872964</v>
      </c>
      <c r="C6" s="3">
        <v>0</v>
      </c>
      <c r="D6" s="3">
        <v>0</v>
      </c>
      <c r="E6" s="3">
        <v>6872964</v>
      </c>
      <c r="F6" s="3">
        <v>6503005</v>
      </c>
    </row>
    <row r="7" spans="1:6" x14ac:dyDescent="0.3">
      <c r="A7" s="2" t="s">
        <v>9</v>
      </c>
      <c r="B7" s="3">
        <f t="shared" si="0"/>
        <v>-6687035</v>
      </c>
      <c r="C7" s="3">
        <v>0</v>
      </c>
      <c r="D7" s="3">
        <v>0</v>
      </c>
      <c r="E7" s="3">
        <v>6687035</v>
      </c>
      <c r="F7" s="3">
        <v>6024286</v>
      </c>
    </row>
    <row r="8" spans="1:6" x14ac:dyDescent="0.3">
      <c r="A8" s="2" t="s">
        <v>10</v>
      </c>
      <c r="B8" s="3">
        <f t="shared" si="0"/>
        <v>-5466946</v>
      </c>
      <c r="C8" s="3">
        <v>0</v>
      </c>
      <c r="D8" s="3">
        <v>0</v>
      </c>
      <c r="E8" s="3">
        <v>5466946</v>
      </c>
      <c r="F8" s="3">
        <v>4645655</v>
      </c>
    </row>
    <row r="9" spans="1:6" x14ac:dyDescent="0.3">
      <c r="A9" s="2" t="s">
        <v>11</v>
      </c>
      <c r="B9" s="3">
        <f t="shared" si="0"/>
        <v>-3606223</v>
      </c>
      <c r="C9" s="3">
        <v>0</v>
      </c>
      <c r="D9" s="3">
        <v>0</v>
      </c>
      <c r="E9" s="3">
        <v>3606223</v>
      </c>
      <c r="F9" s="3">
        <v>3401457</v>
      </c>
    </row>
    <row r="10" spans="1:6" x14ac:dyDescent="0.3">
      <c r="A10" s="2" t="s">
        <v>12</v>
      </c>
      <c r="B10" s="3">
        <f t="shared" si="0"/>
        <v>-8064666</v>
      </c>
      <c r="C10" s="3">
        <v>0</v>
      </c>
      <c r="D10" s="3">
        <v>0</v>
      </c>
      <c r="E10" s="3">
        <v>8064666</v>
      </c>
      <c r="F10" s="3">
        <v>7636755</v>
      </c>
    </row>
    <row r="11" spans="1:6" x14ac:dyDescent="0.3">
      <c r="A11" s="2" t="s">
        <v>13</v>
      </c>
      <c r="B11" s="3">
        <f t="shared" si="0"/>
        <v>-2989460</v>
      </c>
      <c r="C11" s="3">
        <v>0</v>
      </c>
      <c r="D11" s="3">
        <v>0</v>
      </c>
      <c r="E11" s="3">
        <v>2989460</v>
      </c>
      <c r="F11" s="3">
        <v>2895725</v>
      </c>
    </row>
    <row r="12" spans="1:6" x14ac:dyDescent="0.3">
      <c r="A12" s="2" t="s">
        <v>14</v>
      </c>
      <c r="B12" s="3">
        <f t="shared" si="0"/>
        <v>-8660468</v>
      </c>
      <c r="C12" s="3">
        <v>0</v>
      </c>
      <c r="D12" s="3">
        <v>0</v>
      </c>
      <c r="E12" s="3">
        <v>8660468</v>
      </c>
      <c r="F12" s="3">
        <v>8446163</v>
      </c>
    </row>
    <row r="13" spans="1:6" x14ac:dyDescent="0.3">
      <c r="A13" s="2" t="s">
        <v>15</v>
      </c>
      <c r="B13" s="3">
        <f t="shared" si="0"/>
        <v>-5638511</v>
      </c>
      <c r="C13" s="3">
        <v>0</v>
      </c>
      <c r="D13" s="3">
        <v>0</v>
      </c>
      <c r="E13" s="3">
        <v>5638511</v>
      </c>
      <c r="F13" s="3">
        <v>5790264</v>
      </c>
    </row>
    <row r="14" spans="1:6" x14ac:dyDescent="0.3">
      <c r="A14" s="2" t="s">
        <v>16</v>
      </c>
      <c r="B14" s="3">
        <f t="shared" si="0"/>
        <v>-3118272</v>
      </c>
      <c r="C14" s="3">
        <v>0</v>
      </c>
      <c r="D14" s="3">
        <v>0</v>
      </c>
      <c r="E14" s="3">
        <v>3118272</v>
      </c>
      <c r="F14" s="3">
        <v>3476918</v>
      </c>
    </row>
    <row r="15" spans="1:6" ht="17.25" thickBot="1" x14ac:dyDescent="0.35">
      <c r="A15" s="4" t="s">
        <v>34</v>
      </c>
      <c r="B15" s="5">
        <f>SUM(B3:B14)</f>
        <v>-75387224</v>
      </c>
      <c r="C15" s="5">
        <f t="shared" ref="C15:F15" si="1">SUM(C3:C14)</f>
        <v>0</v>
      </c>
      <c r="D15" s="5">
        <f t="shared" si="1"/>
        <v>0</v>
      </c>
      <c r="E15" s="5">
        <f t="shared" si="1"/>
        <v>75387224</v>
      </c>
      <c r="F15" s="5">
        <f t="shared" si="1"/>
        <v>72014060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35</v>
      </c>
      <c r="D2" s="1" t="s">
        <v>36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-4508395</v>
      </c>
      <c r="C3" s="3">
        <v>0</v>
      </c>
      <c r="D3" s="3">
        <v>0</v>
      </c>
      <c r="E3" s="3">
        <v>4508395</v>
      </c>
      <c r="F3" s="3">
        <v>5003766</v>
      </c>
    </row>
    <row r="4" spans="1:6" x14ac:dyDescent="0.3">
      <c r="A4" s="2" t="s">
        <v>32</v>
      </c>
      <c r="B4" s="3">
        <f t="shared" si="0"/>
        <v>-5136769</v>
      </c>
      <c r="C4" s="3">
        <v>0</v>
      </c>
      <c r="D4" s="3">
        <v>0</v>
      </c>
      <c r="E4" s="3">
        <v>5136769</v>
      </c>
      <c r="F4" s="3">
        <v>5936636</v>
      </c>
    </row>
    <row r="5" spans="1:6" x14ac:dyDescent="0.3">
      <c r="A5" s="2" t="s">
        <v>33</v>
      </c>
      <c r="B5" s="3">
        <f t="shared" si="0"/>
        <v>-3717750</v>
      </c>
      <c r="C5" s="3">
        <v>0</v>
      </c>
      <c r="D5" s="3">
        <v>0</v>
      </c>
      <c r="E5" s="3">
        <v>3717750</v>
      </c>
      <c r="F5" s="3">
        <v>4060556</v>
      </c>
    </row>
    <row r="6" spans="1:6" x14ac:dyDescent="0.3">
      <c r="A6" s="2" t="s">
        <v>8</v>
      </c>
      <c r="B6" s="3">
        <f t="shared" si="0"/>
        <v>-7183106</v>
      </c>
      <c r="C6" s="3">
        <v>0</v>
      </c>
      <c r="D6" s="3">
        <v>0</v>
      </c>
      <c r="E6" s="3">
        <v>7183106</v>
      </c>
      <c r="F6" s="3">
        <v>8175705</v>
      </c>
    </row>
    <row r="7" spans="1:6" x14ac:dyDescent="0.3">
      <c r="A7" s="2" t="s">
        <v>9</v>
      </c>
      <c r="B7" s="3">
        <f t="shared" si="0"/>
        <v>-6257643</v>
      </c>
      <c r="C7" s="3">
        <v>0</v>
      </c>
      <c r="D7" s="3">
        <v>0</v>
      </c>
      <c r="E7" s="3">
        <v>6257643</v>
      </c>
      <c r="F7" s="3">
        <v>7723163</v>
      </c>
    </row>
    <row r="8" spans="1:6" x14ac:dyDescent="0.3">
      <c r="A8" s="2" t="s">
        <v>10</v>
      </c>
      <c r="B8" s="3">
        <f t="shared" si="0"/>
        <v>-3029365</v>
      </c>
      <c r="C8" s="3">
        <v>0</v>
      </c>
      <c r="D8" s="3">
        <v>0</v>
      </c>
      <c r="E8" s="3">
        <v>3029365</v>
      </c>
      <c r="F8" s="3">
        <v>3424906</v>
      </c>
    </row>
    <row r="9" spans="1:6" x14ac:dyDescent="0.3">
      <c r="A9" s="2" t="s">
        <v>11</v>
      </c>
      <c r="B9" s="3">
        <f t="shared" si="0"/>
        <v>-6045173</v>
      </c>
      <c r="C9" s="3">
        <v>0</v>
      </c>
      <c r="D9" s="3">
        <v>0</v>
      </c>
      <c r="E9" s="3">
        <v>6045173</v>
      </c>
      <c r="F9" s="3">
        <v>7206422</v>
      </c>
    </row>
    <row r="10" spans="1:6" x14ac:dyDescent="0.3">
      <c r="A10" s="2" t="s">
        <v>12</v>
      </c>
      <c r="B10" s="3">
        <f t="shared" si="0"/>
        <v>-2728249</v>
      </c>
      <c r="C10" s="3">
        <v>0</v>
      </c>
      <c r="D10" s="3">
        <v>0</v>
      </c>
      <c r="E10" s="3">
        <v>2728249</v>
      </c>
      <c r="F10" s="3">
        <v>3191128</v>
      </c>
    </row>
    <row r="11" spans="1:6" x14ac:dyDescent="0.3">
      <c r="A11" s="2" t="s">
        <v>13</v>
      </c>
      <c r="B11" s="3">
        <f t="shared" si="0"/>
        <v>-3840063</v>
      </c>
      <c r="C11" s="3">
        <v>0</v>
      </c>
      <c r="D11" s="3">
        <v>0</v>
      </c>
      <c r="E11" s="3">
        <v>3840063</v>
      </c>
      <c r="F11" s="3">
        <v>4602396</v>
      </c>
    </row>
    <row r="12" spans="1:6" x14ac:dyDescent="0.3">
      <c r="A12" s="2" t="s">
        <v>14</v>
      </c>
      <c r="B12" s="3">
        <f t="shared" si="0"/>
        <v>-2645063</v>
      </c>
      <c r="C12" s="3">
        <v>0</v>
      </c>
      <c r="D12" s="3">
        <v>0</v>
      </c>
      <c r="E12" s="3">
        <v>2645063</v>
      </c>
      <c r="F12" s="3">
        <v>3194542</v>
      </c>
    </row>
    <row r="13" spans="1:6" x14ac:dyDescent="0.3">
      <c r="A13" s="2" t="s">
        <v>15</v>
      </c>
      <c r="B13" s="3">
        <f t="shared" si="0"/>
        <v>-2330574</v>
      </c>
      <c r="C13" s="3">
        <v>0</v>
      </c>
      <c r="D13" s="3">
        <v>0</v>
      </c>
      <c r="E13" s="3">
        <v>2330574</v>
      </c>
      <c r="F13" s="3">
        <v>2819654</v>
      </c>
    </row>
    <row r="14" spans="1:6" x14ac:dyDescent="0.3">
      <c r="A14" s="2" t="s">
        <v>16</v>
      </c>
      <c r="B14" s="3">
        <f t="shared" si="0"/>
        <v>-4076862</v>
      </c>
      <c r="C14" s="3">
        <v>0</v>
      </c>
      <c r="D14" s="3">
        <v>0</v>
      </c>
      <c r="E14" s="3">
        <v>4076862</v>
      </c>
      <c r="F14" s="3">
        <v>4530817</v>
      </c>
    </row>
    <row r="15" spans="1:6" ht="17.25" thickBot="1" x14ac:dyDescent="0.35">
      <c r="A15" s="4" t="s">
        <v>26</v>
      </c>
      <c r="B15" s="5">
        <f>SUM(B3:B14)</f>
        <v>-51499012</v>
      </c>
      <c r="C15" s="5">
        <f t="shared" ref="C15:F15" si="1">SUM(C3:C14)</f>
        <v>0</v>
      </c>
      <c r="D15" s="5">
        <f t="shared" si="1"/>
        <v>0</v>
      </c>
      <c r="E15" s="5">
        <f t="shared" si="1"/>
        <v>51499012</v>
      </c>
      <c r="F15" s="5">
        <f t="shared" si="1"/>
        <v>59869691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2" t="s">
        <v>42</v>
      </c>
      <c r="B3" s="3">
        <f t="shared" ref="B3:B14" si="0">C3-E3</f>
        <v>-6300316</v>
      </c>
      <c r="C3" s="3">
        <v>0</v>
      </c>
      <c r="D3" s="3">
        <v>0</v>
      </c>
      <c r="E3" s="3">
        <v>6300316</v>
      </c>
      <c r="F3" s="3">
        <v>7423595</v>
      </c>
    </row>
    <row r="4" spans="1:6" x14ac:dyDescent="0.3">
      <c r="A4" s="2" t="s">
        <v>24</v>
      </c>
      <c r="B4" s="3">
        <f t="shared" si="0"/>
        <v>-7684226</v>
      </c>
      <c r="C4" s="3">
        <v>0</v>
      </c>
      <c r="D4" s="3">
        <v>0</v>
      </c>
      <c r="E4" s="3">
        <v>7684226</v>
      </c>
      <c r="F4" s="3">
        <v>8986804</v>
      </c>
    </row>
    <row r="5" spans="1:6" x14ac:dyDescent="0.3">
      <c r="A5" s="2" t="s">
        <v>43</v>
      </c>
      <c r="B5" s="3">
        <f t="shared" si="0"/>
        <v>-2908818</v>
      </c>
      <c r="C5" s="3">
        <v>0</v>
      </c>
      <c r="D5" s="3">
        <v>0</v>
      </c>
      <c r="E5" s="3">
        <v>2908818</v>
      </c>
      <c r="F5" s="3">
        <v>3506035</v>
      </c>
    </row>
    <row r="6" spans="1:6" x14ac:dyDescent="0.3">
      <c r="A6" s="2" t="s">
        <v>8</v>
      </c>
      <c r="B6" s="3">
        <f t="shared" si="0"/>
        <v>-3067091</v>
      </c>
      <c r="C6" s="3">
        <v>0</v>
      </c>
      <c r="D6" s="3">
        <v>0</v>
      </c>
      <c r="E6" s="3">
        <v>3067091</v>
      </c>
      <c r="F6" s="3">
        <v>3155934</v>
      </c>
    </row>
    <row r="7" spans="1:6" x14ac:dyDescent="0.3">
      <c r="A7" s="2" t="s">
        <v>9</v>
      </c>
      <c r="B7" s="3">
        <f t="shared" si="0"/>
        <v>-3681567</v>
      </c>
      <c r="C7" s="3">
        <v>0</v>
      </c>
      <c r="D7" s="3">
        <v>0</v>
      </c>
      <c r="E7" s="3">
        <v>3681567</v>
      </c>
      <c r="F7" s="3">
        <v>4071909</v>
      </c>
    </row>
    <row r="8" spans="1:6" x14ac:dyDescent="0.3">
      <c r="A8" s="2" t="s">
        <v>10</v>
      </c>
      <c r="B8" s="3">
        <f t="shared" si="0"/>
        <v>-3308787</v>
      </c>
      <c r="C8" s="3">
        <v>0</v>
      </c>
      <c r="D8" s="3">
        <v>0</v>
      </c>
      <c r="E8" s="3">
        <v>3308787</v>
      </c>
      <c r="F8" s="3">
        <v>3614416</v>
      </c>
    </row>
    <row r="9" spans="1:6" x14ac:dyDescent="0.3">
      <c r="A9" s="2" t="s">
        <v>11</v>
      </c>
      <c r="B9" s="3">
        <f t="shared" si="0"/>
        <v>-3063600</v>
      </c>
      <c r="C9" s="3">
        <v>0</v>
      </c>
      <c r="D9" s="3">
        <v>0</v>
      </c>
      <c r="E9" s="3">
        <v>3063600</v>
      </c>
      <c r="F9" s="3">
        <v>3452315</v>
      </c>
    </row>
    <row r="10" spans="1:6" x14ac:dyDescent="0.3">
      <c r="A10" s="2" t="s">
        <v>12</v>
      </c>
      <c r="B10" s="3">
        <f t="shared" si="0"/>
        <v>-5138940</v>
      </c>
      <c r="C10" s="3">
        <v>0</v>
      </c>
      <c r="D10" s="3">
        <v>0</v>
      </c>
      <c r="E10" s="3">
        <v>5138940</v>
      </c>
      <c r="F10" s="3">
        <v>6198488</v>
      </c>
    </row>
    <row r="11" spans="1:6" x14ac:dyDescent="0.3">
      <c r="A11" s="2" t="s">
        <v>13</v>
      </c>
      <c r="B11" s="3">
        <f t="shared" si="0"/>
        <v>-3058655</v>
      </c>
      <c r="C11" s="3">
        <v>0</v>
      </c>
      <c r="D11" s="3">
        <v>0</v>
      </c>
      <c r="E11" s="3">
        <v>3058655</v>
      </c>
      <c r="F11" s="3">
        <v>3663286</v>
      </c>
    </row>
    <row r="12" spans="1:6" x14ac:dyDescent="0.3">
      <c r="A12" s="2" t="s">
        <v>14</v>
      </c>
      <c r="B12" s="3">
        <f t="shared" si="0"/>
        <v>-6217783</v>
      </c>
      <c r="C12" s="3">
        <v>0</v>
      </c>
      <c r="D12" s="3">
        <v>0</v>
      </c>
      <c r="E12" s="3">
        <v>6217783</v>
      </c>
      <c r="F12" s="3">
        <v>7945128</v>
      </c>
    </row>
    <row r="13" spans="1:6" x14ac:dyDescent="0.3">
      <c r="A13" s="2" t="s">
        <v>15</v>
      </c>
      <c r="B13" s="3">
        <f t="shared" si="0"/>
        <v>-5666540</v>
      </c>
      <c r="C13" s="3">
        <v>0</v>
      </c>
      <c r="D13" s="3">
        <v>0</v>
      </c>
      <c r="E13" s="3">
        <v>5666540</v>
      </c>
      <c r="F13" s="3">
        <v>7497687</v>
      </c>
    </row>
    <row r="14" spans="1:6" x14ac:dyDescent="0.3">
      <c r="A14" s="2" t="s">
        <v>16</v>
      </c>
      <c r="B14" s="3">
        <f t="shared" si="0"/>
        <v>-3584011</v>
      </c>
      <c r="C14" s="3">
        <v>0</v>
      </c>
      <c r="D14" s="3">
        <v>0</v>
      </c>
      <c r="E14" s="3">
        <v>3584011</v>
      </c>
      <c r="F14" s="3">
        <v>4714538</v>
      </c>
    </row>
    <row r="15" spans="1:6" ht="17.25" thickBot="1" x14ac:dyDescent="0.35">
      <c r="A15" s="4" t="s">
        <v>34</v>
      </c>
      <c r="B15" s="5">
        <f>SUM(B3:B14)</f>
        <v>-53680334</v>
      </c>
      <c r="C15" s="5">
        <f t="shared" ref="C15:F15" si="1">SUM(C3:C14)</f>
        <v>0</v>
      </c>
      <c r="D15" s="5">
        <f t="shared" si="1"/>
        <v>0</v>
      </c>
      <c r="E15" s="5">
        <f t="shared" si="1"/>
        <v>53680334</v>
      </c>
      <c r="F15" s="5">
        <f t="shared" si="1"/>
        <v>64230135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-4337745</v>
      </c>
      <c r="C3" s="3">
        <v>0</v>
      </c>
      <c r="D3" s="3">
        <v>0</v>
      </c>
      <c r="E3" s="3">
        <v>4337745</v>
      </c>
      <c r="F3" s="3">
        <v>5976368</v>
      </c>
    </row>
    <row r="4" spans="1:6" x14ac:dyDescent="0.3">
      <c r="A4" s="2" t="s">
        <v>32</v>
      </c>
      <c r="B4" s="3">
        <f t="shared" si="0"/>
        <v>-6528835</v>
      </c>
      <c r="C4" s="3">
        <v>0</v>
      </c>
      <c r="D4" s="3">
        <v>0</v>
      </c>
      <c r="E4" s="3">
        <v>6528835</v>
      </c>
      <c r="F4" s="3">
        <v>9098606</v>
      </c>
    </row>
    <row r="5" spans="1:6" x14ac:dyDescent="0.3">
      <c r="A5" s="2" t="s">
        <v>33</v>
      </c>
      <c r="B5" s="3">
        <f t="shared" si="0"/>
        <v>-2516601</v>
      </c>
      <c r="C5" s="3">
        <v>0</v>
      </c>
      <c r="D5" s="3">
        <v>0</v>
      </c>
      <c r="E5" s="3">
        <v>2516601</v>
      </c>
      <c r="F5" s="3">
        <v>3619914</v>
      </c>
    </row>
    <row r="6" spans="1:6" x14ac:dyDescent="0.3">
      <c r="A6" s="2" t="s">
        <v>8</v>
      </c>
      <c r="B6" s="3">
        <f t="shared" si="0"/>
        <v>-5439781</v>
      </c>
      <c r="C6" s="3">
        <v>0</v>
      </c>
      <c r="D6" s="3">
        <v>0</v>
      </c>
      <c r="E6" s="3">
        <v>5439781</v>
      </c>
      <c r="F6" s="3">
        <v>7987866</v>
      </c>
    </row>
    <row r="7" spans="1:6" x14ac:dyDescent="0.3">
      <c r="A7" s="2" t="s">
        <v>9</v>
      </c>
      <c r="B7" s="3">
        <f t="shared" si="0"/>
        <v>-2669439</v>
      </c>
      <c r="C7" s="3">
        <v>0</v>
      </c>
      <c r="D7" s="3">
        <v>0</v>
      </c>
      <c r="E7" s="3">
        <v>2669439</v>
      </c>
      <c r="F7" s="3">
        <v>4055510</v>
      </c>
    </row>
    <row r="8" spans="1:6" x14ac:dyDescent="0.3">
      <c r="A8" s="2" t="s">
        <v>10</v>
      </c>
      <c r="B8" s="3">
        <f t="shared" si="0"/>
        <v>-3362167</v>
      </c>
      <c r="C8" s="3">
        <v>0</v>
      </c>
      <c r="D8" s="3">
        <v>0</v>
      </c>
      <c r="E8" s="3">
        <v>3362167</v>
      </c>
      <c r="F8" s="3">
        <v>5046855</v>
      </c>
    </row>
    <row r="9" spans="1:6" x14ac:dyDescent="0.3">
      <c r="A9" s="2" t="s">
        <v>11</v>
      </c>
      <c r="B9" s="3">
        <f t="shared" si="0"/>
        <v>-1806416</v>
      </c>
      <c r="C9" s="3">
        <v>0</v>
      </c>
      <c r="D9" s="3">
        <v>0</v>
      </c>
      <c r="E9" s="3">
        <v>1806416</v>
      </c>
      <c r="F9" s="3">
        <v>2624262</v>
      </c>
    </row>
    <row r="10" spans="1:6" x14ac:dyDescent="0.3">
      <c r="A10" s="2" t="s">
        <v>12</v>
      </c>
      <c r="B10" s="3">
        <f t="shared" si="0"/>
        <v>-2678878</v>
      </c>
      <c r="C10" s="3">
        <v>0</v>
      </c>
      <c r="D10" s="3">
        <v>0</v>
      </c>
      <c r="E10" s="3">
        <v>2678878</v>
      </c>
      <c r="F10" s="3">
        <v>4022647</v>
      </c>
    </row>
    <row r="11" spans="1:6" x14ac:dyDescent="0.3">
      <c r="A11" s="2" t="s">
        <v>13</v>
      </c>
      <c r="B11" s="3">
        <f t="shared" si="0"/>
        <v>-3548703</v>
      </c>
      <c r="C11" s="3">
        <v>0</v>
      </c>
      <c r="D11" s="3">
        <v>0</v>
      </c>
      <c r="E11" s="3">
        <v>3548703</v>
      </c>
      <c r="F11" s="3">
        <v>5493600</v>
      </c>
    </row>
    <row r="12" spans="1:6" x14ac:dyDescent="0.3">
      <c r="A12" s="2" t="s">
        <v>14</v>
      </c>
      <c r="B12" s="3">
        <f t="shared" si="0"/>
        <v>-2842074</v>
      </c>
      <c r="C12" s="3">
        <v>0</v>
      </c>
      <c r="D12" s="3">
        <v>0</v>
      </c>
      <c r="E12" s="3">
        <v>2842074</v>
      </c>
      <c r="F12" s="3">
        <v>4687591</v>
      </c>
    </row>
    <row r="13" spans="1:6" x14ac:dyDescent="0.3">
      <c r="A13" s="2" t="s">
        <v>15</v>
      </c>
      <c r="B13" s="3">
        <f t="shared" si="0"/>
        <v>-3009768</v>
      </c>
      <c r="C13" s="3">
        <v>0</v>
      </c>
      <c r="D13" s="3">
        <v>0</v>
      </c>
      <c r="E13" s="3">
        <v>3009768</v>
      </c>
      <c r="F13" s="3">
        <v>4816565</v>
      </c>
    </row>
    <row r="14" spans="1:6" x14ac:dyDescent="0.3">
      <c r="A14" s="2" t="s">
        <v>16</v>
      </c>
      <c r="B14" s="3">
        <f t="shared" si="0"/>
        <v>-1767606</v>
      </c>
      <c r="C14" s="3">
        <v>0</v>
      </c>
      <c r="D14" s="3">
        <v>0</v>
      </c>
      <c r="E14" s="3">
        <v>1767606</v>
      </c>
      <c r="F14" s="3">
        <v>2966095</v>
      </c>
    </row>
    <row r="15" spans="1:6" ht="17.25" thickBot="1" x14ac:dyDescent="0.35">
      <c r="A15" s="4" t="s">
        <v>44</v>
      </c>
      <c r="B15" s="5">
        <f>SUM(B3:B14)</f>
        <v>-40508013</v>
      </c>
      <c r="C15" s="5">
        <f t="shared" ref="C15:F15" si="1">SUM(C3:C14)</f>
        <v>0</v>
      </c>
      <c r="D15" s="5">
        <f t="shared" si="1"/>
        <v>0</v>
      </c>
      <c r="E15" s="5">
        <f t="shared" si="1"/>
        <v>40508013</v>
      </c>
      <c r="F15" s="5">
        <f t="shared" si="1"/>
        <v>60395879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-2669650</v>
      </c>
      <c r="C3" s="3">
        <v>0</v>
      </c>
      <c r="D3" s="3">
        <v>0</v>
      </c>
      <c r="E3" s="3">
        <v>2669650</v>
      </c>
      <c r="F3" s="3">
        <v>4410861</v>
      </c>
    </row>
    <row r="4" spans="1:6" x14ac:dyDescent="0.3">
      <c r="A4" s="2" t="s">
        <v>32</v>
      </c>
      <c r="B4" s="3">
        <f t="shared" si="0"/>
        <v>-2406190</v>
      </c>
      <c r="C4" s="3">
        <v>0</v>
      </c>
      <c r="D4" s="3">
        <v>0</v>
      </c>
      <c r="E4" s="3">
        <v>2406190</v>
      </c>
      <c r="F4" s="3">
        <v>4054338</v>
      </c>
    </row>
    <row r="5" spans="1:6" x14ac:dyDescent="0.3">
      <c r="A5" s="2" t="s">
        <v>33</v>
      </c>
      <c r="B5" s="3">
        <f t="shared" si="0"/>
        <v>-2460636</v>
      </c>
      <c r="C5" s="3">
        <v>0</v>
      </c>
      <c r="D5" s="3">
        <v>0</v>
      </c>
      <c r="E5" s="3">
        <v>2460636</v>
      </c>
      <c r="F5" s="3">
        <v>3920164</v>
      </c>
    </row>
    <row r="6" spans="1:6" x14ac:dyDescent="0.3">
      <c r="A6" s="2" t="s">
        <v>8</v>
      </c>
      <c r="B6" s="3">
        <f t="shared" si="0"/>
        <v>-2396880</v>
      </c>
      <c r="C6" s="3">
        <v>0</v>
      </c>
      <c r="D6" s="3">
        <v>0</v>
      </c>
      <c r="E6" s="3">
        <v>2396880</v>
      </c>
      <c r="F6" s="3">
        <v>3625294</v>
      </c>
    </row>
    <row r="7" spans="1:6" x14ac:dyDescent="0.3">
      <c r="A7" s="2" t="s">
        <v>9</v>
      </c>
      <c r="B7" s="3">
        <f t="shared" si="0"/>
        <v>-2656674</v>
      </c>
      <c r="C7" s="3">
        <v>0</v>
      </c>
      <c r="D7" s="3">
        <v>0</v>
      </c>
      <c r="E7" s="3">
        <v>2656674</v>
      </c>
      <c r="F7" s="3">
        <v>3691083</v>
      </c>
    </row>
    <row r="8" spans="1:6" x14ac:dyDescent="0.3">
      <c r="A8" s="2" t="s">
        <v>10</v>
      </c>
      <c r="B8" s="3">
        <f t="shared" si="0"/>
        <v>-2476380</v>
      </c>
      <c r="C8" s="3">
        <v>0</v>
      </c>
      <c r="D8" s="3">
        <v>0</v>
      </c>
      <c r="E8" s="3">
        <v>2476380</v>
      </c>
      <c r="F8" s="3">
        <v>3356687</v>
      </c>
    </row>
    <row r="9" spans="1:6" x14ac:dyDescent="0.3">
      <c r="A9" s="2" t="s">
        <v>11</v>
      </c>
      <c r="B9" s="3">
        <f t="shared" si="0"/>
        <v>-1884529</v>
      </c>
      <c r="C9" s="3">
        <v>0</v>
      </c>
      <c r="D9" s="3">
        <v>0</v>
      </c>
      <c r="E9" s="3">
        <v>1884529</v>
      </c>
      <c r="F9" s="3">
        <v>2671341</v>
      </c>
    </row>
    <row r="10" spans="1:6" x14ac:dyDescent="0.3">
      <c r="A10" s="2" t="s">
        <v>12</v>
      </c>
      <c r="B10" s="3">
        <f t="shared" si="0"/>
        <v>-1875195</v>
      </c>
      <c r="C10" s="3">
        <v>0</v>
      </c>
      <c r="D10" s="3">
        <v>0</v>
      </c>
      <c r="E10" s="3">
        <v>1875195</v>
      </c>
      <c r="F10" s="3">
        <v>2747862</v>
      </c>
    </row>
    <row r="11" spans="1:6" x14ac:dyDescent="0.3">
      <c r="A11" s="2" t="s">
        <v>13</v>
      </c>
      <c r="B11" s="3">
        <f t="shared" si="0"/>
        <v>-35811</v>
      </c>
      <c r="C11" s="3">
        <v>0</v>
      </c>
      <c r="D11" s="3">
        <v>0</v>
      </c>
      <c r="E11" s="3">
        <v>35811</v>
      </c>
      <c r="F11" s="3">
        <v>41181</v>
      </c>
    </row>
    <row r="12" spans="1:6" x14ac:dyDescent="0.3">
      <c r="A12" s="2" t="s">
        <v>14</v>
      </c>
      <c r="B12" s="3">
        <f t="shared" si="0"/>
        <v>-1299298</v>
      </c>
      <c r="C12" s="3">
        <v>0</v>
      </c>
      <c r="D12" s="3">
        <v>0</v>
      </c>
      <c r="E12" s="3">
        <v>1299298</v>
      </c>
      <c r="F12" s="3">
        <v>1955419</v>
      </c>
    </row>
    <row r="13" spans="1:6" x14ac:dyDescent="0.3">
      <c r="A13" s="2" t="s">
        <v>15</v>
      </c>
      <c r="B13" s="3">
        <f t="shared" si="0"/>
        <v>-1748561</v>
      </c>
      <c r="C13" s="3">
        <v>0</v>
      </c>
      <c r="D13" s="3">
        <v>0</v>
      </c>
      <c r="E13" s="3">
        <v>1748561</v>
      </c>
      <c r="F13" s="3">
        <v>2397244</v>
      </c>
    </row>
    <row r="14" spans="1:6" x14ac:dyDescent="0.3">
      <c r="A14" s="2" t="s">
        <v>16</v>
      </c>
      <c r="B14" s="3">
        <f t="shared" si="0"/>
        <v>-2178839</v>
      </c>
      <c r="C14" s="3">
        <v>0</v>
      </c>
      <c r="D14" s="3">
        <v>0</v>
      </c>
      <c r="E14" s="3">
        <v>2178839</v>
      </c>
      <c r="F14" s="3">
        <v>2894917</v>
      </c>
    </row>
    <row r="15" spans="1:6" ht="17.25" thickBot="1" x14ac:dyDescent="0.35">
      <c r="A15" s="4" t="s">
        <v>26</v>
      </c>
      <c r="B15" s="5">
        <f>SUM(B3:B14)</f>
        <v>-24088643</v>
      </c>
      <c r="C15" s="5">
        <f t="shared" ref="C15:F15" si="1">SUM(C3:C14)</f>
        <v>0</v>
      </c>
      <c r="D15" s="5">
        <f t="shared" si="1"/>
        <v>0</v>
      </c>
      <c r="E15" s="5">
        <f t="shared" si="1"/>
        <v>24088643</v>
      </c>
      <c r="F15" s="5">
        <f t="shared" si="1"/>
        <v>35766391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-1695053</v>
      </c>
      <c r="C3" s="3">
        <v>0</v>
      </c>
      <c r="D3" s="3">
        <v>0</v>
      </c>
      <c r="E3" s="3">
        <v>1695053</v>
      </c>
      <c r="F3" s="3">
        <v>2199861</v>
      </c>
    </row>
    <row r="4" spans="1:6" x14ac:dyDescent="0.3">
      <c r="A4" s="2" t="s">
        <v>6</v>
      </c>
      <c r="B4" s="3">
        <f t="shared" si="0"/>
        <v>-1887866</v>
      </c>
      <c r="C4" s="3">
        <v>0</v>
      </c>
      <c r="D4" s="3">
        <v>0</v>
      </c>
      <c r="E4" s="3">
        <v>1887866</v>
      </c>
      <c r="F4" s="3">
        <v>2353607</v>
      </c>
    </row>
    <row r="5" spans="1:6" x14ac:dyDescent="0.3">
      <c r="A5" s="2" t="s">
        <v>7</v>
      </c>
      <c r="B5" s="3">
        <f t="shared" si="0"/>
        <v>-1899382</v>
      </c>
      <c r="C5" s="3">
        <v>0</v>
      </c>
      <c r="D5" s="3">
        <v>0</v>
      </c>
      <c r="E5" s="3">
        <v>1899382</v>
      </c>
      <c r="F5" s="3">
        <v>2396925</v>
      </c>
    </row>
    <row r="6" spans="1:6" x14ac:dyDescent="0.3">
      <c r="A6" s="2" t="s">
        <v>8</v>
      </c>
      <c r="B6" s="3">
        <f t="shared" si="0"/>
        <v>-2328251</v>
      </c>
      <c r="C6" s="3">
        <v>0</v>
      </c>
      <c r="D6" s="3">
        <v>0</v>
      </c>
      <c r="E6" s="3">
        <v>2328251</v>
      </c>
      <c r="F6" s="3">
        <v>2949332</v>
      </c>
    </row>
    <row r="7" spans="1:6" x14ac:dyDescent="0.3">
      <c r="A7" s="2" t="s">
        <v>9</v>
      </c>
      <c r="B7" s="3">
        <f t="shared" si="0"/>
        <v>-3771223</v>
      </c>
      <c r="C7" s="3">
        <v>0</v>
      </c>
      <c r="D7" s="3">
        <v>0</v>
      </c>
      <c r="E7" s="3">
        <v>3771223</v>
      </c>
      <c r="F7" s="3">
        <v>5085882</v>
      </c>
    </row>
    <row r="8" spans="1:6" x14ac:dyDescent="0.3">
      <c r="A8" s="2" t="s">
        <v>10</v>
      </c>
      <c r="B8" s="3">
        <f t="shared" si="0"/>
        <v>-3197722</v>
      </c>
      <c r="C8" s="3">
        <v>0</v>
      </c>
      <c r="D8" s="3">
        <v>0</v>
      </c>
      <c r="E8" s="3">
        <v>3197722</v>
      </c>
      <c r="F8" s="3">
        <v>4448543</v>
      </c>
    </row>
    <row r="9" spans="1:6" x14ac:dyDescent="0.3">
      <c r="A9" s="2" t="s">
        <v>11</v>
      </c>
      <c r="B9" s="3">
        <f t="shared" si="0"/>
        <v>-3235282</v>
      </c>
      <c r="C9" s="3">
        <v>0</v>
      </c>
      <c r="D9" s="3">
        <v>0</v>
      </c>
      <c r="E9" s="3">
        <v>3235282</v>
      </c>
      <c r="F9" s="3">
        <v>4382531</v>
      </c>
    </row>
    <row r="10" spans="1:6" x14ac:dyDescent="0.3">
      <c r="A10" s="2" t="s">
        <v>12</v>
      </c>
      <c r="B10" s="3">
        <f t="shared" si="0"/>
        <v>-3335292</v>
      </c>
      <c r="C10" s="3">
        <v>0</v>
      </c>
      <c r="D10" s="3">
        <v>0</v>
      </c>
      <c r="E10" s="3">
        <v>3335292</v>
      </c>
      <c r="F10" s="3">
        <v>4722695</v>
      </c>
    </row>
    <row r="11" spans="1:6" x14ac:dyDescent="0.3">
      <c r="A11" s="2" t="s">
        <v>13</v>
      </c>
      <c r="B11" s="3">
        <f t="shared" si="0"/>
        <v>-3124260</v>
      </c>
      <c r="C11" s="3">
        <v>0</v>
      </c>
      <c r="D11" s="3">
        <v>0</v>
      </c>
      <c r="E11" s="3">
        <v>3124260</v>
      </c>
      <c r="F11" s="3">
        <v>4567278</v>
      </c>
    </row>
    <row r="12" spans="1:6" x14ac:dyDescent="0.3">
      <c r="A12" s="2" t="s">
        <v>14</v>
      </c>
      <c r="B12" s="3">
        <f t="shared" si="0"/>
        <v>-3064261</v>
      </c>
      <c r="C12" s="3">
        <v>0</v>
      </c>
      <c r="D12" s="3">
        <v>0</v>
      </c>
      <c r="E12" s="3">
        <v>3064261</v>
      </c>
      <c r="F12" s="3">
        <v>4199007</v>
      </c>
    </row>
    <row r="13" spans="1:6" x14ac:dyDescent="0.3">
      <c r="A13" s="2" t="s">
        <v>15</v>
      </c>
      <c r="B13" s="3">
        <f t="shared" si="0"/>
        <v>-3048687</v>
      </c>
      <c r="C13" s="3">
        <v>0</v>
      </c>
      <c r="D13" s="3">
        <v>0</v>
      </c>
      <c r="E13" s="3">
        <v>3048687</v>
      </c>
      <c r="F13" s="3">
        <v>4369122</v>
      </c>
    </row>
    <row r="14" spans="1:6" x14ac:dyDescent="0.3">
      <c r="A14" s="2" t="s">
        <v>16</v>
      </c>
      <c r="B14" s="3">
        <f t="shared" si="0"/>
        <v>-3632183</v>
      </c>
      <c r="C14" s="3">
        <v>0</v>
      </c>
      <c r="D14" s="3">
        <v>0</v>
      </c>
      <c r="E14" s="3">
        <v>3632183</v>
      </c>
      <c r="F14" s="3">
        <v>5133810</v>
      </c>
    </row>
    <row r="15" spans="1:6" ht="17.25" thickBot="1" x14ac:dyDescent="0.35">
      <c r="A15" s="4" t="s">
        <v>17</v>
      </c>
      <c r="B15" s="5">
        <f>SUM(B3:B14)</f>
        <v>-34219462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34219462</v>
      </c>
      <c r="F15" s="5">
        <f t="shared" si="2"/>
        <v>46808593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-2735204</v>
      </c>
      <c r="C3" s="3">
        <v>0</v>
      </c>
      <c r="D3" s="3">
        <v>0</v>
      </c>
      <c r="E3" s="3">
        <v>2735204</v>
      </c>
      <c r="F3" s="3">
        <v>3886863</v>
      </c>
    </row>
    <row r="4" spans="1:6" x14ac:dyDescent="0.3">
      <c r="A4" s="2" t="s">
        <v>6</v>
      </c>
      <c r="B4" s="3">
        <f t="shared" ref="B4:B14" si="0">C4-E4</f>
        <v>-3565601</v>
      </c>
      <c r="C4" s="3">
        <v>0</v>
      </c>
      <c r="D4" s="3">
        <v>0</v>
      </c>
      <c r="E4" s="3">
        <v>3565601</v>
      </c>
      <c r="F4" s="3">
        <v>5083944</v>
      </c>
    </row>
    <row r="5" spans="1:6" x14ac:dyDescent="0.3">
      <c r="A5" s="2" t="s">
        <v>7</v>
      </c>
      <c r="B5" s="3">
        <f t="shared" si="0"/>
        <v>-1056564</v>
      </c>
      <c r="C5" s="3">
        <v>0</v>
      </c>
      <c r="D5" s="3">
        <v>0</v>
      </c>
      <c r="E5" s="3">
        <v>1056564</v>
      </c>
      <c r="F5" s="3">
        <v>1489521</v>
      </c>
    </row>
    <row r="6" spans="1:6" x14ac:dyDescent="0.3">
      <c r="A6" s="2" t="s">
        <v>8</v>
      </c>
      <c r="B6" s="3">
        <f t="shared" si="0"/>
        <v>-3849810</v>
      </c>
      <c r="C6" s="3">
        <v>0</v>
      </c>
      <c r="D6" s="3">
        <v>0</v>
      </c>
      <c r="E6" s="3">
        <v>3849810</v>
      </c>
      <c r="F6" s="3">
        <v>5477068</v>
      </c>
    </row>
    <row r="7" spans="1:6" x14ac:dyDescent="0.3">
      <c r="A7" s="2" t="s">
        <v>9</v>
      </c>
      <c r="B7" s="3">
        <f t="shared" si="0"/>
        <v>-3150621</v>
      </c>
      <c r="C7" s="3">
        <v>0</v>
      </c>
      <c r="D7" s="3">
        <v>0</v>
      </c>
      <c r="E7" s="3">
        <v>3150621</v>
      </c>
      <c r="F7" s="3">
        <v>4536604</v>
      </c>
    </row>
    <row r="8" spans="1:6" x14ac:dyDescent="0.3">
      <c r="A8" s="2" t="s">
        <v>10</v>
      </c>
      <c r="B8" s="3">
        <f t="shared" si="0"/>
        <v>-3040857</v>
      </c>
      <c r="C8" s="3">
        <v>19670</v>
      </c>
      <c r="D8" s="3">
        <v>14456</v>
      </c>
      <c r="E8" s="3">
        <v>3060527</v>
      </c>
      <c r="F8" s="3">
        <v>4328805</v>
      </c>
    </row>
    <row r="9" spans="1:6" x14ac:dyDescent="0.3">
      <c r="A9" s="2" t="s">
        <v>11</v>
      </c>
      <c r="B9" s="3">
        <f t="shared" si="0"/>
        <v>-2646472</v>
      </c>
      <c r="C9" s="3">
        <v>0</v>
      </c>
      <c r="D9" s="3">
        <v>0</v>
      </c>
      <c r="E9" s="3">
        <v>2646472</v>
      </c>
      <c r="F9" s="3">
        <v>3907544</v>
      </c>
    </row>
    <row r="10" spans="1:6" x14ac:dyDescent="0.3">
      <c r="A10" s="2" t="s">
        <v>12</v>
      </c>
      <c r="B10" s="3">
        <f t="shared" si="0"/>
        <v>-2927398</v>
      </c>
      <c r="C10" s="3">
        <v>0</v>
      </c>
      <c r="D10" s="3">
        <v>0</v>
      </c>
      <c r="E10" s="3">
        <v>2927398</v>
      </c>
      <c r="F10" s="3">
        <v>4492369</v>
      </c>
    </row>
    <row r="11" spans="1:6" x14ac:dyDescent="0.3">
      <c r="A11" s="2" t="s">
        <v>13</v>
      </c>
      <c r="B11" s="3">
        <f t="shared" si="0"/>
        <v>-2698370</v>
      </c>
      <c r="C11" s="3">
        <v>0</v>
      </c>
      <c r="D11" s="3">
        <v>0</v>
      </c>
      <c r="E11" s="3">
        <v>2698370</v>
      </c>
      <c r="F11" s="3">
        <v>4201338</v>
      </c>
    </row>
    <row r="12" spans="1:6" x14ac:dyDescent="0.3">
      <c r="A12" s="2" t="s">
        <v>14</v>
      </c>
      <c r="B12" s="3">
        <f t="shared" si="0"/>
        <v>-3423892</v>
      </c>
      <c r="C12" s="3">
        <v>0</v>
      </c>
      <c r="D12" s="3">
        <v>0</v>
      </c>
      <c r="E12" s="3">
        <v>3423892</v>
      </c>
      <c r="F12" s="3">
        <v>5369908</v>
      </c>
    </row>
    <row r="13" spans="1:6" x14ac:dyDescent="0.3">
      <c r="A13" s="2" t="s">
        <v>15</v>
      </c>
      <c r="B13" s="3">
        <f t="shared" si="0"/>
        <v>-2045655</v>
      </c>
      <c r="C13" s="3">
        <v>0</v>
      </c>
      <c r="D13" s="3">
        <v>0</v>
      </c>
      <c r="E13" s="3">
        <v>2045655</v>
      </c>
      <c r="F13" s="3">
        <v>3173864</v>
      </c>
    </row>
    <row r="14" spans="1:6" x14ac:dyDescent="0.3">
      <c r="A14" s="2" t="s">
        <v>16</v>
      </c>
      <c r="B14" s="3">
        <f t="shared" si="0"/>
        <v>-3272141</v>
      </c>
      <c r="C14" s="3">
        <v>0</v>
      </c>
      <c r="D14" s="3">
        <v>0</v>
      </c>
      <c r="E14" s="3">
        <v>3272141</v>
      </c>
      <c r="F14" s="3">
        <v>5390295</v>
      </c>
    </row>
    <row r="15" spans="1:6" ht="17.25" thickBot="1" x14ac:dyDescent="0.35">
      <c r="A15" s="4" t="s">
        <v>17</v>
      </c>
      <c r="B15" s="5">
        <f>SUM(B3:B14)</f>
        <v>-34412585</v>
      </c>
      <c r="C15" s="5">
        <f t="shared" ref="C15" si="1">SUM(C3:C14)</f>
        <v>19670</v>
      </c>
      <c r="D15" s="5">
        <f t="shared" ref="D15:F15" si="2">SUM(D3:D14)</f>
        <v>14456</v>
      </c>
      <c r="E15" s="5">
        <f t="shared" si="2"/>
        <v>34432255</v>
      </c>
      <c r="F15" s="5">
        <f t="shared" si="2"/>
        <v>51338123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-5902717</v>
      </c>
      <c r="C3" s="3">
        <v>0</v>
      </c>
      <c r="D3" s="3">
        <v>0</v>
      </c>
      <c r="E3" s="3">
        <v>5902717</v>
      </c>
      <c r="F3" s="3">
        <v>10731247</v>
      </c>
    </row>
    <row r="4" spans="1:6" x14ac:dyDescent="0.3">
      <c r="A4" s="2" t="s">
        <v>6</v>
      </c>
      <c r="B4" s="3">
        <f t="shared" ref="B4:B14" si="0">C4-E4</f>
        <v>-3149673</v>
      </c>
      <c r="C4" s="3">
        <v>0</v>
      </c>
      <c r="D4" s="3">
        <v>0</v>
      </c>
      <c r="E4" s="3">
        <v>3149673</v>
      </c>
      <c r="F4" s="3">
        <v>5504891</v>
      </c>
    </row>
    <row r="5" spans="1:6" x14ac:dyDescent="0.3">
      <c r="A5" s="2" t="s">
        <v>7</v>
      </c>
      <c r="B5" s="3">
        <f t="shared" si="0"/>
        <v>-2193467</v>
      </c>
      <c r="C5" s="3">
        <v>0</v>
      </c>
      <c r="D5" s="3">
        <v>0</v>
      </c>
      <c r="E5" s="3">
        <v>2193467</v>
      </c>
      <c r="F5" s="3">
        <v>3590994</v>
      </c>
    </row>
    <row r="6" spans="1:6" x14ac:dyDescent="0.3">
      <c r="A6" s="2" t="s">
        <v>8</v>
      </c>
      <c r="B6" s="3">
        <f t="shared" si="0"/>
        <v>-2290780</v>
      </c>
      <c r="C6" s="3">
        <v>0</v>
      </c>
      <c r="D6" s="3">
        <v>0</v>
      </c>
      <c r="E6" s="3">
        <v>2290780</v>
      </c>
      <c r="F6" s="3">
        <v>3801047</v>
      </c>
    </row>
    <row r="7" spans="1:6" x14ac:dyDescent="0.3">
      <c r="A7" s="2" t="s">
        <v>9</v>
      </c>
      <c r="B7" s="3">
        <f t="shared" si="0"/>
        <v>-1740822</v>
      </c>
      <c r="C7" s="3">
        <v>0</v>
      </c>
      <c r="D7" s="3">
        <v>0</v>
      </c>
      <c r="E7" s="3">
        <v>1740822</v>
      </c>
      <c r="F7" s="3">
        <v>2964654</v>
      </c>
    </row>
    <row r="8" spans="1:6" x14ac:dyDescent="0.3">
      <c r="A8" s="2" t="s">
        <v>10</v>
      </c>
      <c r="B8" s="3">
        <f t="shared" si="0"/>
        <v>-2826413</v>
      </c>
      <c r="C8" s="3">
        <v>0</v>
      </c>
      <c r="D8" s="3">
        <v>0</v>
      </c>
      <c r="E8" s="3">
        <v>2826413</v>
      </c>
      <c r="F8" s="3">
        <v>4645960</v>
      </c>
    </row>
    <row r="9" spans="1:6" x14ac:dyDescent="0.3">
      <c r="A9" s="2" t="s">
        <v>11</v>
      </c>
      <c r="B9" s="3">
        <f t="shared" si="0"/>
        <v>-3675570</v>
      </c>
      <c r="C9" s="3">
        <v>0</v>
      </c>
      <c r="D9" s="3">
        <v>0</v>
      </c>
      <c r="E9" s="3">
        <v>3675570</v>
      </c>
      <c r="F9" s="3">
        <v>6509539</v>
      </c>
    </row>
    <row r="10" spans="1:6" x14ac:dyDescent="0.3">
      <c r="A10" s="2" t="s">
        <v>12</v>
      </c>
      <c r="B10" s="3">
        <f t="shared" si="0"/>
        <v>-2210016</v>
      </c>
      <c r="C10" s="3">
        <v>0</v>
      </c>
      <c r="D10" s="3">
        <v>0</v>
      </c>
      <c r="E10" s="3">
        <v>2210016</v>
      </c>
      <c r="F10" s="3">
        <v>3886481</v>
      </c>
    </row>
    <row r="11" spans="1:6" x14ac:dyDescent="0.3">
      <c r="A11" s="2" t="s">
        <v>13</v>
      </c>
      <c r="B11" s="3">
        <f t="shared" si="0"/>
        <v>-4363120</v>
      </c>
      <c r="C11" s="3">
        <v>0</v>
      </c>
      <c r="D11" s="3">
        <v>0</v>
      </c>
      <c r="E11" s="3">
        <v>4363120</v>
      </c>
      <c r="F11" s="3">
        <v>7829335</v>
      </c>
    </row>
    <row r="12" spans="1:6" x14ac:dyDescent="0.3">
      <c r="A12" s="2" t="s">
        <v>14</v>
      </c>
      <c r="B12" s="3">
        <f t="shared" si="0"/>
        <v>-2652789</v>
      </c>
      <c r="C12" s="3">
        <v>0</v>
      </c>
      <c r="D12" s="3">
        <v>0</v>
      </c>
      <c r="E12" s="3">
        <v>2652789</v>
      </c>
      <c r="F12" s="3">
        <v>4546573</v>
      </c>
    </row>
    <row r="13" spans="1:6" x14ac:dyDescent="0.3">
      <c r="A13" s="2" t="s">
        <v>15</v>
      </c>
      <c r="B13" s="3">
        <f t="shared" si="0"/>
        <v>-1520214</v>
      </c>
      <c r="C13" s="3">
        <v>0</v>
      </c>
      <c r="D13" s="3">
        <v>0</v>
      </c>
      <c r="E13" s="3">
        <v>1520214</v>
      </c>
      <c r="F13" s="3">
        <v>2562725</v>
      </c>
    </row>
    <row r="14" spans="1:6" x14ac:dyDescent="0.3">
      <c r="A14" s="2" t="s">
        <v>16</v>
      </c>
      <c r="B14" s="3">
        <f t="shared" si="0"/>
        <v>-2705095</v>
      </c>
      <c r="C14" s="3">
        <v>0</v>
      </c>
      <c r="D14" s="3">
        <v>0</v>
      </c>
      <c r="E14" s="3">
        <v>2705095</v>
      </c>
      <c r="F14" s="3">
        <v>4405307</v>
      </c>
    </row>
    <row r="15" spans="1:6" ht="17.25" thickBot="1" x14ac:dyDescent="0.35">
      <c r="A15" s="4" t="s">
        <v>17</v>
      </c>
      <c r="B15" s="5">
        <f>SUM(B3:B14)</f>
        <v>-35230676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35230676</v>
      </c>
      <c r="F15" s="5">
        <f t="shared" si="2"/>
        <v>60978753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>
      <selection activeCell="B3" sqref="B3"/>
    </sheetView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-2383417</v>
      </c>
      <c r="C3" s="3">
        <v>0</v>
      </c>
      <c r="D3" s="3">
        <v>0</v>
      </c>
      <c r="E3" s="3">
        <v>2383417</v>
      </c>
      <c r="F3" s="3">
        <v>3724963</v>
      </c>
    </row>
    <row r="4" spans="1:6" x14ac:dyDescent="0.3">
      <c r="A4" s="2" t="s">
        <v>6</v>
      </c>
      <c r="B4" s="3">
        <f t="shared" ref="B4:B14" si="0">C4-E4</f>
        <v>-2594238</v>
      </c>
      <c r="C4" s="3">
        <v>0</v>
      </c>
      <c r="D4" s="3">
        <v>0</v>
      </c>
      <c r="E4" s="3">
        <v>2594238</v>
      </c>
      <c r="F4" s="3">
        <v>3407528</v>
      </c>
    </row>
    <row r="5" spans="1:6" x14ac:dyDescent="0.3">
      <c r="A5" s="2" t="s">
        <v>7</v>
      </c>
      <c r="B5" s="3">
        <f t="shared" si="0"/>
        <v>-3038957</v>
      </c>
      <c r="C5" s="3">
        <v>0</v>
      </c>
      <c r="D5" s="3">
        <v>0</v>
      </c>
      <c r="E5" s="3">
        <v>3038957</v>
      </c>
      <c r="F5" s="3">
        <v>3831643</v>
      </c>
    </row>
    <row r="6" spans="1:6" x14ac:dyDescent="0.3">
      <c r="A6" s="2" t="s">
        <v>8</v>
      </c>
      <c r="B6" s="3">
        <f t="shared" si="0"/>
        <v>-4216723</v>
      </c>
      <c r="C6" s="3">
        <v>0</v>
      </c>
      <c r="D6" s="3">
        <v>0</v>
      </c>
      <c r="E6" s="3">
        <v>4216723</v>
      </c>
      <c r="F6" s="3">
        <v>5488850</v>
      </c>
    </row>
    <row r="7" spans="1:6" x14ac:dyDescent="0.3">
      <c r="A7" s="2" t="s">
        <v>9</v>
      </c>
      <c r="B7" s="3">
        <f t="shared" si="0"/>
        <v>-2649072</v>
      </c>
      <c r="C7" s="3">
        <v>0</v>
      </c>
      <c r="D7" s="3">
        <v>0</v>
      </c>
      <c r="E7" s="3">
        <v>2649072</v>
      </c>
      <c r="F7" s="3">
        <v>3786906</v>
      </c>
    </row>
    <row r="8" spans="1:6" x14ac:dyDescent="0.3">
      <c r="A8" s="2" t="s">
        <v>10</v>
      </c>
      <c r="B8" s="3">
        <f t="shared" si="0"/>
        <v>-2444888</v>
      </c>
      <c r="C8" s="3">
        <v>0</v>
      </c>
      <c r="D8" s="3">
        <v>0</v>
      </c>
      <c r="E8" s="3">
        <v>2444888</v>
      </c>
      <c r="F8" s="3">
        <v>3836336</v>
      </c>
    </row>
    <row r="9" spans="1:6" x14ac:dyDescent="0.3">
      <c r="A9" s="2" t="s">
        <v>11</v>
      </c>
      <c r="B9" s="3">
        <f t="shared" si="0"/>
        <v>-3135511</v>
      </c>
      <c r="C9" s="3">
        <v>0</v>
      </c>
      <c r="D9" s="3">
        <v>0</v>
      </c>
      <c r="E9" s="3">
        <v>3135511</v>
      </c>
      <c r="F9" s="3">
        <v>5051238</v>
      </c>
    </row>
    <row r="10" spans="1:6" x14ac:dyDescent="0.3">
      <c r="A10" s="2" t="s">
        <v>12</v>
      </c>
      <c r="B10" s="3">
        <f t="shared" si="0"/>
        <v>-2553018</v>
      </c>
      <c r="C10" s="3">
        <v>0</v>
      </c>
      <c r="D10" s="3">
        <v>0</v>
      </c>
      <c r="E10" s="3">
        <v>2553018</v>
      </c>
      <c r="F10" s="3">
        <v>4118931</v>
      </c>
    </row>
    <row r="11" spans="1:6" x14ac:dyDescent="0.3">
      <c r="A11" s="2" t="s">
        <v>13</v>
      </c>
      <c r="B11" s="3">
        <f t="shared" si="0"/>
        <v>-3390659</v>
      </c>
      <c r="C11" s="3">
        <v>0</v>
      </c>
      <c r="D11" s="3">
        <v>0</v>
      </c>
      <c r="E11" s="3">
        <v>3390659</v>
      </c>
      <c r="F11" s="3">
        <v>5189307</v>
      </c>
    </row>
    <row r="12" spans="1:6" x14ac:dyDescent="0.3">
      <c r="A12" s="2" t="s">
        <v>14</v>
      </c>
      <c r="B12" s="3">
        <f t="shared" si="0"/>
        <v>-2585858</v>
      </c>
      <c r="C12" s="3">
        <v>0</v>
      </c>
      <c r="D12" s="3">
        <v>0</v>
      </c>
      <c r="E12" s="3">
        <v>2585858</v>
      </c>
      <c r="F12" s="3">
        <v>3706778</v>
      </c>
    </row>
    <row r="13" spans="1:6" x14ac:dyDescent="0.3">
      <c r="A13" s="2" t="s">
        <v>15</v>
      </c>
      <c r="B13" s="3">
        <f t="shared" si="0"/>
        <v>-4348657</v>
      </c>
      <c r="C13" s="3">
        <v>0</v>
      </c>
      <c r="D13" s="3">
        <v>0</v>
      </c>
      <c r="E13" s="3">
        <v>4348657</v>
      </c>
      <c r="F13" s="3">
        <v>5483206</v>
      </c>
    </row>
    <row r="14" spans="1:6" x14ac:dyDescent="0.3">
      <c r="A14" s="2" t="s">
        <v>16</v>
      </c>
      <c r="B14" s="3">
        <f t="shared" si="0"/>
        <v>-5069945</v>
      </c>
      <c r="C14" s="3">
        <v>0</v>
      </c>
      <c r="D14" s="3">
        <v>0</v>
      </c>
      <c r="E14" s="3">
        <v>5069945</v>
      </c>
      <c r="F14" s="3">
        <v>5831979</v>
      </c>
    </row>
    <row r="15" spans="1:6" ht="17.25" thickBot="1" x14ac:dyDescent="0.35">
      <c r="A15" s="4" t="s">
        <v>17</v>
      </c>
      <c r="B15" s="5">
        <f>SUM(B3:B14)</f>
        <v>-38410943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38410943</v>
      </c>
      <c r="F15" s="5">
        <f t="shared" si="2"/>
        <v>53457665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-6210930</v>
      </c>
      <c r="C3" s="3">
        <v>0</v>
      </c>
      <c r="D3" s="3">
        <v>0</v>
      </c>
      <c r="E3" s="3">
        <v>6210930</v>
      </c>
      <c r="F3" s="3">
        <v>6623749</v>
      </c>
    </row>
    <row r="4" spans="1:6" x14ac:dyDescent="0.3">
      <c r="A4" s="2" t="s">
        <v>6</v>
      </c>
      <c r="B4" s="3">
        <f t="shared" ref="B4:B14" si="0">C4-E4</f>
        <v>-4499952</v>
      </c>
      <c r="C4" s="3">
        <v>0</v>
      </c>
      <c r="D4" s="3">
        <v>0</v>
      </c>
      <c r="E4" s="3">
        <v>4499952</v>
      </c>
      <c r="F4" s="3">
        <v>4334932</v>
      </c>
    </row>
    <row r="5" spans="1:6" x14ac:dyDescent="0.3">
      <c r="A5" s="2" t="s">
        <v>7</v>
      </c>
      <c r="B5" s="3">
        <f t="shared" si="0"/>
        <v>-4874776</v>
      </c>
      <c r="C5" s="3">
        <v>0</v>
      </c>
      <c r="D5" s="3">
        <v>0</v>
      </c>
      <c r="E5" s="3">
        <v>4874776</v>
      </c>
      <c r="F5" s="3">
        <v>4728680</v>
      </c>
    </row>
    <row r="6" spans="1:6" x14ac:dyDescent="0.3">
      <c r="A6" s="2" t="s">
        <v>8</v>
      </c>
      <c r="B6" s="3">
        <f t="shared" si="0"/>
        <v>-5131901</v>
      </c>
      <c r="C6" s="3">
        <v>0</v>
      </c>
      <c r="D6" s="3">
        <v>0</v>
      </c>
      <c r="E6" s="3">
        <v>5131901</v>
      </c>
      <c r="F6" s="3">
        <v>4948604</v>
      </c>
    </row>
    <row r="7" spans="1:6" x14ac:dyDescent="0.3">
      <c r="A7" s="2" t="s">
        <v>9</v>
      </c>
      <c r="B7" s="3">
        <f t="shared" si="0"/>
        <v>-4344064</v>
      </c>
      <c r="C7" s="3">
        <v>0</v>
      </c>
      <c r="D7" s="3">
        <v>0</v>
      </c>
      <c r="E7" s="3">
        <v>4344064</v>
      </c>
      <c r="F7" s="3">
        <v>4137146</v>
      </c>
    </row>
    <row r="8" spans="1:6" x14ac:dyDescent="0.3">
      <c r="A8" s="2" t="s">
        <v>10</v>
      </c>
      <c r="B8" s="3">
        <f t="shared" si="0"/>
        <v>-4153333</v>
      </c>
      <c r="C8" s="3">
        <v>0</v>
      </c>
      <c r="D8" s="3">
        <v>0</v>
      </c>
      <c r="E8" s="3">
        <v>4153333</v>
      </c>
      <c r="F8" s="3">
        <v>3834787</v>
      </c>
    </row>
    <row r="9" spans="1:6" x14ac:dyDescent="0.3">
      <c r="A9" s="2" t="s">
        <v>11</v>
      </c>
      <c r="B9" s="3">
        <f t="shared" si="0"/>
        <v>-6116252</v>
      </c>
      <c r="C9" s="3">
        <v>0</v>
      </c>
      <c r="D9" s="3">
        <v>0</v>
      </c>
      <c r="E9" s="3">
        <v>6116252</v>
      </c>
      <c r="F9" s="3">
        <v>5531234</v>
      </c>
    </row>
    <row r="10" spans="1:6" x14ac:dyDescent="0.3">
      <c r="A10" s="2" t="s">
        <v>12</v>
      </c>
      <c r="B10" s="3">
        <f t="shared" si="0"/>
        <v>-2145808</v>
      </c>
      <c r="C10" s="3">
        <v>0</v>
      </c>
      <c r="D10" s="3">
        <v>0</v>
      </c>
      <c r="E10" s="3">
        <v>2145808</v>
      </c>
      <c r="F10" s="3">
        <v>1939999</v>
      </c>
    </row>
    <row r="11" spans="1:6" x14ac:dyDescent="0.3">
      <c r="A11" s="2" t="s">
        <v>13</v>
      </c>
      <c r="B11" s="3">
        <f t="shared" si="0"/>
        <v>-4378984</v>
      </c>
      <c r="C11" s="3">
        <v>0</v>
      </c>
      <c r="D11" s="3">
        <v>0</v>
      </c>
      <c r="E11" s="3">
        <v>4378984</v>
      </c>
      <c r="F11" s="3">
        <v>4054539</v>
      </c>
    </row>
    <row r="12" spans="1:6" x14ac:dyDescent="0.3">
      <c r="A12" s="2" t="s">
        <v>14</v>
      </c>
      <c r="B12" s="3">
        <f t="shared" si="0"/>
        <v>-4825798</v>
      </c>
      <c r="C12" s="3">
        <v>0</v>
      </c>
      <c r="D12" s="3">
        <v>0</v>
      </c>
      <c r="E12" s="3">
        <v>4825798</v>
      </c>
      <c r="F12" s="3">
        <v>4302540</v>
      </c>
    </row>
    <row r="13" spans="1:6" x14ac:dyDescent="0.3">
      <c r="A13" s="2" t="s">
        <v>15</v>
      </c>
      <c r="B13" s="3">
        <f t="shared" si="0"/>
        <v>-6476462</v>
      </c>
      <c r="C13" s="3">
        <v>0</v>
      </c>
      <c r="D13" s="3">
        <v>0</v>
      </c>
      <c r="E13" s="3">
        <v>6476462</v>
      </c>
      <c r="F13" s="3">
        <v>5381097</v>
      </c>
    </row>
    <row r="14" spans="1:6" x14ac:dyDescent="0.3">
      <c r="A14" s="2" t="s">
        <v>16</v>
      </c>
      <c r="B14" s="3">
        <f t="shared" si="0"/>
        <v>-12228579</v>
      </c>
      <c r="C14" s="3">
        <v>0</v>
      </c>
      <c r="D14" s="3">
        <v>0</v>
      </c>
      <c r="E14" s="3">
        <v>12228579</v>
      </c>
      <c r="F14" s="3">
        <v>9100196</v>
      </c>
    </row>
    <row r="15" spans="1:6" ht="17.25" thickBot="1" x14ac:dyDescent="0.35">
      <c r="A15" s="4" t="s">
        <v>17</v>
      </c>
      <c r="B15" s="5">
        <f>SUM(B3:B14)</f>
        <v>-65386839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65386839</v>
      </c>
      <c r="F15" s="5">
        <f t="shared" si="2"/>
        <v>58917503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-1405042</v>
      </c>
      <c r="C3" s="3">
        <v>0</v>
      </c>
      <c r="D3" s="3">
        <v>0</v>
      </c>
      <c r="E3" s="3">
        <v>1405042</v>
      </c>
      <c r="F3" s="3">
        <v>1012757</v>
      </c>
    </row>
    <row r="4" spans="1:6" x14ac:dyDescent="0.3">
      <c r="A4" s="2" t="s">
        <v>6</v>
      </c>
      <c r="B4" s="3">
        <f t="shared" ref="B4:B14" si="0">C4-E4</f>
        <v>-8858183</v>
      </c>
      <c r="C4" s="3">
        <v>0</v>
      </c>
      <c r="D4" s="3">
        <v>0</v>
      </c>
      <c r="E4" s="3">
        <v>8858183</v>
      </c>
      <c r="F4" s="3">
        <v>7136715</v>
      </c>
    </row>
    <row r="5" spans="1:6" x14ac:dyDescent="0.3">
      <c r="A5" s="2" t="s">
        <v>7</v>
      </c>
      <c r="B5" s="3">
        <f t="shared" si="0"/>
        <v>-6245378</v>
      </c>
      <c r="C5" s="3">
        <v>0</v>
      </c>
      <c r="D5" s="3">
        <v>0</v>
      </c>
      <c r="E5" s="3">
        <v>6245378</v>
      </c>
      <c r="F5" s="3">
        <v>4630990</v>
      </c>
    </row>
    <row r="6" spans="1:6" x14ac:dyDescent="0.3">
      <c r="A6" s="2" t="s">
        <v>8</v>
      </c>
      <c r="B6" s="3">
        <f t="shared" si="0"/>
        <v>-8630912</v>
      </c>
      <c r="C6" s="3">
        <v>0</v>
      </c>
      <c r="D6" s="3">
        <v>0</v>
      </c>
      <c r="E6" s="3">
        <v>8630912</v>
      </c>
      <c r="F6" s="3">
        <v>5960039</v>
      </c>
    </row>
    <row r="7" spans="1:6" x14ac:dyDescent="0.3">
      <c r="A7" s="2" t="s">
        <v>9</v>
      </c>
      <c r="B7" s="3">
        <f t="shared" si="0"/>
        <v>-10193983</v>
      </c>
      <c r="C7" s="3">
        <v>0</v>
      </c>
      <c r="D7" s="3">
        <v>0</v>
      </c>
      <c r="E7" s="3">
        <v>10193983</v>
      </c>
      <c r="F7" s="3">
        <v>6839852</v>
      </c>
    </row>
    <row r="8" spans="1:6" x14ac:dyDescent="0.3">
      <c r="A8" s="2" t="s">
        <v>10</v>
      </c>
      <c r="B8" s="3">
        <f t="shared" si="0"/>
        <v>-6809637</v>
      </c>
      <c r="C8" s="3">
        <v>0</v>
      </c>
      <c r="D8" s="3">
        <v>0</v>
      </c>
      <c r="E8" s="3">
        <v>6809637</v>
      </c>
      <c r="F8" s="3">
        <v>4382508</v>
      </c>
    </row>
    <row r="9" spans="1:6" x14ac:dyDescent="0.3">
      <c r="A9" s="2" t="s">
        <v>11</v>
      </c>
      <c r="B9" s="3">
        <f t="shared" si="0"/>
        <v>-10829586</v>
      </c>
      <c r="C9" s="3">
        <v>0</v>
      </c>
      <c r="D9" s="3">
        <v>0</v>
      </c>
      <c r="E9" s="3">
        <v>10829586</v>
      </c>
      <c r="F9" s="3">
        <v>6561512</v>
      </c>
    </row>
    <row r="10" spans="1:6" x14ac:dyDescent="0.3">
      <c r="A10" s="2" t="s">
        <v>12</v>
      </c>
      <c r="B10" s="3">
        <f t="shared" si="0"/>
        <v>-4741445</v>
      </c>
      <c r="C10" s="3">
        <v>0</v>
      </c>
      <c r="D10" s="3">
        <v>0</v>
      </c>
      <c r="E10" s="3">
        <v>4741445</v>
      </c>
      <c r="F10" s="3">
        <v>3179784</v>
      </c>
    </row>
    <row r="11" spans="1:6" x14ac:dyDescent="0.3">
      <c r="A11" s="2" t="s">
        <v>13</v>
      </c>
      <c r="B11" s="3">
        <f t="shared" si="0"/>
        <v>-8190900</v>
      </c>
      <c r="C11" s="3">
        <v>0</v>
      </c>
      <c r="D11" s="3">
        <v>0</v>
      </c>
      <c r="E11" s="3">
        <v>8190900</v>
      </c>
      <c r="F11" s="3">
        <v>6208902</v>
      </c>
    </row>
    <row r="12" spans="1:6" x14ac:dyDescent="0.3">
      <c r="A12" s="2" t="s">
        <v>14</v>
      </c>
      <c r="B12" s="3">
        <f t="shared" si="0"/>
        <v>-3122204</v>
      </c>
      <c r="C12" s="3">
        <v>0</v>
      </c>
      <c r="D12" s="3">
        <v>0</v>
      </c>
      <c r="E12" s="3">
        <v>3122204</v>
      </c>
      <c r="F12" s="3">
        <v>2720834</v>
      </c>
    </row>
    <row r="13" spans="1:6" x14ac:dyDescent="0.3">
      <c r="A13" s="2" t="s">
        <v>15</v>
      </c>
      <c r="B13" s="3">
        <f t="shared" si="0"/>
        <v>-7050775</v>
      </c>
      <c r="C13" s="3">
        <v>0</v>
      </c>
      <c r="D13" s="3">
        <v>0</v>
      </c>
      <c r="E13" s="3">
        <v>7050775</v>
      </c>
      <c r="F13" s="3">
        <v>6122278</v>
      </c>
    </row>
    <row r="14" spans="1:6" x14ac:dyDescent="0.3">
      <c r="A14" s="2" t="s">
        <v>16</v>
      </c>
      <c r="B14" s="3">
        <f t="shared" si="0"/>
        <v>-2001268</v>
      </c>
      <c r="C14" s="3">
        <v>0</v>
      </c>
      <c r="D14" s="3">
        <v>0</v>
      </c>
      <c r="E14" s="3">
        <v>2001268</v>
      </c>
      <c r="F14" s="3">
        <v>1876971</v>
      </c>
    </row>
    <row r="15" spans="1:6" ht="17.25" thickBot="1" x14ac:dyDescent="0.35">
      <c r="A15" s="4" t="s">
        <v>17</v>
      </c>
      <c r="B15" s="5">
        <f>SUM(B3:B14)</f>
        <v>-78079313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78079313</v>
      </c>
      <c r="F15" s="5">
        <f t="shared" si="2"/>
        <v>56633142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-3782736</v>
      </c>
      <c r="C3" s="3">
        <v>0</v>
      </c>
      <c r="D3" s="3">
        <v>0</v>
      </c>
      <c r="E3" s="3">
        <v>3782736</v>
      </c>
      <c r="F3" s="3">
        <v>3120519</v>
      </c>
    </row>
    <row r="4" spans="1:6" x14ac:dyDescent="0.3">
      <c r="A4" s="2" t="s">
        <v>6</v>
      </c>
      <c r="B4" s="3">
        <f t="shared" ref="B4:B14" si="0">C4-E4</f>
        <v>-3776198</v>
      </c>
      <c r="C4" s="3">
        <v>0</v>
      </c>
      <c r="D4" s="3">
        <v>0</v>
      </c>
      <c r="E4" s="3">
        <v>3776198</v>
      </c>
      <c r="F4" s="3">
        <v>3149539</v>
      </c>
    </row>
    <row r="5" spans="1:6" x14ac:dyDescent="0.3">
      <c r="A5" s="2" t="s">
        <v>7</v>
      </c>
      <c r="B5" s="3">
        <f t="shared" si="0"/>
        <v>-3296522</v>
      </c>
      <c r="C5" s="3">
        <v>0</v>
      </c>
      <c r="D5" s="3">
        <v>0</v>
      </c>
      <c r="E5" s="3">
        <v>3296522</v>
      </c>
      <c r="F5" s="3">
        <v>3062911</v>
      </c>
    </row>
    <row r="6" spans="1:6" x14ac:dyDescent="0.3">
      <c r="A6" s="2" t="s">
        <v>8</v>
      </c>
      <c r="B6" s="3">
        <f t="shared" si="0"/>
        <v>-4015287</v>
      </c>
      <c r="C6" s="3">
        <v>0</v>
      </c>
      <c r="D6" s="3">
        <v>0</v>
      </c>
      <c r="E6" s="3">
        <v>4015287</v>
      </c>
      <c r="F6" s="3">
        <v>3904679</v>
      </c>
    </row>
    <row r="7" spans="1:6" x14ac:dyDescent="0.3">
      <c r="A7" s="2" t="s">
        <v>9</v>
      </c>
      <c r="B7" s="3">
        <f t="shared" si="0"/>
        <v>-4960031</v>
      </c>
      <c r="C7" s="3">
        <v>0</v>
      </c>
      <c r="D7" s="3">
        <v>0</v>
      </c>
      <c r="E7" s="3">
        <v>4960031</v>
      </c>
      <c r="F7" s="3">
        <v>4850651</v>
      </c>
    </row>
    <row r="8" spans="1:6" x14ac:dyDescent="0.3">
      <c r="A8" s="2" t="s">
        <v>10</v>
      </c>
      <c r="B8" s="3">
        <f t="shared" si="0"/>
        <v>-6564528</v>
      </c>
      <c r="C8" s="3">
        <v>0</v>
      </c>
      <c r="D8" s="3">
        <v>0</v>
      </c>
      <c r="E8" s="3">
        <v>6564528</v>
      </c>
      <c r="F8" s="3">
        <v>6599441</v>
      </c>
    </row>
    <row r="9" spans="1:6" x14ac:dyDescent="0.3">
      <c r="A9" s="2" t="s">
        <v>11</v>
      </c>
      <c r="B9" s="3">
        <f t="shared" si="0"/>
        <v>-2098361</v>
      </c>
      <c r="C9" s="3">
        <v>0</v>
      </c>
      <c r="D9" s="3">
        <v>0</v>
      </c>
      <c r="E9" s="3">
        <v>2098361</v>
      </c>
      <c r="F9" s="3">
        <v>2228154</v>
      </c>
    </row>
    <row r="10" spans="1:6" x14ac:dyDescent="0.3">
      <c r="A10" s="2" t="s">
        <v>12</v>
      </c>
      <c r="B10" s="3">
        <f t="shared" si="0"/>
        <v>-4282478</v>
      </c>
      <c r="C10" s="3">
        <v>0</v>
      </c>
      <c r="D10" s="3">
        <v>0</v>
      </c>
      <c r="E10" s="3">
        <v>4282478</v>
      </c>
      <c r="F10" s="3">
        <v>4743788</v>
      </c>
    </row>
    <row r="11" spans="1:6" x14ac:dyDescent="0.3">
      <c r="A11" s="2" t="s">
        <v>13</v>
      </c>
      <c r="B11" s="3">
        <f t="shared" si="0"/>
        <v>-5075314</v>
      </c>
      <c r="C11" s="3">
        <v>0</v>
      </c>
      <c r="D11" s="3">
        <v>0</v>
      </c>
      <c r="E11" s="3">
        <v>5075314</v>
      </c>
      <c r="F11" s="3">
        <v>5416215</v>
      </c>
    </row>
    <row r="12" spans="1:6" x14ac:dyDescent="0.3">
      <c r="A12" s="2" t="s">
        <v>14</v>
      </c>
      <c r="B12" s="3">
        <f t="shared" si="0"/>
        <v>-4864289</v>
      </c>
      <c r="C12" s="3">
        <v>0</v>
      </c>
      <c r="D12" s="3">
        <v>0</v>
      </c>
      <c r="E12" s="3">
        <v>4864289</v>
      </c>
      <c r="F12" s="3">
        <v>5124080</v>
      </c>
    </row>
    <row r="13" spans="1:6" x14ac:dyDescent="0.3">
      <c r="A13" s="2" t="s">
        <v>15</v>
      </c>
      <c r="B13" s="3">
        <f t="shared" si="0"/>
        <v>-5697606</v>
      </c>
      <c r="C13" s="3">
        <v>0</v>
      </c>
      <c r="D13" s="3">
        <v>0</v>
      </c>
      <c r="E13" s="3">
        <v>5697606</v>
      </c>
      <c r="F13" s="3">
        <v>6130246</v>
      </c>
    </row>
    <row r="14" spans="1:6" x14ac:dyDescent="0.3">
      <c r="A14" s="2" t="s">
        <v>16</v>
      </c>
      <c r="B14" s="3">
        <f t="shared" si="0"/>
        <v>-5806314</v>
      </c>
      <c r="C14" s="3">
        <v>0</v>
      </c>
      <c r="D14" s="3">
        <v>0</v>
      </c>
      <c r="E14" s="3">
        <v>5806314</v>
      </c>
      <c r="F14" s="3">
        <v>6456614</v>
      </c>
    </row>
    <row r="15" spans="1:6" ht="17.25" thickBot="1" x14ac:dyDescent="0.35">
      <c r="A15" s="4" t="s">
        <v>17</v>
      </c>
      <c r="B15" s="5">
        <f>SUM(B3:B14)</f>
        <v>-54219664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54219664</v>
      </c>
      <c r="F15" s="5">
        <f t="shared" si="2"/>
        <v>54786837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-6582512</v>
      </c>
      <c r="C3" s="3">
        <v>0</v>
      </c>
      <c r="D3" s="3">
        <v>0</v>
      </c>
      <c r="E3" s="3">
        <v>6582512</v>
      </c>
      <c r="F3" s="3">
        <v>7286595</v>
      </c>
    </row>
    <row r="4" spans="1:6" x14ac:dyDescent="0.3">
      <c r="A4" s="2" t="s">
        <v>6</v>
      </c>
      <c r="B4" s="3">
        <f t="shared" ref="B4:B14" si="0">C4-E4</f>
        <v>-4432904</v>
      </c>
      <c r="C4" s="3">
        <v>0</v>
      </c>
      <c r="D4" s="3">
        <v>0</v>
      </c>
      <c r="E4" s="3">
        <v>4432904</v>
      </c>
      <c r="F4" s="3">
        <v>4831328</v>
      </c>
    </row>
    <row r="5" spans="1:6" x14ac:dyDescent="0.3">
      <c r="A5" s="2" t="s">
        <v>7</v>
      </c>
      <c r="B5" s="3">
        <f t="shared" si="0"/>
        <v>-4510835</v>
      </c>
      <c r="C5" s="3">
        <v>0</v>
      </c>
      <c r="D5" s="3">
        <v>0</v>
      </c>
      <c r="E5" s="3">
        <v>4510835</v>
      </c>
      <c r="F5" s="3">
        <v>4851698</v>
      </c>
    </row>
    <row r="6" spans="1:6" x14ac:dyDescent="0.3">
      <c r="A6" s="2" t="s">
        <v>8</v>
      </c>
      <c r="B6" s="3">
        <f t="shared" si="0"/>
        <v>-4975433</v>
      </c>
      <c r="C6" s="3">
        <v>0</v>
      </c>
      <c r="D6" s="3">
        <v>0</v>
      </c>
      <c r="E6" s="3">
        <v>4975433</v>
      </c>
      <c r="F6" s="3">
        <v>5264412</v>
      </c>
    </row>
    <row r="7" spans="1:6" x14ac:dyDescent="0.3">
      <c r="A7" s="2" t="s">
        <v>9</v>
      </c>
      <c r="B7" s="3">
        <f t="shared" si="0"/>
        <v>-5900958</v>
      </c>
      <c r="C7" s="3">
        <v>0</v>
      </c>
      <c r="D7" s="3">
        <v>0</v>
      </c>
      <c r="E7" s="3">
        <v>5900958</v>
      </c>
      <c r="F7" s="3">
        <v>6002965</v>
      </c>
    </row>
    <row r="8" spans="1:6" x14ac:dyDescent="0.3">
      <c r="A8" s="2" t="s">
        <v>10</v>
      </c>
      <c r="B8" s="3">
        <f t="shared" si="0"/>
        <v>-2991851</v>
      </c>
      <c r="C8" s="3">
        <v>0</v>
      </c>
      <c r="D8" s="3">
        <v>0</v>
      </c>
      <c r="E8" s="3">
        <v>2991851</v>
      </c>
      <c r="F8" s="3">
        <v>3245979</v>
      </c>
    </row>
    <row r="9" spans="1:6" x14ac:dyDescent="0.3">
      <c r="A9" s="2" t="s">
        <v>11</v>
      </c>
      <c r="B9" s="3">
        <f t="shared" si="0"/>
        <v>-4728341</v>
      </c>
      <c r="C9" s="3">
        <v>0</v>
      </c>
      <c r="D9" s="3">
        <v>0</v>
      </c>
      <c r="E9" s="3">
        <v>4728341</v>
      </c>
      <c r="F9" s="3">
        <v>5077417</v>
      </c>
    </row>
    <row r="10" spans="1:6" x14ac:dyDescent="0.3">
      <c r="A10" s="2" t="s">
        <v>12</v>
      </c>
      <c r="B10" s="3">
        <f t="shared" si="0"/>
        <v>-4513526</v>
      </c>
      <c r="C10" s="3">
        <v>0</v>
      </c>
      <c r="D10" s="3">
        <v>0</v>
      </c>
      <c r="E10" s="3">
        <v>4513526</v>
      </c>
      <c r="F10" s="3">
        <v>4855158</v>
      </c>
    </row>
    <row r="11" spans="1:6" x14ac:dyDescent="0.3">
      <c r="A11" s="2" t="s">
        <v>13</v>
      </c>
      <c r="B11" s="3">
        <f t="shared" si="0"/>
        <v>-4560373</v>
      </c>
      <c r="C11" s="3">
        <v>0</v>
      </c>
      <c r="D11" s="3">
        <v>0</v>
      </c>
      <c r="E11" s="3">
        <v>4560373</v>
      </c>
      <c r="F11" s="3">
        <v>4917166</v>
      </c>
    </row>
    <row r="12" spans="1:6" x14ac:dyDescent="0.3">
      <c r="A12" s="2" t="s">
        <v>14</v>
      </c>
      <c r="B12" s="3">
        <f t="shared" si="0"/>
        <v>-5593830</v>
      </c>
      <c r="C12" s="3">
        <v>0</v>
      </c>
      <c r="D12" s="3">
        <v>0</v>
      </c>
      <c r="E12" s="3">
        <v>5593830</v>
      </c>
      <c r="F12" s="3">
        <v>5857677</v>
      </c>
    </row>
    <row r="13" spans="1:6" x14ac:dyDescent="0.3">
      <c r="A13" s="2" t="s">
        <v>15</v>
      </c>
      <c r="B13" s="3">
        <f t="shared" si="0"/>
        <v>-5063150</v>
      </c>
      <c r="C13" s="3">
        <v>0</v>
      </c>
      <c r="D13" s="3">
        <v>0</v>
      </c>
      <c r="E13" s="3">
        <v>5063150</v>
      </c>
      <c r="F13" s="3">
        <v>5127858</v>
      </c>
    </row>
    <row r="14" spans="1:6" x14ac:dyDescent="0.3">
      <c r="A14" s="2" t="s">
        <v>16</v>
      </c>
      <c r="B14" s="3">
        <f t="shared" si="0"/>
        <v>-2689696</v>
      </c>
      <c r="C14" s="3">
        <v>0</v>
      </c>
      <c r="D14" s="3">
        <v>0</v>
      </c>
      <c r="E14" s="3">
        <v>2689696</v>
      </c>
      <c r="F14" s="3">
        <v>2354145</v>
      </c>
    </row>
    <row r="15" spans="1:6" ht="17.25" thickBot="1" x14ac:dyDescent="0.35">
      <c r="A15" s="4" t="s">
        <v>17</v>
      </c>
      <c r="B15" s="5">
        <f>SUM(B3:B14)</f>
        <v>-56543409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56543409</v>
      </c>
      <c r="F15" s="5">
        <f t="shared" si="2"/>
        <v>59672398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-5007034</v>
      </c>
      <c r="C3" s="3">
        <v>0</v>
      </c>
      <c r="D3" s="3">
        <v>0</v>
      </c>
      <c r="E3" s="3">
        <v>5007034</v>
      </c>
      <c r="F3" s="3">
        <v>4499519</v>
      </c>
    </row>
    <row r="4" spans="1:6" x14ac:dyDescent="0.3">
      <c r="A4" s="2" t="s">
        <v>6</v>
      </c>
      <c r="B4" s="3">
        <f t="shared" ref="B4:B14" si="0">C4-E4</f>
        <v>-5686813</v>
      </c>
      <c r="C4" s="3">
        <v>0</v>
      </c>
      <c r="D4" s="3">
        <v>0</v>
      </c>
      <c r="E4" s="3">
        <v>5686813</v>
      </c>
      <c r="F4" s="3">
        <v>4611493</v>
      </c>
    </row>
    <row r="5" spans="1:6" x14ac:dyDescent="0.3">
      <c r="A5" s="2" t="s">
        <v>7</v>
      </c>
      <c r="B5" s="3">
        <f t="shared" si="0"/>
        <v>-6216886</v>
      </c>
      <c r="C5" s="3">
        <v>0</v>
      </c>
      <c r="D5" s="3">
        <v>0</v>
      </c>
      <c r="E5" s="3">
        <v>6216886</v>
      </c>
      <c r="F5" s="3">
        <v>5159950</v>
      </c>
    </row>
    <row r="6" spans="1:6" x14ac:dyDescent="0.3">
      <c r="A6" s="2" t="s">
        <v>8</v>
      </c>
      <c r="B6" s="3">
        <f t="shared" si="0"/>
        <v>-5485414</v>
      </c>
      <c r="C6" s="3">
        <v>0</v>
      </c>
      <c r="D6" s="3">
        <v>0</v>
      </c>
      <c r="E6" s="3">
        <v>5485414</v>
      </c>
      <c r="F6" s="3">
        <v>4603345</v>
      </c>
    </row>
    <row r="7" spans="1:6" x14ac:dyDescent="0.3">
      <c r="A7" s="2" t="s">
        <v>9</v>
      </c>
      <c r="B7" s="3">
        <f t="shared" si="0"/>
        <v>-7584133</v>
      </c>
      <c r="C7" s="3">
        <v>0</v>
      </c>
      <c r="D7" s="3">
        <v>0</v>
      </c>
      <c r="E7" s="3">
        <v>7584133</v>
      </c>
      <c r="F7" s="3">
        <v>6760691</v>
      </c>
    </row>
    <row r="8" spans="1:6" x14ac:dyDescent="0.3">
      <c r="A8" s="2" t="s">
        <v>10</v>
      </c>
      <c r="B8" s="3">
        <f t="shared" si="0"/>
        <v>-3902872</v>
      </c>
      <c r="C8" s="3">
        <v>0</v>
      </c>
      <c r="D8" s="3">
        <v>0</v>
      </c>
      <c r="E8" s="3">
        <v>3902872</v>
      </c>
      <c r="F8" s="3">
        <v>3483379</v>
      </c>
    </row>
    <row r="9" spans="1:6" x14ac:dyDescent="0.3">
      <c r="A9" s="2" t="s">
        <v>11</v>
      </c>
      <c r="B9" s="3">
        <f t="shared" si="0"/>
        <v>-6562077</v>
      </c>
      <c r="C9" s="3">
        <v>0</v>
      </c>
      <c r="D9" s="3">
        <v>0</v>
      </c>
      <c r="E9" s="3">
        <v>6562077</v>
      </c>
      <c r="F9" s="3">
        <v>6222782</v>
      </c>
    </row>
    <row r="10" spans="1:6" x14ac:dyDescent="0.3">
      <c r="A10" s="2" t="s">
        <v>12</v>
      </c>
      <c r="B10" s="3">
        <f t="shared" si="0"/>
        <v>-5893248</v>
      </c>
      <c r="C10" s="3">
        <v>0</v>
      </c>
      <c r="D10" s="3">
        <v>0</v>
      </c>
      <c r="E10" s="3">
        <v>5893248</v>
      </c>
      <c r="F10" s="3">
        <v>5501893</v>
      </c>
    </row>
    <row r="11" spans="1:6" x14ac:dyDescent="0.3">
      <c r="A11" s="2" t="s">
        <v>13</v>
      </c>
      <c r="B11" s="3">
        <f t="shared" si="0"/>
        <v>-6473272</v>
      </c>
      <c r="C11" s="3">
        <v>0</v>
      </c>
      <c r="D11" s="3">
        <v>0</v>
      </c>
      <c r="E11" s="3">
        <v>6473272</v>
      </c>
      <c r="F11" s="3">
        <v>5882471</v>
      </c>
    </row>
    <row r="12" spans="1:6" x14ac:dyDescent="0.3">
      <c r="A12" s="2" t="s">
        <v>14</v>
      </c>
      <c r="B12" s="3">
        <f t="shared" si="0"/>
        <v>-3032095</v>
      </c>
      <c r="C12" s="3">
        <v>0</v>
      </c>
      <c r="D12" s="3">
        <v>0</v>
      </c>
      <c r="E12" s="3">
        <v>3032095</v>
      </c>
      <c r="F12" s="3">
        <v>2805638</v>
      </c>
    </row>
    <row r="13" spans="1:6" x14ac:dyDescent="0.3">
      <c r="A13" s="2" t="s">
        <v>15</v>
      </c>
      <c r="B13" s="3">
        <f t="shared" si="0"/>
        <v>-3974975</v>
      </c>
      <c r="C13" s="3">
        <v>0</v>
      </c>
      <c r="D13" s="3">
        <v>0</v>
      </c>
      <c r="E13" s="3">
        <v>3974975</v>
      </c>
      <c r="F13" s="3">
        <v>3510471</v>
      </c>
    </row>
    <row r="14" spans="1:6" x14ac:dyDescent="0.3">
      <c r="A14" s="2" t="s">
        <v>16</v>
      </c>
      <c r="B14" s="3">
        <f t="shared" si="0"/>
        <v>-6862819</v>
      </c>
      <c r="C14" s="3">
        <v>0</v>
      </c>
      <c r="D14" s="3">
        <v>0</v>
      </c>
      <c r="E14" s="3">
        <v>6862819</v>
      </c>
      <c r="F14" s="3">
        <v>6214170</v>
      </c>
    </row>
    <row r="15" spans="1:6" ht="17.25" thickBot="1" x14ac:dyDescent="0.35">
      <c r="A15" s="4" t="s">
        <v>17</v>
      </c>
      <c r="B15" s="5">
        <f>SUM(B3:B14)</f>
        <v>-66681638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66681638</v>
      </c>
      <c r="F15" s="5">
        <f t="shared" si="2"/>
        <v>59255802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2.75" customWidth="1"/>
    <col min="3" max="3" width="11.25" customWidth="1"/>
    <col min="4" max="4" width="10.875" customWidth="1"/>
    <col min="5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-3773817</v>
      </c>
      <c r="C3" s="3">
        <v>0</v>
      </c>
      <c r="D3" s="3">
        <v>0</v>
      </c>
      <c r="E3" s="3">
        <v>3773817</v>
      </c>
      <c r="F3" s="3">
        <v>3409548</v>
      </c>
    </row>
    <row r="4" spans="1:6" x14ac:dyDescent="0.3">
      <c r="A4" s="2" t="s">
        <v>6</v>
      </c>
      <c r="B4" s="3">
        <f t="shared" ref="B4:B14" si="0">C4-E4</f>
        <v>-3093433</v>
      </c>
      <c r="C4" s="3">
        <v>0</v>
      </c>
      <c r="D4" s="3">
        <v>0</v>
      </c>
      <c r="E4" s="3">
        <v>3093433</v>
      </c>
      <c r="F4" s="3">
        <v>2825161</v>
      </c>
    </row>
    <row r="5" spans="1:6" x14ac:dyDescent="0.3">
      <c r="A5" s="2" t="s">
        <v>7</v>
      </c>
      <c r="B5" s="3">
        <f t="shared" si="0"/>
        <v>-6581981</v>
      </c>
      <c r="C5" s="3">
        <v>0</v>
      </c>
      <c r="D5" s="3">
        <v>0</v>
      </c>
      <c r="E5" s="3">
        <v>6581981</v>
      </c>
      <c r="F5" s="3">
        <v>5915538</v>
      </c>
    </row>
    <row r="6" spans="1:6" x14ac:dyDescent="0.3">
      <c r="A6" s="2" t="s">
        <v>8</v>
      </c>
      <c r="B6" s="3">
        <f t="shared" si="0"/>
        <v>-5252021</v>
      </c>
      <c r="C6" s="3">
        <v>0</v>
      </c>
      <c r="D6" s="3">
        <v>0</v>
      </c>
      <c r="E6" s="3">
        <v>5252021</v>
      </c>
      <c r="F6" s="3">
        <v>4601570</v>
      </c>
    </row>
    <row r="7" spans="1:6" x14ac:dyDescent="0.3">
      <c r="A7" s="2" t="s">
        <v>9</v>
      </c>
      <c r="B7" s="3">
        <f t="shared" si="0"/>
        <v>-6289014</v>
      </c>
      <c r="C7" s="3">
        <v>0</v>
      </c>
      <c r="D7" s="3">
        <v>0</v>
      </c>
      <c r="E7" s="3">
        <v>6289014</v>
      </c>
      <c r="F7" s="3">
        <v>5232339</v>
      </c>
    </row>
    <row r="8" spans="1:6" x14ac:dyDescent="0.3">
      <c r="A8" s="2" t="s">
        <v>10</v>
      </c>
      <c r="B8" s="3">
        <f t="shared" si="0"/>
        <v>-6248844</v>
      </c>
      <c r="C8" s="3">
        <v>0</v>
      </c>
      <c r="D8" s="3">
        <v>0</v>
      </c>
      <c r="E8" s="3">
        <v>6248844</v>
      </c>
      <c r="F8" s="3">
        <v>5087770</v>
      </c>
    </row>
    <row r="9" spans="1:6" x14ac:dyDescent="0.3">
      <c r="A9" s="2" t="s">
        <v>11</v>
      </c>
      <c r="B9" s="3">
        <f t="shared" si="0"/>
        <v>-5963918</v>
      </c>
      <c r="C9" s="3">
        <v>0</v>
      </c>
      <c r="D9" s="3">
        <v>0</v>
      </c>
      <c r="E9" s="3">
        <v>5963918</v>
      </c>
      <c r="F9" s="3">
        <v>4911442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-37203028</v>
      </c>
      <c r="C15" s="5">
        <f t="shared" ref="C15:F15" si="1">SUM(C3:C14)</f>
        <v>0</v>
      </c>
      <c r="D15" s="5">
        <f t="shared" si="1"/>
        <v>0</v>
      </c>
      <c r="E15" s="5">
        <f t="shared" si="1"/>
        <v>37203028</v>
      </c>
      <c r="F15" s="5">
        <f t="shared" si="1"/>
        <v>31983368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2026-08-26T08:57:17Z</dcterms:modified>
</cp:coreProperties>
</file>