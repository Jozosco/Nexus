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올레인(.1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4" l="1"/>
  <c r="B15" i="13"/>
  <c r="B15" i="12"/>
  <c r="B15" i="10"/>
  <c r="B15" i="11"/>
  <c r="B15" i="17"/>
  <c r="B15" i="16"/>
  <c r="B15" i="15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<sst xmlns="http://schemas.openxmlformats.org/spreadsheetml/2006/main" count="306" uniqueCount="45">
  <si>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</si>
  <si>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</si>
  <si>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</si>
  <si>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</si>
  <si>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</si>
  <si>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</si>
  <si>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</si>
  <si>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</si>
  <si>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</si>
  <si>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</si>
  <si>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</si>
  <si>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</si>
  <si>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</si>
  <si>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</si>
  <si>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</si>
  <si>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</si>
  <si>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</si>
  <si>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</si>
  <si>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</si>
  <si>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</si>
  <si>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</si>
  <si>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</si>
  <si>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</si>
  <si>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</si>
  <si>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</si>
  <si>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</si>
  <si>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</si>
  <si>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</si>
  <si>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</si>
  <si>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</si>
  <si>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</si>
  <si>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</si>
  <si>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</si>
  <si>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</si>
  <si>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</si>
  <si>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수출액(달러)</t>
    <phoneticPr fontId="1" type="noConversion"/>
  </si>
  <si>
    <t>수출량(kg)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</si>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</sst>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-1167043</v>
      </c>
      <c r="C3" s="3">
        <v>0</v>
      </c>
      <c r="D3" s="3">
        <v>0</v>
      </c>
      <c r="E3" s="3">
        <v>1167043</v>
      </c>
      <c r="F3" s="3">
        <v>1499848</v>
      </c>
    </row>
    <row r="4" spans="1:6" x14ac:dyDescent="0.3">
      <c r="A4" s="2" t="s">
        <v>24</v>
      </c>
      <c r="B4" s="3">
        <f t="shared" ref="B4:B14" si="0">C4-E4</f>
        <v>-389044</v>
      </c>
      <c r="C4" s="3">
        <v>0</v>
      </c>
      <c r="D4" s="3">
        <v>0</v>
      </c>
      <c r="E4" s="3">
        <v>389044</v>
      </c>
      <c r="F4" s="3">
        <v>499987</v>
      </c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-1167015</v>
      </c>
      <c r="C6" s="3">
        <v>0</v>
      </c>
      <c r="D6" s="3">
        <v>0</v>
      </c>
      <c r="E6" s="3">
        <v>1167015</v>
      </c>
      <c r="F6" s="3">
        <v>1499965</v>
      </c>
    </row>
    <row r="7" spans="1:6" x14ac:dyDescent="0.3">
      <c r="A7" s="2" t="s">
        <v>9</v>
      </c>
      <c r="B7" s="3">
        <f t="shared" si="0"/>
        <v>-1060097</v>
      </c>
      <c r="C7" s="3">
        <v>0</v>
      </c>
      <c r="D7" s="3">
        <v>0</v>
      </c>
      <c r="E7" s="3">
        <v>1060097</v>
      </c>
      <c r="F7" s="3">
        <v>1259810</v>
      </c>
    </row>
    <row r="8" spans="1:6" x14ac:dyDescent="0.3">
      <c r="A8" s="2" t="s">
        <v>10</v>
      </c>
      <c r="B8" s="3">
        <f t="shared" si="0"/>
        <v>-1514636</v>
      </c>
      <c r="C8" s="3">
        <v>0</v>
      </c>
      <c r="D8" s="3">
        <v>0</v>
      </c>
      <c r="E8" s="3">
        <v>1514636</v>
      </c>
      <c r="F8" s="3">
        <v>1800000</v>
      </c>
    </row>
    <row r="9" spans="1:6" x14ac:dyDescent="0.3">
      <c r="A9" s="2" t="s">
        <v>11</v>
      </c>
      <c r="B9" s="3">
        <f t="shared" si="0"/>
        <v>-389041</v>
      </c>
      <c r="C9" s="3">
        <v>0</v>
      </c>
      <c r="D9" s="3">
        <v>0</v>
      </c>
      <c r="E9" s="3">
        <v>389041</v>
      </c>
      <c r="F9" s="3">
        <v>499987</v>
      </c>
    </row>
    <row r="10" spans="1:6" x14ac:dyDescent="0.3">
      <c r="A10" s="2" t="s">
        <v>12</v>
      </c>
      <c r="B10" s="3">
        <f t="shared" si="0"/>
        <v>-61</v>
      </c>
      <c r="C10" s="3">
        <v>0</v>
      </c>
      <c r="D10" s="3">
        <v>0</v>
      </c>
      <c r="E10" s="3">
        <v>61</v>
      </c>
      <c r="F10" s="3">
        <v>21</v>
      </c>
    </row>
    <row r="11" spans="1:6" x14ac:dyDescent="0.3">
      <c r="A11" s="2" t="s">
        <v>13</v>
      </c>
      <c r="B11" s="3">
        <f t="shared" si="0"/>
        <v>-1276686</v>
      </c>
      <c r="C11" s="3">
        <v>0</v>
      </c>
      <c r="D11" s="3">
        <v>0</v>
      </c>
      <c r="E11" s="3">
        <v>1276686</v>
      </c>
      <c r="F11" s="3">
        <v>1500000</v>
      </c>
    </row>
    <row r="12" spans="1:6" x14ac:dyDescent="0.3">
      <c r="A12" s="2" t="s">
        <v>14</v>
      </c>
      <c r="B12" s="3">
        <f t="shared" si="0"/>
        <v>-22</v>
      </c>
      <c r="C12" s="3">
        <v>0</v>
      </c>
      <c r="D12" s="3">
        <v>0</v>
      </c>
      <c r="E12" s="3">
        <v>22</v>
      </c>
      <c r="F12" s="3">
        <v>4</v>
      </c>
    </row>
    <row r="13" spans="1:6" x14ac:dyDescent="0.3">
      <c r="A13" s="2" t="s">
        <v>15</v>
      </c>
      <c r="B13" s="3">
        <f t="shared" si="0"/>
        <v>-427159</v>
      </c>
      <c r="C13" s="3">
        <v>0</v>
      </c>
      <c r="D13" s="3">
        <v>0</v>
      </c>
      <c r="E13" s="3">
        <v>427159</v>
      </c>
      <c r="F13" s="3">
        <v>500014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-7390804</v>
      </c>
      <c r="C15" s="5">
        <f t="shared" ref="C15:F15" si="1">SUM(C3:C14)</f>
        <v>0</v>
      </c>
      <c r="D15" s="5">
        <f t="shared" si="1"/>
        <v>0</v>
      </c>
      <c r="E15" s="5">
        <f t="shared" si="1"/>
        <v>7390804</v>
      </c>
      <c r="F15" s="5">
        <f t="shared" si="1"/>
        <v>9059636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ref="B4:B14" si="0">C4-E4</f>
        <v>-162</v>
      </c>
      <c r="C4" s="3">
        <v>0</v>
      </c>
      <c r="D4" s="3">
        <v>0</v>
      </c>
      <c r="E4" s="3">
        <v>162</v>
      </c>
      <c r="F4" s="3">
        <v>60</v>
      </c>
    </row>
    <row r="5" spans="1:6" x14ac:dyDescent="0.3">
      <c r="A5" s="2" t="s">
        <v>33</v>
      </c>
      <c r="B5" s="3">
        <f t="shared" si="0"/>
        <v>-11</v>
      </c>
      <c r="C5" s="3">
        <v>0</v>
      </c>
      <c r="D5" s="3">
        <v>0</v>
      </c>
      <c r="E5" s="3">
        <v>11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-147137</v>
      </c>
      <c r="C12" s="3">
        <v>0</v>
      </c>
      <c r="D12" s="3">
        <v>0</v>
      </c>
      <c r="E12" s="3">
        <v>147137</v>
      </c>
      <c r="F12" s="3">
        <v>120302</v>
      </c>
    </row>
    <row r="13" spans="1:6" x14ac:dyDescent="0.3">
      <c r="A13" s="2" t="s">
        <v>15</v>
      </c>
      <c r="B13" s="3">
        <f t="shared" si="0"/>
        <v>-31</v>
      </c>
      <c r="C13" s="3">
        <v>0</v>
      </c>
      <c r="D13" s="3">
        <v>0</v>
      </c>
      <c r="E13" s="3">
        <v>31</v>
      </c>
      <c r="F13" s="3">
        <v>9</v>
      </c>
    </row>
    <row r="14" spans="1:6" x14ac:dyDescent="0.3">
      <c r="A14" s="2" t="s">
        <v>16</v>
      </c>
      <c r="B14" s="3">
        <f t="shared" si="0"/>
        <v>-183921</v>
      </c>
      <c r="C14" s="3">
        <v>0</v>
      </c>
      <c r="D14" s="3">
        <v>0</v>
      </c>
      <c r="E14" s="3">
        <v>183921</v>
      </c>
      <c r="F14" s="3">
        <v>150378</v>
      </c>
    </row>
    <row r="15" spans="1:6" ht="17.25" thickBot="1" x14ac:dyDescent="0.35">
      <c r="A15" s="4" t="s">
        <v>26</v>
      </c>
      <c r="B15" s="5">
        <f>SUM(B3:B14)</f>
        <v>-331262</v>
      </c>
      <c r="C15" s="5">
        <f t="shared" ref="C15:F15" si="1">SUM(C3:C14)</f>
        <v>0</v>
      </c>
      <c r="D15" s="5">
        <f t="shared" si="1"/>
        <v>0</v>
      </c>
      <c r="E15" s="5">
        <f t="shared" si="1"/>
        <v>331262</v>
      </c>
      <c r="F15" s="5">
        <f t="shared" si="1"/>
        <v>270750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-159164</v>
      </c>
      <c r="C3" s="3">
        <v>0</v>
      </c>
      <c r="D3" s="3">
        <v>0</v>
      </c>
      <c r="E3" s="3">
        <v>159164</v>
      </c>
      <c r="F3" s="3">
        <v>130138</v>
      </c>
    </row>
    <row r="4" spans="1:6" x14ac:dyDescent="0.3">
      <c r="A4" s="2" t="s">
        <v>32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-25930</v>
      </c>
      <c r="C5" s="3">
        <v>0</v>
      </c>
      <c r="D5" s="3">
        <v>0</v>
      </c>
      <c r="E5" s="3">
        <v>25930</v>
      </c>
      <c r="F5" s="3">
        <v>20412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-5061747</v>
      </c>
      <c r="C8" s="3">
        <v>0</v>
      </c>
      <c r="D8" s="3">
        <v>0</v>
      </c>
      <c r="E8" s="3">
        <v>5061747</v>
      </c>
      <c r="F8" s="3">
        <v>4998760</v>
      </c>
    </row>
    <row r="9" spans="1:6" x14ac:dyDescent="0.3">
      <c r="A9" s="2" t="s">
        <v>11</v>
      </c>
      <c r="B9" s="3">
        <f t="shared" si="0"/>
        <v>-76825</v>
      </c>
      <c r="C9" s="3">
        <v>0</v>
      </c>
      <c r="D9" s="3">
        <v>0</v>
      </c>
      <c r="E9" s="3">
        <v>76825</v>
      </c>
      <c r="F9" s="3">
        <v>69597</v>
      </c>
    </row>
    <row r="10" spans="1:6" x14ac:dyDescent="0.3">
      <c r="A10" s="2" t="s">
        <v>12</v>
      </c>
      <c r="B10" s="3">
        <f t="shared" si="0"/>
        <v>-211</v>
      </c>
      <c r="C10" s="3">
        <v>0</v>
      </c>
      <c r="D10" s="3">
        <v>0</v>
      </c>
      <c r="E10" s="3">
        <v>211</v>
      </c>
      <c r="F10" s="3">
        <v>73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-1584</v>
      </c>
      <c r="C12" s="3">
        <v>0</v>
      </c>
      <c r="D12" s="3">
        <v>0</v>
      </c>
      <c r="E12" s="3">
        <v>1584</v>
      </c>
      <c r="F12" s="3">
        <v>396</v>
      </c>
    </row>
    <row r="13" spans="1:6" x14ac:dyDescent="0.3">
      <c r="A13" s="2" t="s">
        <v>15</v>
      </c>
      <c r="B13" s="3">
        <f t="shared" si="0"/>
        <v>-22956</v>
      </c>
      <c r="C13" s="3">
        <v>0</v>
      </c>
      <c r="D13" s="3">
        <v>0</v>
      </c>
      <c r="E13" s="3">
        <v>22956</v>
      </c>
      <c r="F13" s="3">
        <v>20412</v>
      </c>
    </row>
    <row r="14" spans="1:6" x14ac:dyDescent="0.3">
      <c r="A14" s="2" t="s">
        <v>16</v>
      </c>
      <c r="B14" s="3">
        <f t="shared" si="0"/>
        <v>-21</v>
      </c>
      <c r="C14" s="3">
        <v>0</v>
      </c>
      <c r="D14" s="3">
        <v>0</v>
      </c>
      <c r="E14" s="3">
        <v>21</v>
      </c>
      <c r="F14" s="3">
        <v>4</v>
      </c>
    </row>
    <row r="15" spans="1:6" ht="17.25" thickBot="1" x14ac:dyDescent="0.35">
      <c r="A15" s="4" t="s">
        <v>34</v>
      </c>
      <c r="B15" s="5">
        <f>SUM(B3:B14)</f>
        <v>-5348438</v>
      </c>
      <c r="C15" s="5">
        <f t="shared" ref="C15:F15" si="1">SUM(C3:C14)</f>
        <v>0</v>
      </c>
      <c r="D15" s="5">
        <f t="shared" si="1"/>
        <v>0</v>
      </c>
      <c r="E15" s="5">
        <f t="shared" si="1"/>
        <v>5348438</v>
      </c>
      <c r="F15" s="5">
        <f t="shared" si="1"/>
        <v>5239792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35</v>
      </c>
      <c r="D2" s="1" t="s">
        <v>36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-21125</v>
      </c>
      <c r="C3" s="3">
        <v>0</v>
      </c>
      <c r="D3" s="3">
        <v>0</v>
      </c>
      <c r="E3" s="3">
        <v>21125</v>
      </c>
      <c r="F3" s="3">
        <v>20428</v>
      </c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-2216362</v>
      </c>
      <c r="C5" s="3">
        <v>0</v>
      </c>
      <c r="D5" s="3">
        <v>0</v>
      </c>
      <c r="E5" s="3">
        <v>2216362</v>
      </c>
      <c r="F5" s="3">
        <v>3023933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-13</v>
      </c>
      <c r="C7" s="3">
        <v>0</v>
      </c>
      <c r="D7" s="3">
        <v>0</v>
      </c>
      <c r="E7" s="3">
        <v>13</v>
      </c>
      <c r="F7" s="3">
        <v>1</v>
      </c>
    </row>
    <row r="8" spans="1:6" x14ac:dyDescent="0.3">
      <c r="A8" s="2" t="s">
        <v>10</v>
      </c>
      <c r="B8" s="3">
        <f t="shared" si="0"/>
        <v>-767136</v>
      </c>
      <c r="C8" s="3">
        <v>0</v>
      </c>
      <c r="D8" s="3">
        <v>0</v>
      </c>
      <c r="E8" s="3">
        <v>767136</v>
      </c>
      <c r="F8" s="3">
        <v>1000000</v>
      </c>
    </row>
    <row r="9" spans="1:6" x14ac:dyDescent="0.3">
      <c r="A9" s="2" t="s">
        <v>11</v>
      </c>
      <c r="B9" s="3">
        <f t="shared" si="0"/>
        <v>-59</v>
      </c>
      <c r="C9" s="3">
        <v>0</v>
      </c>
      <c r="D9" s="3">
        <v>0</v>
      </c>
      <c r="E9" s="3">
        <v>59</v>
      </c>
      <c r="F9" s="3">
        <v>26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-14054</v>
      </c>
      <c r="C11" s="3">
        <v>0</v>
      </c>
      <c r="D11" s="3">
        <v>0</v>
      </c>
      <c r="E11" s="3">
        <v>14054</v>
      </c>
      <c r="F11" s="3">
        <v>17788</v>
      </c>
    </row>
    <row r="12" spans="1:6" x14ac:dyDescent="0.3">
      <c r="A12" s="2" t="s">
        <v>14</v>
      </c>
      <c r="B12" s="3">
        <f t="shared" si="0"/>
        <v>-208</v>
      </c>
      <c r="C12" s="3">
        <v>0</v>
      </c>
      <c r="D12" s="3">
        <v>0</v>
      </c>
      <c r="E12" s="3">
        <v>208</v>
      </c>
      <c r="F12" s="3">
        <v>100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-3018957</v>
      </c>
      <c r="C15" s="5">
        <f t="shared" ref="C15:F15" si="1">SUM(C3:C14)</f>
        <v>0</v>
      </c>
      <c r="D15" s="5">
        <f t="shared" si="1"/>
        <v>0</v>
      </c>
      <c r="E15" s="5">
        <f t="shared" si="1"/>
        <v>3018957</v>
      </c>
      <c r="F15" s="5">
        <f t="shared" si="1"/>
        <v>4062276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3">
      <c r="A3" s="2" t="s">
        <v>42</v>
      </c>
      <c r="B3" s="3">
        <f t="shared" ref="B3:B14" si="0">C3-E3</f>
        <v>-487</v>
      </c>
      <c r="C3" s="3">
        <v>0</v>
      </c>
      <c r="D3" s="3">
        <v>0</v>
      </c>
      <c r="E3" s="3">
        <v>487</v>
      </c>
      <c r="F3" s="3">
        <v>108</v>
      </c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43</v>
      </c>
      <c r="B5" s="3">
        <f t="shared" si="0"/>
        <v>-3395775</v>
      </c>
      <c r="C5" s="3">
        <v>0</v>
      </c>
      <c r="D5" s="3">
        <v>0</v>
      </c>
      <c r="E5" s="3">
        <v>3395775</v>
      </c>
      <c r="F5" s="3">
        <v>4023819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-2905275</v>
      </c>
      <c r="C7" s="3">
        <v>0</v>
      </c>
      <c r="D7" s="3">
        <v>0</v>
      </c>
      <c r="E7" s="3">
        <v>2905275</v>
      </c>
      <c r="F7" s="3">
        <v>3299542</v>
      </c>
    </row>
    <row r="8" spans="1:6" x14ac:dyDescent="0.3">
      <c r="A8" s="2" t="s">
        <v>10</v>
      </c>
      <c r="B8" s="3">
        <f t="shared" si="0"/>
        <v>-868139</v>
      </c>
      <c r="C8" s="3">
        <v>0</v>
      </c>
      <c r="D8" s="3">
        <v>0</v>
      </c>
      <c r="E8" s="3">
        <v>868139</v>
      </c>
      <c r="F8" s="3">
        <v>1000000</v>
      </c>
    </row>
    <row r="9" spans="1:6" x14ac:dyDescent="0.3">
      <c r="A9" s="2" t="s">
        <v>11</v>
      </c>
      <c r="B9" s="3">
        <f t="shared" si="0"/>
        <v>-2655311</v>
      </c>
      <c r="C9" s="3">
        <v>0</v>
      </c>
      <c r="D9" s="3">
        <v>0</v>
      </c>
      <c r="E9" s="3">
        <v>2655311</v>
      </c>
      <c r="F9" s="3">
        <v>2999868</v>
      </c>
    </row>
    <row r="10" spans="1:6" x14ac:dyDescent="0.3">
      <c r="A10" s="2" t="s">
        <v>12</v>
      </c>
      <c r="B10" s="3">
        <f t="shared" si="0"/>
        <v>-8942340</v>
      </c>
      <c r="C10" s="3">
        <v>0</v>
      </c>
      <c r="D10" s="3">
        <v>0</v>
      </c>
      <c r="E10" s="3">
        <v>8942340</v>
      </c>
      <c r="F10" s="3">
        <v>10999804</v>
      </c>
    </row>
    <row r="11" spans="1:6" x14ac:dyDescent="0.3">
      <c r="A11" s="2" t="s">
        <v>13</v>
      </c>
      <c r="B11" s="3">
        <f t="shared" si="0"/>
        <v>-2400603</v>
      </c>
      <c r="C11" s="3">
        <v>0</v>
      </c>
      <c r="D11" s="3">
        <v>0</v>
      </c>
      <c r="E11" s="3">
        <v>2400603</v>
      </c>
      <c r="F11" s="3">
        <v>2999888</v>
      </c>
    </row>
    <row r="12" spans="1:6" x14ac:dyDescent="0.3">
      <c r="A12" s="2" t="s">
        <v>14</v>
      </c>
      <c r="B12" s="3">
        <f t="shared" si="0"/>
        <v>-630997</v>
      </c>
      <c r="C12" s="3">
        <v>0</v>
      </c>
      <c r="D12" s="3">
        <v>0</v>
      </c>
      <c r="E12" s="3">
        <v>630997</v>
      </c>
      <c r="F12" s="3">
        <v>1000000</v>
      </c>
    </row>
    <row r="13" spans="1:6" x14ac:dyDescent="0.3">
      <c r="A13" s="2" t="s">
        <v>15</v>
      </c>
      <c r="B13" s="3">
        <f t="shared" si="0"/>
        <v>-1685300</v>
      </c>
      <c r="C13" s="3">
        <v>0</v>
      </c>
      <c r="D13" s="3">
        <v>0</v>
      </c>
      <c r="E13" s="3">
        <v>1685300</v>
      </c>
      <c r="F13" s="3">
        <v>2670854</v>
      </c>
    </row>
    <row r="14" spans="1:6" x14ac:dyDescent="0.3">
      <c r="A14" s="2" t="s">
        <v>16</v>
      </c>
      <c r="B14" s="3">
        <f t="shared" si="0"/>
        <v>-820290</v>
      </c>
      <c r="C14" s="3">
        <v>0</v>
      </c>
      <c r="D14" s="3">
        <v>0</v>
      </c>
      <c r="E14" s="3">
        <v>820290</v>
      </c>
      <c r="F14" s="3">
        <v>1300000</v>
      </c>
    </row>
    <row r="15" spans="1:6" ht="17.25" thickBot="1" x14ac:dyDescent="0.35">
      <c r="A15" s="4" t="s">
        <v>34</v>
      </c>
      <c r="B15" s="5">
        <f>SUM(B3:B14)</f>
        <v>-24304517</v>
      </c>
      <c r="C15" s="5">
        <f t="shared" ref="C15:F15" si="1">SUM(C3:C14)</f>
        <v>0</v>
      </c>
      <c r="D15" s="5">
        <f t="shared" si="1"/>
        <v>0</v>
      </c>
      <c r="E15" s="5">
        <f t="shared" si="1"/>
        <v>24304517</v>
      </c>
      <c r="F15" s="5">
        <f t="shared" si="1"/>
        <v>30293883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-1953957</v>
      </c>
      <c r="C5" s="3">
        <v>0</v>
      </c>
      <c r="D5" s="3">
        <v>0</v>
      </c>
      <c r="E5" s="3">
        <v>1953957</v>
      </c>
      <c r="F5" s="3">
        <v>3017534</v>
      </c>
    </row>
    <row r="6" spans="1:6" x14ac:dyDescent="0.3">
      <c r="A6" s="2" t="s">
        <v>8</v>
      </c>
      <c r="B6" s="3">
        <f t="shared" si="0"/>
        <v>-2604111</v>
      </c>
      <c r="C6" s="3">
        <v>0</v>
      </c>
      <c r="D6" s="3">
        <v>0</v>
      </c>
      <c r="E6" s="3">
        <v>2604111</v>
      </c>
      <c r="F6" s="3">
        <v>4024061</v>
      </c>
    </row>
    <row r="7" spans="1:6" x14ac:dyDescent="0.3">
      <c r="A7" s="2" t="s">
        <v>9</v>
      </c>
      <c r="B7" s="3">
        <f t="shared" si="0"/>
        <v>-1919496</v>
      </c>
      <c r="C7" s="3">
        <v>0</v>
      </c>
      <c r="D7" s="3">
        <v>0</v>
      </c>
      <c r="E7" s="3">
        <v>1919496</v>
      </c>
      <c r="F7" s="3">
        <v>2999901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-18</v>
      </c>
      <c r="C9" s="3">
        <v>0</v>
      </c>
      <c r="D9" s="3">
        <v>0</v>
      </c>
      <c r="E9" s="3">
        <v>18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-24</v>
      </c>
      <c r="C11" s="3">
        <v>0</v>
      </c>
      <c r="D11" s="3">
        <v>0</v>
      </c>
      <c r="E11" s="3">
        <v>24</v>
      </c>
      <c r="F11" s="3">
        <v>7</v>
      </c>
    </row>
    <row r="12" spans="1:6" x14ac:dyDescent="0.3">
      <c r="A12" s="2" t="s">
        <v>14</v>
      </c>
      <c r="B12" s="3">
        <f t="shared" si="0"/>
        <v>-63</v>
      </c>
      <c r="C12" s="3">
        <v>0</v>
      </c>
      <c r="D12" s="3">
        <v>0</v>
      </c>
      <c r="E12" s="3">
        <v>63</v>
      </c>
      <c r="F12" s="3">
        <v>16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-19518</v>
      </c>
      <c r="C14" s="3">
        <v>0</v>
      </c>
      <c r="D14" s="3">
        <v>0</v>
      </c>
      <c r="E14" s="3">
        <v>19518</v>
      </c>
      <c r="F14" s="3">
        <v>23951</v>
      </c>
    </row>
    <row r="15" spans="1:6" ht="17.25" thickBot="1" x14ac:dyDescent="0.35">
      <c r="A15" s="4" t="s">
        <v>44</v>
      </c>
      <c r="B15" s="5">
        <f>SUM(B3:B14)</f>
        <v>-6497187</v>
      </c>
      <c r="C15" s="5">
        <f t="shared" ref="C15:F15" si="1">SUM(C3:C14)</f>
        <v>0</v>
      </c>
      <c r="D15" s="5">
        <f t="shared" si="1"/>
        <v>0</v>
      </c>
      <c r="E15" s="5">
        <f t="shared" si="1"/>
        <v>6497187</v>
      </c>
      <c r="F15" s="5">
        <f t="shared" si="1"/>
        <v>10065471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-690</v>
      </c>
      <c r="C3" s="3">
        <v>0</v>
      </c>
      <c r="D3" s="3">
        <v>0</v>
      </c>
      <c r="E3" s="3">
        <v>690</v>
      </c>
      <c r="F3" s="3">
        <v>504</v>
      </c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-17356</v>
      </c>
      <c r="C5" s="3">
        <v>0</v>
      </c>
      <c r="D5" s="3">
        <v>0</v>
      </c>
      <c r="E5" s="3">
        <v>17356</v>
      </c>
      <c r="F5" s="3">
        <v>23942</v>
      </c>
    </row>
    <row r="6" spans="1:6" x14ac:dyDescent="0.3">
      <c r="A6" s="2" t="s">
        <v>8</v>
      </c>
      <c r="B6" s="3">
        <f t="shared" si="0"/>
        <v>-171</v>
      </c>
      <c r="C6" s="3">
        <v>0</v>
      </c>
      <c r="D6" s="3">
        <v>0</v>
      </c>
      <c r="E6" s="3">
        <v>171</v>
      </c>
      <c r="F6" s="3">
        <v>47</v>
      </c>
    </row>
    <row r="7" spans="1:6" x14ac:dyDescent="0.3">
      <c r="A7" s="2" t="s">
        <v>9</v>
      </c>
      <c r="B7" s="3">
        <f t="shared" si="0"/>
        <v>-7633705</v>
      </c>
      <c r="C7" s="3">
        <v>0</v>
      </c>
      <c r="D7" s="3">
        <v>0</v>
      </c>
      <c r="E7" s="3">
        <v>7633705</v>
      </c>
      <c r="F7" s="3">
        <v>12003849</v>
      </c>
    </row>
    <row r="8" spans="1:6" x14ac:dyDescent="0.3">
      <c r="A8" s="2" t="s">
        <v>10</v>
      </c>
      <c r="B8" s="3">
        <f t="shared" si="0"/>
        <v>-1881463</v>
      </c>
      <c r="C8" s="3">
        <v>0</v>
      </c>
      <c r="D8" s="3">
        <v>0</v>
      </c>
      <c r="E8" s="3">
        <v>1881463</v>
      </c>
      <c r="F8" s="3">
        <v>2999687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-22152</v>
      </c>
      <c r="C10" s="3">
        <v>0</v>
      </c>
      <c r="D10" s="3">
        <v>0</v>
      </c>
      <c r="E10" s="3">
        <v>22152</v>
      </c>
      <c r="F10" s="3">
        <v>23940</v>
      </c>
    </row>
    <row r="11" spans="1:6" x14ac:dyDescent="0.3">
      <c r="A11" s="2" t="s">
        <v>13</v>
      </c>
      <c r="B11" s="3">
        <f t="shared" si="0"/>
        <v>-36</v>
      </c>
      <c r="C11" s="3">
        <v>0</v>
      </c>
      <c r="D11" s="3">
        <v>0</v>
      </c>
      <c r="E11" s="3">
        <v>36</v>
      </c>
      <c r="F11" s="3">
        <v>13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-20795</v>
      </c>
      <c r="C13" s="3">
        <v>0</v>
      </c>
      <c r="D13" s="3">
        <v>0</v>
      </c>
      <c r="E13" s="3">
        <v>20795</v>
      </c>
      <c r="F13" s="3">
        <v>23940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-9576368</v>
      </c>
      <c r="C15" s="5">
        <f t="shared" ref="C15:F15" si="1">SUM(C3:C14)</f>
        <v>0</v>
      </c>
      <c r="D15" s="5">
        <f t="shared" si="1"/>
        <v>0</v>
      </c>
      <c r="E15" s="5">
        <f t="shared" si="1"/>
        <v>9576368</v>
      </c>
      <c r="F15" s="5">
        <f t="shared" si="1"/>
        <v>15075922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-61447</v>
      </c>
      <c r="C7" s="3">
        <v>0</v>
      </c>
      <c r="D7" s="3">
        <v>0</v>
      </c>
      <c r="E7" s="3">
        <v>61447</v>
      </c>
      <c r="F7" s="3">
        <v>80000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-16600</v>
      </c>
      <c r="C10" s="3">
        <v>0</v>
      </c>
      <c r="D10" s="3">
        <v>0</v>
      </c>
      <c r="E10" s="3">
        <v>16600</v>
      </c>
      <c r="F10" s="3">
        <v>19974</v>
      </c>
    </row>
    <row r="11" spans="1:6" x14ac:dyDescent="0.3">
      <c r="A11" s="2" t="s">
        <v>13</v>
      </c>
      <c r="B11" s="3">
        <f t="shared" si="0"/>
        <v>-17521</v>
      </c>
      <c r="C11" s="3">
        <v>0</v>
      </c>
      <c r="D11" s="3">
        <v>0</v>
      </c>
      <c r="E11" s="3">
        <v>17521</v>
      </c>
      <c r="F11" s="3">
        <v>20140</v>
      </c>
    </row>
    <row r="12" spans="1:6" x14ac:dyDescent="0.3">
      <c r="A12" s="2" t="s">
        <v>14</v>
      </c>
      <c r="B12" s="3">
        <f t="shared" si="0"/>
        <v>-35962</v>
      </c>
      <c r="C12" s="3">
        <v>0</v>
      </c>
      <c r="D12" s="3">
        <v>0</v>
      </c>
      <c r="E12" s="3">
        <v>35962</v>
      </c>
      <c r="F12" s="3">
        <v>40010</v>
      </c>
    </row>
    <row r="13" spans="1:6" x14ac:dyDescent="0.3">
      <c r="A13" s="2" t="s">
        <v>15</v>
      </c>
      <c r="B13" s="3">
        <f t="shared" si="0"/>
        <v>-18036</v>
      </c>
      <c r="C13" s="3">
        <v>0</v>
      </c>
      <c r="D13" s="3">
        <v>0</v>
      </c>
      <c r="E13" s="3">
        <v>18036</v>
      </c>
      <c r="F13" s="3">
        <v>20040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-149566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149566</v>
      </c>
      <c r="F15" s="5">
        <f t="shared" si="2"/>
        <v>180164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-2250</v>
      </c>
      <c r="C9" s="3">
        <v>0</v>
      </c>
      <c r="D9" s="3">
        <v>0</v>
      </c>
      <c r="E9" s="3">
        <v>2250</v>
      </c>
      <c r="F9" s="3">
        <v>1520</v>
      </c>
    </row>
    <row r="10" spans="1:6" x14ac:dyDescent="0.3">
      <c r="A10" s="2" t="s">
        <v>12</v>
      </c>
      <c r="B10" s="3">
        <f t="shared" si="0"/>
        <v>-331</v>
      </c>
      <c r="C10" s="3">
        <v>0</v>
      </c>
      <c r="D10" s="3">
        <v>0</v>
      </c>
      <c r="E10" s="3">
        <v>331</v>
      </c>
      <c r="F10" s="3">
        <v>100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-40</v>
      </c>
      <c r="C13" s="3">
        <v>0</v>
      </c>
      <c r="D13" s="3">
        <v>0</v>
      </c>
      <c r="E13" s="3">
        <v>40</v>
      </c>
      <c r="F13" s="3">
        <v>10</v>
      </c>
    </row>
    <row r="14" spans="1:6" x14ac:dyDescent="0.3">
      <c r="A14" s="2" t="s">
        <v>16</v>
      </c>
      <c r="B14" s="3">
        <f t="shared" si="0"/>
        <v>-307271</v>
      </c>
      <c r="C14" s="3">
        <v>0</v>
      </c>
      <c r="D14" s="3">
        <v>0</v>
      </c>
      <c r="E14" s="3">
        <v>307271</v>
      </c>
      <c r="F14" s="3">
        <v>400009</v>
      </c>
    </row>
    <row r="15" spans="1:6" ht="17.25" thickBot="1" x14ac:dyDescent="0.35">
      <c r="A15" s="4" t="s">
        <v>17</v>
      </c>
      <c r="B15" s="5">
        <f>SUM(B3:B14)</f>
        <v>-309892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309892</v>
      </c>
      <c r="F15" s="5">
        <f t="shared" si="2"/>
        <v>401639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-402869</v>
      </c>
      <c r="C4" s="3">
        <v>0</v>
      </c>
      <c r="D4" s="3">
        <v>0</v>
      </c>
      <c r="E4" s="3">
        <v>402869</v>
      </c>
      <c r="F4" s="3">
        <v>522857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-15</v>
      </c>
      <c r="C6" s="3">
        <v>0</v>
      </c>
      <c r="D6" s="3">
        <v>0</v>
      </c>
      <c r="E6" s="3">
        <v>15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-87</v>
      </c>
      <c r="C8" s="3">
        <v>0</v>
      </c>
      <c r="D8" s="3">
        <v>0</v>
      </c>
      <c r="E8" s="3">
        <v>87</v>
      </c>
      <c r="F8" s="3">
        <v>25</v>
      </c>
    </row>
    <row r="9" spans="1:6" x14ac:dyDescent="0.3">
      <c r="A9" s="2" t="s">
        <v>11</v>
      </c>
      <c r="B9" s="3">
        <f t="shared" si="0"/>
        <v>-9348</v>
      </c>
      <c r="C9" s="3">
        <v>0</v>
      </c>
      <c r="D9" s="3">
        <v>0</v>
      </c>
      <c r="E9" s="3">
        <v>9348</v>
      </c>
      <c r="F9" s="3">
        <v>7600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-1144980</v>
      </c>
      <c r="C11" s="3">
        <v>0</v>
      </c>
      <c r="D11" s="3">
        <v>0</v>
      </c>
      <c r="E11" s="3">
        <v>1144980</v>
      </c>
      <c r="F11" s="3">
        <v>2035154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-1557299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1557299</v>
      </c>
      <c r="F15" s="5">
        <f t="shared" si="2"/>
        <v>2565638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-79298</v>
      </c>
      <c r="C5" s="3">
        <v>0</v>
      </c>
      <c r="D5" s="3">
        <v>0</v>
      </c>
      <c r="E5" s="3">
        <v>79298</v>
      </c>
      <c r="F5" s="3">
        <v>80000</v>
      </c>
    </row>
    <row r="6" spans="1:6" x14ac:dyDescent="0.3">
      <c r="A6" s="2" t="s">
        <v>8</v>
      </c>
      <c r="B6" s="3">
        <f t="shared" si="0"/>
        <v>-114000</v>
      </c>
      <c r="C6" s="3">
        <v>0</v>
      </c>
      <c r="D6" s="3">
        <v>0</v>
      </c>
      <c r="E6" s="3">
        <v>114000</v>
      </c>
      <c r="F6" s="3">
        <v>120000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-7</v>
      </c>
      <c r="C9" s="3">
        <v>0</v>
      </c>
      <c r="D9" s="3">
        <v>0</v>
      </c>
      <c r="E9" s="3">
        <v>7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-25</v>
      </c>
      <c r="C11" s="3">
        <v>0</v>
      </c>
      <c r="D11" s="3">
        <v>0</v>
      </c>
      <c r="E11" s="3">
        <v>25</v>
      </c>
      <c r="F11" s="3">
        <v>3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-20350</v>
      </c>
      <c r="C13" s="3">
        <v>0</v>
      </c>
      <c r="D13" s="3">
        <v>0</v>
      </c>
      <c r="E13" s="3">
        <v>20350</v>
      </c>
      <c r="F13" s="3">
        <v>20000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-213680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213680</v>
      </c>
      <c r="F15" s="5">
        <f t="shared" si="2"/>
        <v>220004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-21</v>
      </c>
      <c r="C6" s="3">
        <v>0</v>
      </c>
      <c r="D6" s="3">
        <v>0</v>
      </c>
      <c r="E6" s="3">
        <v>21</v>
      </c>
      <c r="F6" s="3">
        <v>3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-17</v>
      </c>
      <c r="C8" s="3">
        <v>0</v>
      </c>
      <c r="D8" s="3">
        <v>0</v>
      </c>
      <c r="E8" s="3">
        <v>17</v>
      </c>
      <c r="F8" s="3">
        <v>2</v>
      </c>
    </row>
    <row r="9" spans="1:6" x14ac:dyDescent="0.3">
      <c r="A9" s="2" t="s">
        <v>11</v>
      </c>
      <c r="B9" s="3">
        <f t="shared" si="0"/>
        <v>-17</v>
      </c>
      <c r="C9" s="3">
        <v>0</v>
      </c>
      <c r="D9" s="3">
        <v>0</v>
      </c>
      <c r="E9" s="3">
        <v>17</v>
      </c>
      <c r="F9" s="3">
        <v>2</v>
      </c>
    </row>
    <row r="10" spans="1:6" x14ac:dyDescent="0.3">
      <c r="A10" s="2" t="s">
        <v>12</v>
      </c>
      <c r="B10" s="3">
        <f t="shared" si="0"/>
        <v>-24177</v>
      </c>
      <c r="C10" s="3">
        <v>0</v>
      </c>
      <c r="D10" s="3">
        <v>0</v>
      </c>
      <c r="E10" s="3">
        <v>24177</v>
      </c>
      <c r="F10" s="3">
        <v>21080</v>
      </c>
    </row>
    <row r="11" spans="1:6" x14ac:dyDescent="0.3">
      <c r="A11" s="2" t="s">
        <v>13</v>
      </c>
      <c r="B11" s="3">
        <f t="shared" si="0"/>
        <v>-22500</v>
      </c>
      <c r="C11" s="3">
        <v>0</v>
      </c>
      <c r="D11" s="3">
        <v>0</v>
      </c>
      <c r="E11" s="3">
        <v>22500</v>
      </c>
      <c r="F11" s="3">
        <v>20000</v>
      </c>
    </row>
    <row r="12" spans="1:6" x14ac:dyDescent="0.3">
      <c r="A12" s="2" t="s">
        <v>14</v>
      </c>
      <c r="B12" s="3">
        <f t="shared" si="0"/>
        <v>-22520</v>
      </c>
      <c r="C12" s="3">
        <v>0</v>
      </c>
      <c r="D12" s="3">
        <v>0</v>
      </c>
      <c r="E12" s="3">
        <v>22520</v>
      </c>
      <c r="F12" s="3">
        <v>20002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-69252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69252</v>
      </c>
      <c r="F15" s="5">
        <f t="shared" si="2"/>
        <v>61089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-266720</v>
      </c>
      <c r="C3" s="3">
        <v>0</v>
      </c>
      <c r="D3" s="3">
        <v>0</v>
      </c>
      <c r="E3" s="3">
        <v>266720</v>
      </c>
      <c r="F3" s="3">
        <v>180000</v>
      </c>
    </row>
    <row r="4" spans="1:6" x14ac:dyDescent="0.3">
      <c r="A4" s="2" t="s">
        <v>6</v>
      </c>
      <c r="B4" s="3">
        <f t="shared" ref="B4:B14" si="0">C4-E4</f>
        <v>-67747</v>
      </c>
      <c r="C4" s="3">
        <v>0</v>
      </c>
      <c r="D4" s="3">
        <v>0</v>
      </c>
      <c r="E4" s="3">
        <v>67747</v>
      </c>
      <c r="F4" s="3">
        <v>41261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-87391</v>
      </c>
      <c r="C7" s="3">
        <v>0</v>
      </c>
      <c r="D7" s="3">
        <v>0</v>
      </c>
      <c r="E7" s="3">
        <v>87391</v>
      </c>
      <c r="F7" s="3">
        <v>39840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-39121</v>
      </c>
      <c r="C9" s="3">
        <v>0</v>
      </c>
      <c r="D9" s="3">
        <v>0</v>
      </c>
      <c r="E9" s="3">
        <v>39121</v>
      </c>
      <c r="F9" s="3">
        <v>20000</v>
      </c>
    </row>
    <row r="10" spans="1:6" x14ac:dyDescent="0.3">
      <c r="A10" s="2" t="s">
        <v>12</v>
      </c>
      <c r="B10" s="3">
        <f t="shared" si="0"/>
        <v>-144696</v>
      </c>
      <c r="C10" s="3">
        <v>0</v>
      </c>
      <c r="D10" s="3">
        <v>0</v>
      </c>
      <c r="E10" s="3">
        <v>144696</v>
      </c>
      <c r="F10" s="3">
        <v>80000</v>
      </c>
    </row>
    <row r="11" spans="1:6" x14ac:dyDescent="0.3">
      <c r="A11" s="2" t="s">
        <v>13</v>
      </c>
      <c r="B11" s="3">
        <f t="shared" si="0"/>
        <v>-492124</v>
      </c>
      <c r="C11" s="3">
        <v>0</v>
      </c>
      <c r="D11" s="3">
        <v>0</v>
      </c>
      <c r="E11" s="3">
        <v>492124</v>
      </c>
      <c r="F11" s="3">
        <v>318995</v>
      </c>
    </row>
    <row r="12" spans="1:6" x14ac:dyDescent="0.3">
      <c r="A12" s="2" t="s">
        <v>14</v>
      </c>
      <c r="B12" s="3">
        <f t="shared" si="0"/>
        <v>-621877</v>
      </c>
      <c r="C12" s="3">
        <v>0</v>
      </c>
      <c r="D12" s="3">
        <v>0</v>
      </c>
      <c r="E12" s="3">
        <v>621877</v>
      </c>
      <c r="F12" s="3">
        <v>412000</v>
      </c>
    </row>
    <row r="13" spans="1:6" x14ac:dyDescent="0.3">
      <c r="A13" s="2" t="s">
        <v>15</v>
      </c>
      <c r="B13" s="3">
        <f t="shared" si="0"/>
        <v>-88681</v>
      </c>
      <c r="C13" s="3">
        <v>0</v>
      </c>
      <c r="D13" s="3">
        <v>0</v>
      </c>
      <c r="E13" s="3">
        <v>88681</v>
      </c>
      <c r="F13" s="3">
        <v>60000</v>
      </c>
    </row>
    <row r="14" spans="1:6" x14ac:dyDescent="0.3">
      <c r="A14" s="2" t="s">
        <v>16</v>
      </c>
      <c r="B14" s="3">
        <f t="shared" si="0"/>
        <v>-133078</v>
      </c>
      <c r="C14" s="3">
        <v>0</v>
      </c>
      <c r="D14" s="3">
        <v>0</v>
      </c>
      <c r="E14" s="3">
        <v>133078</v>
      </c>
      <c r="F14" s="3">
        <v>101990</v>
      </c>
    </row>
    <row r="15" spans="1:6" ht="17.25" thickBot="1" x14ac:dyDescent="0.35">
      <c r="A15" s="4" t="s">
        <v>17</v>
      </c>
      <c r="B15" s="5">
        <f>SUM(B3:B14)</f>
        <v>-1941435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1941435</v>
      </c>
      <c r="F15" s="5">
        <f t="shared" si="2"/>
        <v>1254086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-234264</v>
      </c>
      <c r="C3" s="3">
        <v>0</v>
      </c>
      <c r="D3" s="3">
        <v>0</v>
      </c>
      <c r="E3" s="3">
        <v>234264</v>
      </c>
      <c r="F3" s="3">
        <v>181004</v>
      </c>
    </row>
    <row r="4" spans="1:6" x14ac:dyDescent="0.3">
      <c r="A4" s="2" t="s">
        <v>6</v>
      </c>
      <c r="B4" s="3">
        <f t="shared" ref="B4:B14" si="0">C4-E4</f>
        <v>-255230</v>
      </c>
      <c r="C4" s="3">
        <v>0</v>
      </c>
      <c r="D4" s="3">
        <v>0</v>
      </c>
      <c r="E4" s="3">
        <v>255230</v>
      </c>
      <c r="F4" s="3">
        <v>222000</v>
      </c>
    </row>
    <row r="5" spans="1:6" x14ac:dyDescent="0.3">
      <c r="A5" s="2" t="s">
        <v>7</v>
      </c>
      <c r="B5" s="3">
        <f t="shared" si="0"/>
        <v>-406393</v>
      </c>
      <c r="C5" s="3">
        <v>0</v>
      </c>
      <c r="D5" s="3">
        <v>0</v>
      </c>
      <c r="E5" s="3">
        <v>406393</v>
      </c>
      <c r="F5" s="3">
        <v>341000</v>
      </c>
    </row>
    <row r="6" spans="1:6" x14ac:dyDescent="0.3">
      <c r="A6" s="2" t="s">
        <v>8</v>
      </c>
      <c r="B6" s="3">
        <f t="shared" si="0"/>
        <v>-216044</v>
      </c>
      <c r="C6" s="3">
        <v>0</v>
      </c>
      <c r="D6" s="3">
        <v>0</v>
      </c>
      <c r="E6" s="3">
        <v>216044</v>
      </c>
      <c r="F6" s="3">
        <v>183000</v>
      </c>
    </row>
    <row r="7" spans="1:6" x14ac:dyDescent="0.3">
      <c r="A7" s="2" t="s">
        <v>9</v>
      </c>
      <c r="B7" s="3">
        <f t="shared" si="0"/>
        <v>-168138</v>
      </c>
      <c r="C7" s="3">
        <v>0</v>
      </c>
      <c r="D7" s="3">
        <v>0</v>
      </c>
      <c r="E7" s="3">
        <v>168138</v>
      </c>
      <c r="F7" s="3">
        <v>140288</v>
      </c>
    </row>
    <row r="8" spans="1:6" x14ac:dyDescent="0.3">
      <c r="A8" s="2" t="s">
        <v>10</v>
      </c>
      <c r="B8" s="3">
        <f t="shared" si="0"/>
        <v>-125199</v>
      </c>
      <c r="C8" s="3">
        <v>0</v>
      </c>
      <c r="D8" s="3">
        <v>0</v>
      </c>
      <c r="E8" s="3">
        <v>125199</v>
      </c>
      <c r="F8" s="3">
        <v>101000</v>
      </c>
    </row>
    <row r="9" spans="1:6" x14ac:dyDescent="0.3">
      <c r="A9" s="2" t="s">
        <v>11</v>
      </c>
      <c r="B9" s="3">
        <f t="shared" si="0"/>
        <v>-102433</v>
      </c>
      <c r="C9" s="3">
        <v>0</v>
      </c>
      <c r="D9" s="3">
        <v>0</v>
      </c>
      <c r="E9" s="3">
        <v>102433</v>
      </c>
      <c r="F9" s="3">
        <v>82990</v>
      </c>
    </row>
    <row r="10" spans="1:6" x14ac:dyDescent="0.3">
      <c r="A10" s="2" t="s">
        <v>12</v>
      </c>
      <c r="B10" s="3">
        <f t="shared" si="0"/>
        <v>-167027</v>
      </c>
      <c r="C10" s="3">
        <v>0</v>
      </c>
      <c r="D10" s="3">
        <v>0</v>
      </c>
      <c r="E10" s="3">
        <v>167027</v>
      </c>
      <c r="F10" s="3">
        <v>142113</v>
      </c>
    </row>
    <row r="11" spans="1:6" x14ac:dyDescent="0.3">
      <c r="A11" s="2" t="s">
        <v>13</v>
      </c>
      <c r="B11" s="3">
        <f t="shared" si="0"/>
        <v>-99568</v>
      </c>
      <c r="C11" s="3">
        <v>0</v>
      </c>
      <c r="D11" s="3">
        <v>0</v>
      </c>
      <c r="E11" s="3">
        <v>99568</v>
      </c>
      <c r="F11" s="3">
        <v>81000</v>
      </c>
    </row>
    <row r="12" spans="1:6" x14ac:dyDescent="0.3">
      <c r="A12" s="2" t="s">
        <v>14</v>
      </c>
      <c r="B12" s="3">
        <f t="shared" si="0"/>
        <v>-50377</v>
      </c>
      <c r="C12" s="3">
        <v>0</v>
      </c>
      <c r="D12" s="3">
        <v>0</v>
      </c>
      <c r="E12" s="3">
        <v>50377</v>
      </c>
      <c r="F12" s="3">
        <v>40040</v>
      </c>
    </row>
    <row r="13" spans="1:6" x14ac:dyDescent="0.3">
      <c r="A13" s="2" t="s">
        <v>15</v>
      </c>
      <c r="B13" s="3">
        <f t="shared" si="0"/>
        <v>-55565</v>
      </c>
      <c r="C13" s="3">
        <v>0</v>
      </c>
      <c r="D13" s="3">
        <v>0</v>
      </c>
      <c r="E13" s="3">
        <v>55565</v>
      </c>
      <c r="F13" s="3">
        <v>48600</v>
      </c>
    </row>
    <row r="14" spans="1:6" x14ac:dyDescent="0.3">
      <c r="A14" s="2" t="s">
        <v>16</v>
      </c>
      <c r="B14" s="3">
        <f t="shared" si="0"/>
        <v>-217</v>
      </c>
      <c r="C14" s="3">
        <v>0</v>
      </c>
      <c r="D14" s="3">
        <v>0</v>
      </c>
      <c r="E14" s="3">
        <v>217</v>
      </c>
      <c r="F14" s="3">
        <v>172</v>
      </c>
    </row>
    <row r="15" spans="1:6" ht="17.25" thickBot="1" x14ac:dyDescent="0.35">
      <c r="A15" s="4" t="s">
        <v>17</v>
      </c>
      <c r="B15" s="5">
        <f>SUM(B3:B14)</f>
        <v>-1880455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1880455</v>
      </c>
      <c r="F15" s="5">
        <f t="shared" si="2"/>
        <v>1563207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-139107</v>
      </c>
      <c r="C3" s="3">
        <v>0</v>
      </c>
      <c r="D3" s="3">
        <v>0</v>
      </c>
      <c r="E3" s="3">
        <v>139107</v>
      </c>
      <c r="F3" s="3">
        <v>120000</v>
      </c>
    </row>
    <row r="4" spans="1:6" x14ac:dyDescent="0.3">
      <c r="A4" s="2" t="s">
        <v>6</v>
      </c>
      <c r="B4" s="3">
        <f t="shared" ref="B4:B14" si="0">C4-E4</f>
        <v>-24</v>
      </c>
      <c r="C4" s="3">
        <v>0</v>
      </c>
      <c r="D4" s="3">
        <v>0</v>
      </c>
      <c r="E4" s="3">
        <v>24</v>
      </c>
      <c r="F4" s="3">
        <v>3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-3097</v>
      </c>
      <c r="C7" s="3">
        <v>0</v>
      </c>
      <c r="D7" s="3">
        <v>0</v>
      </c>
      <c r="E7" s="3">
        <v>3097</v>
      </c>
      <c r="F7" s="3">
        <v>1813</v>
      </c>
    </row>
    <row r="8" spans="1:6" x14ac:dyDescent="0.3">
      <c r="A8" s="2" t="s">
        <v>10</v>
      </c>
      <c r="B8" s="3">
        <f t="shared" si="0"/>
        <v>-17</v>
      </c>
      <c r="C8" s="3">
        <v>0</v>
      </c>
      <c r="D8" s="3">
        <v>0</v>
      </c>
      <c r="E8" s="3">
        <v>17</v>
      </c>
      <c r="F8" s="3">
        <v>3</v>
      </c>
    </row>
    <row r="9" spans="1:6" x14ac:dyDescent="0.3">
      <c r="A9" s="2" t="s">
        <v>11</v>
      </c>
      <c r="B9" s="3">
        <f t="shared" si="0"/>
        <v>-48071</v>
      </c>
      <c r="C9" s="3">
        <v>0</v>
      </c>
      <c r="D9" s="3">
        <v>0</v>
      </c>
      <c r="E9" s="3">
        <v>48071</v>
      </c>
      <c r="F9" s="3">
        <v>40000</v>
      </c>
    </row>
    <row r="10" spans="1:6" x14ac:dyDescent="0.3">
      <c r="A10" s="2" t="s">
        <v>12</v>
      </c>
      <c r="B10" s="3">
        <f t="shared" si="0"/>
        <v>-45203</v>
      </c>
      <c r="C10" s="3">
        <v>0</v>
      </c>
      <c r="D10" s="3">
        <v>0</v>
      </c>
      <c r="E10" s="3">
        <v>45203</v>
      </c>
      <c r="F10" s="3">
        <v>35200</v>
      </c>
    </row>
    <row r="11" spans="1:6" x14ac:dyDescent="0.3">
      <c r="A11" s="2" t="s">
        <v>13</v>
      </c>
      <c r="B11" s="3">
        <f t="shared" si="0"/>
        <v>-22223</v>
      </c>
      <c r="C11" s="3">
        <v>0</v>
      </c>
      <c r="D11" s="3">
        <v>0</v>
      </c>
      <c r="E11" s="3">
        <v>22223</v>
      </c>
      <c r="F11" s="3">
        <v>20000</v>
      </c>
    </row>
    <row r="12" spans="1:6" x14ac:dyDescent="0.3">
      <c r="A12" s="2" t="s">
        <v>14</v>
      </c>
      <c r="B12" s="3">
        <f t="shared" si="0"/>
        <v>-29884</v>
      </c>
      <c r="C12" s="3">
        <v>0</v>
      </c>
      <c r="D12" s="3">
        <v>0</v>
      </c>
      <c r="E12" s="3">
        <v>29884</v>
      </c>
      <c r="F12" s="3">
        <v>25430</v>
      </c>
    </row>
    <row r="13" spans="1:6" x14ac:dyDescent="0.3">
      <c r="A13" s="2" t="s">
        <v>15</v>
      </c>
      <c r="B13" s="3">
        <f t="shared" si="0"/>
        <v>-21747</v>
      </c>
      <c r="C13" s="3">
        <v>0</v>
      </c>
      <c r="D13" s="3">
        <v>0</v>
      </c>
      <c r="E13" s="3">
        <v>21747</v>
      </c>
      <c r="F13" s="3">
        <v>15201</v>
      </c>
    </row>
    <row r="14" spans="1:6" x14ac:dyDescent="0.3">
      <c r="A14" s="2" t="s">
        <v>16</v>
      </c>
      <c r="B14" s="3">
        <f t="shared" si="0"/>
        <v>-26542</v>
      </c>
      <c r="C14" s="3">
        <v>0</v>
      </c>
      <c r="D14" s="3">
        <v>0</v>
      </c>
      <c r="E14" s="3">
        <v>26542</v>
      </c>
      <c r="F14" s="3">
        <v>20005</v>
      </c>
    </row>
    <row r="15" spans="1:6" ht="17.25" thickBot="1" x14ac:dyDescent="0.35">
      <c r="A15" s="4" t="s">
        <v>17</v>
      </c>
      <c r="B15" s="5">
        <f>SUM(B3:B14)</f>
        <v>-335915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335915</v>
      </c>
      <c r="F15" s="5">
        <f t="shared" si="2"/>
        <v>277655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-114067</v>
      </c>
      <c r="C3" s="3">
        <v>0</v>
      </c>
      <c r="D3" s="3">
        <v>0</v>
      </c>
      <c r="E3" s="3">
        <v>114067</v>
      </c>
      <c r="F3" s="3">
        <v>80000</v>
      </c>
    </row>
    <row r="4" spans="1:6" x14ac:dyDescent="0.3">
      <c r="A4" s="2" t="s">
        <v>6</v>
      </c>
      <c r="B4" s="3">
        <f t="shared" ref="B4:B14" si="0">C4-E4</f>
        <v>-140733</v>
      </c>
      <c r="C4" s="3">
        <v>0</v>
      </c>
      <c r="D4" s="3">
        <v>0</v>
      </c>
      <c r="E4" s="3">
        <v>140733</v>
      </c>
      <c r="F4" s="3">
        <v>95200</v>
      </c>
    </row>
    <row r="5" spans="1:6" x14ac:dyDescent="0.3">
      <c r="A5" s="2" t="s">
        <v>7</v>
      </c>
      <c r="B5" s="3">
        <f t="shared" si="0"/>
        <v>-29425</v>
      </c>
      <c r="C5" s="3">
        <v>0</v>
      </c>
      <c r="D5" s="3">
        <v>0</v>
      </c>
      <c r="E5" s="3">
        <v>29425</v>
      </c>
      <c r="F5" s="3">
        <v>20000</v>
      </c>
    </row>
    <row r="6" spans="1:6" x14ac:dyDescent="0.3">
      <c r="A6" s="2" t="s">
        <v>8</v>
      </c>
      <c r="B6" s="3">
        <f t="shared" si="0"/>
        <v>-156625</v>
      </c>
      <c r="C6" s="3">
        <v>0</v>
      </c>
      <c r="D6" s="3">
        <v>0</v>
      </c>
      <c r="E6" s="3">
        <v>156625</v>
      </c>
      <c r="F6" s="3">
        <v>120002</v>
      </c>
    </row>
    <row r="7" spans="1:6" x14ac:dyDescent="0.3">
      <c r="A7" s="2" t="s">
        <v>9</v>
      </c>
      <c r="B7" s="3">
        <f t="shared" si="0"/>
        <v>-127700</v>
      </c>
      <c r="C7" s="3">
        <v>0</v>
      </c>
      <c r="D7" s="3">
        <v>0</v>
      </c>
      <c r="E7" s="3">
        <v>127700</v>
      </c>
      <c r="F7" s="3">
        <v>100000</v>
      </c>
    </row>
    <row r="8" spans="1:6" x14ac:dyDescent="0.3">
      <c r="A8" s="2" t="s">
        <v>10</v>
      </c>
      <c r="B8" s="3">
        <f t="shared" si="0"/>
        <v>-77704</v>
      </c>
      <c r="C8" s="3">
        <v>0</v>
      </c>
      <c r="D8" s="3">
        <v>0</v>
      </c>
      <c r="E8" s="3">
        <v>77704</v>
      </c>
      <c r="F8" s="3">
        <v>60000</v>
      </c>
    </row>
    <row r="9" spans="1:6" x14ac:dyDescent="0.3">
      <c r="A9" s="2" t="s">
        <v>11</v>
      </c>
      <c r="B9" s="3">
        <f t="shared" si="0"/>
        <v>-101415</v>
      </c>
      <c r="C9" s="3">
        <v>0</v>
      </c>
      <c r="D9" s="3">
        <v>0</v>
      </c>
      <c r="E9" s="3">
        <v>101415</v>
      </c>
      <c r="F9" s="3">
        <v>80018</v>
      </c>
    </row>
    <row r="10" spans="1:6" x14ac:dyDescent="0.3">
      <c r="A10" s="2" t="s">
        <v>12</v>
      </c>
      <c r="B10" s="3">
        <f t="shared" si="0"/>
        <v>-72720</v>
      </c>
      <c r="C10" s="3">
        <v>0</v>
      </c>
      <c r="D10" s="3">
        <v>0</v>
      </c>
      <c r="E10" s="3">
        <v>72720</v>
      </c>
      <c r="F10" s="3">
        <v>60036</v>
      </c>
    </row>
    <row r="11" spans="1:6" x14ac:dyDescent="0.3">
      <c r="A11" s="2" t="s">
        <v>13</v>
      </c>
      <c r="B11" s="3">
        <f t="shared" si="0"/>
        <v>-2322714</v>
      </c>
      <c r="C11" s="3">
        <v>0</v>
      </c>
      <c r="D11" s="3">
        <v>0</v>
      </c>
      <c r="E11" s="3">
        <v>2322714</v>
      </c>
      <c r="F11" s="3">
        <v>2131024</v>
      </c>
    </row>
    <row r="12" spans="1:6" x14ac:dyDescent="0.3">
      <c r="A12" s="2" t="s">
        <v>14</v>
      </c>
      <c r="B12" s="3">
        <f t="shared" si="0"/>
        <v>-477802</v>
      </c>
      <c r="C12" s="3">
        <v>0</v>
      </c>
      <c r="D12" s="3">
        <v>0</v>
      </c>
      <c r="E12" s="3">
        <v>477802</v>
      </c>
      <c r="F12" s="3">
        <v>380000</v>
      </c>
    </row>
    <row r="13" spans="1:6" x14ac:dyDescent="0.3">
      <c r="A13" s="2" t="s">
        <v>15</v>
      </c>
      <c r="B13" s="3">
        <f t="shared" si="0"/>
        <v>-338829</v>
      </c>
      <c r="C13" s="3">
        <v>0</v>
      </c>
      <c r="D13" s="3">
        <v>0</v>
      </c>
      <c r="E13" s="3">
        <v>338829</v>
      </c>
      <c r="F13" s="3">
        <v>281200</v>
      </c>
    </row>
    <row r="14" spans="1:6" x14ac:dyDescent="0.3">
      <c r="A14" s="2" t="s">
        <v>16</v>
      </c>
      <c r="B14" s="3">
        <f t="shared" si="0"/>
        <v>-49893</v>
      </c>
      <c r="C14" s="3">
        <v>0</v>
      </c>
      <c r="D14" s="3">
        <v>0</v>
      </c>
      <c r="E14" s="3">
        <v>49893</v>
      </c>
      <c r="F14" s="3">
        <v>38000</v>
      </c>
    </row>
    <row r="15" spans="1:6" ht="17.25" thickBot="1" x14ac:dyDescent="0.35">
      <c r="A15" s="4" t="s">
        <v>17</v>
      </c>
      <c r="B15" s="5">
        <f>SUM(B3:B14)</f>
        <v>-4009627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4009627</v>
      </c>
      <c r="F15" s="5">
        <f t="shared" si="2"/>
        <v>3445480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1.25" customWidth="1"/>
    <col min="4" max="4" width="10.875" customWidth="1"/>
    <col min="5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-207630</v>
      </c>
      <c r="C3" s="3">
        <v>0</v>
      </c>
      <c r="D3" s="3">
        <v>0</v>
      </c>
      <c r="E3" s="3">
        <v>207630</v>
      </c>
      <c r="F3" s="3">
        <v>153200</v>
      </c>
    </row>
    <row r="4" spans="1:6" x14ac:dyDescent="0.3">
      <c r="A4" s="2" t="s">
        <v>6</v>
      </c>
      <c r="B4" s="3">
        <f t="shared" ref="B4:B14" si="0">C4-E4</f>
        <v>-149677</v>
      </c>
      <c r="C4" s="3">
        <v>0</v>
      </c>
      <c r="D4" s="3">
        <v>0</v>
      </c>
      <c r="E4" s="3">
        <v>149677</v>
      </c>
      <c r="F4" s="3">
        <v>114000</v>
      </c>
    </row>
    <row r="5" spans="1:6" x14ac:dyDescent="0.3">
      <c r="A5" s="2" t="s">
        <v>7</v>
      </c>
      <c r="B5" s="3">
        <f t="shared" si="0"/>
        <v>-9063445</v>
      </c>
      <c r="C5" s="3">
        <v>0</v>
      </c>
      <c r="D5" s="3">
        <v>0</v>
      </c>
      <c r="E5" s="3">
        <v>9063445</v>
      </c>
      <c r="F5" s="3">
        <v>7271889</v>
      </c>
    </row>
    <row r="6" spans="1:6" x14ac:dyDescent="0.3">
      <c r="A6" s="2" t="s">
        <v>8</v>
      </c>
      <c r="B6" s="3">
        <f t="shared" si="0"/>
        <v>-3027830</v>
      </c>
      <c r="C6" s="3">
        <v>0</v>
      </c>
      <c r="D6" s="3">
        <v>0</v>
      </c>
      <c r="E6" s="3">
        <v>3027830</v>
      </c>
      <c r="F6" s="3">
        <v>2806918</v>
      </c>
    </row>
    <row r="7" spans="1:6" x14ac:dyDescent="0.3">
      <c r="A7" s="2" t="s">
        <v>9</v>
      </c>
      <c r="B7" s="3">
        <f t="shared" si="0"/>
        <v>-243455</v>
      </c>
      <c r="C7" s="3">
        <v>0</v>
      </c>
      <c r="D7" s="3">
        <v>0</v>
      </c>
      <c r="E7" s="3">
        <v>243455</v>
      </c>
      <c r="F7" s="3">
        <v>192004</v>
      </c>
    </row>
    <row r="8" spans="1:6" x14ac:dyDescent="0.3">
      <c r="A8" s="2" t="s">
        <v>10</v>
      </c>
      <c r="B8" s="3">
        <f t="shared" si="0"/>
        <v>-566368</v>
      </c>
      <c r="C8" s="3">
        <v>0</v>
      </c>
      <c r="D8" s="3">
        <v>0</v>
      </c>
      <c r="E8" s="3">
        <v>566368</v>
      </c>
      <c r="F8" s="3">
        <v>435200</v>
      </c>
    </row>
    <row r="9" spans="1:6" x14ac:dyDescent="0.3">
      <c r="A9" s="2" t="s">
        <v>11</v>
      </c>
      <c r="B9" s="3">
        <f t="shared" si="0"/>
        <v>-693480</v>
      </c>
      <c r="C9" s="3">
        <v>0</v>
      </c>
      <c r="D9" s="3">
        <v>0</v>
      </c>
      <c r="E9" s="3">
        <v>693480</v>
      </c>
      <c r="F9" s="3">
        <v>477200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-13951885</v>
      </c>
      <c r="C15" s="5">
        <f t="shared" ref="C15:F15" si="1">SUM(C3:C14)</f>
        <v>0</v>
      </c>
      <c r="D15" s="5">
        <f t="shared" si="1"/>
        <v>0</v>
      </c>
      <c r="E15" s="5">
        <f t="shared" si="1"/>
        <v>13951885</v>
      </c>
      <c r="F15" s="5">
        <f t="shared" si="1"/>
        <v>11450411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2026-08-26T09:42:17Z</dcterms:modified>
</cp:coreProperties>
</file>