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<sst xmlns="http://schemas.openxmlformats.org/spreadsheetml/2006/main" count="306" uniqueCount="18">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</sst>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-31728216</v>
      </c>
      <c r="C3" s="2">
        <v>0</v>
      </c>
      <c r="D3" s="2">
        <v>0</v>
      </c>
      <c r="E3" s="2">
        <v>31728216</v>
      </c>
      <c r="F3" s="2">
        <v>69744967</v>
      </c>
    </row>
    <row r="4" spans="1:6" x14ac:dyDescent="0.3">
      <c r="A4" s="1" t="s">
        <v>1</v>
      </c>
      <c r="B4" s="2">
        <f t="shared" ref="B4:B14" si="0">C4-E4</f>
        <v>-46793294</v>
      </c>
      <c r="C4" s="2">
        <v>0</v>
      </c>
      <c r="D4" s="2">
        <v>0</v>
      </c>
      <c r="E4" s="2">
        <v>46793294</v>
      </c>
      <c r="F4" s="2">
        <v>107001970</v>
      </c>
    </row>
    <row r="5" spans="1:6" x14ac:dyDescent="0.3">
      <c r="A5" s="1" t="s">
        <v>2</v>
      </c>
      <c r="B5" s="2">
        <f t="shared" si="0"/>
        <v>-34313269</v>
      </c>
      <c r="C5" s="2">
        <v>0</v>
      </c>
      <c r="D5" s="2">
        <v>0</v>
      </c>
      <c r="E5" s="2">
        <v>34313269</v>
      </c>
      <c r="F5" s="2">
        <v>78815394</v>
      </c>
    </row>
    <row r="6" spans="1:6" x14ac:dyDescent="0.3">
      <c r="A6" s="1" t="s">
        <v>3</v>
      </c>
      <c r="B6" s="2">
        <f t="shared" si="0"/>
        <v>-42556148</v>
      </c>
      <c r="C6" s="2">
        <v>0</v>
      </c>
      <c r="D6" s="2">
        <v>0</v>
      </c>
      <c r="E6" s="2">
        <v>42556148</v>
      </c>
      <c r="F6" s="2">
        <v>100796532</v>
      </c>
    </row>
    <row r="7" spans="1:6" x14ac:dyDescent="0.3">
      <c r="A7" s="1" t="s">
        <v>4</v>
      </c>
      <c r="B7" s="2">
        <f t="shared" si="0"/>
        <v>-9753827</v>
      </c>
      <c r="C7" s="2">
        <v>0</v>
      </c>
      <c r="D7" s="2">
        <v>0</v>
      </c>
      <c r="E7" s="2">
        <v>9753827</v>
      </c>
      <c r="F7" s="2">
        <v>23180031</v>
      </c>
    </row>
    <row r="8" spans="1:6" x14ac:dyDescent="0.3">
      <c r="A8" s="1" t="s">
        <v>5</v>
      </c>
      <c r="B8" s="2">
        <f t="shared" si="0"/>
        <v>-1326830</v>
      </c>
      <c r="C8" s="2">
        <v>0</v>
      </c>
      <c r="D8" s="2">
        <v>0</v>
      </c>
      <c r="E8" s="2">
        <v>1326830</v>
      </c>
      <c r="F8" s="2">
        <v>3220738</v>
      </c>
    </row>
    <row r="9" spans="1:6" x14ac:dyDescent="0.3">
      <c r="A9" s="1" t="s">
        <v>6</v>
      </c>
      <c r="B9" s="2">
        <f t="shared" si="0"/>
        <v>-112632</v>
      </c>
      <c r="C9" s="2">
        <v>0</v>
      </c>
      <c r="D9" s="2">
        <v>0</v>
      </c>
      <c r="E9" s="2">
        <v>112632</v>
      </c>
      <c r="F9" s="2">
        <v>269455</v>
      </c>
    </row>
    <row r="10" spans="1:6" x14ac:dyDescent="0.3">
      <c r="A10" s="1" t="s">
        <v>7</v>
      </c>
      <c r="B10" s="2">
        <f t="shared" si="0"/>
        <v>-163459</v>
      </c>
      <c r="C10" s="2">
        <v>0</v>
      </c>
      <c r="D10" s="2">
        <v>0</v>
      </c>
      <c r="E10" s="2">
        <v>163459</v>
      </c>
      <c r="F10" s="2">
        <v>431915</v>
      </c>
    </row>
    <row r="11" spans="1:6" x14ac:dyDescent="0.3">
      <c r="A11" s="1" t="s">
        <v>8</v>
      </c>
      <c r="B11" s="2">
        <f t="shared" si="0"/>
        <v>-27598</v>
      </c>
      <c r="C11" s="2">
        <v>0</v>
      </c>
      <c r="D11" s="2">
        <v>0</v>
      </c>
      <c r="E11" s="2">
        <v>27598</v>
      </c>
      <c r="F11" s="2">
        <v>44099</v>
      </c>
    </row>
    <row r="12" spans="1:6" x14ac:dyDescent="0.3">
      <c r="A12" s="1" t="s">
        <v>9</v>
      </c>
      <c r="B12" s="2">
        <f t="shared" si="0"/>
        <v>-47</v>
      </c>
      <c r="C12" s="2">
        <v>0</v>
      </c>
      <c r="D12" s="2">
        <v>0</v>
      </c>
      <c r="E12" s="2">
        <v>47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-864702</v>
      </c>
      <c r="C14" s="2">
        <v>0</v>
      </c>
      <c r="D14" s="2">
        <v>0</v>
      </c>
      <c r="E14" s="2">
        <v>864702</v>
      </c>
      <c r="F14" s="2">
        <v>2058366</v>
      </c>
    </row>
    <row r="15" spans="1:6" ht="17.25" thickBot="1" x14ac:dyDescent="0.35">
      <c r="A15" s="4" t="s">
        <v>13</v>
      </c>
      <c r="B15" s="5">
        <f>SUM(B3:B14)</f>
        <v>-167640022</v>
      </c>
      <c r="C15" s="5">
        <f t="shared" ref="C15:F15" si="1">SUM(C3:C14)</f>
        <v>0</v>
      </c>
      <c r="D15" s="5">
        <f t="shared" si="1"/>
        <v>0</v>
      </c>
      <c r="E15" s="5">
        <f t="shared" si="1"/>
        <v>167640022</v>
      </c>
      <c r="F15" s="5">
        <f t="shared" si="1"/>
        <v>385563469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-13831</v>
      </c>
      <c r="C3" s="2">
        <v>0</v>
      </c>
      <c r="D3" s="2">
        <v>0</v>
      </c>
      <c r="E3" s="2">
        <v>13831</v>
      </c>
      <c r="F3" s="2">
        <v>20000</v>
      </c>
    </row>
    <row r="4" spans="1:6" x14ac:dyDescent="0.3">
      <c r="A4" s="1" t="s">
        <v>1</v>
      </c>
      <c r="B4" s="2">
        <f t="shared" ref="B4:B14" si="0">C4-E4</f>
        <v>-74</v>
      </c>
      <c r="C4" s="2">
        <v>0</v>
      </c>
      <c r="D4" s="2">
        <v>0</v>
      </c>
      <c r="E4" s="2">
        <v>74</v>
      </c>
      <c r="F4" s="2">
        <v>25</v>
      </c>
    </row>
    <row r="5" spans="1:6" x14ac:dyDescent="0.3">
      <c r="A5" s="1" t="s">
        <v>2</v>
      </c>
      <c r="B5" s="2">
        <f t="shared" si="0"/>
        <v>-25910600</v>
      </c>
      <c r="C5" s="2">
        <v>0</v>
      </c>
      <c r="D5" s="2">
        <v>0</v>
      </c>
      <c r="E5" s="2">
        <v>25910600</v>
      </c>
      <c r="F5" s="2">
        <v>60711223</v>
      </c>
    </row>
    <row r="6" spans="1:6" x14ac:dyDescent="0.3">
      <c r="A6" s="1" t="s">
        <v>3</v>
      </c>
      <c r="B6" s="2">
        <f t="shared" si="0"/>
        <v>-20932211</v>
      </c>
      <c r="C6" s="2">
        <v>0</v>
      </c>
      <c r="D6" s="2">
        <v>0</v>
      </c>
      <c r="E6" s="2">
        <v>20932211</v>
      </c>
      <c r="F6" s="2">
        <v>49342870</v>
      </c>
    </row>
    <row r="7" spans="1:6" x14ac:dyDescent="0.3">
      <c r="A7" s="1" t="s">
        <v>4</v>
      </c>
      <c r="B7" s="2">
        <f t="shared" si="0"/>
        <v>-18590119</v>
      </c>
      <c r="C7" s="2">
        <v>0</v>
      </c>
      <c r="D7" s="2">
        <v>0</v>
      </c>
      <c r="E7" s="2">
        <v>18590119</v>
      </c>
      <c r="F7" s="2">
        <v>43616861</v>
      </c>
    </row>
    <row r="8" spans="1:6" x14ac:dyDescent="0.3">
      <c r="A8" s="1" t="s">
        <v>5</v>
      </c>
      <c r="B8" s="2">
        <f t="shared" si="0"/>
        <v>-6198569</v>
      </c>
      <c r="C8" s="2">
        <v>0</v>
      </c>
      <c r="D8" s="2">
        <v>0</v>
      </c>
      <c r="E8" s="2">
        <v>6198569</v>
      </c>
      <c r="F8" s="2">
        <v>14575211</v>
      </c>
    </row>
    <row r="9" spans="1:6" x14ac:dyDescent="0.3">
      <c r="A9" s="1" t="s">
        <v>6</v>
      </c>
      <c r="B9" s="2">
        <f t="shared" si="0"/>
        <v>-2081905</v>
      </c>
      <c r="C9" s="2">
        <v>0</v>
      </c>
      <c r="D9" s="2">
        <v>0</v>
      </c>
      <c r="E9" s="2">
        <v>2081905</v>
      </c>
      <c r="F9" s="2">
        <v>4806520</v>
      </c>
    </row>
    <row r="10" spans="1:6" x14ac:dyDescent="0.3">
      <c r="A10" s="1" t="s">
        <v>7</v>
      </c>
      <c r="B10" s="2">
        <f t="shared" si="0"/>
        <v>-93524</v>
      </c>
      <c r="C10" s="2">
        <v>0</v>
      </c>
      <c r="D10" s="2">
        <v>0</v>
      </c>
      <c r="E10" s="2">
        <v>93524</v>
      </c>
      <c r="F10" s="2">
        <v>125674</v>
      </c>
    </row>
    <row r="11" spans="1:6" x14ac:dyDescent="0.3">
      <c r="A11" s="1" t="s">
        <v>8</v>
      </c>
      <c r="B11" s="2">
        <f t="shared" si="0"/>
        <v>-57800</v>
      </c>
      <c r="C11" s="2">
        <v>0</v>
      </c>
      <c r="D11" s="2">
        <v>0</v>
      </c>
      <c r="E11" s="2">
        <v>57800</v>
      </c>
      <c r="F11" s="2">
        <v>100000</v>
      </c>
    </row>
    <row r="12" spans="1:6" x14ac:dyDescent="0.3">
      <c r="A12" s="1" t="s">
        <v>9</v>
      </c>
      <c r="B12" s="2">
        <f t="shared" si="0"/>
        <v>-76628</v>
      </c>
      <c r="C12" s="2">
        <v>0</v>
      </c>
      <c r="D12" s="2">
        <v>0</v>
      </c>
      <c r="E12" s="2">
        <v>76628</v>
      </c>
      <c r="F12" s="2">
        <v>100042</v>
      </c>
    </row>
    <row r="13" spans="1:6" x14ac:dyDescent="0.3">
      <c r="A13" s="1" t="s">
        <v>10</v>
      </c>
      <c r="B13" s="2">
        <f t="shared" si="0"/>
        <v>-63058</v>
      </c>
      <c r="C13" s="2">
        <v>0</v>
      </c>
      <c r="D13" s="2">
        <v>0</v>
      </c>
      <c r="E13" s="2">
        <v>63058</v>
      </c>
      <c r="F13" s="2">
        <v>111793</v>
      </c>
    </row>
    <row r="14" spans="1:6" x14ac:dyDescent="0.3">
      <c r="A14" s="1" t="s">
        <v>11</v>
      </c>
      <c r="B14" s="2">
        <f t="shared" si="0"/>
        <v>-79892</v>
      </c>
      <c r="C14" s="2">
        <v>0</v>
      </c>
      <c r="D14" s="2">
        <v>0</v>
      </c>
      <c r="E14" s="2">
        <v>79892</v>
      </c>
      <c r="F14" s="2">
        <v>100344</v>
      </c>
    </row>
    <row r="15" spans="1:6" ht="17.25" thickBot="1" x14ac:dyDescent="0.35">
      <c r="A15" s="4" t="s">
        <v>13</v>
      </c>
      <c r="B15" s="5">
        <f>SUM(B3:B14)</f>
        <v>-74098211</v>
      </c>
      <c r="C15" s="5">
        <f t="shared" ref="C15:F15" si="1">SUM(C3:C14)</f>
        <v>0</v>
      </c>
      <c r="D15" s="5">
        <f t="shared" si="1"/>
        <v>0</v>
      </c>
      <c r="E15" s="5">
        <f t="shared" si="1"/>
        <v>74098211</v>
      </c>
      <c r="F15" s="5">
        <f t="shared" si="1"/>
        <v>173610563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-201090</v>
      </c>
      <c r="C3" s="2">
        <v>0</v>
      </c>
      <c r="D3" s="2">
        <v>0</v>
      </c>
      <c r="E3" s="2">
        <v>201090</v>
      </c>
      <c r="F3" s="2">
        <v>320934</v>
      </c>
    </row>
    <row r="4" spans="1:6" x14ac:dyDescent="0.3">
      <c r="A4" s="1" t="s">
        <v>1</v>
      </c>
      <c r="B4" s="2">
        <f t="shared" ref="B4:B14" si="0">C4-E4</f>
        <v>-2165163</v>
      </c>
      <c r="C4" s="2">
        <v>0</v>
      </c>
      <c r="D4" s="2">
        <v>0</v>
      </c>
      <c r="E4" s="2">
        <v>2165163</v>
      </c>
      <c r="F4" s="2">
        <v>5214820</v>
      </c>
    </row>
    <row r="5" spans="1:6" x14ac:dyDescent="0.3">
      <c r="A5" s="1" t="s">
        <v>2</v>
      </c>
      <c r="B5" s="2">
        <f t="shared" si="0"/>
        <v>-1407929</v>
      </c>
      <c r="C5" s="2">
        <v>0</v>
      </c>
      <c r="D5" s="2">
        <v>0</v>
      </c>
      <c r="E5" s="2">
        <v>1407929</v>
      </c>
      <c r="F5" s="2">
        <v>3377385</v>
      </c>
    </row>
    <row r="6" spans="1:6" x14ac:dyDescent="0.3">
      <c r="A6" s="1" t="s">
        <v>3</v>
      </c>
      <c r="B6" s="2">
        <f t="shared" si="0"/>
        <v>-50</v>
      </c>
      <c r="C6" s="2">
        <v>0</v>
      </c>
      <c r="D6" s="2">
        <v>0</v>
      </c>
      <c r="E6" s="2">
        <v>50</v>
      </c>
      <c r="F6" s="2">
        <v>3</v>
      </c>
    </row>
    <row r="7" spans="1:6" x14ac:dyDescent="0.3">
      <c r="A7" s="1" t="s">
        <v>4</v>
      </c>
      <c r="B7" s="2">
        <f t="shared" si="0"/>
        <v>-93136</v>
      </c>
      <c r="C7" s="2">
        <v>0</v>
      </c>
      <c r="D7" s="2">
        <v>0</v>
      </c>
      <c r="E7" s="2">
        <v>93136</v>
      </c>
      <c r="F7" s="2">
        <v>126064</v>
      </c>
    </row>
    <row r="8" spans="1:6" x14ac:dyDescent="0.3">
      <c r="A8" s="1" t="s">
        <v>5</v>
      </c>
      <c r="B8" s="2">
        <f t="shared" si="0"/>
        <v>-94495</v>
      </c>
      <c r="C8" s="2">
        <v>0</v>
      </c>
      <c r="D8" s="2">
        <v>0</v>
      </c>
      <c r="E8" s="2">
        <v>94495</v>
      </c>
      <c r="F8" s="2">
        <v>126696</v>
      </c>
    </row>
    <row r="9" spans="1:6" x14ac:dyDescent="0.3">
      <c r="A9" s="1" t="s">
        <v>6</v>
      </c>
      <c r="B9" s="2">
        <f t="shared" si="0"/>
        <v>-1758</v>
      </c>
      <c r="C9" s="2">
        <v>0</v>
      </c>
      <c r="D9" s="2">
        <v>0</v>
      </c>
      <c r="E9" s="2">
        <v>1758</v>
      </c>
      <c r="F9" s="2">
        <v>65</v>
      </c>
    </row>
    <row r="10" spans="1:6" x14ac:dyDescent="0.3">
      <c r="A10" s="1" t="s">
        <v>7</v>
      </c>
      <c r="B10" s="2">
        <f t="shared" si="0"/>
        <v>-152064</v>
      </c>
      <c r="C10" s="2">
        <v>0</v>
      </c>
      <c r="D10" s="2">
        <v>0</v>
      </c>
      <c r="E10" s="2">
        <v>152064</v>
      </c>
      <c r="F10" s="2">
        <v>212661</v>
      </c>
    </row>
    <row r="11" spans="1:6" x14ac:dyDescent="0.3">
      <c r="A11" s="1" t="s">
        <v>8</v>
      </c>
      <c r="B11" s="2">
        <f t="shared" si="0"/>
        <v>-381819</v>
      </c>
      <c r="C11" s="2">
        <v>0</v>
      </c>
      <c r="D11" s="2">
        <v>0</v>
      </c>
      <c r="E11" s="2">
        <v>381819</v>
      </c>
      <c r="F11" s="2">
        <v>521373</v>
      </c>
    </row>
    <row r="12" spans="1:6" x14ac:dyDescent="0.3">
      <c r="A12" s="1" t="s">
        <v>9</v>
      </c>
      <c r="B12" s="2">
        <f t="shared" si="0"/>
        <v>-152890</v>
      </c>
      <c r="C12" s="2">
        <v>9</v>
      </c>
      <c r="D12" s="2">
        <v>100</v>
      </c>
      <c r="E12" s="2">
        <v>152899</v>
      </c>
      <c r="F12" s="2">
        <v>213803</v>
      </c>
    </row>
    <row r="13" spans="1:6" x14ac:dyDescent="0.3">
      <c r="A13" s="1" t="s">
        <v>10</v>
      </c>
      <c r="B13" s="2">
        <f t="shared" si="0"/>
        <v>-510990</v>
      </c>
      <c r="C13" s="2">
        <v>0</v>
      </c>
      <c r="D13" s="2">
        <v>0</v>
      </c>
      <c r="E13" s="2">
        <v>510990</v>
      </c>
      <c r="F13" s="2">
        <v>604722</v>
      </c>
    </row>
    <row r="14" spans="1:6" x14ac:dyDescent="0.3">
      <c r="A14" s="1" t="s">
        <v>11</v>
      </c>
      <c r="B14" s="2">
        <f t="shared" si="0"/>
        <v>-1899919</v>
      </c>
      <c r="C14" s="2">
        <v>0</v>
      </c>
      <c r="D14" s="2">
        <v>0</v>
      </c>
      <c r="E14" s="2">
        <v>1899919</v>
      </c>
      <c r="F14" s="2">
        <v>3000014</v>
      </c>
    </row>
    <row r="15" spans="1:6" ht="17.25" thickBot="1" x14ac:dyDescent="0.35">
      <c r="A15" s="4" t="s">
        <v>13</v>
      </c>
      <c r="B15" s="5">
        <f>SUM(B3:B14)</f>
        <v>-7061303</v>
      </c>
      <c r="C15" s="5">
        <f t="shared" ref="C15:F15" si="1">SUM(C3:C14)</f>
        <v>9</v>
      </c>
      <c r="D15" s="5">
        <f t="shared" si="1"/>
        <v>100</v>
      </c>
      <c r="E15" s="5">
        <f t="shared" si="1"/>
        <v>7061312</v>
      </c>
      <c r="F15" s="5">
        <f t="shared" si="1"/>
        <v>13718540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-49338343</v>
      </c>
      <c r="C3" s="2">
        <v>0</v>
      </c>
      <c r="D3" s="2">
        <v>0</v>
      </c>
      <c r="E3" s="2">
        <v>49338343</v>
      </c>
      <c r="F3" s="2">
        <v>76588861</v>
      </c>
    </row>
    <row r="4" spans="1:6" x14ac:dyDescent="0.3">
      <c r="A4" s="1" t="s">
        <v>1</v>
      </c>
      <c r="B4" s="2">
        <f t="shared" si="0"/>
        <v>-39690872</v>
      </c>
      <c r="C4" s="2">
        <v>0</v>
      </c>
      <c r="D4" s="2">
        <v>0</v>
      </c>
      <c r="E4" s="2">
        <v>39690872</v>
      </c>
      <c r="F4" s="2">
        <v>61459275</v>
      </c>
    </row>
    <row r="5" spans="1:6" x14ac:dyDescent="0.3">
      <c r="A5" s="1" t="s">
        <v>2</v>
      </c>
      <c r="B5" s="2">
        <f t="shared" si="0"/>
        <v>-2304055</v>
      </c>
      <c r="C5" s="2">
        <v>0</v>
      </c>
      <c r="D5" s="2">
        <v>0</v>
      </c>
      <c r="E5" s="2">
        <v>2304055</v>
      </c>
      <c r="F5" s="2">
        <v>3583518</v>
      </c>
    </row>
    <row r="6" spans="1:6" x14ac:dyDescent="0.3">
      <c r="A6" s="1" t="s">
        <v>3</v>
      </c>
      <c r="B6" s="2">
        <f t="shared" si="0"/>
        <v>-4726910</v>
      </c>
      <c r="C6" s="2">
        <v>0</v>
      </c>
      <c r="D6" s="2">
        <v>0</v>
      </c>
      <c r="E6" s="2">
        <v>4726910</v>
      </c>
      <c r="F6" s="2">
        <v>8097366</v>
      </c>
    </row>
    <row r="7" spans="1:6" x14ac:dyDescent="0.3">
      <c r="A7" s="1" t="s">
        <v>4</v>
      </c>
      <c r="B7" s="2">
        <f t="shared" si="0"/>
        <v>-2286809</v>
      </c>
      <c r="C7" s="2">
        <v>0</v>
      </c>
      <c r="D7" s="2">
        <v>0</v>
      </c>
      <c r="E7" s="2">
        <v>2286809</v>
      </c>
      <c r="F7" s="2">
        <v>3901907</v>
      </c>
    </row>
    <row r="8" spans="1:6" x14ac:dyDescent="0.3">
      <c r="A8" s="1" t="s">
        <v>5</v>
      </c>
      <c r="B8" s="2">
        <f t="shared" si="0"/>
        <v>-15748</v>
      </c>
      <c r="C8" s="2">
        <v>0</v>
      </c>
      <c r="D8" s="2">
        <v>0</v>
      </c>
      <c r="E8" s="2">
        <v>15748</v>
      </c>
      <c r="F8" s="2">
        <v>20005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-25</v>
      </c>
      <c r="C11" s="2">
        <v>0</v>
      </c>
      <c r="D11" s="2">
        <v>0</v>
      </c>
      <c r="E11" s="2">
        <v>25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-161069</v>
      </c>
      <c r="C13" s="2">
        <v>0</v>
      </c>
      <c r="D13" s="2">
        <v>0</v>
      </c>
      <c r="E13" s="2">
        <v>161069</v>
      </c>
      <c r="F13" s="2">
        <v>214759</v>
      </c>
    </row>
    <row r="14" spans="1:6" x14ac:dyDescent="0.3">
      <c r="A14" s="1" t="s">
        <v>11</v>
      </c>
      <c r="B14" s="2">
        <f t="shared" si="0"/>
        <v>-32351</v>
      </c>
      <c r="C14" s="2">
        <v>0</v>
      </c>
      <c r="D14" s="2">
        <v>0</v>
      </c>
      <c r="E14" s="2">
        <v>32351</v>
      </c>
      <c r="F14" s="2">
        <v>43736</v>
      </c>
    </row>
    <row r="15" spans="1:6" ht="17.25" thickBot="1" x14ac:dyDescent="0.35">
      <c r="A15" s="4" t="s">
        <v>13</v>
      </c>
      <c r="B15" s="5">
        <f>SUM(B3:B14)</f>
        <v>-98556182</v>
      </c>
      <c r="C15" s="5">
        <f t="shared" ref="C15:F15" si="1">SUM(C3:C14)</f>
        <v>0</v>
      </c>
      <c r="D15" s="5">
        <f t="shared" si="1"/>
        <v>0</v>
      </c>
      <c r="E15" s="5">
        <f t="shared" si="1"/>
        <v>98556182</v>
      </c>
      <c r="F15" s="5">
        <f t="shared" si="1"/>
        <v>153909428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-8314097</v>
      </c>
      <c r="C3" s="2">
        <v>0</v>
      </c>
      <c r="D3" s="2">
        <v>0</v>
      </c>
      <c r="E3" s="2">
        <v>8314097</v>
      </c>
      <c r="F3" s="2">
        <v>14917997</v>
      </c>
    </row>
    <row r="4" spans="1:6" x14ac:dyDescent="0.3">
      <c r="A4" s="1" t="s">
        <v>1</v>
      </c>
      <c r="B4" s="2">
        <f t="shared" si="0"/>
        <v>-13045308</v>
      </c>
      <c r="C4" s="2">
        <v>0</v>
      </c>
      <c r="D4" s="2">
        <v>0</v>
      </c>
      <c r="E4" s="2">
        <v>13045308</v>
      </c>
      <c r="F4" s="2">
        <v>22990501</v>
      </c>
    </row>
    <row r="5" spans="1:6" x14ac:dyDescent="0.3">
      <c r="A5" s="1" t="s">
        <v>2</v>
      </c>
      <c r="B5" s="2">
        <f t="shared" si="0"/>
        <v>-45644609</v>
      </c>
      <c r="C5" s="2">
        <v>0</v>
      </c>
      <c r="D5" s="2">
        <v>0</v>
      </c>
      <c r="E5" s="2">
        <v>45644609</v>
      </c>
      <c r="F5" s="2">
        <v>79457354</v>
      </c>
    </row>
    <row r="6" spans="1:6" x14ac:dyDescent="0.3">
      <c r="A6" s="1" t="s">
        <v>3</v>
      </c>
      <c r="B6" s="2">
        <f t="shared" si="0"/>
        <v>-24780445</v>
      </c>
      <c r="C6" s="2">
        <v>0</v>
      </c>
      <c r="D6" s="2">
        <v>0</v>
      </c>
      <c r="E6" s="2">
        <v>24780445</v>
      </c>
      <c r="F6" s="2">
        <v>43780879</v>
      </c>
    </row>
    <row r="7" spans="1:6" x14ac:dyDescent="0.3">
      <c r="A7" s="1" t="s">
        <v>4</v>
      </c>
      <c r="B7" s="2">
        <f t="shared" si="0"/>
        <v>-11788955</v>
      </c>
      <c r="C7" s="2">
        <v>0</v>
      </c>
      <c r="D7" s="2">
        <v>0</v>
      </c>
      <c r="E7" s="2">
        <v>11788955</v>
      </c>
      <c r="F7" s="2">
        <v>21008885</v>
      </c>
    </row>
    <row r="8" spans="1:6" x14ac:dyDescent="0.3">
      <c r="A8" s="1" t="s">
        <v>5</v>
      </c>
      <c r="B8" s="2">
        <f t="shared" si="0"/>
        <v>-3626826</v>
      </c>
      <c r="C8" s="2">
        <v>0</v>
      </c>
      <c r="D8" s="2">
        <v>0</v>
      </c>
      <c r="E8" s="2">
        <v>3626826</v>
      </c>
      <c r="F8" s="2">
        <v>6438448</v>
      </c>
    </row>
    <row r="9" spans="1:6" x14ac:dyDescent="0.3">
      <c r="A9" s="1" t="s">
        <v>6</v>
      </c>
      <c r="B9" s="2">
        <f t="shared" si="0"/>
        <v>-570</v>
      </c>
      <c r="C9" s="2">
        <v>0</v>
      </c>
      <c r="D9" s="2">
        <v>0</v>
      </c>
      <c r="E9" s="2">
        <v>570</v>
      </c>
      <c r="F9" s="2">
        <v>20</v>
      </c>
    </row>
    <row r="10" spans="1:6" x14ac:dyDescent="0.3">
      <c r="A10" s="1" t="s">
        <v>7</v>
      </c>
      <c r="B10" s="2">
        <f t="shared" si="0"/>
        <v>-54</v>
      </c>
      <c r="C10" s="2">
        <v>0</v>
      </c>
      <c r="D10" s="2">
        <v>0</v>
      </c>
      <c r="E10" s="2">
        <v>54</v>
      </c>
      <c r="F10" s="2">
        <v>10</v>
      </c>
    </row>
    <row r="11" spans="1:6" x14ac:dyDescent="0.3">
      <c r="A11" s="1" t="s">
        <v>8</v>
      </c>
      <c r="B11" s="2">
        <f t="shared" si="0"/>
        <v>-186</v>
      </c>
      <c r="C11" s="2">
        <v>0</v>
      </c>
      <c r="D11" s="2">
        <v>0</v>
      </c>
      <c r="E11" s="2">
        <v>186</v>
      </c>
      <c r="F11" s="2">
        <v>20</v>
      </c>
    </row>
    <row r="12" spans="1:6" x14ac:dyDescent="0.3">
      <c r="A12" s="1" t="s">
        <v>9</v>
      </c>
      <c r="B12" s="2">
        <f t="shared" si="0"/>
        <v>-649</v>
      </c>
      <c r="C12" s="2">
        <v>0</v>
      </c>
      <c r="D12" s="2">
        <v>0</v>
      </c>
      <c r="E12" s="2">
        <v>649</v>
      </c>
      <c r="F12" s="2">
        <v>20</v>
      </c>
    </row>
    <row r="13" spans="1:6" x14ac:dyDescent="0.3">
      <c r="A13" s="1" t="s">
        <v>10</v>
      </c>
      <c r="B13" s="2">
        <f t="shared" si="0"/>
        <v>-14</v>
      </c>
      <c r="C13" s="2">
        <v>0</v>
      </c>
      <c r="D13" s="2">
        <v>0</v>
      </c>
      <c r="E13" s="2">
        <v>14</v>
      </c>
      <c r="F13" s="2">
        <v>1</v>
      </c>
    </row>
    <row r="14" spans="1:6" x14ac:dyDescent="0.3">
      <c r="A14" s="1" t="s">
        <v>11</v>
      </c>
      <c r="B14" s="2">
        <f t="shared" si="0"/>
        <v>-201306</v>
      </c>
      <c r="C14" s="2">
        <v>0</v>
      </c>
      <c r="D14" s="2">
        <v>0</v>
      </c>
      <c r="E14" s="2">
        <v>201306</v>
      </c>
      <c r="F14" s="2">
        <v>413745</v>
      </c>
    </row>
    <row r="15" spans="1:6" ht="17.25" thickBot="1" x14ac:dyDescent="0.35">
      <c r="A15" s="4" t="s">
        <v>13</v>
      </c>
      <c r="B15" s="5">
        <f>SUM(B3:B14)</f>
        <v>-107403019</v>
      </c>
      <c r="C15" s="5">
        <f t="shared" ref="C15:F15" si="1">SUM(C3:C14)</f>
        <v>0</v>
      </c>
      <c r="D15" s="5">
        <f t="shared" si="1"/>
        <v>0</v>
      </c>
      <c r="E15" s="5">
        <f t="shared" si="1"/>
        <v>107403019</v>
      </c>
      <c r="F15" s="5">
        <f t="shared" si="1"/>
        <v>189007880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-6595</v>
      </c>
      <c r="C3" s="2">
        <v>0</v>
      </c>
      <c r="D3" s="2">
        <v>0</v>
      </c>
      <c r="E3" s="2">
        <v>6595</v>
      </c>
      <c r="F3" s="2">
        <v>6985</v>
      </c>
    </row>
    <row r="4" spans="1:6" x14ac:dyDescent="0.3">
      <c r="A4" s="1" t="s">
        <v>1</v>
      </c>
      <c r="B4" s="2">
        <f t="shared" si="0"/>
        <v>-15981</v>
      </c>
      <c r="C4" s="2">
        <v>0</v>
      </c>
      <c r="D4" s="2">
        <v>0</v>
      </c>
      <c r="E4" s="2">
        <v>15981</v>
      </c>
      <c r="F4" s="2">
        <v>20020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-141</v>
      </c>
      <c r="C6" s="2">
        <v>0</v>
      </c>
      <c r="D6" s="2">
        <v>0</v>
      </c>
      <c r="E6" s="2">
        <v>141</v>
      </c>
      <c r="F6" s="2">
        <v>48</v>
      </c>
    </row>
    <row r="7" spans="1:6" x14ac:dyDescent="0.3">
      <c r="A7" s="1" t="s">
        <v>4</v>
      </c>
      <c r="B7" s="2">
        <f t="shared" si="0"/>
        <v>-12301</v>
      </c>
      <c r="C7" s="2">
        <v>0</v>
      </c>
      <c r="D7" s="2">
        <v>0</v>
      </c>
      <c r="E7" s="2">
        <v>12301</v>
      </c>
      <c r="F7" s="2">
        <v>21532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-15008</v>
      </c>
      <c r="C9" s="2">
        <v>0</v>
      </c>
      <c r="D9" s="2">
        <v>0</v>
      </c>
      <c r="E9" s="2">
        <v>15008</v>
      </c>
      <c r="F9" s="2">
        <v>20000</v>
      </c>
    </row>
    <row r="10" spans="1:6" x14ac:dyDescent="0.3">
      <c r="A10" s="1" t="s">
        <v>7</v>
      </c>
      <c r="B10" s="2">
        <f t="shared" si="0"/>
        <v>-1041</v>
      </c>
      <c r="C10" s="2">
        <v>0</v>
      </c>
      <c r="D10" s="2">
        <v>0</v>
      </c>
      <c r="E10" s="2">
        <v>1041</v>
      </c>
      <c r="F10" s="2">
        <v>41</v>
      </c>
    </row>
    <row r="11" spans="1:6" x14ac:dyDescent="0.3">
      <c r="A11" s="1" t="s">
        <v>8</v>
      </c>
      <c r="B11" s="2">
        <f t="shared" si="0"/>
        <v>-123</v>
      </c>
      <c r="C11" s="2">
        <v>0</v>
      </c>
      <c r="D11" s="2">
        <v>0</v>
      </c>
      <c r="E11" s="2">
        <v>123</v>
      </c>
      <c r="F11" s="2">
        <v>45</v>
      </c>
    </row>
    <row r="12" spans="1:6" x14ac:dyDescent="0.3">
      <c r="A12" s="1" t="s">
        <v>9</v>
      </c>
      <c r="B12" s="2">
        <f t="shared" si="0"/>
        <v>-602793</v>
      </c>
      <c r="C12" s="2">
        <v>100</v>
      </c>
      <c r="D12" s="2">
        <v>125</v>
      </c>
      <c r="E12" s="2">
        <v>602893</v>
      </c>
      <c r="F12" s="2">
        <v>802847</v>
      </c>
    </row>
    <row r="13" spans="1:6" x14ac:dyDescent="0.3">
      <c r="A13" s="1" t="s">
        <v>10</v>
      </c>
      <c r="B13" s="2">
        <f t="shared" si="0"/>
        <v>-147263</v>
      </c>
      <c r="C13" s="2">
        <v>0</v>
      </c>
      <c r="D13" s="2">
        <v>0</v>
      </c>
      <c r="E13" s="2">
        <v>147263</v>
      </c>
      <c r="F13" s="2">
        <v>196199</v>
      </c>
    </row>
    <row r="14" spans="1:6" x14ac:dyDescent="0.3">
      <c r="A14" s="1" t="s">
        <v>11</v>
      </c>
      <c r="B14" s="2">
        <f t="shared" si="0"/>
        <v>-550867</v>
      </c>
      <c r="C14" s="2">
        <v>0</v>
      </c>
      <c r="D14" s="2">
        <v>0</v>
      </c>
      <c r="E14" s="2">
        <v>550867</v>
      </c>
      <c r="F14" s="2">
        <v>749574</v>
      </c>
    </row>
    <row r="15" spans="1:6" ht="17.25" thickBot="1" x14ac:dyDescent="0.35">
      <c r="A15" s="4" t="s">
        <v>13</v>
      </c>
      <c r="B15" s="5">
        <f>SUM(B3:B14)</f>
        <v>-1352113</v>
      </c>
      <c r="C15" s="5">
        <f t="shared" ref="C15:F15" si="1">SUM(C3:C14)</f>
        <v>100</v>
      </c>
      <c r="D15" s="5">
        <f t="shared" si="1"/>
        <v>125</v>
      </c>
      <c r="E15" s="5">
        <f t="shared" si="1"/>
        <v>1352213</v>
      </c>
      <c r="F15" s="5">
        <f t="shared" si="1"/>
        <v>1817291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-43813</v>
      </c>
      <c r="C3" s="2">
        <v>0</v>
      </c>
      <c r="D3" s="2">
        <v>0</v>
      </c>
      <c r="E3" s="2">
        <v>43813</v>
      </c>
      <c r="F3" s="2">
        <v>60001</v>
      </c>
    </row>
    <row r="4" spans="1:6" x14ac:dyDescent="0.3">
      <c r="A4" s="1" t="s">
        <v>1</v>
      </c>
      <c r="B4" s="2">
        <f t="shared" si="0"/>
        <v>-820485</v>
      </c>
      <c r="C4" s="2">
        <v>0</v>
      </c>
      <c r="D4" s="2">
        <v>0</v>
      </c>
      <c r="E4" s="2">
        <v>820485</v>
      </c>
      <c r="F4" s="2">
        <v>1179270</v>
      </c>
    </row>
    <row r="5" spans="1:6" x14ac:dyDescent="0.3">
      <c r="A5" s="1" t="s">
        <v>2</v>
      </c>
      <c r="B5" s="2">
        <f t="shared" si="0"/>
        <v>-488801</v>
      </c>
      <c r="C5" s="2">
        <v>0</v>
      </c>
      <c r="D5" s="2">
        <v>0</v>
      </c>
      <c r="E5" s="2">
        <v>488801</v>
      </c>
      <c r="F5" s="2">
        <v>776663</v>
      </c>
    </row>
    <row r="6" spans="1:6" x14ac:dyDescent="0.3">
      <c r="A6" s="1" t="s">
        <v>3</v>
      </c>
      <c r="B6" s="2">
        <f t="shared" si="0"/>
        <v>-405691</v>
      </c>
      <c r="C6" s="2">
        <v>0</v>
      </c>
      <c r="D6" s="2">
        <v>0</v>
      </c>
      <c r="E6" s="2">
        <v>405691</v>
      </c>
      <c r="F6" s="2">
        <v>715576</v>
      </c>
    </row>
    <row r="7" spans="1:6" x14ac:dyDescent="0.3">
      <c r="A7" s="1" t="s">
        <v>4</v>
      </c>
      <c r="B7" s="2">
        <f t="shared" si="0"/>
        <v>-506992</v>
      </c>
      <c r="C7" s="2">
        <v>0</v>
      </c>
      <c r="D7" s="2">
        <v>0</v>
      </c>
      <c r="E7" s="2">
        <v>506992</v>
      </c>
      <c r="F7" s="2">
        <v>758995</v>
      </c>
    </row>
    <row r="8" spans="1:6" x14ac:dyDescent="0.3">
      <c r="A8" s="1" t="s">
        <v>5</v>
      </c>
      <c r="B8" s="2">
        <f t="shared" si="0"/>
        <v>-559342</v>
      </c>
      <c r="C8" s="2">
        <v>0</v>
      </c>
      <c r="D8" s="2">
        <v>0</v>
      </c>
      <c r="E8" s="2">
        <v>559342</v>
      </c>
      <c r="F8" s="2">
        <v>1030340</v>
      </c>
    </row>
    <row r="9" spans="1:6" x14ac:dyDescent="0.3">
      <c r="A9" s="1" t="s">
        <v>6</v>
      </c>
      <c r="B9" s="2">
        <f t="shared" si="0"/>
        <v>-343437</v>
      </c>
      <c r="C9" s="2">
        <v>0</v>
      </c>
      <c r="D9" s="2">
        <v>0</v>
      </c>
      <c r="E9" s="2">
        <v>343437</v>
      </c>
      <c r="F9" s="2">
        <v>504479</v>
      </c>
    </row>
    <row r="10" spans="1:6" x14ac:dyDescent="0.3">
      <c r="A10" s="1" t="s">
        <v>7</v>
      </c>
      <c r="B10" s="2">
        <f t="shared" si="0"/>
        <v>-242431</v>
      </c>
      <c r="C10" s="2">
        <v>0</v>
      </c>
      <c r="D10" s="2">
        <v>0</v>
      </c>
      <c r="E10" s="2">
        <v>242431</v>
      </c>
      <c r="F10" s="2">
        <v>499849</v>
      </c>
    </row>
    <row r="11" spans="1:6" x14ac:dyDescent="0.3">
      <c r="A11" s="1" t="s">
        <v>8</v>
      </c>
      <c r="B11" s="2">
        <f t="shared" si="0"/>
        <v>-304146</v>
      </c>
      <c r="C11" s="2">
        <v>0</v>
      </c>
      <c r="D11" s="2">
        <v>0</v>
      </c>
      <c r="E11" s="2">
        <v>304146</v>
      </c>
      <c r="F11" s="2">
        <v>462180</v>
      </c>
    </row>
    <row r="12" spans="1:6" x14ac:dyDescent="0.3">
      <c r="A12" s="1" t="s">
        <v>9</v>
      </c>
      <c r="B12" s="2">
        <f t="shared" si="0"/>
        <v>-759510</v>
      </c>
      <c r="C12" s="2">
        <v>0</v>
      </c>
      <c r="D12" s="2">
        <v>0</v>
      </c>
      <c r="E12" s="2">
        <v>759510</v>
      </c>
      <c r="F12" s="2">
        <v>1294158</v>
      </c>
    </row>
    <row r="13" spans="1:6" x14ac:dyDescent="0.3">
      <c r="A13" s="1" t="s">
        <v>10</v>
      </c>
      <c r="B13" s="2">
        <f t="shared" si="0"/>
        <v>-823079</v>
      </c>
      <c r="C13" s="2">
        <v>0</v>
      </c>
      <c r="D13" s="2">
        <v>0</v>
      </c>
      <c r="E13" s="2">
        <v>823079</v>
      </c>
      <c r="F13" s="2">
        <v>1254949</v>
      </c>
    </row>
    <row r="14" spans="1:6" x14ac:dyDescent="0.3">
      <c r="A14" s="1" t="s">
        <v>11</v>
      </c>
      <c r="B14" s="2">
        <f t="shared" si="0"/>
        <v>-380286</v>
      </c>
      <c r="C14" s="2">
        <v>0</v>
      </c>
      <c r="D14" s="2">
        <v>0</v>
      </c>
      <c r="E14" s="2">
        <v>380286</v>
      </c>
      <c r="F14" s="2">
        <v>575106</v>
      </c>
    </row>
    <row r="15" spans="1:6" ht="17.25" thickBot="1" x14ac:dyDescent="0.35">
      <c r="A15" s="4" t="s">
        <v>13</v>
      </c>
      <c r="B15" s="5">
        <f>SUM(B3:B14)</f>
        <v>-5678013</v>
      </c>
      <c r="C15" s="5">
        <f t="shared" ref="C15:F15" si="1">SUM(C3:C14)</f>
        <v>0</v>
      </c>
      <c r="D15" s="5">
        <f t="shared" si="1"/>
        <v>0</v>
      </c>
      <c r="E15" s="5">
        <f t="shared" si="1"/>
        <v>5678013</v>
      </c>
      <c r="F15" s="5">
        <f t="shared" si="1"/>
        <v>9111566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489940</v>
      </c>
      <c r="C3" s="2">
        <v>0</v>
      </c>
      <c r="D3" s="2">
        <v>0</v>
      </c>
      <c r="E3" s="2">
        <v>489940</v>
      </c>
      <c r="F3" s="2">
        <v>763730</v>
      </c>
    </row>
    <row r="4" spans="1:6" x14ac:dyDescent="0.3">
      <c r="A4" s="1" t="s">
        <v>1</v>
      </c>
      <c r="B4" s="2">
        <f t="shared" ref="B4:B15" si="0">E4-C4</f>
        <v>223288</v>
      </c>
      <c r="C4" s="2">
        <v>0</v>
      </c>
      <c r="D4" s="2">
        <v>0</v>
      </c>
      <c r="E4" s="2">
        <v>223288</v>
      </c>
      <c r="F4" s="2">
        <v>333169</v>
      </c>
    </row>
    <row r="5" spans="1:6" x14ac:dyDescent="0.3">
      <c r="A5" s="1" t="s">
        <v>2</v>
      </c>
      <c r="B5" s="2">
        <f t="shared" si="0"/>
        <v>426675</v>
      </c>
      <c r="C5" s="2">
        <v>0</v>
      </c>
      <c r="D5" s="2">
        <v>0</v>
      </c>
      <c r="E5" s="2">
        <v>426675</v>
      </c>
      <c r="F5" s="2">
        <v>633197</v>
      </c>
    </row>
    <row r="6" spans="1:6" x14ac:dyDescent="0.3">
      <c r="A6" s="1" t="s">
        <v>3</v>
      </c>
      <c r="B6" s="2">
        <f t="shared" si="0"/>
        <v>134196</v>
      </c>
      <c r="C6" s="2">
        <v>0</v>
      </c>
      <c r="D6" s="2">
        <v>0</v>
      </c>
      <c r="E6" s="2">
        <v>134196</v>
      </c>
      <c r="F6" s="2">
        <v>216601</v>
      </c>
    </row>
    <row r="7" spans="1:6" x14ac:dyDescent="0.3">
      <c r="A7" s="1" t="s">
        <v>4</v>
      </c>
      <c r="B7" s="2">
        <f t="shared" si="0"/>
        <v>162727</v>
      </c>
      <c r="C7" s="2">
        <v>0</v>
      </c>
      <c r="D7" s="2">
        <v>0</v>
      </c>
      <c r="E7" s="2">
        <v>162727</v>
      </c>
      <c r="F7" s="2">
        <v>377393</v>
      </c>
    </row>
    <row r="8" spans="1:6" x14ac:dyDescent="0.3">
      <c r="A8" s="1" t="s">
        <v>5</v>
      </c>
      <c r="B8" s="2">
        <f t="shared" si="0"/>
        <v>405195</v>
      </c>
      <c r="C8" s="2">
        <v>0</v>
      </c>
      <c r="D8" s="2">
        <v>0</v>
      </c>
      <c r="E8" s="2">
        <v>405195</v>
      </c>
      <c r="F8" s="2">
        <v>838566</v>
      </c>
    </row>
    <row r="9" spans="1:6" x14ac:dyDescent="0.3">
      <c r="A9" s="1" t="s">
        <v>6</v>
      </c>
      <c r="B9" s="2">
        <f t="shared" si="0"/>
        <v>11684</v>
      </c>
      <c r="C9" s="2">
        <v>0</v>
      </c>
      <c r="D9" s="2">
        <v>0</v>
      </c>
      <c r="E9" s="2">
        <v>11684</v>
      </c>
      <c r="F9" s="2">
        <v>17785</v>
      </c>
    </row>
    <row r="10" spans="1:6" x14ac:dyDescent="0.3">
      <c r="A10" s="1" t="s">
        <v>7</v>
      </c>
      <c r="B10" s="2">
        <f t="shared" si="0"/>
        <v>204676</v>
      </c>
      <c r="C10" s="2">
        <v>0</v>
      </c>
      <c r="D10" s="2">
        <v>0</v>
      </c>
      <c r="E10" s="2">
        <v>204676</v>
      </c>
      <c r="F10" s="2">
        <v>535858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142514</v>
      </c>
      <c r="C13" s="2">
        <v>0</v>
      </c>
      <c r="D13" s="2">
        <v>0</v>
      </c>
      <c r="E13" s="2">
        <v>142514</v>
      </c>
      <c r="F13" s="2">
        <v>334314</v>
      </c>
    </row>
    <row r="14" spans="1:6" x14ac:dyDescent="0.3">
      <c r="A14" s="1" t="s">
        <v>11</v>
      </c>
      <c r="B14" s="2">
        <f t="shared" si="0"/>
        <v>40763</v>
      </c>
      <c r="C14" s="2">
        <v>0</v>
      </c>
      <c r="D14" s="2">
        <v>0</v>
      </c>
      <c r="E14" s="2">
        <v>40763</v>
      </c>
      <c r="F14" s="2">
        <v>73130</v>
      </c>
    </row>
    <row r="15" spans="1:6" ht="17.25" thickBot="1" x14ac:dyDescent="0.35">
      <c r="A15" s="4" t="s">
        <v>13</v>
      </c>
      <c r="B15" s="5">
        <f t="shared" si="0"/>
        <v>2241658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2241658</v>
      </c>
      <c r="F15" s="5">
        <f t="shared" si="3"/>
        <v>4123743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-120423</v>
      </c>
      <c r="C3" s="2">
        <v>0</v>
      </c>
      <c r="D3" s="2">
        <v>0</v>
      </c>
      <c r="E3" s="2">
        <v>120423</v>
      </c>
      <c r="F3" s="2">
        <v>197744</v>
      </c>
    </row>
    <row r="4" spans="1:6" x14ac:dyDescent="0.3">
      <c r="A4" s="1" t="s">
        <v>1</v>
      </c>
      <c r="B4" s="2">
        <f t="shared" ref="B4:B14" si="0">C4-E4</f>
        <v>-221437</v>
      </c>
      <c r="C4" s="2">
        <v>0</v>
      </c>
      <c r="D4" s="2">
        <v>0</v>
      </c>
      <c r="E4" s="2">
        <v>221437</v>
      </c>
      <c r="F4" s="2">
        <v>498059</v>
      </c>
    </row>
    <row r="5" spans="1:6" x14ac:dyDescent="0.3">
      <c r="A5" s="1" t="s">
        <v>2</v>
      </c>
      <c r="B5" s="2">
        <f t="shared" si="0"/>
        <v>-395133</v>
      </c>
      <c r="C5" s="2">
        <v>0</v>
      </c>
      <c r="D5" s="2">
        <v>0</v>
      </c>
      <c r="E5" s="2">
        <v>395133</v>
      </c>
      <c r="F5" s="2">
        <v>860133</v>
      </c>
    </row>
    <row r="6" spans="1:6" x14ac:dyDescent="0.3">
      <c r="A6" s="1" t="s">
        <v>3</v>
      </c>
      <c r="B6" s="2">
        <f t="shared" si="0"/>
        <v>-751813</v>
      </c>
      <c r="C6" s="2">
        <v>0</v>
      </c>
      <c r="D6" s="2">
        <v>0</v>
      </c>
      <c r="E6" s="2">
        <v>751813</v>
      </c>
      <c r="F6" s="2">
        <v>1796458</v>
      </c>
    </row>
    <row r="7" spans="1:6" x14ac:dyDescent="0.3">
      <c r="A7" s="1" t="s">
        <v>4</v>
      </c>
      <c r="B7" s="2">
        <f t="shared" si="0"/>
        <v>-561389</v>
      </c>
      <c r="C7" s="2">
        <v>0</v>
      </c>
      <c r="D7" s="2">
        <v>0</v>
      </c>
      <c r="E7" s="2">
        <v>561389</v>
      </c>
      <c r="F7" s="2">
        <v>1379908</v>
      </c>
    </row>
    <row r="8" spans="1:6" x14ac:dyDescent="0.3">
      <c r="A8" s="1" t="s">
        <v>5</v>
      </c>
      <c r="B8" s="2">
        <f t="shared" si="0"/>
        <v>-881673</v>
      </c>
      <c r="C8" s="2">
        <v>0</v>
      </c>
      <c r="D8" s="2">
        <v>0</v>
      </c>
      <c r="E8" s="2">
        <v>881673</v>
      </c>
      <c r="F8" s="2">
        <v>2025898</v>
      </c>
    </row>
    <row r="9" spans="1:6" x14ac:dyDescent="0.3">
      <c r="A9" s="1" t="s">
        <v>6</v>
      </c>
      <c r="B9" s="2">
        <f t="shared" si="0"/>
        <v>-329443</v>
      </c>
      <c r="C9" s="2">
        <v>0</v>
      </c>
      <c r="D9" s="2">
        <v>0</v>
      </c>
      <c r="E9" s="2">
        <v>329443</v>
      </c>
      <c r="F9" s="2">
        <v>663536</v>
      </c>
    </row>
    <row r="10" spans="1:6" x14ac:dyDescent="0.3">
      <c r="A10" s="1" t="s">
        <v>7</v>
      </c>
      <c r="B10" s="2">
        <f t="shared" si="0"/>
        <v>-692522</v>
      </c>
      <c r="C10" s="2">
        <v>0</v>
      </c>
      <c r="D10" s="2">
        <v>0</v>
      </c>
      <c r="E10" s="2">
        <v>692522</v>
      </c>
      <c r="F10" s="2">
        <v>1295991</v>
      </c>
    </row>
    <row r="11" spans="1:6" x14ac:dyDescent="0.3">
      <c r="A11" s="1" t="s">
        <v>8</v>
      </c>
      <c r="B11" s="2">
        <f t="shared" si="0"/>
        <v>-496153</v>
      </c>
      <c r="C11" s="2">
        <v>0</v>
      </c>
      <c r="D11" s="2">
        <v>0</v>
      </c>
      <c r="E11" s="2">
        <v>496153</v>
      </c>
      <c r="F11" s="2">
        <v>939109</v>
      </c>
    </row>
    <row r="12" spans="1:6" x14ac:dyDescent="0.3">
      <c r="A12" s="1" t="s">
        <v>9</v>
      </c>
      <c r="B12" s="2">
        <f t="shared" si="0"/>
        <v>-1345197</v>
      </c>
      <c r="C12" s="2">
        <v>0</v>
      </c>
      <c r="D12" s="2">
        <v>0</v>
      </c>
      <c r="E12" s="2">
        <v>1345197</v>
      </c>
      <c r="F12" s="2">
        <v>2855689</v>
      </c>
    </row>
    <row r="13" spans="1:6" x14ac:dyDescent="0.3">
      <c r="A13" s="1" t="s">
        <v>10</v>
      </c>
      <c r="B13" s="2">
        <f t="shared" si="0"/>
        <v>-389928</v>
      </c>
      <c r="C13" s="2">
        <v>0</v>
      </c>
      <c r="D13" s="2">
        <v>0</v>
      </c>
      <c r="E13" s="2">
        <v>389928</v>
      </c>
      <c r="F13" s="2">
        <v>812910</v>
      </c>
    </row>
    <row r="14" spans="1:6" x14ac:dyDescent="0.3">
      <c r="A14" s="1" t="s">
        <v>11</v>
      </c>
      <c r="B14" s="2">
        <f t="shared" si="0"/>
        <v>-975148</v>
      </c>
      <c r="C14" s="2">
        <v>0</v>
      </c>
      <c r="D14" s="2">
        <v>0</v>
      </c>
      <c r="E14" s="2">
        <v>975148</v>
      </c>
      <c r="F14" s="2">
        <v>2271444</v>
      </c>
    </row>
    <row r="15" spans="1:6" ht="17.25" thickBot="1" x14ac:dyDescent="0.35">
      <c r="A15" s="4" t="s">
        <v>13</v>
      </c>
      <c r="B15" s="5">
        <f>SUM(B3:B14)</f>
        <v>-7160259</v>
      </c>
      <c r="C15" s="5">
        <f t="shared" ref="C15:F15" si="1">SUM(C3:C14)</f>
        <v>0</v>
      </c>
      <c r="D15" s="5">
        <f t="shared" si="1"/>
        <v>0</v>
      </c>
      <c r="E15" s="5">
        <f t="shared" si="1"/>
        <v>7160259</v>
      </c>
      <c r="F15" s="5">
        <f t="shared" si="1"/>
        <v>15596879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-67340</v>
      </c>
      <c r="C3" s="2">
        <v>0</v>
      </c>
      <c r="D3" s="2">
        <v>0</v>
      </c>
      <c r="E3" s="2">
        <v>67340</v>
      </c>
      <c r="F3" s="2">
        <v>152475</v>
      </c>
    </row>
    <row r="4" spans="1:6" x14ac:dyDescent="0.3">
      <c r="A4" s="1" t="s">
        <v>1</v>
      </c>
      <c r="B4" s="2">
        <f t="shared" si="0"/>
        <v>-3168504</v>
      </c>
      <c r="C4" s="2">
        <v>0</v>
      </c>
      <c r="D4" s="2">
        <v>0</v>
      </c>
      <c r="E4" s="2">
        <v>3168504</v>
      </c>
      <c r="F4" s="2">
        <v>8100882</v>
      </c>
    </row>
    <row r="5" spans="1:6" x14ac:dyDescent="0.3">
      <c r="A5" s="1" t="s">
        <v>2</v>
      </c>
      <c r="B5" s="2">
        <f t="shared" si="0"/>
        <v>-1777497</v>
      </c>
      <c r="C5" s="2">
        <v>0</v>
      </c>
      <c r="D5" s="2">
        <v>0</v>
      </c>
      <c r="E5" s="2">
        <v>1777497</v>
      </c>
      <c r="F5" s="2">
        <v>4551241</v>
      </c>
    </row>
    <row r="6" spans="1:6" x14ac:dyDescent="0.3">
      <c r="A6" s="1" t="s">
        <v>3</v>
      </c>
      <c r="B6" s="2">
        <f t="shared" si="0"/>
        <v>-7680643</v>
      </c>
      <c r="C6" s="2">
        <v>0</v>
      </c>
      <c r="D6" s="2">
        <v>0</v>
      </c>
      <c r="E6" s="2">
        <v>7680643</v>
      </c>
      <c r="F6" s="2">
        <v>19692450</v>
      </c>
    </row>
    <row r="7" spans="1:6" x14ac:dyDescent="0.3">
      <c r="A7" s="1" t="s">
        <v>4</v>
      </c>
      <c r="B7" s="2">
        <f t="shared" si="0"/>
        <v>-5923379</v>
      </c>
      <c r="C7" s="2">
        <v>0</v>
      </c>
      <c r="D7" s="2">
        <v>0</v>
      </c>
      <c r="E7" s="2">
        <v>5923379</v>
      </c>
      <c r="F7" s="2">
        <v>15092298</v>
      </c>
    </row>
    <row r="8" spans="1:6" x14ac:dyDescent="0.3">
      <c r="A8" s="1" t="s">
        <v>5</v>
      </c>
      <c r="B8" s="2">
        <f t="shared" si="0"/>
        <v>-2144614</v>
      </c>
      <c r="C8" s="2">
        <v>0</v>
      </c>
      <c r="D8" s="2">
        <v>0</v>
      </c>
      <c r="E8" s="2">
        <v>2144614</v>
      </c>
      <c r="F8" s="2">
        <v>5498522</v>
      </c>
    </row>
    <row r="9" spans="1:6" x14ac:dyDescent="0.3">
      <c r="A9" s="1" t="s">
        <v>6</v>
      </c>
      <c r="B9" s="2">
        <f t="shared" si="0"/>
        <v>-397207</v>
      </c>
      <c r="C9" s="2">
        <v>0</v>
      </c>
      <c r="D9" s="2">
        <v>0</v>
      </c>
      <c r="E9" s="2">
        <v>397207</v>
      </c>
      <c r="F9" s="2">
        <v>1021826</v>
      </c>
    </row>
    <row r="10" spans="1:6" x14ac:dyDescent="0.3">
      <c r="A10" s="1" t="s">
        <v>7</v>
      </c>
      <c r="B10" s="2">
        <f t="shared" si="0"/>
        <v>-1844111</v>
      </c>
      <c r="C10" s="2">
        <v>0</v>
      </c>
      <c r="D10" s="2">
        <v>0</v>
      </c>
      <c r="E10" s="2">
        <v>1844111</v>
      </c>
      <c r="F10" s="2">
        <v>4730527</v>
      </c>
    </row>
    <row r="11" spans="1:6" x14ac:dyDescent="0.3">
      <c r="A11" s="1" t="s">
        <v>8</v>
      </c>
      <c r="B11" s="2">
        <f t="shared" si="0"/>
        <v>-117093</v>
      </c>
      <c r="C11" s="2">
        <v>0</v>
      </c>
      <c r="D11" s="2">
        <v>0</v>
      </c>
      <c r="E11" s="2">
        <v>117093</v>
      </c>
      <c r="F11" s="2">
        <v>300004</v>
      </c>
    </row>
    <row r="12" spans="1:6" x14ac:dyDescent="0.3">
      <c r="A12" s="1" t="s">
        <v>9</v>
      </c>
      <c r="B12" s="2">
        <f t="shared" si="0"/>
        <v>-356292</v>
      </c>
      <c r="C12" s="2">
        <v>0</v>
      </c>
      <c r="D12" s="2">
        <v>0</v>
      </c>
      <c r="E12" s="2">
        <v>356292</v>
      </c>
      <c r="F12" s="2">
        <v>905929</v>
      </c>
    </row>
    <row r="13" spans="1:6" x14ac:dyDescent="0.3">
      <c r="A13" s="1" t="s">
        <v>10</v>
      </c>
      <c r="B13" s="2">
        <f t="shared" si="0"/>
        <v>-68455</v>
      </c>
      <c r="C13" s="2">
        <v>0</v>
      </c>
      <c r="D13" s="2">
        <v>0</v>
      </c>
      <c r="E13" s="2">
        <v>68455</v>
      </c>
      <c r="F13" s="2">
        <v>163422</v>
      </c>
    </row>
    <row r="14" spans="1:6" x14ac:dyDescent="0.3">
      <c r="A14" s="1" t="s">
        <v>11</v>
      </c>
      <c r="B14" s="2">
        <f t="shared" si="0"/>
        <v>-221561</v>
      </c>
      <c r="C14" s="2">
        <v>0</v>
      </c>
      <c r="D14" s="2">
        <v>0</v>
      </c>
      <c r="E14" s="2">
        <v>221561</v>
      </c>
      <c r="F14" s="2">
        <v>542670</v>
      </c>
    </row>
    <row r="15" spans="1:6" ht="17.25" thickBot="1" x14ac:dyDescent="0.35">
      <c r="A15" s="4" t="s">
        <v>13</v>
      </c>
      <c r="B15" s="5">
        <f>SUM(B3:B14)</f>
        <v>-23766696</v>
      </c>
      <c r="C15" s="5">
        <f t="shared" ref="C15:F15" si="1">SUM(C3:C14)</f>
        <v>0</v>
      </c>
      <c r="D15" s="5">
        <f t="shared" si="1"/>
        <v>0</v>
      </c>
      <c r="E15" s="5">
        <f t="shared" si="1"/>
        <v>23766696</v>
      </c>
      <c r="F15" s="5">
        <f t="shared" si="1"/>
        <v>60752246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-155308</v>
      </c>
      <c r="C3" s="2">
        <v>0</v>
      </c>
      <c r="D3" s="2">
        <v>0</v>
      </c>
      <c r="E3" s="2">
        <v>155308</v>
      </c>
      <c r="F3" s="2">
        <v>407633</v>
      </c>
    </row>
    <row r="4" spans="1:6" x14ac:dyDescent="0.3">
      <c r="A4" s="1" t="s">
        <v>1</v>
      </c>
      <c r="B4" s="2">
        <f t="shared" si="0"/>
        <v>-175642</v>
      </c>
      <c r="C4" s="2">
        <v>0</v>
      </c>
      <c r="D4" s="2">
        <v>0</v>
      </c>
      <c r="E4" s="2">
        <v>175642</v>
      </c>
      <c r="F4" s="2">
        <v>392974</v>
      </c>
    </row>
    <row r="5" spans="1:6" x14ac:dyDescent="0.3">
      <c r="A5" s="1" t="s">
        <v>2</v>
      </c>
      <c r="B5" s="2">
        <f t="shared" si="0"/>
        <v>-618432</v>
      </c>
      <c r="C5" s="2">
        <v>0</v>
      </c>
      <c r="D5" s="2">
        <v>0</v>
      </c>
      <c r="E5" s="2">
        <v>618432</v>
      </c>
      <c r="F5" s="2">
        <v>1330465</v>
      </c>
    </row>
    <row r="6" spans="1:6" x14ac:dyDescent="0.3">
      <c r="A6" s="1" t="s">
        <v>3</v>
      </c>
      <c r="B6" s="2">
        <f t="shared" si="0"/>
        <v>-1039115</v>
      </c>
      <c r="C6" s="2">
        <v>0</v>
      </c>
      <c r="D6" s="2">
        <v>0</v>
      </c>
      <c r="E6" s="2">
        <v>1039115</v>
      </c>
      <c r="F6" s="2">
        <v>2339054</v>
      </c>
    </row>
    <row r="7" spans="1:6" x14ac:dyDescent="0.3">
      <c r="A7" s="1" t="s">
        <v>4</v>
      </c>
      <c r="B7" s="2">
        <f t="shared" si="0"/>
        <v>-1754626</v>
      </c>
      <c r="C7" s="2">
        <v>0</v>
      </c>
      <c r="D7" s="2">
        <v>0</v>
      </c>
      <c r="E7" s="2">
        <v>1754626</v>
      </c>
      <c r="F7" s="2">
        <v>3790605</v>
      </c>
    </row>
    <row r="8" spans="1:6" x14ac:dyDescent="0.3">
      <c r="A8" s="1" t="s">
        <v>5</v>
      </c>
      <c r="B8" s="2">
        <f t="shared" si="0"/>
        <v>-703925</v>
      </c>
      <c r="C8" s="2">
        <v>0</v>
      </c>
      <c r="D8" s="2">
        <v>0</v>
      </c>
      <c r="E8" s="2">
        <v>703925</v>
      </c>
      <c r="F8" s="2">
        <v>1482794</v>
      </c>
    </row>
    <row r="9" spans="1:6" x14ac:dyDescent="0.3">
      <c r="A9" s="1" t="s">
        <v>6</v>
      </c>
      <c r="B9" s="2">
        <f t="shared" si="0"/>
        <v>-1662156</v>
      </c>
      <c r="C9" s="2">
        <v>0</v>
      </c>
      <c r="D9" s="2">
        <v>0</v>
      </c>
      <c r="E9" s="2">
        <v>1662156</v>
      </c>
      <c r="F9" s="2">
        <v>3003202</v>
      </c>
    </row>
    <row r="10" spans="1:6" x14ac:dyDescent="0.3">
      <c r="A10" s="1" t="s">
        <v>7</v>
      </c>
      <c r="B10" s="2">
        <f t="shared" si="0"/>
        <v>-1484369</v>
      </c>
      <c r="C10" s="2">
        <v>0</v>
      </c>
      <c r="D10" s="2">
        <v>0</v>
      </c>
      <c r="E10" s="2">
        <v>1484369</v>
      </c>
      <c r="F10" s="2">
        <v>2223372</v>
      </c>
    </row>
    <row r="11" spans="1:6" x14ac:dyDescent="0.3">
      <c r="A11" s="1" t="s">
        <v>8</v>
      </c>
      <c r="B11" s="2">
        <f t="shared" si="0"/>
        <v>-963521</v>
      </c>
      <c r="C11" s="2">
        <v>0</v>
      </c>
      <c r="D11" s="2">
        <v>0</v>
      </c>
      <c r="E11" s="2">
        <v>963521</v>
      </c>
      <c r="F11" s="2">
        <v>1295033</v>
      </c>
    </row>
    <row r="12" spans="1:6" x14ac:dyDescent="0.3">
      <c r="A12" s="1" t="s">
        <v>9</v>
      </c>
      <c r="B12" s="2">
        <f t="shared" si="0"/>
        <v>-495711</v>
      </c>
      <c r="C12" s="2">
        <v>0</v>
      </c>
      <c r="D12" s="2">
        <v>0</v>
      </c>
      <c r="E12" s="2">
        <v>495711</v>
      </c>
      <c r="F12" s="2">
        <v>755847</v>
      </c>
    </row>
    <row r="13" spans="1:6" x14ac:dyDescent="0.3">
      <c r="A13" s="1" t="s">
        <v>10</v>
      </c>
      <c r="B13" s="2">
        <f t="shared" si="0"/>
        <v>-394148</v>
      </c>
      <c r="C13" s="2">
        <v>0</v>
      </c>
      <c r="D13" s="2">
        <v>0</v>
      </c>
      <c r="E13" s="2">
        <v>394148</v>
      </c>
      <c r="F13" s="2">
        <v>634855</v>
      </c>
    </row>
    <row r="14" spans="1:6" x14ac:dyDescent="0.3">
      <c r="A14" s="1" t="s">
        <v>11</v>
      </c>
      <c r="B14" s="2">
        <f t="shared" si="0"/>
        <v>-67863</v>
      </c>
      <c r="C14" s="2">
        <v>0</v>
      </c>
      <c r="D14" s="2">
        <v>0</v>
      </c>
      <c r="E14" s="2">
        <v>67863</v>
      </c>
      <c r="F14" s="2">
        <v>152083</v>
      </c>
    </row>
    <row r="15" spans="1:6" ht="17.25" thickBot="1" x14ac:dyDescent="0.35">
      <c r="A15" s="4" t="s">
        <v>13</v>
      </c>
      <c r="B15" s="5">
        <f>SUM(B3:B14)</f>
        <v>-9514816</v>
      </c>
      <c r="C15" s="5">
        <f t="shared" ref="C15:F15" si="1">SUM(C3:C14)</f>
        <v>0</v>
      </c>
      <c r="D15" s="5">
        <f t="shared" si="1"/>
        <v>0</v>
      </c>
      <c r="E15" s="5">
        <f t="shared" si="1"/>
        <v>9514816</v>
      </c>
      <c r="F15" s="5">
        <f t="shared" si="1"/>
        <v>17807917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-58897</v>
      </c>
      <c r="C3" s="2">
        <v>0</v>
      </c>
      <c r="D3" s="2">
        <v>0</v>
      </c>
      <c r="E3" s="2">
        <v>58897</v>
      </c>
      <c r="F3" s="2">
        <v>121219</v>
      </c>
    </row>
    <row r="4" spans="1:6" x14ac:dyDescent="0.3">
      <c r="A4" s="1" t="s">
        <v>1</v>
      </c>
      <c r="B4" s="2">
        <f t="shared" si="0"/>
        <v>-491982</v>
      </c>
      <c r="C4" s="2">
        <v>0</v>
      </c>
      <c r="D4" s="2">
        <v>0</v>
      </c>
      <c r="E4" s="2">
        <v>491982</v>
      </c>
      <c r="F4" s="2">
        <v>1012592</v>
      </c>
    </row>
    <row r="5" spans="1:6" x14ac:dyDescent="0.3">
      <c r="A5" s="1" t="s">
        <v>2</v>
      </c>
      <c r="B5" s="2">
        <f t="shared" si="0"/>
        <v>-646707</v>
      </c>
      <c r="C5" s="2">
        <v>0</v>
      </c>
      <c r="D5" s="2">
        <v>0</v>
      </c>
      <c r="E5" s="2">
        <v>646707</v>
      </c>
      <c r="F5" s="2">
        <v>1187490</v>
      </c>
    </row>
    <row r="6" spans="1:6" x14ac:dyDescent="0.3">
      <c r="A6" s="1" t="s">
        <v>3</v>
      </c>
      <c r="B6" s="2">
        <f t="shared" si="0"/>
        <v>-1206088</v>
      </c>
      <c r="C6" s="2">
        <v>0</v>
      </c>
      <c r="D6" s="2">
        <v>0</v>
      </c>
      <c r="E6" s="2">
        <v>1206088</v>
      </c>
      <c r="F6" s="2">
        <v>2249769</v>
      </c>
    </row>
    <row r="7" spans="1:6" x14ac:dyDescent="0.3">
      <c r="A7" s="1" t="s">
        <v>4</v>
      </c>
      <c r="B7" s="2">
        <f t="shared" si="0"/>
        <v>-101</v>
      </c>
      <c r="C7" s="2">
        <v>0</v>
      </c>
      <c r="D7" s="2">
        <v>0</v>
      </c>
      <c r="E7" s="2">
        <v>101</v>
      </c>
      <c r="F7" s="2">
        <v>16</v>
      </c>
    </row>
    <row r="8" spans="1:6" x14ac:dyDescent="0.3">
      <c r="A8" s="1" t="s">
        <v>5</v>
      </c>
      <c r="B8" s="2">
        <f t="shared" si="0"/>
        <v>-128238</v>
      </c>
      <c r="C8" s="2">
        <v>0</v>
      </c>
      <c r="D8" s="2">
        <v>0</v>
      </c>
      <c r="E8" s="2">
        <v>128238</v>
      </c>
      <c r="F8" s="2">
        <v>179295</v>
      </c>
    </row>
    <row r="9" spans="1:6" x14ac:dyDescent="0.3">
      <c r="A9" s="1" t="s">
        <v>6</v>
      </c>
      <c r="B9" s="2">
        <f t="shared" si="0"/>
        <v>-922540</v>
      </c>
      <c r="C9" s="2">
        <v>0</v>
      </c>
      <c r="D9" s="2">
        <v>0</v>
      </c>
      <c r="E9" s="2">
        <v>922540</v>
      </c>
      <c r="F9" s="2">
        <v>1524652</v>
      </c>
    </row>
    <row r="10" spans="1:6" x14ac:dyDescent="0.3">
      <c r="A10" s="1" t="s">
        <v>7</v>
      </c>
      <c r="B10" s="2">
        <f t="shared" si="0"/>
        <v>-1233804</v>
      </c>
      <c r="C10" s="2">
        <v>0</v>
      </c>
      <c r="D10" s="2">
        <v>0</v>
      </c>
      <c r="E10" s="2">
        <v>1233804</v>
      </c>
      <c r="F10" s="2">
        <v>1486161</v>
      </c>
    </row>
    <row r="11" spans="1:6" x14ac:dyDescent="0.3">
      <c r="A11" s="1" t="s">
        <v>8</v>
      </c>
      <c r="B11" s="2">
        <f t="shared" si="0"/>
        <v>-1117382</v>
      </c>
      <c r="C11" s="2">
        <v>0</v>
      </c>
      <c r="D11" s="2">
        <v>0</v>
      </c>
      <c r="E11" s="2">
        <v>1117382</v>
      </c>
      <c r="F11" s="2">
        <v>1379944</v>
      </c>
    </row>
    <row r="12" spans="1:6" x14ac:dyDescent="0.3">
      <c r="A12" s="1" t="s">
        <v>9</v>
      </c>
      <c r="B12" s="2">
        <f t="shared" si="0"/>
        <v>-956838</v>
      </c>
      <c r="C12" s="2">
        <v>0</v>
      </c>
      <c r="D12" s="2">
        <v>0</v>
      </c>
      <c r="E12" s="2">
        <v>956838</v>
      </c>
      <c r="F12" s="2">
        <v>1134396</v>
      </c>
    </row>
    <row r="13" spans="1:6" x14ac:dyDescent="0.3">
      <c r="A13" s="1" t="s">
        <v>10</v>
      </c>
      <c r="B13" s="2">
        <f t="shared" si="0"/>
        <v>-982978</v>
      </c>
      <c r="C13" s="2">
        <v>0</v>
      </c>
      <c r="D13" s="2">
        <v>0</v>
      </c>
      <c r="E13" s="2">
        <v>982978</v>
      </c>
      <c r="F13" s="2">
        <v>1385619</v>
      </c>
    </row>
    <row r="14" spans="1:6" x14ac:dyDescent="0.3">
      <c r="A14" s="1" t="s">
        <v>11</v>
      </c>
      <c r="B14" s="2">
        <f t="shared" si="0"/>
        <v>-1571017</v>
      </c>
      <c r="C14" s="2">
        <v>0</v>
      </c>
      <c r="D14" s="2">
        <v>0</v>
      </c>
      <c r="E14" s="2">
        <v>1571017</v>
      </c>
      <c r="F14" s="2">
        <v>1854701</v>
      </c>
    </row>
    <row r="15" spans="1:6" ht="17.25" thickBot="1" x14ac:dyDescent="0.35">
      <c r="A15" s="4" t="s">
        <v>13</v>
      </c>
      <c r="B15" s="5">
        <f>SUM(B3:B14)</f>
        <v>-9316572</v>
      </c>
      <c r="C15" s="5">
        <f t="shared" ref="C15:F15" si="1">SUM(C3:C14)</f>
        <v>0</v>
      </c>
      <c r="D15" s="5">
        <f t="shared" si="1"/>
        <v>0</v>
      </c>
      <c r="E15" s="5">
        <f t="shared" si="1"/>
        <v>9316572</v>
      </c>
      <c r="F15" s="5">
        <f t="shared" si="1"/>
        <v>13515854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-1346780</v>
      </c>
      <c r="C3" s="2">
        <v>0</v>
      </c>
      <c r="D3" s="2">
        <v>0</v>
      </c>
      <c r="E3" s="2">
        <v>1346780</v>
      </c>
      <c r="F3" s="2">
        <v>1637233</v>
      </c>
    </row>
    <row r="4" spans="1:6" x14ac:dyDescent="0.3">
      <c r="A4" s="1" t="s">
        <v>1</v>
      </c>
      <c r="B4" s="2">
        <f t="shared" si="0"/>
        <v>-479043</v>
      </c>
      <c r="C4" s="2">
        <v>0</v>
      </c>
      <c r="D4" s="2">
        <v>0</v>
      </c>
      <c r="E4" s="2">
        <v>479043</v>
      </c>
      <c r="F4" s="2">
        <v>627146</v>
      </c>
    </row>
    <row r="5" spans="1:6" x14ac:dyDescent="0.3">
      <c r="A5" s="1" t="s">
        <v>2</v>
      </c>
      <c r="B5" s="2">
        <f t="shared" si="0"/>
        <v>-295163</v>
      </c>
      <c r="C5" s="2">
        <v>0</v>
      </c>
      <c r="D5" s="2">
        <v>0</v>
      </c>
      <c r="E5" s="2">
        <v>295163</v>
      </c>
      <c r="F5" s="2">
        <v>402001</v>
      </c>
    </row>
    <row r="6" spans="1:6" x14ac:dyDescent="0.3">
      <c r="A6" s="1" t="s">
        <v>3</v>
      </c>
      <c r="B6" s="2">
        <f t="shared" si="0"/>
        <v>-701646</v>
      </c>
      <c r="C6" s="2">
        <v>0</v>
      </c>
      <c r="D6" s="2">
        <v>0</v>
      </c>
      <c r="E6" s="2">
        <v>701646</v>
      </c>
      <c r="F6" s="2">
        <v>1071125</v>
      </c>
    </row>
    <row r="7" spans="1:6" x14ac:dyDescent="0.3">
      <c r="A7" s="1" t="s">
        <v>4</v>
      </c>
      <c r="B7" s="2">
        <f t="shared" si="0"/>
        <v>-989392</v>
      </c>
      <c r="C7" s="2">
        <v>0</v>
      </c>
      <c r="D7" s="2">
        <v>0</v>
      </c>
      <c r="E7" s="2">
        <v>989392</v>
      </c>
      <c r="F7" s="2">
        <v>1539075</v>
      </c>
    </row>
    <row r="8" spans="1:6" x14ac:dyDescent="0.3">
      <c r="A8" s="1" t="s">
        <v>5</v>
      </c>
      <c r="B8" s="2">
        <f t="shared" si="0"/>
        <v>-883885</v>
      </c>
      <c r="C8" s="2">
        <v>0</v>
      </c>
      <c r="D8" s="2">
        <v>0</v>
      </c>
      <c r="E8" s="2">
        <v>883885</v>
      </c>
      <c r="F8" s="2">
        <v>1011582</v>
      </c>
    </row>
    <row r="9" spans="1:6" x14ac:dyDescent="0.3">
      <c r="A9" s="1" t="s">
        <v>6</v>
      </c>
      <c r="B9" s="2">
        <f t="shared" si="0"/>
        <v>-739352</v>
      </c>
      <c r="C9" s="2">
        <v>0</v>
      </c>
      <c r="D9" s="2">
        <v>0</v>
      </c>
      <c r="E9" s="2">
        <v>739352</v>
      </c>
      <c r="F9" s="2">
        <v>974477</v>
      </c>
    </row>
    <row r="10" spans="1:6" x14ac:dyDescent="0.3">
      <c r="A10" s="1" t="s">
        <v>7</v>
      </c>
      <c r="B10" s="2">
        <f t="shared" si="0"/>
        <v>-1217886</v>
      </c>
      <c r="C10" s="2">
        <v>0</v>
      </c>
      <c r="D10" s="2">
        <v>0</v>
      </c>
      <c r="E10" s="2">
        <v>1217886</v>
      </c>
      <c r="F10" s="2">
        <v>1473804</v>
      </c>
    </row>
    <row r="11" spans="1:6" x14ac:dyDescent="0.3">
      <c r="A11" s="1" t="s">
        <v>8</v>
      </c>
      <c r="B11" s="2">
        <f t="shared" si="0"/>
        <v>-675163</v>
      </c>
      <c r="C11" s="2">
        <v>0</v>
      </c>
      <c r="D11" s="2">
        <v>0</v>
      </c>
      <c r="E11" s="2">
        <v>675163</v>
      </c>
      <c r="F11" s="2">
        <v>786778</v>
      </c>
    </row>
    <row r="12" spans="1:6" x14ac:dyDescent="0.3">
      <c r="A12" s="1" t="s">
        <v>9</v>
      </c>
      <c r="B12" s="2">
        <f t="shared" si="0"/>
        <v>-1274393</v>
      </c>
      <c r="C12" s="2">
        <v>0</v>
      </c>
      <c r="D12" s="2">
        <v>0</v>
      </c>
      <c r="E12" s="2">
        <v>1274393</v>
      </c>
      <c r="F12" s="2">
        <v>1369305</v>
      </c>
    </row>
    <row r="13" spans="1:6" x14ac:dyDescent="0.3">
      <c r="A13" s="1" t="s">
        <v>10</v>
      </c>
      <c r="B13" s="2">
        <f t="shared" si="0"/>
        <v>-876244</v>
      </c>
      <c r="C13" s="2">
        <v>0</v>
      </c>
      <c r="D13" s="2">
        <v>0</v>
      </c>
      <c r="E13" s="2">
        <v>876244</v>
      </c>
      <c r="F13" s="2">
        <v>987468</v>
      </c>
    </row>
    <row r="14" spans="1:6" x14ac:dyDescent="0.3">
      <c r="A14" s="1" t="s">
        <v>11</v>
      </c>
      <c r="B14" s="2">
        <f t="shared" si="0"/>
        <v>-1850204</v>
      </c>
      <c r="C14" s="2">
        <v>0</v>
      </c>
      <c r="D14" s="2">
        <v>0</v>
      </c>
      <c r="E14" s="2">
        <v>1850204</v>
      </c>
      <c r="F14" s="2">
        <v>2102073</v>
      </c>
    </row>
    <row r="15" spans="1:6" ht="17.25" thickBot="1" x14ac:dyDescent="0.35">
      <c r="A15" s="4" t="s">
        <v>13</v>
      </c>
      <c r="B15" s="5">
        <f>SUM(B3:B14)</f>
        <v>-11329151</v>
      </c>
      <c r="C15" s="5">
        <f t="shared" ref="C15:F15" si="1">SUM(C3:C14)</f>
        <v>0</v>
      </c>
      <c r="D15" s="5">
        <f t="shared" si="1"/>
        <v>0</v>
      </c>
      <c r="E15" s="5">
        <f t="shared" si="1"/>
        <v>11329151</v>
      </c>
      <c r="F15" s="5">
        <f t="shared" si="1"/>
        <v>13982067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-307267</v>
      </c>
      <c r="C3" s="2">
        <v>0</v>
      </c>
      <c r="D3" s="2">
        <v>0</v>
      </c>
      <c r="E3" s="2">
        <v>307267</v>
      </c>
      <c r="F3" s="2">
        <v>360216</v>
      </c>
    </row>
    <row r="4" spans="1:6" x14ac:dyDescent="0.3">
      <c r="A4" s="1" t="s">
        <v>1</v>
      </c>
      <c r="B4" s="2">
        <f t="shared" si="0"/>
        <v>-248483</v>
      </c>
      <c r="C4" s="2">
        <v>0</v>
      </c>
      <c r="D4" s="2">
        <v>0</v>
      </c>
      <c r="E4" s="2">
        <v>248483</v>
      </c>
      <c r="F4" s="2">
        <v>288903</v>
      </c>
    </row>
    <row r="5" spans="1:6" x14ac:dyDescent="0.3">
      <c r="A5" s="1" t="s">
        <v>2</v>
      </c>
      <c r="B5" s="2">
        <f t="shared" si="0"/>
        <v>-16745596</v>
      </c>
      <c r="C5" s="2">
        <v>0</v>
      </c>
      <c r="D5" s="2">
        <v>0</v>
      </c>
      <c r="E5" s="2">
        <v>16745596</v>
      </c>
      <c r="F5" s="2">
        <v>31143246</v>
      </c>
    </row>
    <row r="6" spans="1:6" x14ac:dyDescent="0.3">
      <c r="A6" s="1" t="s">
        <v>3</v>
      </c>
      <c r="B6" s="2">
        <f t="shared" si="0"/>
        <v>-6730070</v>
      </c>
      <c r="C6" s="2">
        <v>0</v>
      </c>
      <c r="D6" s="2">
        <v>0</v>
      </c>
      <c r="E6" s="2">
        <v>6730070</v>
      </c>
      <c r="F6" s="2">
        <v>12471187</v>
      </c>
    </row>
    <row r="7" spans="1:6" x14ac:dyDescent="0.3">
      <c r="A7" s="1" t="s">
        <v>4</v>
      </c>
      <c r="B7" s="2">
        <f t="shared" si="0"/>
        <v>-2797831</v>
      </c>
      <c r="C7" s="2">
        <v>0</v>
      </c>
      <c r="D7" s="2">
        <v>0</v>
      </c>
      <c r="E7" s="2">
        <v>2797831</v>
      </c>
      <c r="F7" s="2">
        <v>5329835</v>
      </c>
    </row>
    <row r="8" spans="1:6" x14ac:dyDescent="0.3">
      <c r="A8" s="1" t="s">
        <v>5</v>
      </c>
      <c r="B8" s="2">
        <f t="shared" si="0"/>
        <v>-505335</v>
      </c>
      <c r="C8" s="2">
        <v>0</v>
      </c>
      <c r="D8" s="2">
        <v>0</v>
      </c>
      <c r="E8" s="2">
        <v>505335</v>
      </c>
      <c r="F8" s="2">
        <v>944532</v>
      </c>
    </row>
    <row r="9" spans="1:6" x14ac:dyDescent="0.3">
      <c r="A9" s="1" t="s">
        <v>6</v>
      </c>
      <c r="B9" s="2">
        <f t="shared" si="0"/>
        <v>-697126</v>
      </c>
      <c r="C9" s="2">
        <v>0</v>
      </c>
      <c r="D9" s="2">
        <v>0</v>
      </c>
      <c r="E9" s="2">
        <v>697126</v>
      </c>
      <c r="F9" s="2">
        <v>1317320</v>
      </c>
    </row>
    <row r="10" spans="1:6" x14ac:dyDescent="0.3">
      <c r="A10" s="1" t="s">
        <v>7</v>
      </c>
      <c r="B10" s="2">
        <f t="shared" si="0"/>
        <v>-501031</v>
      </c>
      <c r="C10" s="2">
        <v>0</v>
      </c>
      <c r="D10" s="2">
        <v>0</v>
      </c>
      <c r="E10" s="2">
        <v>501031</v>
      </c>
      <c r="F10" s="2">
        <v>1002064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-1537729</v>
      </c>
      <c r="C12" s="2">
        <v>0</v>
      </c>
      <c r="D12" s="2">
        <v>0</v>
      </c>
      <c r="E12" s="2">
        <v>1537729</v>
      </c>
      <c r="F12" s="2">
        <v>2010538</v>
      </c>
    </row>
    <row r="13" spans="1:6" x14ac:dyDescent="0.3">
      <c r="A13" s="1" t="s">
        <v>10</v>
      </c>
      <c r="B13" s="2">
        <f t="shared" si="0"/>
        <v>-1229896</v>
      </c>
      <c r="C13" s="2">
        <v>0</v>
      </c>
      <c r="D13" s="2">
        <v>0</v>
      </c>
      <c r="E13" s="2">
        <v>1229896</v>
      </c>
      <c r="F13" s="2">
        <v>1878136</v>
      </c>
    </row>
    <row r="14" spans="1:6" x14ac:dyDescent="0.3">
      <c r="A14" s="1" t="s">
        <v>11</v>
      </c>
      <c r="B14" s="2">
        <f t="shared" si="0"/>
        <v>-776503</v>
      </c>
      <c r="C14" s="2">
        <v>0</v>
      </c>
      <c r="D14" s="2">
        <v>0</v>
      </c>
      <c r="E14" s="2">
        <v>776503</v>
      </c>
      <c r="F14" s="2">
        <v>989107</v>
      </c>
    </row>
    <row r="15" spans="1:6" ht="17.25" thickBot="1" x14ac:dyDescent="0.35">
      <c r="A15" s="4" t="s">
        <v>13</v>
      </c>
      <c r="B15" s="5">
        <f>SUM(B3:B14)</f>
        <v>-32076867</v>
      </c>
      <c r="C15" s="5">
        <f t="shared" ref="C15:F15" si="1">SUM(C3:C14)</f>
        <v>0</v>
      </c>
      <c r="D15" s="5">
        <f t="shared" si="1"/>
        <v>0</v>
      </c>
      <c r="E15" s="5">
        <f t="shared" si="1"/>
        <v>32076867</v>
      </c>
      <c r="F15" s="5">
        <f t="shared" si="1"/>
        <v>57735084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-39</v>
      </c>
      <c r="C3" s="2">
        <v>0</v>
      </c>
      <c r="D3" s="2">
        <v>0</v>
      </c>
      <c r="E3" s="2">
        <v>39</v>
      </c>
      <c r="F3" s="2">
        <v>2</v>
      </c>
    </row>
    <row r="4" spans="1:6" x14ac:dyDescent="0.3">
      <c r="A4" s="1" t="s">
        <v>1</v>
      </c>
      <c r="B4" s="2">
        <f t="shared" si="0"/>
        <v>-18202609</v>
      </c>
      <c r="C4" s="2">
        <v>0</v>
      </c>
      <c r="D4" s="2">
        <v>0</v>
      </c>
      <c r="E4" s="2">
        <v>18202609</v>
      </c>
      <c r="F4" s="2">
        <v>35027921</v>
      </c>
    </row>
    <row r="5" spans="1:6" x14ac:dyDescent="0.3">
      <c r="A5" s="1" t="s">
        <v>2</v>
      </c>
      <c r="B5" s="2">
        <f t="shared" si="0"/>
        <v>-8319629</v>
      </c>
      <c r="C5" s="2">
        <v>0</v>
      </c>
      <c r="D5" s="2">
        <v>0</v>
      </c>
      <c r="E5" s="2">
        <v>8319629</v>
      </c>
      <c r="F5" s="2">
        <v>15877481</v>
      </c>
    </row>
    <row r="6" spans="1:6" x14ac:dyDescent="0.3">
      <c r="A6" s="1" t="s">
        <v>3</v>
      </c>
      <c r="B6" s="2">
        <f t="shared" si="0"/>
        <v>-1914513</v>
      </c>
      <c r="C6" s="2">
        <v>1433</v>
      </c>
      <c r="D6" s="2">
        <v>19</v>
      </c>
      <c r="E6" s="2">
        <v>1915946</v>
      </c>
      <c r="F6" s="2">
        <v>3615119</v>
      </c>
    </row>
    <row r="7" spans="1:6" x14ac:dyDescent="0.3">
      <c r="A7" s="1" t="s">
        <v>4</v>
      </c>
      <c r="B7" s="2">
        <f t="shared" si="0"/>
        <v>-280174</v>
      </c>
      <c r="C7" s="2">
        <v>3810</v>
      </c>
      <c r="D7" s="2">
        <v>40</v>
      </c>
      <c r="E7" s="2">
        <v>283984</v>
      </c>
      <c r="F7" s="2">
        <v>577708</v>
      </c>
    </row>
    <row r="8" spans="1:6" x14ac:dyDescent="0.3">
      <c r="A8" s="1" t="s">
        <v>5</v>
      </c>
      <c r="B8" s="2">
        <f t="shared" si="0"/>
        <v>-2576478</v>
      </c>
      <c r="C8" s="2">
        <v>0</v>
      </c>
      <c r="D8" s="2">
        <v>0</v>
      </c>
      <c r="E8" s="2">
        <v>2576478</v>
      </c>
      <c r="F8" s="2">
        <v>6093423</v>
      </c>
    </row>
    <row r="9" spans="1:6" x14ac:dyDescent="0.3">
      <c r="A9" s="1" t="s">
        <v>6</v>
      </c>
      <c r="B9" s="2">
        <f t="shared" si="0"/>
        <v>-110289</v>
      </c>
      <c r="C9" s="2">
        <v>0</v>
      </c>
      <c r="D9" s="2">
        <v>0</v>
      </c>
      <c r="E9" s="2">
        <v>110289</v>
      </c>
      <c r="F9" s="2">
        <v>542550</v>
      </c>
    </row>
    <row r="10" spans="1:6" x14ac:dyDescent="0.3">
      <c r="A10" s="1" t="s">
        <v>7</v>
      </c>
      <c r="B10" s="2">
        <f t="shared" si="0"/>
        <v>-41689</v>
      </c>
      <c r="C10" s="2">
        <v>248</v>
      </c>
      <c r="D10" s="2">
        <v>7</v>
      </c>
      <c r="E10" s="2">
        <v>41937</v>
      </c>
      <c r="F10" s="2">
        <v>206275</v>
      </c>
    </row>
    <row r="11" spans="1:6" x14ac:dyDescent="0.3">
      <c r="A11" s="1" t="s">
        <v>8</v>
      </c>
      <c r="B11" s="2">
        <f t="shared" si="0"/>
        <v>-108311</v>
      </c>
      <c r="C11" s="2">
        <v>198</v>
      </c>
      <c r="D11" s="2">
        <v>4</v>
      </c>
      <c r="E11" s="2">
        <v>108509</v>
      </c>
      <c r="F11" s="2">
        <v>489309</v>
      </c>
    </row>
    <row r="12" spans="1:6" x14ac:dyDescent="0.3">
      <c r="A12" s="1" t="s">
        <v>9</v>
      </c>
      <c r="B12" s="2">
        <f t="shared" si="0"/>
        <v>-26745</v>
      </c>
      <c r="C12" s="2">
        <v>0</v>
      </c>
      <c r="D12" s="2">
        <v>0</v>
      </c>
      <c r="E12" s="2">
        <v>26745</v>
      </c>
      <c r="F12" s="2">
        <v>53027</v>
      </c>
    </row>
    <row r="13" spans="1:6" x14ac:dyDescent="0.3">
      <c r="A13" s="1" t="s">
        <v>10</v>
      </c>
      <c r="B13" s="2">
        <f t="shared" si="0"/>
        <v>-402205</v>
      </c>
      <c r="C13" s="2">
        <v>169</v>
      </c>
      <c r="D13" s="2">
        <v>5</v>
      </c>
      <c r="E13" s="2">
        <v>402374</v>
      </c>
      <c r="F13" s="2">
        <v>1087839</v>
      </c>
    </row>
    <row r="14" spans="1:6" x14ac:dyDescent="0.3">
      <c r="A14" s="1" t="s">
        <v>11</v>
      </c>
      <c r="B14" s="2">
        <f t="shared" si="0"/>
        <v>-546787</v>
      </c>
      <c r="C14" s="2">
        <v>481</v>
      </c>
      <c r="D14" s="2">
        <v>9</v>
      </c>
      <c r="E14" s="2">
        <v>547268</v>
      </c>
      <c r="F14" s="2">
        <v>1572852</v>
      </c>
    </row>
    <row r="15" spans="1:6" ht="17.25" thickBot="1" x14ac:dyDescent="0.35">
      <c r="A15" s="4" t="s">
        <v>13</v>
      </c>
      <c r="B15" s="5">
        <f>SUM(B3:B14)</f>
        <v>-32529468</v>
      </c>
      <c r="C15" s="5">
        <f t="shared" ref="C15:F15" si="1">SUM(C3:C14)</f>
        <v>6339</v>
      </c>
      <c r="D15" s="5">
        <f t="shared" si="1"/>
        <v>84</v>
      </c>
      <c r="E15" s="5">
        <f t="shared" si="1"/>
        <v>32535807</v>
      </c>
      <c r="F15" s="5">
        <f t="shared" si="1"/>
        <v>65143506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-278244</v>
      </c>
      <c r="C3" s="2">
        <v>736</v>
      </c>
      <c r="D3" s="2">
        <v>9</v>
      </c>
      <c r="E3" s="2">
        <v>278980</v>
      </c>
      <c r="F3" s="2">
        <v>1009056</v>
      </c>
    </row>
    <row r="4" spans="1:6" x14ac:dyDescent="0.3">
      <c r="A4" s="1" t="s">
        <v>1</v>
      </c>
      <c r="B4" s="2">
        <f t="shared" si="0"/>
        <v>-469443</v>
      </c>
      <c r="C4" s="2">
        <v>345</v>
      </c>
      <c r="D4" s="2">
        <v>3</v>
      </c>
      <c r="E4" s="2">
        <v>469788</v>
      </c>
      <c r="F4" s="2">
        <v>1461288</v>
      </c>
    </row>
    <row r="5" spans="1:6" x14ac:dyDescent="0.3">
      <c r="A5" s="1" t="s">
        <v>2</v>
      </c>
      <c r="B5" s="2">
        <f t="shared" si="0"/>
        <v>-1033269</v>
      </c>
      <c r="C5" s="2">
        <v>296</v>
      </c>
      <c r="D5" s="2">
        <v>4</v>
      </c>
      <c r="E5" s="2">
        <v>1033565</v>
      </c>
      <c r="F5" s="2">
        <v>2998262</v>
      </c>
    </row>
    <row r="6" spans="1:6" x14ac:dyDescent="0.3">
      <c r="A6" s="1" t="s">
        <v>3</v>
      </c>
      <c r="B6" s="2">
        <f t="shared" si="0"/>
        <v>-1187570</v>
      </c>
      <c r="C6" s="2">
        <v>457</v>
      </c>
      <c r="D6" s="2">
        <v>6</v>
      </c>
      <c r="E6" s="2">
        <v>1188027</v>
      </c>
      <c r="F6" s="2">
        <v>3032869</v>
      </c>
    </row>
    <row r="7" spans="1:6" x14ac:dyDescent="0.3">
      <c r="A7" s="1" t="s">
        <v>4</v>
      </c>
      <c r="B7" s="2">
        <f t="shared" si="0"/>
        <v>-710839</v>
      </c>
      <c r="C7" s="2">
        <v>1219</v>
      </c>
      <c r="D7" s="2">
        <v>13</v>
      </c>
      <c r="E7" s="2">
        <v>712058</v>
      </c>
      <c r="F7" s="2">
        <v>1983887</v>
      </c>
    </row>
    <row r="8" spans="1:6" x14ac:dyDescent="0.3">
      <c r="A8" s="1" t="s">
        <v>5</v>
      </c>
      <c r="B8" s="2">
        <f t="shared" si="0"/>
        <v>-693939</v>
      </c>
      <c r="C8" s="2">
        <v>241</v>
      </c>
      <c r="D8" s="2">
        <v>4</v>
      </c>
      <c r="E8" s="2">
        <v>694180</v>
      </c>
      <c r="F8" s="2">
        <v>2182244</v>
      </c>
    </row>
    <row r="9" spans="1:6" x14ac:dyDescent="0.3">
      <c r="A9" s="1" t="s">
        <v>6</v>
      </c>
      <c r="B9" s="2">
        <f t="shared" si="0"/>
        <v>-657215</v>
      </c>
      <c r="C9" s="2">
        <v>680</v>
      </c>
      <c r="D9" s="2">
        <v>7</v>
      </c>
      <c r="E9" s="2">
        <v>657895</v>
      </c>
      <c r="F9" s="2">
        <v>2089538</v>
      </c>
    </row>
    <row r="10" spans="1:6" x14ac:dyDescent="0.3">
      <c r="A10" s="1" t="s">
        <v>7</v>
      </c>
      <c r="B10" s="2">
        <f t="shared" si="0"/>
        <v>-776668</v>
      </c>
      <c r="C10" s="2">
        <v>0</v>
      </c>
      <c r="D10" s="2">
        <v>0</v>
      </c>
      <c r="E10" s="2">
        <v>776668</v>
      </c>
      <c r="F10" s="2">
        <v>2241798</v>
      </c>
    </row>
    <row r="11" spans="1:6" x14ac:dyDescent="0.3">
      <c r="A11" s="1" t="s">
        <v>8</v>
      </c>
      <c r="B11" s="2">
        <f t="shared" si="0"/>
        <v>-916701</v>
      </c>
      <c r="C11" s="2">
        <v>0</v>
      </c>
      <c r="D11" s="2">
        <v>0</v>
      </c>
      <c r="E11" s="2">
        <v>916701</v>
      </c>
      <c r="F11" s="2">
        <v>2869784</v>
      </c>
    </row>
    <row r="12" spans="1:6" x14ac:dyDescent="0.3">
      <c r="A12" s="1" t="s">
        <v>9</v>
      </c>
      <c r="B12" s="2">
        <f t="shared" si="0"/>
        <v>-554513</v>
      </c>
      <c r="C12" s="2">
        <v>182</v>
      </c>
      <c r="D12" s="2">
        <v>3</v>
      </c>
      <c r="E12" s="2">
        <v>554695</v>
      </c>
      <c r="F12" s="2">
        <v>1121977</v>
      </c>
    </row>
    <row r="13" spans="1:6" x14ac:dyDescent="0.3">
      <c r="A13" s="1" t="s">
        <v>10</v>
      </c>
      <c r="B13" s="2">
        <f t="shared" si="0"/>
        <v>-12277</v>
      </c>
      <c r="C13" s="2">
        <v>119</v>
      </c>
      <c r="D13" s="2">
        <v>1</v>
      </c>
      <c r="E13" s="2">
        <v>12396</v>
      </c>
      <c r="F13" s="2">
        <v>18046</v>
      </c>
    </row>
    <row r="14" spans="1:6" x14ac:dyDescent="0.3">
      <c r="A14" s="1" t="s">
        <v>11</v>
      </c>
      <c r="B14" s="2">
        <f t="shared" si="0"/>
        <v>-1171602</v>
      </c>
      <c r="C14" s="2">
        <v>408</v>
      </c>
      <c r="D14" s="2">
        <v>2</v>
      </c>
      <c r="E14" s="2">
        <v>1172010</v>
      </c>
      <c r="F14" s="2">
        <v>3191401</v>
      </c>
    </row>
    <row r="15" spans="1:6" ht="17.25" thickBot="1" x14ac:dyDescent="0.35">
      <c r="A15" s="4" t="s">
        <v>13</v>
      </c>
      <c r="B15" s="5">
        <f>SUM(B3:B14)</f>
        <v>-8462280</v>
      </c>
      <c r="C15" s="5">
        <f t="shared" ref="C15:F15" si="1">SUM(C3:C14)</f>
        <v>4683</v>
      </c>
      <c r="D15" s="5">
        <f t="shared" si="1"/>
        <v>52</v>
      </c>
      <c r="E15" s="5">
        <f t="shared" si="1"/>
        <v>8466963</v>
      </c>
      <c r="F15" s="5">
        <f t="shared" si="1"/>
        <v>24200150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-735927</v>
      </c>
      <c r="C3" s="2">
        <v>717</v>
      </c>
      <c r="D3" s="2">
        <v>10</v>
      </c>
      <c r="E3" s="2">
        <v>736644</v>
      </c>
      <c r="F3" s="2">
        <v>2378617</v>
      </c>
    </row>
    <row r="4" spans="1:6" x14ac:dyDescent="0.3">
      <c r="A4" s="1" t="s">
        <v>1</v>
      </c>
      <c r="B4" s="2">
        <f t="shared" si="0"/>
        <v>-48843</v>
      </c>
      <c r="C4" s="2">
        <v>0</v>
      </c>
      <c r="D4" s="2">
        <v>0</v>
      </c>
      <c r="E4" s="2">
        <v>48843</v>
      </c>
      <c r="F4" s="2">
        <v>256170</v>
      </c>
    </row>
    <row r="5" spans="1:6" x14ac:dyDescent="0.3">
      <c r="A5" s="1" t="s">
        <v>2</v>
      </c>
      <c r="B5" s="2">
        <f t="shared" si="0"/>
        <v>-431457</v>
      </c>
      <c r="C5" s="2">
        <v>381</v>
      </c>
      <c r="D5" s="2">
        <v>5</v>
      </c>
      <c r="E5" s="2">
        <v>431838</v>
      </c>
      <c r="F5" s="2">
        <v>1261945</v>
      </c>
    </row>
    <row r="6" spans="1:6" x14ac:dyDescent="0.3">
      <c r="A6" s="1" t="s">
        <v>3</v>
      </c>
      <c r="B6" s="2">
        <f t="shared" si="0"/>
        <v>-23989</v>
      </c>
      <c r="C6" s="2">
        <v>392</v>
      </c>
      <c r="D6" s="2">
        <v>2</v>
      </c>
      <c r="E6" s="2">
        <v>24381</v>
      </c>
      <c r="F6" s="2">
        <v>126325</v>
      </c>
    </row>
    <row r="7" spans="1:6" x14ac:dyDescent="0.3">
      <c r="A7" s="1" t="s">
        <v>4</v>
      </c>
      <c r="B7" s="2">
        <f t="shared" si="0"/>
        <v>-492185</v>
      </c>
      <c r="C7" s="2">
        <v>347</v>
      </c>
      <c r="D7" s="2">
        <v>5</v>
      </c>
      <c r="E7" s="2">
        <v>492532</v>
      </c>
      <c r="F7" s="2">
        <v>1446750</v>
      </c>
    </row>
    <row r="8" spans="1:6" x14ac:dyDescent="0.3">
      <c r="A8" s="1" t="s">
        <v>5</v>
      </c>
      <c r="B8" s="2">
        <f t="shared" si="0"/>
        <v>-887885</v>
      </c>
      <c r="C8" s="2">
        <v>100</v>
      </c>
      <c r="D8" s="2">
        <v>1</v>
      </c>
      <c r="E8" s="2">
        <v>887985</v>
      </c>
      <c r="F8" s="2">
        <v>2331219</v>
      </c>
    </row>
    <row r="9" spans="1:6" x14ac:dyDescent="0.3">
      <c r="A9" s="1" t="s">
        <v>6</v>
      </c>
      <c r="B9" s="2">
        <f t="shared" si="0"/>
        <v>-1696573</v>
      </c>
      <c r="C9" s="2">
        <v>111</v>
      </c>
      <c r="D9" s="2">
        <v>0</v>
      </c>
      <c r="E9" s="2">
        <v>1696684</v>
      </c>
      <c r="F9" s="2">
        <v>4282950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-4316859</v>
      </c>
      <c r="C15" s="5">
        <f t="shared" ref="C15:F15" si="1">SUM(C3:C14)</f>
        <v>2048</v>
      </c>
      <c r="D15" s="5">
        <f t="shared" si="1"/>
        <v>23</v>
      </c>
      <c r="E15" s="5">
        <f t="shared" si="1"/>
        <v>4318907</v>
      </c>
      <c r="F15" s="5">
        <f t="shared" si="1"/>
        <v>12083976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2026-08-21T01:47:11Z</dcterms:modified>
</cp:coreProperties>
</file>