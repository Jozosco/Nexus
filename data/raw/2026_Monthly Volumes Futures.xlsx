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26년" sheetId="1" r:id="rId1"/>
  </sheets>
  <calcPr calcId="162913"/>
</workbook>
</file>

<file path=xl/calcChain.xml><?xml version="1.0" encoding="utf-8"?>
<calcChain xmlns="http://schemas.openxmlformats.org/spreadsheetml/2006/main">
  <c r="P8" i="1" l="1"/>
  <c r="P9" i="1"/>
  <c r="P7" i="1"/>
  <c r="P11" i="1"/>
  <c r="P6" i="1" l="1"/>
  <c r="P14" i="1"/>
  <c r="P13" i="1"/>
  <c r="P10" i="1"/>
  <c r="P12" i="1" l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<sst xmlns="http://schemas.openxmlformats.org/spreadsheetml/2006/main" count="36" uniqueCount="36">
  <si>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</si>
  <si>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</si>
  <si>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*Equity derivatives include Russell and MSCI Index futures and options.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</si>
  <si>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</si>
  <si>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</si>
  <si>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</si>
  <si>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</si>
  <si>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</si>
  <si>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</si>
  <si>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</si>
  <si>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</si>
  <si>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</si>
  <si>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</si>
  <si>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</si>
  <si>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</si>
  <si>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</si>
  <si>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</si>
  <si>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</si>
  <si>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</si>
  <si>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</si>
  <si>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</si>
  <si>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</si>
  <si>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</si>
  <si>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</si>
  <si>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</si>
  <si>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Futures Energy</t>
  </si>
  <si>
    <t>Gas</t>
  </si>
  <si>
    <t>Monthly Totals</t>
  </si>
  <si>
    <t>Futures</t>
  </si>
  <si>
    <t>Options</t>
  </si>
  <si>
    <t>Overall</t>
  </si>
  <si>
    <t>Yearly Total</t>
    <phoneticPr fontId="18" type="noConversion"/>
  </si>
  <si>
    <t>**Power contract volume is now reported using the new contract conversion methodology. Prior monthly power volumes have been adjusted for comparison purposes.</t>
  </si>
  <si>
    <t>Power**</t>
    <phoneticPr fontId="18" type="noConversion"/>
  </si>
  <si>
    <t>Canola</t>
    <phoneticPr fontId="18" type="noConversion"/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</si>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</sst>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9" t="s">
        <v>6</v>
      </c>
      <c r="C1" s="30"/>
      <c r="D1" s="31"/>
      <c r="E1" s="29" t="s">
        <v>18</v>
      </c>
      <c r="F1" s="30"/>
      <c r="G1" s="30"/>
      <c r="H1" s="30"/>
      <c r="I1" s="30"/>
      <c r="J1" s="30"/>
      <c r="K1" s="31"/>
      <c r="L1" s="26" t="s">
        <v>25</v>
      </c>
      <c r="M1" s="27"/>
      <c r="N1" s="26" t="s">
        <v>27</v>
      </c>
      <c r="O1" s="28"/>
      <c r="P1" s="27"/>
    </row>
    <row r="2" spans="1:40" x14ac:dyDescent="0.3">
      <c r="A2" s="2" t="s">
        <v>3</v>
      </c>
      <c r="B2" s="12" t="s">
        <v>4</v>
      </c>
      <c r="C2" s="8" t="s">
        <v>5</v>
      </c>
      <c r="D2" s="9" t="s">
        <v>35</v>
      </c>
      <c r="E2" s="2" t="s">
        <v>19</v>
      </c>
      <c r="F2" s="10" t="s">
        <v>20</v>
      </c>
      <c r="G2" s="7" t="s">
        <v>21</v>
      </c>
      <c r="H2" s="2" t="s">
        <v>22</v>
      </c>
      <c r="I2" s="7" t="s">
        <v>23</v>
      </c>
      <c r="J2" s="2" t="s">
        <v>24</v>
      </c>
      <c r="K2" s="5" t="s">
        <v>34</v>
      </c>
      <c r="L2" s="4" t="s">
        <v>26</v>
      </c>
      <c r="M2" s="5" t="s">
        <v>33</v>
      </c>
      <c r="N2" s="2" t="s">
        <v>28</v>
      </c>
      <c r="O2" s="7" t="s">
        <v>29</v>
      </c>
      <c r="P2" s="5" t="s">
        <v>30</v>
      </c>
    </row>
    <row r="3" spans="1:40" ht="15" customHeight="1" x14ac:dyDescent="0.3">
      <c r="A3" s="1" t="s">
        <v>7</v>
      </c>
      <c r="B3" s="14">
        <v>443727</v>
      </c>
      <c r="C3" s="15">
        <v>11780</v>
      </c>
      <c r="D3" s="13">
        <v>3430993</v>
      </c>
      <c r="E3" s="16">
        <v>767241</v>
      </c>
      <c r="F3" s="20">
        <v>2993147</v>
      </c>
      <c r="G3" s="16">
        <v>910939</v>
      </c>
      <c r="H3" s="16">
        <v>1252776</v>
      </c>
      <c r="I3" s="20">
        <v>24512</v>
      </c>
      <c r="J3" s="16">
        <v>47044</v>
      </c>
      <c r="K3" s="13">
        <v>1241141</v>
      </c>
      <c r="L3" s="19">
        <v>27053316</v>
      </c>
      <c r="M3" s="13">
        <v>1799108</v>
      </c>
      <c r="N3" s="16">
        <v>39975724</v>
      </c>
      <c r="O3" s="20">
        <v>13165687</v>
      </c>
      <c r="P3" s="13">
        <f>SUM(N3:O3)</f>
        <v>53141411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8</v>
      </c>
      <c r="B4" s="19">
        <v>334191</v>
      </c>
      <c r="C4" s="20">
        <v>9687</v>
      </c>
      <c r="D4" s="13">
        <v>3428464</v>
      </c>
      <c r="E4" s="16">
        <v>983227</v>
      </c>
      <c r="F4" s="20">
        <v>4781932</v>
      </c>
      <c r="G4" s="16">
        <v>995692</v>
      </c>
      <c r="H4" s="16">
        <v>1743758</v>
      </c>
      <c r="I4" s="20">
        <v>40267</v>
      </c>
      <c r="J4" s="16">
        <v>38994</v>
      </c>
      <c r="K4" s="13">
        <v>1516291</v>
      </c>
      <c r="L4" s="19">
        <v>20528878</v>
      </c>
      <c r="M4" s="13">
        <v>1425983</v>
      </c>
      <c r="N4" s="16">
        <v>35827364</v>
      </c>
      <c r="O4" s="20">
        <v>12609224</v>
      </c>
      <c r="P4" s="13">
        <f t="shared" ref="P4:P15" si="0">SUM(N4:O4)</f>
        <v>48436588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9</v>
      </c>
      <c r="B5" s="19">
        <v>753389</v>
      </c>
      <c r="C5" s="20">
        <v>38258</v>
      </c>
      <c r="D5" s="13">
        <v>10565120</v>
      </c>
      <c r="E5" s="16">
        <v>911054</v>
      </c>
      <c r="F5" s="20">
        <v>4728583</v>
      </c>
      <c r="G5" s="16">
        <v>812852</v>
      </c>
      <c r="H5" s="16">
        <v>1790546</v>
      </c>
      <c r="I5" s="20">
        <v>18635</v>
      </c>
      <c r="J5" s="16">
        <v>44380</v>
      </c>
      <c r="K5" s="13">
        <v>1682695</v>
      </c>
      <c r="L5" s="19">
        <v>20323398</v>
      </c>
      <c r="M5" s="13">
        <v>1460193</v>
      </c>
      <c r="N5" s="16">
        <v>43129103</v>
      </c>
      <c r="O5" s="20">
        <v>21064648</v>
      </c>
      <c r="P5" s="13">
        <f t="shared" si="0"/>
        <v>64193751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10</v>
      </c>
      <c r="B6" s="19">
        <v>505746</v>
      </c>
      <c r="C6" s="20">
        <v>13530</v>
      </c>
      <c r="D6" s="13">
        <v>4605445</v>
      </c>
      <c r="E6" s="16">
        <v>840777</v>
      </c>
      <c r="F6" s="20">
        <v>4983936</v>
      </c>
      <c r="G6" s="16">
        <v>984523</v>
      </c>
      <c r="H6" s="16">
        <v>1855687</v>
      </c>
      <c r="I6" s="20">
        <v>33237</v>
      </c>
      <c r="J6" s="16">
        <v>38259</v>
      </c>
      <c r="K6" s="13">
        <v>1403133</v>
      </c>
      <c r="L6" s="19">
        <v>14373769</v>
      </c>
      <c r="M6" s="13">
        <v>1631397</v>
      </c>
      <c r="N6" s="16">
        <v>31269439</v>
      </c>
      <c r="O6" s="20">
        <v>9348745</v>
      </c>
      <c r="P6" s="13">
        <f t="shared" si="0"/>
        <v>40618184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11</v>
      </c>
      <c r="B7" s="19">
        <v>458986</v>
      </c>
      <c r="C7" s="20">
        <v>10093</v>
      </c>
      <c r="D7" s="13">
        <v>4087193</v>
      </c>
      <c r="E7" s="16">
        <v>639261</v>
      </c>
      <c r="F7" s="20">
        <v>3007396</v>
      </c>
      <c r="G7" s="16">
        <v>1001527</v>
      </c>
      <c r="H7" s="16">
        <v>1575058</v>
      </c>
      <c r="I7" s="20">
        <v>20247</v>
      </c>
      <c r="J7" s="16">
        <v>42741</v>
      </c>
      <c r="K7" s="13">
        <v>1114378</v>
      </c>
      <c r="L7" s="19">
        <v>14813782</v>
      </c>
      <c r="M7" s="13">
        <v>1481180</v>
      </c>
      <c r="N7" s="16">
        <v>28251842</v>
      </c>
      <c r="O7" s="20">
        <v>11007658</v>
      </c>
      <c r="P7" s="13">
        <f t="shared" si="0"/>
        <v>39259500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12</v>
      </c>
      <c r="B8" s="19"/>
      <c r="C8" s="20"/>
      <c r="D8" s="13"/>
      <c r="E8" s="16"/>
      <c r="F8" s="20"/>
      <c r="G8" s="16"/>
      <c r="H8" s="16"/>
      <c r="I8" s="20"/>
      <c r="J8" s="16"/>
      <c r="K8" s="13"/>
      <c r="L8" s="19"/>
      <c r="M8" s="13"/>
      <c r="N8" s="16"/>
      <c r="O8" s="20"/>
      <c r="P8" s="13">
        <f t="shared" si="0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13</v>
      </c>
      <c r="B9" s="19"/>
      <c r="C9" s="20"/>
      <c r="D9" s="13"/>
      <c r="E9" s="16"/>
      <c r="F9" s="20"/>
      <c r="G9" s="16"/>
      <c r="H9" s="16"/>
      <c r="I9" s="20"/>
      <c r="J9" s="16"/>
      <c r="K9" s="13"/>
      <c r="L9" s="19"/>
      <c r="M9" s="13"/>
      <c r="N9" s="16"/>
      <c r="O9" s="20"/>
      <c r="P9" s="13">
        <f t="shared" si="0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14</v>
      </c>
      <c r="B10" s="19"/>
      <c r="C10" s="20"/>
      <c r="D10" s="13"/>
      <c r="E10" s="16"/>
      <c r="F10" s="20"/>
      <c r="G10" s="16"/>
      <c r="H10" s="16"/>
      <c r="I10" s="20"/>
      <c r="J10" s="16"/>
      <c r="K10" s="13"/>
      <c r="L10" s="19"/>
      <c r="M10" s="13"/>
      <c r="N10" s="16"/>
      <c r="O10" s="20"/>
      <c r="P10" s="13">
        <f>SUM(N10:O10)</f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15</v>
      </c>
      <c r="B11" s="19"/>
      <c r="C11" s="20"/>
      <c r="D11" s="13"/>
      <c r="E11" s="16"/>
      <c r="F11" s="20"/>
      <c r="G11" s="16"/>
      <c r="H11" s="16"/>
      <c r="I11" s="20"/>
      <c r="J11" s="16"/>
      <c r="K11" s="13"/>
      <c r="L11" s="19"/>
      <c r="M11" s="13"/>
      <c r="N11" s="16"/>
      <c r="O11" s="20"/>
      <c r="P11" s="13">
        <f>SUM(N11:O11)</f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16</v>
      </c>
      <c r="B12" s="19"/>
      <c r="C12" s="20"/>
      <c r="D12" s="13"/>
      <c r="E12" s="16"/>
      <c r="F12" s="20"/>
      <c r="G12" s="16"/>
      <c r="H12" s="16"/>
      <c r="I12" s="20"/>
      <c r="J12" s="16"/>
      <c r="K12" s="13"/>
      <c r="L12" s="19"/>
      <c r="M12" s="13"/>
      <c r="N12" s="16"/>
      <c r="O12" s="20"/>
      <c r="P12" s="13">
        <f t="shared" ref="P11:P14" si="1">SUM(N12:O12)</f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17</v>
      </c>
      <c r="B13" s="19"/>
      <c r="C13" s="20"/>
      <c r="D13" s="13"/>
      <c r="E13" s="16"/>
      <c r="F13" s="20"/>
      <c r="G13" s="16"/>
      <c r="H13" s="16"/>
      <c r="I13" s="20"/>
      <c r="J13" s="16"/>
      <c r="K13" s="13"/>
      <c r="L13" s="19"/>
      <c r="M13" s="13"/>
      <c r="N13" s="16"/>
      <c r="O13" s="20"/>
      <c r="P13" s="13">
        <f t="shared" si="1"/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1" t="s">
        <v>0</v>
      </c>
      <c r="B14" s="21"/>
      <c r="C14" s="18"/>
      <c r="D14" s="17"/>
      <c r="E14" s="18"/>
      <c r="F14" s="18"/>
      <c r="G14" s="18"/>
      <c r="H14" s="18"/>
      <c r="I14" s="18"/>
      <c r="J14" s="18"/>
      <c r="K14" s="17"/>
      <c r="L14" s="21"/>
      <c r="M14" s="17"/>
      <c r="N14" s="18"/>
      <c r="O14" s="18"/>
      <c r="P14" s="17">
        <f t="shared" si="0"/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2" t="s">
        <v>31</v>
      </c>
      <c r="B15" s="23">
        <f>SUM(B3:B14)</f>
        <v>2496039</v>
      </c>
      <c r="C15" s="24">
        <f t="shared" ref="C15:O15" si="2">SUM(C3:C14)</f>
        <v>83348</v>
      </c>
      <c r="D15" s="25">
        <f t="shared" si="2"/>
        <v>26117215</v>
      </c>
      <c r="E15" s="24">
        <f t="shared" si="2"/>
        <v>4141560</v>
      </c>
      <c r="F15" s="24">
        <f t="shared" ref="F15" si="3">SUM(F3:F14)</f>
        <v>20494994</v>
      </c>
      <c r="G15" s="24">
        <f t="shared" ref="G15" si="4">SUM(G3:G14)</f>
        <v>4705533</v>
      </c>
      <c r="H15" s="24">
        <f t="shared" ref="H15" si="5">SUM(H3:H14)</f>
        <v>8217825</v>
      </c>
      <c r="I15" s="24">
        <f t="shared" ref="I15" si="6">SUM(I3:I14)</f>
        <v>136898</v>
      </c>
      <c r="J15" s="24">
        <f t="shared" ref="J15" si="7">SUM(J3:J14)</f>
        <v>211418</v>
      </c>
      <c r="K15" s="25">
        <f t="shared" ref="K15" si="8">SUM(K3:K14)</f>
        <v>6957638</v>
      </c>
      <c r="L15" s="23">
        <f t="shared" si="2"/>
        <v>97093143</v>
      </c>
      <c r="M15" s="25">
        <f t="shared" si="2"/>
        <v>7797861</v>
      </c>
      <c r="N15" s="24">
        <f t="shared" si="2"/>
        <v>178453472</v>
      </c>
      <c r="O15" s="24">
        <f t="shared" si="2"/>
        <v>67195962</v>
      </c>
      <c r="P15" s="25">
        <f t="shared" si="0"/>
        <v>245649434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32</v>
      </c>
    </row>
    <row r="19" spans="1:1" x14ac:dyDescent="0.3">
      <c r="A19" s="1"/>
    </row>
    <row r="20" spans="1:1" x14ac:dyDescent="0.3">
      <c r="A20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P3:P6 P10:P11 P12:P14 P7:P8 P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2026-06-23T08:35:04Z</dcterms:modified>
</cp:coreProperties>
</file>