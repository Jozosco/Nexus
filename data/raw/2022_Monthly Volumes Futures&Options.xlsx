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E.U\"/>
    </mc:Choice>
  </mc:AlternateContent>
  <bookViews>
    <workbookView xWindow="0" yWindow="0" windowWidth="25125" windowHeight="11640"/>
  </bookViews>
  <sheets>
    <sheet name="2022년" sheetId="1" r:id="rId1"/>
  </sheets>
  <calcPr calcId="162913"/>
</workbook>
</file>

<file path=xl/calcChain.xml><?xml version="1.0" encoding="utf-8"?>
<calcChain xmlns="http://schemas.openxmlformats.org/spreadsheetml/2006/main">
  <c r="S13" i="1" l="1"/>
  <c r="S6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 l="1"/>
  <c r="S12" i="1"/>
  <c r="S10" i="1"/>
  <c r="S8" i="1"/>
  <c r="S5" i="1"/>
  <c r="S14" i="1"/>
  <c r="S11" i="1"/>
  <c r="S9" i="1"/>
  <c r="S7" i="1"/>
  <c r="S4" i="1"/>
  <c r="S3" i="1"/>
  <c r="S15" i="1" l="1"/>
</calcChain>
</file>

<file path=xl/sharedStrings.xml><?xml version="1.0" encoding="utf-8"?>
<sst xmlns="http://schemas.openxmlformats.org/spreadsheetml/2006/main" count="37" uniqueCount="31">
  <si>
    <t>December</t>
  </si>
  <si>
    <t>Notes:</t>
  </si>
  <si>
    <t>Month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</si>
  <si>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</si>
  <si>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</si>
  <si>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</si>
  <si>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</si>
  <si>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</si>
  <si>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</si>
  <si>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</si>
  <si>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</si>
  <si>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</si>
  <si>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</si>
  <si>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</si>
  <si>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Yearly Total</t>
    <phoneticPr fontId="18" type="noConversion"/>
  </si>
  <si>
    <t>*Liffe volumes included from the date of migration</t>
  </si>
  <si>
    <t>Brent</t>
    <phoneticPr fontId="18" type="noConversion"/>
  </si>
  <si>
    <t>Gas Oil</t>
    <phoneticPr fontId="18" type="noConversion"/>
  </si>
  <si>
    <t>WTI</t>
    <phoneticPr fontId="18" type="noConversion"/>
  </si>
  <si>
    <t>Heating Oil &amp; RBOB</t>
    <phoneticPr fontId="18" type="noConversion"/>
  </si>
  <si>
    <t>Oil Products</t>
    <phoneticPr fontId="18" type="noConversion"/>
  </si>
  <si>
    <t>EU NAT Gas</t>
    <phoneticPr fontId="18" type="noConversion"/>
  </si>
  <si>
    <t>Coal Power &amp; Emissions</t>
    <phoneticPr fontId="18" type="noConversion"/>
  </si>
  <si>
    <t>Interest Rates*</t>
    <phoneticPr fontId="18" type="noConversion"/>
  </si>
  <si>
    <t>Equity Derivatives*</t>
    <phoneticPr fontId="18" type="noConversion"/>
  </si>
  <si>
    <t>London AGS*</t>
    <phoneticPr fontId="18" type="noConversion"/>
  </si>
  <si>
    <t>Futures</t>
    <phoneticPr fontId="18" type="noConversion"/>
  </si>
  <si>
    <t>Total Monthly Volume</t>
    <phoneticPr fontId="18" type="noConversion"/>
  </si>
  <si>
    <t>Monthly Totals</t>
    <phoneticPr fontId="18" type="noConversion"/>
  </si>
  <si>
    <t>Options</t>
    <phoneticPr fontId="18" type="noConversion"/>
  </si>
  <si>
    <t>London AGS &amp; Other Energy Options*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</si>
</sst>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  <xf numFmtId="177" fontId="20" fillId="0" borderId="11" xfId="0" applyNumberFormat="1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9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16" customWidth="1"/>
    <col min="4" max="4" width="20.75" bestFit="1" customWidth="1"/>
    <col min="5" max="5" width="20" bestFit="1" customWidth="1"/>
    <col min="6" max="7" width="12.625" bestFit="1" customWidth="1"/>
    <col min="8" max="8" width="23.5" bestFit="1" customWidth="1"/>
    <col min="9" max="9" width="14" bestFit="1" customWidth="1"/>
    <col min="10" max="10" width="15.875" bestFit="1" customWidth="1"/>
    <col min="11" max="11" width="12.5" bestFit="1" customWidth="1"/>
    <col min="12" max="12" width="13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  <col min="17" max="17" width="18" bestFit="1" customWidth="1"/>
    <col min="18" max="18" width="37" bestFit="1" customWidth="1"/>
    <col min="19" max="19" width="21.875" bestFit="1" customWidth="1"/>
  </cols>
  <sheetData>
    <row r="1" spans="1:40" x14ac:dyDescent="0.3">
      <c r="A1" s="1"/>
      <c r="B1" s="28" t="s">
        <v>26</v>
      </c>
      <c r="C1" s="29"/>
      <c r="D1" s="29"/>
      <c r="E1" s="29"/>
      <c r="F1" s="29"/>
      <c r="G1" s="29"/>
      <c r="H1" s="29"/>
      <c r="I1" s="29"/>
      <c r="J1" s="29"/>
      <c r="K1" s="30"/>
      <c r="L1" s="25" t="s">
        <v>29</v>
      </c>
      <c r="M1" s="27"/>
      <c r="N1" s="27"/>
      <c r="O1" s="27"/>
      <c r="P1" s="27"/>
      <c r="Q1" s="27"/>
      <c r="R1" s="26"/>
      <c r="S1" s="24" t="s">
        <v>28</v>
      </c>
    </row>
    <row r="2" spans="1:40" x14ac:dyDescent="0.3">
      <c r="A2" s="2" t="s">
        <v>2</v>
      </c>
      <c r="B2" s="10" t="s">
        <v>16</v>
      </c>
      <c r="C2" s="7" t="s">
        <v>17</v>
      </c>
      <c r="D2" s="6" t="s">
        <v>18</v>
      </c>
      <c r="E2" s="2" t="s">
        <v>19</v>
      </c>
      <c r="F2" s="8" t="s">
        <v>20</v>
      </c>
      <c r="G2" s="6" t="s">
        <v>21</v>
      </c>
      <c r="H2" s="2" t="s">
        <v>22</v>
      </c>
      <c r="I2" s="6" t="s">
        <v>23</v>
      </c>
      <c r="J2" s="2" t="s">
        <v>24</v>
      </c>
      <c r="K2" s="4" t="s">
        <v>25</v>
      </c>
      <c r="L2" s="10" t="s">
        <v>16</v>
      </c>
      <c r="M2" s="6" t="s">
        <v>18</v>
      </c>
      <c r="N2" s="7" t="s">
        <v>17</v>
      </c>
      <c r="O2" s="8" t="s">
        <v>20</v>
      </c>
      <c r="P2" s="6" t="s">
        <v>23</v>
      </c>
      <c r="Q2" s="2" t="s">
        <v>24</v>
      </c>
      <c r="R2" s="4" t="s">
        <v>30</v>
      </c>
      <c r="S2" s="4" t="s">
        <v>27</v>
      </c>
    </row>
    <row r="3" spans="1:40" ht="15" customHeight="1" x14ac:dyDescent="0.3">
      <c r="A3" s="1" t="s">
        <v>3</v>
      </c>
      <c r="B3" s="12">
        <v>20082416</v>
      </c>
      <c r="C3" s="13">
        <v>6972833</v>
      </c>
      <c r="D3" s="18">
        <v>3685680</v>
      </c>
      <c r="E3" s="14">
        <v>4547191</v>
      </c>
      <c r="F3" s="18">
        <v>4390757</v>
      </c>
      <c r="G3" s="14">
        <v>4764919</v>
      </c>
      <c r="H3" s="14">
        <v>780433</v>
      </c>
      <c r="I3" s="18">
        <v>26275938</v>
      </c>
      <c r="J3" s="14">
        <v>3162672</v>
      </c>
      <c r="K3" s="11">
        <v>987670</v>
      </c>
      <c r="L3" s="17">
        <v>3201769</v>
      </c>
      <c r="M3" s="18">
        <v>259239</v>
      </c>
      <c r="N3" s="14">
        <v>38515</v>
      </c>
      <c r="O3" s="18">
        <v>140274</v>
      </c>
      <c r="P3" s="18">
        <v>6594984</v>
      </c>
      <c r="Q3" s="18">
        <v>2578762</v>
      </c>
      <c r="R3" s="11">
        <v>870156</v>
      </c>
      <c r="S3" s="11">
        <f>SUM(B3:R3)</f>
        <v>89334208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4</v>
      </c>
      <c r="B4" s="17">
        <v>23509695</v>
      </c>
      <c r="C4" s="18">
        <v>7073361</v>
      </c>
      <c r="D4" s="18">
        <v>4826105</v>
      </c>
      <c r="E4" s="14">
        <v>4151775</v>
      </c>
      <c r="F4" s="18">
        <v>4224523</v>
      </c>
      <c r="G4" s="14">
        <v>4957991</v>
      </c>
      <c r="H4" s="14">
        <v>924370</v>
      </c>
      <c r="I4" s="18">
        <v>46287223</v>
      </c>
      <c r="J4" s="14">
        <v>4097744</v>
      </c>
      <c r="K4" s="11">
        <v>1197159</v>
      </c>
      <c r="L4" s="17">
        <v>3297284</v>
      </c>
      <c r="M4" s="18">
        <v>276195</v>
      </c>
      <c r="N4" s="14">
        <v>33086</v>
      </c>
      <c r="O4" s="18">
        <v>117439</v>
      </c>
      <c r="P4" s="18">
        <v>11828284</v>
      </c>
      <c r="Q4" s="18">
        <v>1934573</v>
      </c>
      <c r="R4" s="11">
        <v>760846</v>
      </c>
      <c r="S4" s="11">
        <f t="shared" ref="S4:S14" si="0">SUM(B4:R4)</f>
        <v>119497653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5</v>
      </c>
      <c r="B5" s="17">
        <v>27302926</v>
      </c>
      <c r="C5" s="18">
        <v>6472601</v>
      </c>
      <c r="D5" s="18">
        <v>4514991</v>
      </c>
      <c r="E5" s="14">
        <v>1620935</v>
      </c>
      <c r="F5" s="18">
        <v>4808695</v>
      </c>
      <c r="G5" s="14">
        <v>5687143</v>
      </c>
      <c r="H5" s="14">
        <v>1268431</v>
      </c>
      <c r="I5" s="18">
        <v>35987459</v>
      </c>
      <c r="J5" s="14">
        <v>7453797</v>
      </c>
      <c r="K5" s="11">
        <v>1137625</v>
      </c>
      <c r="L5" s="17">
        <v>4703252</v>
      </c>
      <c r="M5" s="18">
        <v>419435</v>
      </c>
      <c r="N5" s="14">
        <v>31555</v>
      </c>
      <c r="O5" s="18">
        <v>84687</v>
      </c>
      <c r="P5" s="18">
        <v>10755364</v>
      </c>
      <c r="Q5" s="18">
        <v>2147772</v>
      </c>
      <c r="R5" s="11">
        <v>962575</v>
      </c>
      <c r="S5" s="11">
        <f t="shared" si="0"/>
        <v>115359243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6</v>
      </c>
      <c r="B6" s="17">
        <v>16683106</v>
      </c>
      <c r="C6" s="18">
        <v>3827630</v>
      </c>
      <c r="D6" s="18">
        <v>3888665</v>
      </c>
      <c r="E6" s="14">
        <v>1412903</v>
      </c>
      <c r="F6" s="18">
        <v>3299494</v>
      </c>
      <c r="G6" s="14">
        <v>3105511</v>
      </c>
      <c r="H6" s="14">
        <v>597288</v>
      </c>
      <c r="I6" s="18">
        <v>26064842</v>
      </c>
      <c r="J6" s="14">
        <v>3677106</v>
      </c>
      <c r="K6" s="11">
        <v>966122</v>
      </c>
      <c r="L6" s="17">
        <v>1859262</v>
      </c>
      <c r="M6" s="18">
        <v>264174</v>
      </c>
      <c r="N6" s="14">
        <v>25175</v>
      </c>
      <c r="O6" s="18">
        <v>86812</v>
      </c>
      <c r="P6" s="18">
        <v>8296415</v>
      </c>
      <c r="Q6" s="18">
        <v>2035873</v>
      </c>
      <c r="R6" s="11">
        <v>403272</v>
      </c>
      <c r="S6" s="11">
        <f t="shared" si="0"/>
        <v>76493650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7</v>
      </c>
      <c r="B7" s="17">
        <v>18450617</v>
      </c>
      <c r="C7" s="18">
        <v>4633124</v>
      </c>
      <c r="D7" s="18">
        <v>4145659</v>
      </c>
      <c r="E7" s="14">
        <v>1475465</v>
      </c>
      <c r="F7" s="18">
        <v>3504540</v>
      </c>
      <c r="G7" s="14">
        <v>3274419</v>
      </c>
      <c r="H7" s="14">
        <v>774844</v>
      </c>
      <c r="I7" s="18">
        <v>33092852</v>
      </c>
      <c r="J7" s="14">
        <v>5392983</v>
      </c>
      <c r="K7" s="11">
        <v>991201</v>
      </c>
      <c r="L7" s="17">
        <v>1975938</v>
      </c>
      <c r="M7" s="18">
        <v>366555</v>
      </c>
      <c r="N7" s="14">
        <v>36270</v>
      </c>
      <c r="O7" s="18">
        <v>69728</v>
      </c>
      <c r="P7" s="18">
        <v>9474432</v>
      </c>
      <c r="Q7" s="18">
        <v>2020189</v>
      </c>
      <c r="R7" s="11">
        <v>509815</v>
      </c>
      <c r="S7" s="11">
        <f t="shared" si="0"/>
        <v>90188631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8</v>
      </c>
      <c r="B8" s="17">
        <v>18722124</v>
      </c>
      <c r="C8" s="18">
        <v>4528940</v>
      </c>
      <c r="D8" s="18">
        <v>3641174</v>
      </c>
      <c r="E8" s="14">
        <v>1375360</v>
      </c>
      <c r="F8" s="18">
        <v>3745697</v>
      </c>
      <c r="G8" s="14">
        <v>3473291</v>
      </c>
      <c r="H8" s="14">
        <v>629369</v>
      </c>
      <c r="I8" s="18">
        <v>39546607</v>
      </c>
      <c r="J8" s="14">
        <v>6316832</v>
      </c>
      <c r="K8" s="11">
        <v>1108398</v>
      </c>
      <c r="L8" s="17">
        <v>2350649</v>
      </c>
      <c r="M8" s="18">
        <v>282162</v>
      </c>
      <c r="N8" s="14">
        <v>19287</v>
      </c>
      <c r="O8" s="18">
        <v>68386</v>
      </c>
      <c r="P8" s="18">
        <v>10532548</v>
      </c>
      <c r="Q8" s="18">
        <v>2363052</v>
      </c>
      <c r="R8" s="11">
        <v>526645</v>
      </c>
      <c r="S8" s="11">
        <f t="shared" si="0"/>
        <v>99230521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9</v>
      </c>
      <c r="B9" s="17">
        <v>18249810</v>
      </c>
      <c r="C9" s="18">
        <v>4196875</v>
      </c>
      <c r="D9" s="18">
        <v>3623735</v>
      </c>
      <c r="E9" s="14">
        <v>1283923</v>
      </c>
      <c r="F9" s="18">
        <v>3622723</v>
      </c>
      <c r="G9" s="14">
        <v>3235838</v>
      </c>
      <c r="H9" s="14">
        <v>642349</v>
      </c>
      <c r="I9" s="18">
        <v>33074185</v>
      </c>
      <c r="J9" s="14">
        <v>2653039</v>
      </c>
      <c r="K9" s="11">
        <v>1062009</v>
      </c>
      <c r="L9" s="17">
        <v>1816373</v>
      </c>
      <c r="M9" s="18">
        <v>221524</v>
      </c>
      <c r="N9" s="14">
        <v>26792</v>
      </c>
      <c r="O9" s="18">
        <v>59723</v>
      </c>
      <c r="P9" s="18">
        <v>6893659</v>
      </c>
      <c r="Q9" s="18">
        <v>1536473</v>
      </c>
      <c r="R9" s="11">
        <v>530662</v>
      </c>
      <c r="S9" s="11">
        <f t="shared" si="0"/>
        <v>82729692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10</v>
      </c>
      <c r="B10" s="17">
        <v>18963166</v>
      </c>
      <c r="C10" s="18">
        <v>4702961</v>
      </c>
      <c r="D10" s="18">
        <v>3695065</v>
      </c>
      <c r="E10" s="14">
        <v>2534084</v>
      </c>
      <c r="F10" s="18">
        <v>3526977</v>
      </c>
      <c r="G10" s="14">
        <v>3489608</v>
      </c>
      <c r="H10" s="14">
        <v>634987</v>
      </c>
      <c r="I10" s="18">
        <v>37269282</v>
      </c>
      <c r="J10" s="14">
        <v>4470941</v>
      </c>
      <c r="K10" s="11">
        <v>1150520</v>
      </c>
      <c r="L10" s="17">
        <v>1957830</v>
      </c>
      <c r="M10" s="18">
        <v>238787</v>
      </c>
      <c r="N10" s="14">
        <v>39840</v>
      </c>
      <c r="O10" s="18">
        <v>49372</v>
      </c>
      <c r="P10" s="18">
        <v>8841505</v>
      </c>
      <c r="Q10" s="18">
        <v>1623518</v>
      </c>
      <c r="R10" s="11">
        <v>574832</v>
      </c>
      <c r="S10" s="11">
        <f t="shared" si="0"/>
        <v>93763275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11</v>
      </c>
      <c r="B11" s="17">
        <v>18082478</v>
      </c>
      <c r="C11" s="18">
        <v>5376121</v>
      </c>
      <c r="D11" s="18">
        <v>3257506</v>
      </c>
      <c r="E11" s="14">
        <v>3254693</v>
      </c>
      <c r="F11" s="18">
        <v>3677948</v>
      </c>
      <c r="G11" s="14">
        <v>3139243</v>
      </c>
      <c r="H11" s="14">
        <v>809443</v>
      </c>
      <c r="I11" s="18">
        <v>48007000</v>
      </c>
      <c r="J11" s="14">
        <v>8001484</v>
      </c>
      <c r="K11" s="11">
        <v>1081620</v>
      </c>
      <c r="L11" s="17">
        <v>2249988</v>
      </c>
      <c r="M11" s="18">
        <v>277169</v>
      </c>
      <c r="N11" s="14">
        <v>25020</v>
      </c>
      <c r="O11" s="18">
        <v>112467</v>
      </c>
      <c r="P11" s="18">
        <v>10467760</v>
      </c>
      <c r="Q11" s="18">
        <v>1842667</v>
      </c>
      <c r="R11" s="11">
        <v>541893</v>
      </c>
      <c r="S11" s="11">
        <f t="shared" si="0"/>
        <v>110204500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12</v>
      </c>
      <c r="B12" s="17">
        <v>17558040</v>
      </c>
      <c r="C12" s="18">
        <v>4765218</v>
      </c>
      <c r="D12" s="18">
        <v>3412314</v>
      </c>
      <c r="E12" s="14">
        <v>2863767</v>
      </c>
      <c r="F12" s="18">
        <v>3646352</v>
      </c>
      <c r="G12" s="14">
        <v>3036023</v>
      </c>
      <c r="H12" s="14">
        <v>702748</v>
      </c>
      <c r="I12" s="18">
        <v>34959884</v>
      </c>
      <c r="J12" s="14">
        <v>4373871</v>
      </c>
      <c r="K12" s="11">
        <v>1261519</v>
      </c>
      <c r="L12" s="17">
        <v>2924387</v>
      </c>
      <c r="M12" s="18">
        <v>282334</v>
      </c>
      <c r="N12" s="14">
        <v>30161</v>
      </c>
      <c r="O12" s="18">
        <v>107750</v>
      </c>
      <c r="P12" s="18">
        <v>6415744</v>
      </c>
      <c r="Q12" s="18">
        <v>2488502</v>
      </c>
      <c r="R12" s="11">
        <v>669046</v>
      </c>
      <c r="S12" s="11">
        <f t="shared" si="0"/>
        <v>89497660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13</v>
      </c>
      <c r="B13" s="17">
        <v>21189678</v>
      </c>
      <c r="C13" s="18">
        <v>4917098</v>
      </c>
      <c r="D13" s="18">
        <v>4257698</v>
      </c>
      <c r="E13" s="14">
        <v>1942572</v>
      </c>
      <c r="F13" s="18">
        <v>4366219</v>
      </c>
      <c r="G13" s="14">
        <v>3216864</v>
      </c>
      <c r="H13" s="14">
        <v>915173</v>
      </c>
      <c r="I13" s="18">
        <v>32342392</v>
      </c>
      <c r="J13" s="14">
        <v>4676305</v>
      </c>
      <c r="K13" s="11">
        <v>1344673</v>
      </c>
      <c r="L13" s="17">
        <v>3071077</v>
      </c>
      <c r="M13" s="18">
        <v>350539</v>
      </c>
      <c r="N13" s="14">
        <v>28187</v>
      </c>
      <c r="O13" s="18">
        <v>78642</v>
      </c>
      <c r="P13" s="18">
        <v>5748618</v>
      </c>
      <c r="Q13" s="18">
        <v>2464959</v>
      </c>
      <c r="R13" s="11">
        <v>685173</v>
      </c>
      <c r="S13" s="11">
        <f t="shared" si="0"/>
        <v>91595867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9" t="s">
        <v>0</v>
      </c>
      <c r="B14" s="19">
        <v>16560735</v>
      </c>
      <c r="C14" s="16">
        <v>4267015</v>
      </c>
      <c r="D14" s="16">
        <v>3164913</v>
      </c>
      <c r="E14" s="16">
        <v>1665243</v>
      </c>
      <c r="F14" s="16">
        <v>3354366</v>
      </c>
      <c r="G14" s="16">
        <v>3086581</v>
      </c>
      <c r="H14" s="16">
        <v>846377</v>
      </c>
      <c r="I14" s="16">
        <v>28468003</v>
      </c>
      <c r="J14" s="16">
        <v>5185291</v>
      </c>
      <c r="K14" s="15">
        <v>926304</v>
      </c>
      <c r="L14" s="19">
        <v>2090125</v>
      </c>
      <c r="M14" s="16">
        <v>273271</v>
      </c>
      <c r="N14" s="16">
        <v>35810</v>
      </c>
      <c r="O14" s="16">
        <v>136022</v>
      </c>
      <c r="P14" s="16">
        <v>4585956</v>
      </c>
      <c r="Q14" s="16">
        <v>2034548</v>
      </c>
      <c r="R14" s="15">
        <v>574950</v>
      </c>
      <c r="S14" s="15">
        <f t="shared" si="0"/>
        <v>77255510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0" t="s">
        <v>14</v>
      </c>
      <c r="B15" s="21">
        <f t="shared" ref="B15:R15" si="1">SUM(B3:B14)</f>
        <v>235354791</v>
      </c>
      <c r="C15" s="22">
        <f t="shared" ref="C15" si="2">SUM(C3:C14)</f>
        <v>61733777</v>
      </c>
      <c r="D15" s="22">
        <f t="shared" ref="D15" si="3">SUM(D3:D14)</f>
        <v>46113505</v>
      </c>
      <c r="E15" s="31">
        <f t="shared" ref="E15" si="4">SUM(E3:E14)</f>
        <v>28127911</v>
      </c>
      <c r="F15" s="22">
        <f t="shared" ref="F15" si="5">SUM(F3:F14)</f>
        <v>46168291</v>
      </c>
      <c r="G15" s="22">
        <f t="shared" ref="G15" si="6">SUM(G3:G14)</f>
        <v>44467431</v>
      </c>
      <c r="H15" s="22">
        <f t="shared" ref="H15" si="7">SUM(H3:H14)</f>
        <v>9525812</v>
      </c>
      <c r="I15" s="22">
        <f t="shared" ref="I15" si="8">SUM(I3:I14)</f>
        <v>421375667</v>
      </c>
      <c r="J15" s="22">
        <f t="shared" ref="J15" si="9">SUM(J3:J14)</f>
        <v>59462065</v>
      </c>
      <c r="K15" s="23">
        <f t="shared" ref="K15" si="10">SUM(K3:K14)</f>
        <v>13214820</v>
      </c>
      <c r="L15" s="21">
        <f t="shared" ref="L15" si="11">SUM(L3:L14)</f>
        <v>31497934</v>
      </c>
      <c r="M15" s="22">
        <f t="shared" ref="M15" si="12">SUM(M3:M14)</f>
        <v>3511384</v>
      </c>
      <c r="N15" s="22">
        <f t="shared" ref="N15" si="13">SUM(N3:N14)</f>
        <v>369698</v>
      </c>
      <c r="O15" s="22">
        <f t="shared" ref="O15" si="14">SUM(O3:O14)</f>
        <v>1111302</v>
      </c>
      <c r="P15" s="22">
        <f t="shared" ref="P15" si="15">SUM(P3:P14)</f>
        <v>100435269</v>
      </c>
      <c r="Q15" s="22">
        <f t="shared" ref="Q15" si="16">SUM(Q3:Q14)</f>
        <v>25070888</v>
      </c>
      <c r="R15" s="23">
        <f t="shared" ref="R15" si="17">SUM(R3:R14)</f>
        <v>7609865</v>
      </c>
      <c r="S15" s="23">
        <f>SUM(S3:S14)</f>
        <v>1135150410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5" t="s">
        <v>15</v>
      </c>
    </row>
    <row r="18" spans="1:1" x14ac:dyDescent="0.3">
      <c r="A18" s="1"/>
    </row>
    <row r="19" spans="1:1" x14ac:dyDescent="0.3">
      <c r="A19" s="1"/>
    </row>
  </sheetData>
  <mergeCells count="2">
    <mergeCell ref="B1:K1"/>
    <mergeCell ref="L1:R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2022년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2026-06-23T09:29:33Z</dcterms:modified>
</cp:coreProperties>
</file>