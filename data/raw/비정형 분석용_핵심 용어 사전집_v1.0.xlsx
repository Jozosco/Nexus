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참고자료\"/>
    </mc:Choice>
  </mc:AlternateContent>
  <bookViews>
    <workbookView xWindow="0" yWindow="0" windowWidth="25125" windowHeight="11640"/>
  </bookViews>
  <sheets>
    <sheet name="요약" sheetId="1" r:id="rId1"/>
    <sheet name="용어사전" sheetId="2" r:id="rId2"/>
    <sheet name="분류체계" sheetId="3" r:id="rId3"/>
    <sheet name="관계사전" sheetId="4" r:id="rId4"/>
    <sheet name="출처" sheetId="5" r:id="rId5"/>
    <sheet name="코드목록" sheetId="6" r:id="rId6"/>
  </sheets>
  <calcPr calcId="162913"/>
</workbook>
</file>

<file path=xl/calcChain.xml><?xml version="1.0" encoding="utf-8"?>
<calcChain xmlns="http://schemas.openxmlformats.org/spreadsheetml/2006/main">
  <c r="E13" i="1" l="1"/>
  <c r="E12" i="1"/>
  <c r="E11" i="1"/>
  <c r="E10" i="1"/>
  <c r="E9" i="1"/>
  <c r="B9" i="1"/>
  <c r="E8" i="1"/>
  <c r="B8" i="1"/>
  <c r="E7" i="1"/>
  <c r="E6" i="1"/>
  <c r="B6" i="1"/>
</calcChain>
</file>

<file path=xl/sharedStrings.xml><?xml version="1.0" encoding="utf-8"?>
<sst xmlns="http://schemas.openxmlformats.org/spreadsheetml/2006/main" count="3699" uniqueCount="1824">
  <si>
    <t>Project Nexus 핵심 용어사전 v1.0</t>
  </si>
  <si>
    <t>비정형 PDF 해석 · Semantic Layer · Ontology 공통 통제어휘 | 2026-08-11</t>
  </si>
  <si>
    <t>핵심 지표</t>
  </si>
  <si>
    <t>값</t>
  </si>
  <si>
    <t>대분류</t>
  </si>
  <si>
    <t>용어 수</t>
  </si>
  <si>
    <t>전체 용어 수</t>
  </si>
  <si>
    <t>경제·무역</t>
  </si>
  <si>
    <t>대분류 수</t>
  </si>
  <si>
    <t>농업·농기상</t>
  </si>
  <si>
    <t>우선순위 A</t>
  </si>
  <si>
    <t>시장·가격·조달</t>
  </si>
  <si>
    <t>모호성 위험 상</t>
  </si>
  <si>
    <t>에너지·바이오연료</t>
  </si>
  <si>
    <t>지정학·안보</t>
  </si>
  <si>
    <t>물류·공급망</t>
  </si>
  <si>
    <t>외교·정책·규제</t>
  </si>
  <si>
    <t>데이터·시맨틱·품질</t>
  </si>
  <si>
    <t>사용 규칙</t>
  </si>
  <si>
    <t>7. 신규 용어는 임시 상태로 등록하고 P1-01~04 또는 P1-06 검토 후 활성화합니다.</t>
  </si>
  <si>
    <t>용어ID</t>
  </si>
  <si>
    <t>대분류_EN</t>
  </si>
  <si>
    <t>중분류</t>
  </si>
  <si>
    <t>중분류_EN</t>
  </si>
  <si>
    <t>소분류</t>
  </si>
  <si>
    <t>표준용어_EN</t>
  </si>
  <si>
    <t>표준용어_KO</t>
  </si>
  <si>
    <t>약어</t>
  </si>
  <si>
    <t>동의어·변형</t>
  </si>
  <si>
    <t>엔터티유형</t>
  </si>
  <si>
    <t>프로젝트 정의</t>
  </si>
  <si>
    <t>해석 규칙·주의점</t>
  </si>
  <si>
    <t>영향대상</t>
  </si>
  <si>
    <t>기본 가격방향</t>
  </si>
  <si>
    <t>단위·범위</t>
  </si>
  <si>
    <t>경보·판정기준</t>
  </si>
  <si>
    <t>우선순위</t>
  </si>
  <si>
    <t>모호성위험</t>
  </si>
  <si>
    <t>온톨로지클래스</t>
  </si>
  <si>
    <t>권장관계</t>
  </si>
  <si>
    <t>출처코드</t>
  </si>
  <si>
    <t>TERM-001</t>
  </si>
  <si>
    <t>Economy &amp; Trade</t>
  </si>
  <si>
    <t>거시경제</t>
  </si>
  <si>
    <t>Macroeconomy</t>
  </si>
  <si>
    <t>금리</t>
  </si>
  <si>
    <t>Federal Funds Rate</t>
  </si>
  <si>
    <t>미 연방기금금리</t>
  </si>
  <si>
    <t>FEDFUNDS</t>
  </si>
  <si>
    <t>Fed funds rate; policy rate</t>
  </si>
  <si>
    <t>Indicator</t>
  </si>
  <si>
    <t>미국의 단기 정책금리 지표로 달러·금융비용·원자재 위험선호에 영향을 준다.</t>
  </si>
  <si>
    <t>금리 상승을 대두유 가격 상승으로 자동 변환하지 말고 달러·수요·재고 경로를 확인한다.</t>
  </si>
  <si>
    <t>Macro/FX</t>
  </si>
  <si>
    <t>CONTEXT</t>
  </si>
  <si>
    <t>%</t>
  </si>
  <si>
    <t>문서별</t>
  </si>
  <si>
    <t>B</t>
  </si>
  <si>
    <t>중</t>
  </si>
  <si>
    <t>EconomicIndicator</t>
  </si>
  <si>
    <t>MEASURED_BY</t>
  </si>
  <si>
    <t>GH-README,GH-P101</t>
  </si>
  <si>
    <t>TERM-002</t>
  </si>
  <si>
    <t>물가</t>
  </si>
  <si>
    <t>Consumer Price Index</t>
  </si>
  <si>
    <t>소비자물가지수</t>
  </si>
  <si>
    <t>CPI</t>
  </si>
  <si>
    <t>global CPI; CPIAUCSL; inflation index</t>
  </si>
  <si>
    <t>소비자 물가수준의 변화를 나타내는 지수다.</t>
  </si>
  <si>
    <t>전년동월비와 지수 레벨을 구분하고 국가·기준연도를 함께 저장한다.</t>
  </si>
  <si>
    <t>Demand/Cost</t>
  </si>
  <si>
    <t>index or % YoY</t>
  </si>
  <si>
    <t>TERM-003</t>
  </si>
  <si>
    <t>Inflation</t>
  </si>
  <si>
    <t>인플레이션</t>
  </si>
  <si>
    <t>price inflation; 물가상승률</t>
  </si>
  <si>
    <t>Concept</t>
  </si>
  <si>
    <t>전반적인 가격수준의 지속적 상승이다.</t>
  </si>
  <si>
    <t>CPI 수준과 상승률을 혼동하지 않으며 명목가격 상승을 실질 수급 변화로 해석하지 않는다.</t>
  </si>
  <si>
    <t>EconomicCondition</t>
  </si>
  <si>
    <t>AFFECTS</t>
  </si>
  <si>
    <t>TERM-004</t>
  </si>
  <si>
    <t>위험선호</t>
  </si>
  <si>
    <t>VIX Index</t>
  </si>
  <si>
    <t>변동성지수</t>
  </si>
  <si>
    <t>VIX</t>
  </si>
  <si>
    <t>fear index; VIXCLS</t>
  </si>
  <si>
    <t>미국 주식시장의 기대 변동성 지표로 글로벌 위험회피의 대용치다.</t>
  </si>
  <si>
    <t>대두유 직접 원인이 아니라 금융환경 컨텍스트로 분류한다.</t>
  </si>
  <si>
    <t>Risk Premium</t>
  </si>
  <si>
    <t>UP_RISK</t>
  </si>
  <si>
    <t>index</t>
  </si>
  <si>
    <t>통계적 임계값 사용</t>
  </si>
  <si>
    <t>C</t>
  </si>
  <si>
    <t>RiskIndicator</t>
  </si>
  <si>
    <t>TERM-005</t>
  </si>
  <si>
    <t>성장</t>
  </si>
  <si>
    <t>Gross Domestic Product</t>
  </si>
  <si>
    <t>국내총생산</t>
  </si>
  <si>
    <t>GDP</t>
  </si>
  <si>
    <t>economic growth</t>
  </si>
  <si>
    <t>국가 경제활동의 총생산 규모다.</t>
  </si>
  <si>
    <t>명목·실질, 전기비·전년비, 국가를 반드시 구분한다.</t>
  </si>
  <si>
    <t>Demand</t>
  </si>
  <si>
    <t>currency or %</t>
  </si>
  <si>
    <t>TERM-006</t>
  </si>
  <si>
    <t>외환</t>
  </si>
  <si>
    <t>Foreign Exchange</t>
  </si>
  <si>
    <t>환율</t>
  </si>
  <si>
    <t>KRW per USD</t>
  </si>
  <si>
    <t>원/달러 환율</t>
  </si>
  <si>
    <t>KRW/USD</t>
  </si>
  <si>
    <t>USD/KRW; won-dollar rate</t>
  </si>
  <si>
    <t>1달러당 원화 가격으로 한국의 수입원가를 결정하는 핵심 환율이다.</t>
  </si>
  <si>
    <t>표기 방향을 확인한다. KRW/USD 상승은 원화 약세이자 원화 수입원가 상승이다.</t>
  </si>
  <si>
    <t>Korea Import Cost</t>
  </si>
  <si>
    <t>UP</t>
  </si>
  <si>
    <t>&gt;2σ deviation</t>
  </si>
  <si>
    <t>A</t>
  </si>
  <si>
    <t>상</t>
  </si>
  <si>
    <t>ExchangeRate</t>
  </si>
  <si>
    <t>GH-README,GH-P101,GH-P104</t>
  </si>
  <si>
    <t>TERM-007</t>
  </si>
  <si>
    <t>BRL per USD</t>
  </si>
  <si>
    <t>브라질 헤알/달러 환율</t>
  </si>
  <si>
    <t>BRL/USD</t>
  </si>
  <si>
    <t>USD/BRL; real-dollar</t>
  </si>
  <si>
    <t>브라질 수출경쟁력과 생산자 판매 유인을 설명하는 환율이다.</t>
  </si>
  <si>
    <t>표기 방향·현지통화 기준을 확인하고 가격 효과는 수출공급 메커니즘을 통해 판단한다.</t>
  </si>
  <si>
    <t>Export Supply</t>
  </si>
  <si>
    <t>통계적 임계값</t>
  </si>
  <si>
    <t>TERM-008</t>
  </si>
  <si>
    <t>ARS per USD</t>
  </si>
  <si>
    <t>아르헨티나 페소/달러 환율</t>
  </si>
  <si>
    <t>ARS/USD</t>
  </si>
  <si>
    <t>USD/ARS; peso devaluation</t>
  </si>
  <si>
    <t>아르헨티나 수출세·생산자 판매유인과 결합해 수출공급에 영향을 주는 환율이다.</t>
  </si>
  <si>
    <t>공식환율과 병행환율을 구분하고 DEXARUE는 저장소에서 유효하지 않은 FRED 코드로 표시되어 있다.</t>
  </si>
  <si>
    <t>데이터 공백</t>
  </si>
  <si>
    <t>TERM-009</t>
  </si>
  <si>
    <t>CNY per USD</t>
  </si>
  <si>
    <t>중국 위안/달러 환율</t>
  </si>
  <si>
    <t>CNY/USD</t>
  </si>
  <si>
    <t>USD/CNY; yuan-dollar</t>
  </si>
  <si>
    <t>중국의 수입비용·수요와 관련된 환율이다.</t>
  </si>
  <si>
    <t>표기 방향과 중국 수입수요 연결 근거가 있을 때만 가격 신호로 사용한다.</t>
  </si>
  <si>
    <t>Import Demand</t>
  </si>
  <si>
    <t>TERM-010</t>
  </si>
  <si>
    <t>MYR per USD</t>
  </si>
  <si>
    <t>말레이시아 링깃/달러 환율</t>
  </si>
  <si>
    <t>MYR/USD</t>
  </si>
  <si>
    <t>USD/MYR; ringgit-dollar</t>
  </si>
  <si>
    <t>팜유 경쟁가격과 대체재 관계에 영향을 줄 수 있는 환율이다.</t>
  </si>
  <si>
    <t>대두유 직접 신호가 아니라 팜유 상대가격 경로가 확인될 때 사용한다.</t>
  </si>
  <si>
    <t>Substitute Price</t>
  </si>
  <si>
    <t>TERM-011</t>
  </si>
  <si>
    <t>결제시점</t>
  </si>
  <si>
    <t>T+2 FX Settlement Offset</t>
  </si>
  <si>
    <t>T+2 환율 결제 오프셋</t>
  </si>
  <si>
    <t>T+2 FX</t>
  </si>
  <si>
    <t>settlement lag</t>
  </si>
  <si>
    <t>BusinessRule</t>
  </si>
  <si>
    <t>CFR/CIF 계산 시 계약일과 실제 환율 결제일 차이를 반영하는 프로젝트 규칙이다.</t>
  </si>
  <si>
    <t>모든 CFR/CIF 원화 환산에서 적용하고 기준일을 기록한다.</t>
  </si>
  <si>
    <t>business days</t>
  </si>
  <si>
    <t>필수 적용</t>
  </si>
  <si>
    <t>APPLIES_TO</t>
  </si>
  <si>
    <t>TERM-012</t>
  </si>
  <si>
    <t>국제무역</t>
  </si>
  <si>
    <t>International Trade</t>
  </si>
  <si>
    <t>교역량</t>
  </si>
  <si>
    <t>Import Volume</t>
  </si>
  <si>
    <t>수입량</t>
  </si>
  <si>
    <t>imports; import quantity</t>
  </si>
  <si>
    <t>Metric</t>
  </si>
  <si>
    <t>특정 국가가 외국에서 들여온 품목의 물량이다.</t>
  </si>
  <si>
    <t>금액과 물량, 원산지와 도착지를 구분하며 단위를 정규화한다.</t>
  </si>
  <si>
    <t>Demand/Trade</t>
  </si>
  <si>
    <t>MT</t>
  </si>
  <si>
    <t>TradeMetric</t>
  </si>
  <si>
    <t>GH-README,GH-C04</t>
  </si>
  <si>
    <t>TERM-013</t>
  </si>
  <si>
    <t>Export Volume</t>
  </si>
  <si>
    <t>수출량</t>
  </si>
  <si>
    <t>exports; export quantity</t>
  </si>
  <si>
    <t>특정 국가가 해외로 반출한 품목의 물량이다.</t>
  </si>
  <si>
    <t>생산량과 수출가능물량을 구분하고 재수출 여부를 확인한다.</t>
  </si>
  <si>
    <t>Supply/Trade</t>
  </si>
  <si>
    <t>DOWN_IF_UP</t>
  </si>
  <si>
    <t>TERM-014</t>
  </si>
  <si>
    <t>교역수지</t>
  </si>
  <si>
    <t>Trade Balance</t>
  </si>
  <si>
    <t>무역수지</t>
  </si>
  <si>
    <t>net exports</t>
  </si>
  <si>
    <t>수출액에서 수입액을 뺀 값이다.</t>
  </si>
  <si>
    <t>품목별 수급과 국가 전체 무역수지를 혼동하지 않는다.</t>
  </si>
  <si>
    <t>Trade</t>
  </si>
  <si>
    <t>currency</t>
  </si>
  <si>
    <t>TERM-015</t>
  </si>
  <si>
    <t>무역통계</t>
  </si>
  <si>
    <t>Global Agricultural Trade System</t>
  </si>
  <si>
    <t>USDA 농업무역통계 시스템</t>
  </si>
  <si>
    <t>GATS</t>
  </si>
  <si>
    <t>USDA GATS</t>
  </si>
  <si>
    <t>DataSource</t>
  </si>
  <si>
    <t>USDA의 농산물 수출입 통계 시스템이다.</t>
  </si>
  <si>
    <t>WASDE 전망치와 GATS 실적치를 구분한다.</t>
  </si>
  <si>
    <t>various</t>
  </si>
  <si>
    <t>월별/연도별</t>
  </si>
  <si>
    <t>PROVIDES</t>
  </si>
  <si>
    <t>TERM-016</t>
  </si>
  <si>
    <t>Agriculture &amp; Agrometeorology</t>
  </si>
  <si>
    <t>기후지수</t>
  </si>
  <si>
    <t>Climate Indices</t>
  </si>
  <si>
    <t>대기해양</t>
  </si>
  <si>
    <t>El Niño–Southern Oscillation</t>
  </si>
  <si>
    <t>엘니뇨·남방진동</t>
  </si>
  <si>
    <t>ENSO</t>
  </si>
  <si>
    <t>El Nino Southern Oscillation</t>
  </si>
  <si>
    <t>ClimatePattern</t>
  </si>
  <si>
    <t>열대 태평양 해수면온도와 대기 순환의 결합 변동이다.</t>
  </si>
  <si>
    <t>단일 방향 가격 신호가 아니며 발생 지역·작기·강도와 연결한다.</t>
  </si>
  <si>
    <t>Yield</t>
  </si>
  <si>
    <t>phase/index</t>
  </si>
  <si>
    <t>ONI 기준</t>
  </si>
  <si>
    <t>GH-README,GH-P103</t>
  </si>
  <si>
    <t>TERM-017</t>
  </si>
  <si>
    <t>Oceanic Niño Index</t>
  </si>
  <si>
    <t>해양니뇨지수</t>
  </si>
  <si>
    <t>ONI</t>
  </si>
  <si>
    <t>ENSO ONI</t>
  </si>
  <si>
    <t>ENSO 위상을 판정하는 3개월 이동 평균 해수면온도 편차 지표다.</t>
  </si>
  <si>
    <t>지속기간과 기준구역을 확인하고 단발 월 수치로 위상을 단정하지 않는다.</t>
  </si>
  <si>
    <t>°C anomaly</t>
  </si>
  <si>
    <t>≤-0.5 La Niña; ≥+0.5 El Niño</t>
  </si>
  <si>
    <t>ClimateIndicator</t>
  </si>
  <si>
    <t>TERM-018</t>
  </si>
  <si>
    <t>ENSO 위상</t>
  </si>
  <si>
    <t>El Niño</t>
  </si>
  <si>
    <t>엘니뇨</t>
  </si>
  <si>
    <t>warm phase</t>
  </si>
  <si>
    <t>ENSO의 온난 위상이다.</t>
  </si>
  <si>
    <t>원산지별 강수·기온 영향이 다르므로 일반화하지 않는다.</t>
  </si>
  <si>
    <t>phase</t>
  </si>
  <si>
    <t>ONI ≥+0.5</t>
  </si>
  <si>
    <t>TERM-019</t>
  </si>
  <si>
    <t>La Niña</t>
  </si>
  <si>
    <t>라니냐</t>
  </si>
  <si>
    <t>cold phase; La Nina</t>
  </si>
  <si>
    <t>ENSO의 한랭 위상으로 남미 대두 작황 위험과 자주 연결된다.</t>
  </si>
  <si>
    <t>프로젝트에서는 남미 수율 하방 가능성을 중점 감시하되 실제 강수 근거를 함께 요구한다.</t>
  </si>
  <si>
    <t>ONI ≤-0.5</t>
  </si>
  <si>
    <t>TERM-020</t>
  </si>
  <si>
    <t>가뭄지수</t>
  </si>
  <si>
    <t>Standardized Precipitation Index</t>
  </si>
  <si>
    <t>표준강수지수</t>
  </si>
  <si>
    <t>SPI</t>
  </si>
  <si>
    <t>drought index</t>
  </si>
  <si>
    <t>기간별 강수 부족·과잉을 표준화한 지수다.</t>
  </si>
  <si>
    <t>집계기간(예: 60일)을 반드시 저장한다.</t>
  </si>
  <si>
    <t>z-score</t>
  </si>
  <si>
    <t>SPI &lt;-1.5 for 60 days</t>
  </si>
  <si>
    <t>TERM-021</t>
  </si>
  <si>
    <t>이상기상</t>
  </si>
  <si>
    <t>Weather Anomalies</t>
  </si>
  <si>
    <t>수분부족</t>
  </si>
  <si>
    <t>Precipitation Deficit</t>
  </si>
  <si>
    <t>강수 부족</t>
  </si>
  <si>
    <t>rainfall deficit; precipitation anomaly</t>
  </si>
  <si>
    <t>WeatherEvent</t>
  </si>
  <si>
    <t>평년 대비 일정 기간의 누적 강수 부족이다.</t>
  </si>
  <si>
    <t>기간과 평년 기준을 함께 기록한다.</t>
  </si>
  <si>
    <t>% below normal</t>
  </si>
  <si>
    <t>Iowa 30-day &gt;40% below normal</t>
  </si>
  <si>
    <t>GH-P103,GH-TEMPLATE</t>
  </si>
  <si>
    <t>TERM-022</t>
  </si>
  <si>
    <t>고온</t>
  </si>
  <si>
    <t>Temperature Anomaly</t>
  </si>
  <si>
    <t>기온 편차</t>
  </si>
  <si>
    <t>heat anomaly</t>
  </si>
  <si>
    <t>평년 대비 기온의 편차다.</t>
  </si>
  <si>
    <t>평균·최고기온과 기준기간을 구분한다.</t>
  </si>
  <si>
    <t>pollination &gt;+2°C</t>
  </si>
  <si>
    <t>TERM-023</t>
  </si>
  <si>
    <t>Heatwave</t>
  </si>
  <si>
    <t>폭염</t>
  </si>
  <si>
    <t>extreme heat</t>
  </si>
  <si>
    <t>고온이 일정 기간 지속되는 극한기상 사건이다.</t>
  </si>
  <si>
    <t>온도와 지속일수, 생육단계를 함께 요구한다.</t>
  </si>
  <si>
    <t>°C/days</t>
  </si>
  <si>
    <t>Mato Grosso &gt;38°C for 5+ days</t>
  </si>
  <si>
    <t>TERM-024</t>
  </si>
  <si>
    <t>Drought</t>
  </si>
  <si>
    <t>가뭄</t>
  </si>
  <si>
    <t>meteorological drought; agricultural drought</t>
  </si>
  <si>
    <t>강수·토양수분 부족이 작물 생육을 제약하는 상태다.</t>
  </si>
  <si>
    <t>기상가뭄과 농업가뭄을 구분하고 지수·지역 근거를 요구한다.</t>
  </si>
  <si>
    <t>category/index</t>
  </si>
  <si>
    <t>SPI/soil moisture 기준</t>
  </si>
  <si>
    <t>TERM-025</t>
  </si>
  <si>
    <t>수분과잉</t>
  </si>
  <si>
    <t>Flood</t>
  </si>
  <si>
    <t>홍수</t>
  </si>
  <si>
    <t>inundation; excess rainfall</t>
  </si>
  <si>
    <t>침수 또는 과도한 강수로 파종·수확·물류를 방해하는 사건이다.</t>
  </si>
  <si>
    <t>작황 피해와 항만·내륙운송 피해를 분리한다.</t>
  </si>
  <si>
    <t>Yield/Logistics</t>
  </si>
  <si>
    <t>event</t>
  </si>
  <si>
    <t>TERM-026</t>
  </si>
  <si>
    <t>토양</t>
  </si>
  <si>
    <t>Soil Moisture Percentile</t>
  </si>
  <si>
    <t>토양수분 백분위</t>
  </si>
  <si>
    <t>soil moisture</t>
  </si>
  <si>
    <t>과거 분포에서 현재 토양수분의 상대적 위치다.</t>
  </si>
  <si>
    <t>절대 수분함량과 백분위를 구분한다.</t>
  </si>
  <si>
    <t>percentile</t>
  </si>
  <si>
    <t>Córdoba &lt;25th percentile</t>
  </si>
  <si>
    <t>TERM-027</t>
  </si>
  <si>
    <t>복합재해</t>
  </si>
  <si>
    <t>Extreme Weather Event</t>
  </si>
  <si>
    <t>극한기상 사건</t>
  </si>
  <si>
    <t>climate shock</t>
  </si>
  <si>
    <t>EventType</t>
  </si>
  <si>
    <t>폭염·가뭄·홍수·태풍 등 정상범위를 크게 벗어난 사건의 상위 분류다.</t>
  </si>
  <si>
    <t>구체 사건 유형과 지리·기간을 반드시 하위 속성으로 기록한다.</t>
  </si>
  <si>
    <t>Supply/Logistics</t>
  </si>
  <si>
    <t>CLASSIFIES</t>
  </si>
  <si>
    <t>TERM-028</t>
  </si>
  <si>
    <t>생육·생산</t>
  </si>
  <si>
    <t>Crop Growth &amp; Production</t>
  </si>
  <si>
    <t>생육단계</t>
  </si>
  <si>
    <t>Pollination Window</t>
  </si>
  <si>
    <t>수분기</t>
  </si>
  <si>
    <t>flowering period</t>
  </si>
  <si>
    <t>CropStage</t>
  </si>
  <si>
    <t>수량이 고온·수분 스트레스에 특히 민감한 개화·수분 시기다.</t>
  </si>
  <si>
    <t>미국과 남미의 월이 다르므로 지역별 달력을 사용한다.</t>
  </si>
  <si>
    <t>date range</t>
  </si>
  <si>
    <t>US Jul-Aug; BR/AR Jan-Feb</t>
  </si>
  <si>
    <t>OCCURS_DURING</t>
  </si>
  <si>
    <t>GH-P103,GH-C04,GH-README</t>
  </si>
  <si>
    <t>TERM-029</t>
  </si>
  <si>
    <t>생산성</t>
  </si>
  <si>
    <t>Crop Yield</t>
  </si>
  <si>
    <t>작물 수율</t>
  </si>
  <si>
    <t>yield per hectare; bushels per acre</t>
  </si>
  <si>
    <t>단위면적당 수확량이다.</t>
  </si>
  <si>
    <t>총생산량과 구분하고 단위 변환 근거를 보존한다.</t>
  </si>
  <si>
    <t>Supply</t>
  </si>
  <si>
    <t>t/ha or bu/acre</t>
  </si>
  <si>
    <t>AgriculturalMetric</t>
  </si>
  <si>
    <t>TERM-030</t>
  </si>
  <si>
    <t>면적</t>
  </si>
  <si>
    <t>Planted Area</t>
  </si>
  <si>
    <t>파종면적</t>
  </si>
  <si>
    <t>sown area</t>
  </si>
  <si>
    <t>작물을 심은 전체 면적이다.</t>
  </si>
  <si>
    <t>수확면적과 구분한다.</t>
  </si>
  <si>
    <t>ha/acres</t>
  </si>
  <si>
    <t>TERM-031</t>
  </si>
  <si>
    <t>Harvested Area</t>
  </si>
  <si>
    <t>수확면적</t>
  </si>
  <si>
    <t>area harvested</t>
  </si>
  <si>
    <t>실제로 수확된 면적이다.</t>
  </si>
  <si>
    <t>파종면적보다 작을 수 있으며 피해면적을 암시할 수 있다.</t>
  </si>
  <si>
    <t>TERM-032</t>
  </si>
  <si>
    <t>산출</t>
  </si>
  <si>
    <t>Production Volume</t>
  </si>
  <si>
    <t>생산량</t>
  </si>
  <si>
    <t>output; crop production</t>
  </si>
  <si>
    <t>특정 기간에 생산된 품목의 총물량이다.</t>
  </si>
  <si>
    <t>대두 생산과 대두유 생산을 구분한다.</t>
  </si>
  <si>
    <t>SupplyMetric</t>
  </si>
  <si>
    <t>TERM-033</t>
  </si>
  <si>
    <t>가공</t>
  </si>
  <si>
    <t>Crushing Volume</t>
  </si>
  <si>
    <t>대두 크러싱 물량</t>
  </si>
  <si>
    <t>soybean crush</t>
  </si>
  <si>
    <t>착유를 위해 가공된 대두의 물량이다.</t>
  </si>
  <si>
    <t>대두유 산출량과 동일하지 않으며 수율·회수율이 필요하다.</t>
  </si>
  <si>
    <t>ProcessingMetric</t>
  </si>
  <si>
    <t>TERM-034</t>
  </si>
  <si>
    <t>Crushing Rate</t>
  </si>
  <si>
    <t>크러싱 비율</t>
  </si>
  <si>
    <t>crush rate</t>
  </si>
  <si>
    <t>가용 대두 또는 설비 대비 실제 착유 가공 비율이다.</t>
  </si>
  <si>
    <t>분모 정의를 원문에서 확인한다.</t>
  </si>
  <si>
    <t>TERM-035</t>
  </si>
  <si>
    <t>재고</t>
  </si>
  <si>
    <t>Ending Stocks</t>
  </si>
  <si>
    <t>기말재고</t>
  </si>
  <si>
    <t>carryout stocks</t>
  </si>
  <si>
    <t>마케팅연도 말의 재고량이다.</t>
  </si>
  <si>
    <t>시작재고·총재고와 구분하고 마케팅연도를 명시한다.</t>
  </si>
  <si>
    <t>StockMetric</t>
  </si>
  <si>
    <t>TERM-036</t>
  </si>
  <si>
    <t>Stock-to-Use Ratio</t>
  </si>
  <si>
    <t>재고율</t>
  </si>
  <si>
    <t>STU</t>
  </si>
  <si>
    <t>stocks-to-use</t>
  </si>
  <si>
    <t>기말재고를 연간 사용량으로 나눈 수급긴축 지표다.</t>
  </si>
  <si>
    <t>비율 하락은 일반적으로 가격 상방 압력이다.</t>
  </si>
  <si>
    <t>Price</t>
  </si>
  <si>
    <t>UP_IF_DOWN</t>
  </si>
  <si>
    <t>&lt;10% supply stress</t>
  </si>
  <si>
    <t>SupplyDemandIndicator</t>
  </si>
  <si>
    <t>TERM-037</t>
  </si>
  <si>
    <t>일정</t>
  </si>
  <si>
    <t>Harvest Delay</t>
  </si>
  <si>
    <t>수확 지연</t>
  </si>
  <si>
    <t>late harvest</t>
  </si>
  <si>
    <t>Event</t>
  </si>
  <si>
    <t>기상·노동·물류로 수확 일정이 늦어지는 사건이다.</t>
  </si>
  <si>
    <t>총생산 감소와 출하 시점 지연을 구분한다.</t>
  </si>
  <si>
    <t>Supply/Lead Time</t>
  </si>
  <si>
    <t>days/weeks</t>
  </si>
  <si>
    <t>AgriculturalEvent</t>
  </si>
  <si>
    <t>TERM-038</t>
  </si>
  <si>
    <t>연도</t>
  </si>
  <si>
    <t>Marketing Year</t>
  </si>
  <si>
    <t>마케팅연도</t>
  </si>
  <si>
    <t>MY</t>
  </si>
  <si>
    <t>2024/25; crop marketing year</t>
  </si>
  <si>
    <t>TimePeriod</t>
  </si>
  <si>
    <t>생산·수급 통계가 적용되는 품목별 유통연도다.</t>
  </si>
  <si>
    <t>달력연도와 다르며 저장소 규칙의 시작일 변환은 출처별 검증이 필요하다.</t>
  </si>
  <si>
    <t>Time</t>
  </si>
  <si>
    <t>YYYY/YY</t>
  </si>
  <si>
    <t>USDA 규칙</t>
  </si>
  <si>
    <t>VALID_DURING</t>
  </si>
  <si>
    <t>TERM-039</t>
  </si>
  <si>
    <t>자료원</t>
  </si>
  <si>
    <t>World Agricultural Supply and Demand Estimates</t>
  </si>
  <si>
    <t>세계 농산물 수급 전망</t>
  </si>
  <si>
    <t>WASDE</t>
  </si>
  <si>
    <t>USDA WASDE</t>
  </si>
  <si>
    <t>USDA가 발간하는 월간 세계 농산물 수급 전망이다.</t>
  </si>
  <si>
    <t>전망치와 사후 확정치를 구분하고 발표월·마케팅연도를 기록한다.</t>
  </si>
  <si>
    <t>Supply/Demand</t>
  </si>
  <si>
    <t>report</t>
  </si>
  <si>
    <t>월간</t>
  </si>
  <si>
    <t>TERM-040</t>
  </si>
  <si>
    <t>전망변화</t>
  </si>
  <si>
    <t>Yield Revision</t>
  </si>
  <si>
    <t>수율 전망 수정</t>
  </si>
  <si>
    <t>WASDE yield revision</t>
  </si>
  <si>
    <t>ForecastSignal</t>
  </si>
  <si>
    <t>이전 전망 대비 수율 예상치 변경이다.</t>
  </si>
  <si>
    <t>수준과 변화폭, 시장 컨센서스 대비 서프라이즈를 구분한다.</t>
  </si>
  <si>
    <t>Supply/Price</t>
  </si>
  <si>
    <t>% or unit</t>
  </si>
  <si>
    <t>FORECASTS</t>
  </si>
  <si>
    <t>TERM-041</t>
  </si>
  <si>
    <t>Market, Price &amp; Procurement</t>
  </si>
  <si>
    <t>품목·형태</t>
  </si>
  <si>
    <t>Commodity &amp; Form</t>
  </si>
  <si>
    <t>원물</t>
  </si>
  <si>
    <t>Soybean</t>
  </si>
  <si>
    <t>대두</t>
  </si>
  <si>
    <t>soybeans; soy bean</t>
  </si>
  <si>
    <t>Commodity</t>
  </si>
  <si>
    <t>대두유의 원료가 되는 유지종자다.</t>
  </si>
  <si>
    <t>대두와 대두유를 동일 품목으로 집계하지 않는다.</t>
  </si>
  <si>
    <t>Upstream Supply</t>
  </si>
  <si>
    <t>범위 확인</t>
  </si>
  <si>
    <t>PRODUCES</t>
  </si>
  <si>
    <t>GH-README,GH-C04,GH-P106</t>
  </si>
  <si>
    <t>TERM-042</t>
  </si>
  <si>
    <t>식물성유지</t>
  </si>
  <si>
    <t>Soybean Oil</t>
  </si>
  <si>
    <t>대두유</t>
  </si>
  <si>
    <t>SBO</t>
  </si>
  <si>
    <t>soy oil; soya oil; 대두유</t>
  </si>
  <si>
    <t>프로젝트의 핵심 대상 품목으로 조유와 정제유를 포함한다.</t>
  </si>
  <si>
    <t>현재 프로젝트 범위는 대두유만이며 다른 원료로 자동 확장하지 않는다.</t>
  </si>
  <si>
    <t>Price/Supply/Demand</t>
  </si>
  <si>
    <t>MT or USD/MT</t>
  </si>
  <si>
    <t>핵심 범위</t>
  </si>
  <si>
    <t>CLASSIFIED_AS</t>
  </si>
  <si>
    <t>TERM-043</t>
  </si>
  <si>
    <t>제품형태</t>
  </si>
  <si>
    <t>Crude Soybean Oil</t>
  </si>
  <si>
    <t>대두유 조유</t>
  </si>
  <si>
    <t>CSBO</t>
  </si>
  <si>
    <t>crude SBO; crude soy oil</t>
  </si>
  <si>
    <t>CommodityForm</t>
  </si>
  <si>
    <t>정제 전 단계의 대두유다.</t>
  </si>
  <si>
    <t>정제유와 HS Code·가격·관세를 구분한다.</t>
  </si>
  <si>
    <t>Price/Supply</t>
  </si>
  <si>
    <t>HS 150710 계열</t>
  </si>
  <si>
    <t>IS_FORM_OF</t>
  </si>
  <si>
    <t>TERM-044</t>
  </si>
  <si>
    <t>Refined Soybean Oil</t>
  </si>
  <si>
    <t>정제 대두유</t>
  </si>
  <si>
    <t>RSBO</t>
  </si>
  <si>
    <t>refined SBO</t>
  </si>
  <si>
    <t>정제 공정을 거친 대두유다.</t>
  </si>
  <si>
    <t>조유와 혼합 집계하지 않고 베트남 등 2차 가공지 역할을 확인한다.</t>
  </si>
  <si>
    <t>HS 150790 계열</t>
  </si>
  <si>
    <t>TERM-045</t>
  </si>
  <si>
    <t>Crude Degummed Soybean Oil</t>
  </si>
  <si>
    <t>탈검 대두유 조유</t>
  </si>
  <si>
    <t>CDSO</t>
  </si>
  <si>
    <t>degummed SBO; crude degummed soy oil</t>
  </si>
  <si>
    <t>검질을 제거한 대두유 조유의 상업적 형태다.</t>
  </si>
  <si>
    <t>crude와 refined 사이의 가공단계를 계약·규격 문맥에서 확인한다.</t>
  </si>
  <si>
    <t>Price/Quality</t>
  </si>
  <si>
    <t>TERM-046</t>
  </si>
  <si>
    <t>상위품목</t>
  </si>
  <si>
    <t>Vegetable Oil</t>
  </si>
  <si>
    <t>식물성 유지</t>
  </si>
  <si>
    <t>edible oils; veg oil</t>
  </si>
  <si>
    <t>CommodityClass</t>
  </si>
  <si>
    <t>대두유·팜유·카놀라유·해바라기유 등을 포함하는 상위 품목군이다.</t>
  </si>
  <si>
    <t>식물성 유지 일반 뉴스는 대두유 연결 메커니즘이 있을 때만 포함한다.</t>
  </si>
  <si>
    <t>Substitution</t>
  </si>
  <si>
    <t>직접 연결 필요</t>
  </si>
  <si>
    <t>TERM-047</t>
  </si>
  <si>
    <t>분류코드</t>
  </si>
  <si>
    <t>HS 1507</t>
  </si>
  <si>
    <t>대두유 HS 1507 계열</t>
  </si>
  <si>
    <t>HS1507</t>
  </si>
  <si>
    <t>Harmonized System 1507</t>
  </si>
  <si>
    <t>CommodityCode</t>
  </si>
  <si>
    <t>대두유와 그 분획물의 국제 통일상품분류 계열이다.</t>
  </si>
  <si>
    <t>국가별 세부 10자리 코드는 상이할 수 있어 관할국 코드를 확인한다.</t>
  </si>
  <si>
    <t>code</t>
  </si>
  <si>
    <t>whitelist 적용</t>
  </si>
  <si>
    <t>IDENTIFIES</t>
  </si>
  <si>
    <t>TERM-048</t>
  </si>
  <si>
    <t>HS 1507101000</t>
  </si>
  <si>
    <t>조유 대두유 세번</t>
  </si>
  <si>
    <t>crude soybean oil code</t>
  </si>
  <si>
    <t>저장소가 사용하는 조유 대두유 10자리 코드다.</t>
  </si>
  <si>
    <t>관세 관할과 적용연도를 확인한다.</t>
  </si>
  <si>
    <t>C-04 whitelist</t>
  </si>
  <si>
    <t>TERM-049</t>
  </si>
  <si>
    <t>HS 1507901010/1020</t>
  </si>
  <si>
    <t>정제 대두유 세번</t>
  </si>
  <si>
    <t>refined soybean oil codes</t>
  </si>
  <si>
    <t>저장소가 사용하는 정제 대두유 세부 코드 집합이다.</t>
  </si>
  <si>
    <t>두 코드의 품목 세부 정의를 원문 관세표에서 확인한다.</t>
  </si>
  <si>
    <t>TERM-050</t>
  </si>
  <si>
    <t>가격·스프레드</t>
  </si>
  <si>
    <t>Price &amp; Spread</t>
  </si>
  <si>
    <t>현물</t>
  </si>
  <si>
    <t>Spot Price</t>
  </si>
  <si>
    <t>현물가격</t>
  </si>
  <si>
    <t>cash price; spot offer</t>
  </si>
  <si>
    <t>즉시 또는 근접 인도의 시장가격이다.</t>
  </si>
  <si>
    <t>선물가격·계약가격·CFR/CIF 가격과 구분한다.</t>
  </si>
  <si>
    <t>USD/MT</t>
  </si>
  <si>
    <t>PriceMetric</t>
  </si>
  <si>
    <t>TERM-051</t>
  </si>
  <si>
    <t>선물</t>
  </si>
  <si>
    <t>Futures Price</t>
  </si>
  <si>
    <t>선물가격</t>
  </si>
  <si>
    <t>CBOT soybean oil futures; BO=F</t>
  </si>
  <si>
    <t>거래소의 미래 인도 표준계약 가격이다.</t>
  </si>
  <si>
    <t>실물 CFR 도착가격과 동일하지 않으며 베이시스·운임·환율이 필요하다.</t>
  </si>
  <si>
    <t>cents/lb or contract unit</t>
  </si>
  <si>
    <t>TERM-052</t>
  </si>
  <si>
    <t>예측구간</t>
  </si>
  <si>
    <t>Price Band</t>
  </si>
  <si>
    <t>가격밴드</t>
  </si>
  <si>
    <t>forecast interval; upper/lower band</t>
  </si>
  <si>
    <t>ForecastMetric</t>
  </si>
  <si>
    <t>G2가 산출하는 상·하한을 포함한 확률적 가격 범위다.</t>
  </si>
  <si>
    <t>점예측과 구분하고 신뢰수준·기간을 기록한다.</t>
  </si>
  <si>
    <t>price range</t>
  </si>
  <si>
    <t>confidence interval required</t>
  </si>
  <si>
    <t>TERM-053</t>
  </si>
  <si>
    <t>상대가격</t>
  </si>
  <si>
    <t>CPO–SBO Spread</t>
  </si>
  <si>
    <t>팜유–대두유 스프레드</t>
  </si>
  <si>
    <t>CPO-SBO</t>
  </si>
  <si>
    <t>SBO premium over CPO</t>
  </si>
  <si>
    <t>대두유와 팜유의 상대가격 차이다.</t>
  </si>
  <si>
    <t>가격 방향과 기준(FOB/CIF)을 맞추고 절대차·비율을 구분한다.</t>
  </si>
  <si>
    <t>USD/MT or %</t>
  </si>
  <si>
    <t>SBO premium &gt;15% over CPO CIF Korea</t>
  </si>
  <si>
    <t>SpreadIndicator</t>
  </si>
  <si>
    <t>TERM-054</t>
  </si>
  <si>
    <t>Brazil–US CFR Spread</t>
  </si>
  <si>
    <t>브라질–미국 CFR 스프레드</t>
  </si>
  <si>
    <t>origin CFR spread</t>
  </si>
  <si>
    <t>브라질산과 미국산 대두유의 한국 도착 기준 가격 차이다.</t>
  </si>
  <si>
    <t>동일 품질·기간·통화·도착항 조건을 맞춘다.</t>
  </si>
  <si>
    <t>Origin Choice</t>
  </si>
  <si>
    <t>&gt;USD 20/MT</t>
  </si>
  <si>
    <t>TERM-055</t>
  </si>
  <si>
    <t>대체재</t>
  </si>
  <si>
    <t>Crude Palm Oil</t>
  </si>
  <si>
    <t>팜유 조유</t>
  </si>
  <si>
    <t>CPO</t>
  </si>
  <si>
    <t>palm oil</t>
  </si>
  <si>
    <t>대두유의 주요 가격·수요 대체재다.</t>
  </si>
  <si>
    <t>팜유 자체 뉴스는 대체수요 경로가 있을 때만 대두유 분석에 포함한다.</t>
  </si>
  <si>
    <t>DOWN_RISK</t>
  </si>
  <si>
    <t>spread threshold</t>
  </si>
  <si>
    <t>SUBSTITUTES_FOR</t>
  </si>
  <si>
    <t>TERM-056</t>
  </si>
  <si>
    <t>Canola Oil</t>
  </si>
  <si>
    <t>카놀라유</t>
  </si>
  <si>
    <t>rapeseed oil</t>
  </si>
  <si>
    <t>대두유와 경쟁 가능한 식물성 유지 대체재다.</t>
  </si>
  <si>
    <t>카놀라유와 유채유의 지역별 명칭·품질을 확인한다.</t>
  </si>
  <si>
    <t>Canola CFR &gt; SBO by USD 20/MT</t>
  </si>
  <si>
    <t>TERM-057</t>
  </si>
  <si>
    <t>Sunflower Oil</t>
  </si>
  <si>
    <t>해바라기유</t>
  </si>
  <si>
    <t>sun oil</t>
  </si>
  <si>
    <t>흑해 수급·분쟁에 민감한 식물성 유지 대체재다.</t>
  </si>
  <si>
    <t>흑해 리스크가 대두유에 미치는 간접 대체수요 경로를 확인한다.</t>
  </si>
  <si>
    <t>TERM-058</t>
  </si>
  <si>
    <t>레짐·의사결정</t>
  </si>
  <si>
    <t>Regime &amp; Decision</t>
  </si>
  <si>
    <t>가격레짐</t>
  </si>
  <si>
    <t>Bull Regime</t>
  </si>
  <si>
    <t>상승장</t>
  </si>
  <si>
    <t>Bull</t>
  </si>
  <si>
    <t>bullish; price-up regime</t>
  </si>
  <si>
    <t>MarketRegime</t>
  </si>
  <si>
    <t>대두유 가격이 지속 상승하는 시장 레짐이다.</t>
  </si>
  <si>
    <t>프로젝트의 sentiment +1도 가격 상방 기준이다. 공급 긍정과 혼동하지 않는다.</t>
  </si>
  <si>
    <t>label</t>
  </si>
  <si>
    <t>모델 판정</t>
  </si>
  <si>
    <t>GH-README,GH-P105</t>
  </si>
  <si>
    <t>TERM-059</t>
  </si>
  <si>
    <t>Bear Regime</t>
  </si>
  <si>
    <t>하락장</t>
  </si>
  <si>
    <t>Bear</t>
  </si>
  <si>
    <t>bearish; price-down regime</t>
  </si>
  <si>
    <t>대두유 가격이 지속 하락하는 시장 레짐이다.</t>
  </si>
  <si>
    <t>프로젝트에서는 Hold와 연결되며 공급 부족의 부정적 의미와 혼동하지 않는다.</t>
  </si>
  <si>
    <t>DOWN</t>
  </si>
  <si>
    <t>TERM-060</t>
  </si>
  <si>
    <t>Neutral Regime</t>
  </si>
  <si>
    <t>중립장</t>
  </si>
  <si>
    <t>Neutral</t>
  </si>
  <si>
    <t>mixed; balanced</t>
  </si>
  <si>
    <t>상·하방 신호가 균형이거나 방향성이 부족한 레짐이다.</t>
  </si>
  <si>
    <t>중립을 데이터 없음과 구분한다.</t>
  </si>
  <si>
    <t>FLAT</t>
  </si>
  <si>
    <t>TERM-061</t>
  </si>
  <si>
    <t>조달태도</t>
  </si>
  <si>
    <t>Buy Recommendation</t>
  </si>
  <si>
    <t>매수 검토 신호</t>
  </si>
  <si>
    <t>Buy</t>
  </si>
  <si>
    <t>procurement buy signal</t>
  </si>
  <si>
    <t>DecisionSignal</t>
  </si>
  <si>
    <t>현재 가격에서 구매를 검토하도록 제시하는 정보성 신호다.</t>
  </si>
  <si>
    <t>자율 실행이 아니며 HITL 승인 전 확정 거래로 표현하지 않는다.</t>
  </si>
  <si>
    <t>Procurement</t>
  </si>
  <si>
    <t>human approval</t>
  </si>
  <si>
    <t>RECOMMENDS</t>
  </si>
  <si>
    <t>TERM-062</t>
  </si>
  <si>
    <t>Hold Recommendation</t>
  </si>
  <si>
    <t>보류 신호</t>
  </si>
  <si>
    <t>Hold</t>
  </si>
  <si>
    <t>wait; delay purchase</t>
  </si>
  <si>
    <t>가격 진입 개선을 기다리도록 구매를 보류하는 정보성 신호다.</t>
  </si>
  <si>
    <t>수요 소멸이 아니라 조달 시점 연기의 의미다.</t>
  </si>
  <si>
    <t>TERM-063</t>
  </si>
  <si>
    <t>Energy &amp; Biofuel</t>
  </si>
  <si>
    <t>에너지 가격</t>
  </si>
  <si>
    <t>Energy Prices</t>
  </si>
  <si>
    <t>원유</t>
  </si>
  <si>
    <t>West Texas Intermediate</t>
  </si>
  <si>
    <t>서부텍사스산 원유</t>
  </si>
  <si>
    <t>WTI</t>
  </si>
  <si>
    <t>WTI crude</t>
  </si>
  <si>
    <t>Commodity/Indicator</t>
  </si>
  <si>
    <t>미국 기준 원유가격으로 바이오연료 경제성과 생산비의 외생 변수다.</t>
  </si>
  <si>
    <t>대두유 직접 가격이 아니며 바이오연료 수요·에너지 비용 경로를 확인한다.</t>
  </si>
  <si>
    <t>Biofuel Demand/Cost</t>
  </si>
  <si>
    <t>USD/bbl</t>
  </si>
  <si>
    <t>EnergyCommodity</t>
  </si>
  <si>
    <t>TERM-064</t>
  </si>
  <si>
    <t>Brent Crude</t>
  </si>
  <si>
    <t>브렌트유</t>
  </si>
  <si>
    <t>Brent</t>
  </si>
  <si>
    <t>Brent crude oil</t>
  </si>
  <si>
    <t>글로벌 기준 원유가격이다.</t>
  </si>
  <si>
    <t>WTI와 혼합하지 말고 계약월·현물/선물을 구분한다.</t>
  </si>
  <si>
    <t>TERM-065</t>
  </si>
  <si>
    <t>산업원료</t>
  </si>
  <si>
    <t>Biodiesel Feedstock</t>
  </si>
  <si>
    <t>바이오디젤 원료</t>
  </si>
  <si>
    <t>biofuel feedstock; industrial vegetable oil</t>
  </si>
  <si>
    <t>CommodityRole</t>
  </si>
  <si>
    <t>바이오디젤 생산에 투입되는 유지 원료 역할이다.</t>
  </si>
  <si>
    <t>식용 수요와 산업용 수요를 분리한다.</t>
  </si>
  <si>
    <t>USED_AS</t>
  </si>
  <si>
    <t>TERM-066</t>
  </si>
  <si>
    <t>바이오연료 정책</t>
  </si>
  <si>
    <t>Biofuel Policy</t>
  </si>
  <si>
    <t>미국정책</t>
  </si>
  <si>
    <t>Renewable Fuel Standard</t>
  </si>
  <si>
    <t>미국 재생연료 의무제</t>
  </si>
  <si>
    <t>RFS</t>
  </si>
  <si>
    <t>EPA RFS</t>
  </si>
  <si>
    <t>Policy</t>
  </si>
  <si>
    <t>미국에서 운송연료의 재생연료 사용을 의무화하는 정책 체계다.</t>
  </si>
  <si>
    <t>정책 발표·최종 규칙·의무량 적용연도를 구분한다.</t>
  </si>
  <si>
    <t>Industrial Demand</t>
  </si>
  <si>
    <t>policy</t>
  </si>
  <si>
    <t>BiofuelPolicy</t>
  </si>
  <si>
    <t>REGULATES</t>
  </si>
  <si>
    <t>TERM-067</t>
  </si>
  <si>
    <t>Renewable Volume Obligation</t>
  </si>
  <si>
    <t>재생연료 의무량</t>
  </si>
  <si>
    <t>RVO</t>
  </si>
  <si>
    <t>RVOs</t>
  </si>
  <si>
    <t>PolicyMetric</t>
  </si>
  <si>
    <t>RFS 아래에서 설정되는 연도별 재생연료 의무 물량이다.</t>
  </si>
  <si>
    <t>제안치와 최종치를 구분하고 카테고리를 확인한다.</t>
  </si>
  <si>
    <t>volume/%</t>
  </si>
  <si>
    <t>TERM-068</t>
  </si>
  <si>
    <t>혼합의무</t>
  </si>
  <si>
    <t>Biodiesel Blend Mandate</t>
  </si>
  <si>
    <t>바이오디젤 혼합의무</t>
  </si>
  <si>
    <t>biofuel blending mandate</t>
  </si>
  <si>
    <t>경유 등에 바이오디젤을 일정 비율 혼합하도록 요구하는 정책이다.</t>
  </si>
  <si>
    <t>표기 Bxx의 기준·시행일·적용지역을 함께 저장한다.</t>
  </si>
  <si>
    <t>TERM-069</t>
  </si>
  <si>
    <t>B20</t>
  </si>
  <si>
    <t>바이오디젤 20% 혼합</t>
  </si>
  <si>
    <t>20 percent blend</t>
  </si>
  <si>
    <t>PolicyLevel</t>
  </si>
  <si>
    <t>연료 중 바이오디젤 혼합 목표 또는 의무 비율 20%를 뜻한다.</t>
  </si>
  <si>
    <t>실제 시행과 목표를 구분한다.</t>
  </si>
  <si>
    <t>20%</t>
  </si>
  <si>
    <t>jurisdiction-specific</t>
  </si>
  <si>
    <t>IS_LEVEL_OF</t>
  </si>
  <si>
    <t>TERM-070</t>
  </si>
  <si>
    <t>B35</t>
  </si>
  <si>
    <t>바이오디젤 35% 혼합</t>
  </si>
  <si>
    <t>35 percent blend</t>
  </si>
  <si>
    <t>혼합 목표 또는 의무 비율 35%다.</t>
  </si>
  <si>
    <t>인도네시아 등 관할과 시행시점을 명시한다.</t>
  </si>
  <si>
    <t>35%</t>
  </si>
  <si>
    <t>TERM-071</t>
  </si>
  <si>
    <t>B40</t>
  </si>
  <si>
    <t>바이오디젤 40% 혼합</t>
  </si>
  <si>
    <t>40 percent blend</t>
  </si>
  <si>
    <t>혼합 목표 또는 의무 비율 40%다.</t>
  </si>
  <si>
    <t>원료가 팜유인지 대두유인지 직접 수요와 대체효과를 구분한다.</t>
  </si>
  <si>
    <t>40%</t>
  </si>
  <si>
    <t>TERM-072</t>
  </si>
  <si>
    <t>B50</t>
  </si>
  <si>
    <t>바이오디젤 50% 혼합</t>
  </si>
  <si>
    <t>50 percent blend</t>
  </si>
  <si>
    <t>혼합 목표 또는 의무 비율 50%다.</t>
  </si>
  <si>
    <t>저장소에서 일정과 대두유 수요 영향이 TBD로 표시되므로 확정 사실로 쓰지 않는다.</t>
  </si>
  <si>
    <t>50%</t>
  </si>
  <si>
    <t>timeline TBD</t>
  </si>
  <si>
    <t>TERM-073</t>
  </si>
  <si>
    <t>Geopolitics &amp; Security</t>
  </si>
  <si>
    <t>리스크 지수</t>
  </si>
  <si>
    <t>Risk Indices</t>
  </si>
  <si>
    <t>지정학지수</t>
  </si>
  <si>
    <t>Geopolitical Risk Index</t>
  </si>
  <si>
    <t>지정학적 위험지수</t>
  </si>
  <si>
    <t>GPR</t>
  </si>
  <si>
    <t>GPR Index</t>
  </si>
  <si>
    <t>전쟁·긴장 관련 텍스트 빈도를 이용한 지정학 위험 지수다.</t>
  </si>
  <si>
    <t>원지수(기준 약 100)와 0~1 정규화 값을 혼동하지 않는다.</t>
  </si>
  <si>
    <t>Risk Premium/Logistics</t>
  </si>
  <si>
    <t>raw ≥200; normalized threshold 별도</t>
  </si>
  <si>
    <t>GH-P102,GH-P103</t>
  </si>
  <si>
    <t>TERM-074</t>
  </si>
  <si>
    <t>정책불확실성</t>
  </si>
  <si>
    <t>Economic Policy Uncertainty Index</t>
  </si>
  <si>
    <t>경제정책 불확실성지수</t>
  </si>
  <si>
    <t>EPU</t>
  </si>
  <si>
    <t>EPU Index</t>
  </si>
  <si>
    <t>신문 텍스트 등을 기반으로 경제정책 불확실성을 측정하는 지수다.</t>
  </si>
  <si>
    <t>지수 원천·국가·기준값을 기록한다.</t>
  </si>
  <si>
    <t>&gt;300</t>
  </si>
  <si>
    <t>TERM-075</t>
  </si>
  <si>
    <t>복합리스크</t>
  </si>
  <si>
    <t>Compound Event</t>
  </si>
  <si>
    <t>복합 사건</t>
  </si>
  <si>
    <t>compound shock</t>
  </si>
  <si>
    <t>기후와 지정학 등 둘 이상의 충격이 동시에 또는 연쇄적으로 발생하는 사건이다.</t>
  </si>
  <si>
    <t>각 구성 사건과 중복 집계를 분리하고 상호작용 근거를 요구한다.</t>
  </si>
  <si>
    <t>COMPOSED_OF</t>
  </si>
  <si>
    <t>TERM-076</t>
  </si>
  <si>
    <t>전염</t>
  </si>
  <si>
    <t>Risk Contagion</t>
  </si>
  <si>
    <t>리스크 전이</t>
  </si>
  <si>
    <t>risk propagation</t>
  </si>
  <si>
    <t>Mechanism</t>
  </si>
  <si>
    <t>한 국가·경로·품목의 충격이 연결망을 통해 다른 시장으로 전파되는 메커니즘이다.</t>
  </si>
  <si>
    <t>상관관계가 아닌 연결 경로를 명시한다.</t>
  </si>
  <si>
    <t>Systemic Risk</t>
  </si>
  <si>
    <t>path</t>
  </si>
  <si>
    <t>MarketMechanism</t>
  </si>
  <si>
    <t>PROPAGATES_TO</t>
  </si>
  <si>
    <t>TERM-077</t>
  </si>
  <si>
    <t>분쟁·제재</t>
  </si>
  <si>
    <t>Conflict &amp; Sanctions</t>
  </si>
  <si>
    <t>무력분쟁</t>
  </si>
  <si>
    <t>Geopolitical Conflict</t>
  </si>
  <si>
    <t>지정학적 분쟁</t>
  </si>
  <si>
    <t>war; armed conflict</t>
  </si>
  <si>
    <t>국가·비국가 행위자 간 군사·안보 충돌이다.</t>
  </si>
  <si>
    <t>사건명·행위자·지역·시작일을 구체화한다.</t>
  </si>
  <si>
    <t>Logistics/Trade</t>
  </si>
  <si>
    <t>GeopoliticalEvent</t>
  </si>
  <si>
    <t>GH-README,GH-P102</t>
  </si>
  <si>
    <t>TERM-078</t>
  </si>
  <si>
    <t>경제제재</t>
  </si>
  <si>
    <t>Economic Sanction</t>
  </si>
  <si>
    <t>trade sanction; financial sanction</t>
  </si>
  <si>
    <t>PolicyEvent</t>
  </si>
  <si>
    <t>특정 국가·기관·품목의 거래·금융을 제한하는 조치다.</t>
  </si>
  <si>
    <t>발표와 발효, 1차·2차 제재, 품목 범위를 구분한다.</t>
  </si>
  <si>
    <t>Trade/Logistics</t>
  </si>
  <si>
    <t>RESTRICTS</t>
  </si>
  <si>
    <t>TERM-079</t>
  </si>
  <si>
    <t>무역갈등</t>
  </si>
  <si>
    <t>Trade War</t>
  </si>
  <si>
    <t>무역전쟁</t>
  </si>
  <si>
    <t>trade tensions</t>
  </si>
  <si>
    <t>상호 관세·규제 보복이 반복되는 국가 간 무역갈등이다.</t>
  </si>
  <si>
    <t>단일 관세 발표와 장기적 갈등 레짐을 구분한다.</t>
  </si>
  <si>
    <t>Trade/Demand</t>
  </si>
  <si>
    <t>TERM-080</t>
  </si>
  <si>
    <t>정치</t>
  </si>
  <si>
    <t>Political Instability</t>
  </si>
  <si>
    <t>정치불안</t>
  </si>
  <si>
    <t>government instability; unrest</t>
  </si>
  <si>
    <t>정부 기능·정책 지속성·사회질서의 불안정 상태다.</t>
  </si>
  <si>
    <t>정량 지표가 없으면 방향과 신뢰도를 낮춘다.</t>
  </si>
  <si>
    <t>event/index</t>
  </si>
  <si>
    <t>TERM-081</t>
  </si>
  <si>
    <t>핵심 경로 위험</t>
  </si>
  <si>
    <t>Chokepoint Risk</t>
  </si>
  <si>
    <t>해협</t>
  </si>
  <si>
    <t>Strait of Hormuz</t>
  </si>
  <si>
    <t>호르무즈 해협</t>
  </si>
  <si>
    <t>Hormuz Strait</t>
  </si>
  <si>
    <t>Chokepoint</t>
  </si>
  <si>
    <t>중동 원유·해상운송의 핵심 해협으로 분쟁 시 보험료·우회·운임 위험이 커진다.</t>
  </si>
  <si>
    <t>대두유 직항 여부보다 글로벌 선박·에너지 비용 전이 경로를 확인한다.</t>
  </si>
  <si>
    <t>Freight/Energy</t>
  </si>
  <si>
    <t>location</t>
  </si>
  <si>
    <t>AWRP &gt;3x baseline</t>
  </si>
  <si>
    <t>ROUTED_VIA</t>
  </si>
  <si>
    <t>GH-README,GH-P102,GH-P104</t>
  </si>
  <si>
    <t>TERM-082</t>
  </si>
  <si>
    <t>해역</t>
  </si>
  <si>
    <t>Black Sea</t>
  </si>
  <si>
    <t>흑해</t>
  </si>
  <si>
    <t>Black Sea corridor</t>
  </si>
  <si>
    <t>Region/Route</t>
  </si>
  <si>
    <t>곡물·해바라기유 교역과 전쟁위험이 집중되는 해역이다.</t>
  </si>
  <si>
    <t>대두유에는 대체재·운임 경로로 연결되는 경우가 많다.</t>
  </si>
  <si>
    <t>Substitution/Logistics</t>
  </si>
  <si>
    <t>war-risk &gt;5x baseline</t>
  </si>
  <si>
    <t>TradeRegion</t>
  </si>
  <si>
    <t>TERM-083</t>
  </si>
  <si>
    <t>운하</t>
  </si>
  <si>
    <t>Panama Canal</t>
  </si>
  <si>
    <t>파나마 운하</t>
  </si>
  <si>
    <t>Panama Canal delays</t>
  </si>
  <si>
    <t>미주 항로의 핵심 운하로 수위·대기시간이 항로 효율에 영향을 준다.</t>
  </si>
  <si>
    <t>가뭄 사건과 운하 대기시간을 별도 엔터티로 연결한다.</t>
  </si>
  <si>
    <t>Lead Time/Freight</t>
  </si>
  <si>
    <t>wait-time evidence</t>
  </si>
  <si>
    <t>TERM-084</t>
  </si>
  <si>
    <t>선박행동</t>
  </si>
  <si>
    <t>AIS Vessel Traffic Anomaly</t>
  </si>
  <si>
    <t>AIS 선박통행 이상</t>
  </si>
  <si>
    <t>AIS</t>
  </si>
  <si>
    <t>vessel traffic anomaly</t>
  </si>
  <si>
    <t>자동식별시스템 기준 선박 통행량이 평소와 크게 달라진 상태다.</t>
  </si>
  <si>
    <t>수신 누락과 실제 통행 감소를 구분한다.</t>
  </si>
  <si>
    <t>Logistics</t>
  </si>
  <si>
    <t>% of 30-day average</t>
  </si>
  <si>
    <t>&lt;60% of 30-day avg</t>
  </si>
  <si>
    <t>LogisticsIndicator</t>
  </si>
  <si>
    <t>TERM-085</t>
  </si>
  <si>
    <t>Logistics &amp; Supply Chain</t>
  </si>
  <si>
    <t>운임지수</t>
  </si>
  <si>
    <t>Freight Indices</t>
  </si>
  <si>
    <t>벌크운임</t>
  </si>
  <si>
    <t>Baltic Dry Index</t>
  </si>
  <si>
    <t>발틱운임지수</t>
  </si>
  <si>
    <t>BDI</t>
  </si>
  <si>
    <t>Baltic Dry</t>
  </si>
  <si>
    <t>건화물 벌크선 운임 수준을 나타내는 지수다.</t>
  </si>
  <si>
    <t>대두유 액체화물의 직접 운임이 아니라 글로벌 해운비용 대용치임을 명시한다.</t>
  </si>
  <si>
    <t>Freight</t>
  </si>
  <si>
    <t>&gt;2σ above 90-day mean</t>
  </si>
  <si>
    <t>GH-README,GH-P104</t>
  </si>
  <si>
    <t>TERM-086</t>
  </si>
  <si>
    <t>컨테이너운임</t>
  </si>
  <si>
    <t>Shanghai Containerized Freight Index</t>
  </si>
  <si>
    <t>상하이컨테이너운임지수</t>
  </si>
  <si>
    <t>SCFI</t>
  </si>
  <si>
    <t>Shanghai freight index</t>
  </si>
  <si>
    <t>상하이발 주요 항로의 컨테이너 운임지수다.</t>
  </si>
  <si>
    <t>벌크·탱커 운임과 동일시하지 않고 간접 물류 스트레스 지표로 사용한다.</t>
  </si>
  <si>
    <t>TERM-087</t>
  </si>
  <si>
    <t>비용</t>
  </si>
  <si>
    <t>Freight Rate</t>
  </si>
  <si>
    <t>운임</t>
  </si>
  <si>
    <t>ocean freight; shipping cost</t>
  </si>
  <si>
    <t>화물을 운송하는 데 부과되는 비용이다.</t>
  </si>
  <si>
    <t>운송수단·항로·단위·계약기준을 기록한다.</t>
  </si>
  <si>
    <t>Delivered Price</t>
  </si>
  <si>
    <t>USD/MT or USD/container</t>
  </si>
  <si>
    <t>LogisticsMetric</t>
  </si>
  <si>
    <t>TERM-088</t>
  </si>
  <si>
    <t>보험</t>
  </si>
  <si>
    <t>War-Risk Insurance Premium</t>
  </si>
  <si>
    <t>전쟁위험 보험료</t>
  </si>
  <si>
    <t>AWRP</t>
  </si>
  <si>
    <t>additional war risk premium</t>
  </si>
  <si>
    <t>분쟁지역 운항 시 추가되는 보험료다.</t>
  </si>
  <si>
    <t>배수와 절대 보험료를 구분하고 baseline을 기록한다.</t>
  </si>
  <si>
    <t>rate or multiple</t>
  </si>
  <si>
    <t>Hormuz &gt;3x; Black Sea &gt;5x</t>
  </si>
  <si>
    <t>InsuranceMetric</t>
  </si>
  <si>
    <t>TERM-089</t>
  </si>
  <si>
    <t>항만·운송</t>
  </si>
  <si>
    <t>Port &amp; Transport</t>
  </si>
  <si>
    <t>혼잡</t>
  </si>
  <si>
    <t>Port Congestion</t>
  </si>
  <si>
    <t>항만 혼잡</t>
  </si>
  <si>
    <t>terminal congestion</t>
  </si>
  <si>
    <t>Event/Condition</t>
  </si>
  <si>
    <t>항만 처리능력 대비 선박·화물 적체가 발생한 상태다.</t>
  </si>
  <si>
    <t>혼잡 지표·대기일·처리량을 구분한다.</t>
  </si>
  <si>
    <t>days/index</t>
  </si>
  <si>
    <t>LogisticsEvent</t>
  </si>
  <si>
    <t>GH-P104,GH-P105</t>
  </si>
  <si>
    <t>TERM-090</t>
  </si>
  <si>
    <t>노동</t>
  </si>
  <si>
    <t>Port Strike</t>
  </si>
  <si>
    <t>항만 파업</t>
  </si>
  <si>
    <t>dockworker strike</t>
  </si>
  <si>
    <t>항만 노동중단으로 선적·하역이 지연되는 사건이다.</t>
  </si>
  <si>
    <t>예고·실행·종료와 영향 항만을 구분한다.</t>
  </si>
  <si>
    <t>Lead Time/Supply</t>
  </si>
  <si>
    <t>event/days</t>
  </si>
  <si>
    <t>LaborEvent</t>
  </si>
  <si>
    <t>TERM-091</t>
  </si>
  <si>
    <t>대기</t>
  </si>
  <si>
    <t>Chokepoint Wait Time</t>
  </si>
  <si>
    <t>병목구간 대기시간</t>
  </si>
  <si>
    <t>queue time; transit wait</t>
  </si>
  <si>
    <t>해협·운하·항만에서 통과 전 대기하는 평균 시간이다.</t>
  </si>
  <si>
    <t>예상과 실적, 평균과 최대를 구분한다.</t>
  </si>
  <si>
    <t>Lead Time</t>
  </si>
  <si>
    <t>days</t>
  </si>
  <si>
    <t>&gt;5 days average</t>
  </si>
  <si>
    <t>TERM-092</t>
  </si>
  <si>
    <t>우회</t>
  </si>
  <si>
    <t>Route Diversion</t>
  </si>
  <si>
    <t>항로 우회</t>
  </si>
  <si>
    <t>rerouting; detour</t>
  </si>
  <si>
    <t>Event/Decision</t>
  </si>
  <si>
    <t>위험·봉쇄·혼잡을 피하기 위해 기존 항로를 변경하는 행위다.</t>
  </si>
  <si>
    <t>추가 거리·일수·비용을 가능한 경우 정량화한다.</t>
  </si>
  <si>
    <t>days/nautical miles</t>
  </si>
  <si>
    <t>TERM-093</t>
  </si>
  <si>
    <t>선복</t>
  </si>
  <si>
    <t>Shipping Capacity</t>
  </si>
  <si>
    <t>선복량</t>
  </si>
  <si>
    <t>vessel capacity; available slots</t>
  </si>
  <si>
    <t>시장에 제공되는 운송 가능 용량이다.</t>
  </si>
  <si>
    <t>선박 수와 적재능력, 컨테이너 슬롯을 구분한다.</t>
  </si>
  <si>
    <t>DWT/TEU</t>
  </si>
  <si>
    <t>TERM-094</t>
  </si>
  <si>
    <t>검사</t>
  </si>
  <si>
    <t>Weekly Export Inspections</t>
  </si>
  <si>
    <t>주간 수출검사</t>
  </si>
  <si>
    <t>USDA export inspections</t>
  </si>
  <si>
    <t>Metric/DataSource</t>
  </si>
  <si>
    <t>선적 전 검사를 통과한 농산물 수출 물량 지표다.</t>
  </si>
  <si>
    <t>판매계약·실제 선적·수출통관과 구분한다.</t>
  </si>
  <si>
    <t>Export Flow</t>
  </si>
  <si>
    <t>weekly</t>
  </si>
  <si>
    <t>TERM-095</t>
  </si>
  <si>
    <t>계약·리드타임</t>
  </si>
  <si>
    <t>Contract &amp; Lead Time</t>
  </si>
  <si>
    <t>인코텀즈</t>
  </si>
  <si>
    <t>Free on Board</t>
  </si>
  <si>
    <t>본선인도조건</t>
  </si>
  <si>
    <t>FOB</t>
  </si>
  <si>
    <t>free on board</t>
  </si>
  <si>
    <t>TradeTerm</t>
  </si>
  <si>
    <t>매도인이 선적항 본선 적재까지 비용·책임을 부담하는 조건이다.</t>
  </si>
  <si>
    <t>CFR/CIF와 운임·보험 포함 범위를 구분한다.</t>
  </si>
  <si>
    <t>Price Basis</t>
  </si>
  <si>
    <t>Incoterm</t>
  </si>
  <si>
    <t>계약별</t>
  </si>
  <si>
    <t>TERM-096</t>
  </si>
  <si>
    <t>Cost and Freight</t>
  </si>
  <si>
    <t>운임포함조건</t>
  </si>
  <si>
    <t>CFR</t>
  </si>
  <si>
    <t>C&amp;F; cost freight</t>
  </si>
  <si>
    <t>매도인이 목적항까지 비용과 운임을 부담하지만 위험은 선적 시 이전되는 조건이다.</t>
  </si>
  <si>
    <t>README의 프로젝트 기본 계약조건이며 위험 이전과 비용 부담을 혼동하지 않는다.</t>
  </si>
  <si>
    <t>project default</t>
  </si>
  <si>
    <t>TERM-097</t>
  </si>
  <si>
    <t>Cost, Insurance and Freight</t>
  </si>
  <si>
    <t>운임·보험료 포함조건</t>
  </si>
  <si>
    <t>CIF</t>
  </si>
  <si>
    <t>cost insurance freight</t>
  </si>
  <si>
    <t>매도인이 목적항까지 비용·보험·운임을 부담하는 조건이다.</t>
  </si>
  <si>
    <t>CFR과 달리 보험이 포함되지만 위험 이전 시점은 별도 확인한다.</t>
  </si>
  <si>
    <t>TERM-098</t>
  </si>
  <si>
    <t>기간</t>
  </si>
  <si>
    <t>End-to-End Lead Time</t>
  </si>
  <si>
    <t>총 조달 리드타임</t>
  </si>
  <si>
    <t>order-to-arrival lead time</t>
  </si>
  <si>
    <t>발주부터 선적·통관·입고까지의 전체 기간이다.</t>
  </si>
  <si>
    <t>README의 약 3개월과 해상운송 40~50일을 동일 값으로 보지 않는다.</t>
  </si>
  <si>
    <t>Procurement Risk</t>
  </si>
  <si>
    <t>~3 months project typical</t>
  </si>
  <si>
    <t>LeadTimeMetric</t>
  </si>
  <si>
    <t>TERM-099</t>
  </si>
  <si>
    <t>Ocean Transit Time</t>
  </si>
  <si>
    <t>해상운송기간</t>
  </si>
  <si>
    <t>sailing time</t>
  </si>
  <si>
    <t>선적항 출항부터 목적항 도착까지의 해상 구간 기간이다.</t>
  </si>
  <si>
    <t>총 조달 리드타임에서 주문·통관 구간을 제외한다.</t>
  </si>
  <si>
    <t>US Gulf 45-50; BR/AR 40-45</t>
  </si>
  <si>
    <t>TERM-100</t>
  </si>
  <si>
    <t>항만</t>
  </si>
  <si>
    <t>US Gulf</t>
  </si>
  <si>
    <t>미국 걸프항</t>
  </si>
  <si>
    <t>US Gulf ports</t>
  </si>
  <si>
    <t>PortRegion</t>
  </si>
  <si>
    <t>미국산 대두유의 대표 원산지 항만권역이다.</t>
  </si>
  <si>
    <t>개별 항만과 권역을 구분한다.</t>
  </si>
  <si>
    <t>Route</t>
  </si>
  <si>
    <t>45-50 day ocean lead</t>
  </si>
  <si>
    <t>ORIGIN_OF</t>
  </si>
  <si>
    <t>TERM-101</t>
  </si>
  <si>
    <t>Santos/Paranaguá</t>
  </si>
  <si>
    <t>산투스·파라나과 항</t>
  </si>
  <si>
    <t>Brazil export ports</t>
  </si>
  <si>
    <t>Port</t>
  </si>
  <si>
    <t>브라질 주요 농산물 수출항이다.</t>
  </si>
  <si>
    <t>두 항만을 하나로 합치지 않고 혼잡·운임을 별도 기록할 수 있게 한다.</t>
  </si>
  <si>
    <t>40-45 day ocean lead</t>
  </si>
  <si>
    <t>TERM-102</t>
  </si>
  <si>
    <t>Rosario</t>
  </si>
  <si>
    <t>로사리오 항만권</t>
  </si>
  <si>
    <t>Argentina Rosario hub</t>
  </si>
  <si>
    <t>아르헨티나 대두 가공·수출 중심 항만권역이다.</t>
  </si>
  <si>
    <t>도시·항만권·개별 터미널을 구분한다.</t>
  </si>
  <si>
    <t>TERM-103</t>
  </si>
  <si>
    <t>Diplomacy, Policy &amp; Regulation</t>
  </si>
  <si>
    <t>무역정책 수단</t>
  </si>
  <si>
    <t>Trade Policy Instruments</t>
  </si>
  <si>
    <t>관세</t>
  </si>
  <si>
    <t>Import Tariff</t>
  </si>
  <si>
    <t>수입관세</t>
  </si>
  <si>
    <t>import duty; customs duty</t>
  </si>
  <si>
    <t>PolicyInstrument</t>
  </si>
  <si>
    <t>수입품에 부과하는 세금이다.</t>
  </si>
  <si>
    <t>세율 인상은 수입국 내 가격 상방일 수 있으나 수출국 가격에는 반대효과가 가능하다.</t>
  </si>
  <si>
    <t>Trade/Price</t>
  </si>
  <si>
    <t>% or currency/unit</t>
  </si>
  <si>
    <t>GH-P102,GH-P105,GH-TEMPLATE</t>
  </si>
  <si>
    <t>TERM-104</t>
  </si>
  <si>
    <t>수출세</t>
  </si>
  <si>
    <t>Export Tax</t>
  </si>
  <si>
    <t>export duty; retenciones</t>
  </si>
  <si>
    <t>수출 시 부과되어 수출가능물량·국내외 가격차에 영향을 주는 세금이다.</t>
  </si>
  <si>
    <t>세율 상승은 국제 공급 축소를 통해 가격 상방 가능성이 있으나 생산자 가격은 하방일 수 있다.</t>
  </si>
  <si>
    <t>Export Supply/Price</t>
  </si>
  <si>
    <t>TERM-105</t>
  </si>
  <si>
    <t>Retenciones</t>
  </si>
  <si>
    <t>아르헨티나 수출세</t>
  </si>
  <si>
    <t>Argentine export duties</t>
  </si>
  <si>
    <t>아르헨티나 농산물·유지류에 적용되는 수출세의 현지 정책 용어다.</t>
  </si>
  <si>
    <t>일반 세금이 아닌 품목별 수출세율과 적용일을 확인한다.</t>
  </si>
  <si>
    <t>TERM-106</t>
  </si>
  <si>
    <t>수량규제</t>
  </si>
  <si>
    <t>Import Quota</t>
  </si>
  <si>
    <t>수입쿼터</t>
  </si>
  <si>
    <t>tariff-rate quota; import cap</t>
  </si>
  <si>
    <t>수입 가능한 물량을 제한하거나 구간별 관세를 적용하는 제도다.</t>
  </si>
  <si>
    <t>절대 쿼터와 TRQ를 구분한다.</t>
  </si>
  <si>
    <t>MT/%</t>
  </si>
  <si>
    <t>TERM-107</t>
  </si>
  <si>
    <t>Export Ban</t>
  </si>
  <si>
    <t>수출금지</t>
  </si>
  <si>
    <t>export prohibition</t>
  </si>
  <si>
    <t>특정 품목의 수출을 전면 또는 부분 금지하는 조치다.</t>
  </si>
  <si>
    <t>일시·부분·허가제 예외를 확인한다.</t>
  </si>
  <si>
    <t>TERM-108</t>
  </si>
  <si>
    <t>지원</t>
  </si>
  <si>
    <t>Subsidy</t>
  </si>
  <si>
    <t>보조금</t>
  </si>
  <si>
    <t>producer support; tax credit</t>
  </si>
  <si>
    <t>생산·소비·수출 비용을 정부가 지원하는 제도다.</t>
  </si>
  <si>
    <t>수혜자와 지급 기준에 따라 공급·수요 효과가 달라진다.</t>
  </si>
  <si>
    <t>currency/%</t>
  </si>
  <si>
    <t>SUPPORTS</t>
  </si>
  <si>
    <t>TERM-109</t>
  </si>
  <si>
    <t>보복</t>
  </si>
  <si>
    <t>Retaliatory Tariff</t>
  </si>
  <si>
    <t>보복관세</t>
  </si>
  <si>
    <t>counter-tariff</t>
  </si>
  <si>
    <t>상대국 조치에 대응하여 부과하는 관세다.</t>
  </si>
  <si>
    <t>최초 관세와 보복조치를 별도 이벤트로 연결한다.</t>
  </si>
  <si>
    <t>RESPONDS_TO</t>
  </si>
  <si>
    <t>TERM-110</t>
  </si>
  <si>
    <t>예외</t>
  </si>
  <si>
    <t>Agricultural Exemption</t>
  </si>
  <si>
    <t>농산물 관세 예외</t>
  </si>
  <si>
    <t>tariff exemption; waiver</t>
  </si>
  <si>
    <t>특정 농산물·국가·기간에 관세 적용을 면제하는 조치다.</t>
  </si>
  <si>
    <t>권고·제안·발효된 예외를 구분한다.</t>
  </si>
  <si>
    <t>EXEMPTS</t>
  </si>
  <si>
    <t>TERM-111</t>
  </si>
  <si>
    <t>규정·정책상태</t>
  </si>
  <si>
    <t>Regulation &amp; Policy State</t>
  </si>
  <si>
    <t>법령</t>
  </si>
  <si>
    <t>Decree</t>
  </si>
  <si>
    <t>시행령·법령</t>
  </si>
  <si>
    <t>government decree</t>
  </si>
  <si>
    <t>PolicyDocument</t>
  </si>
  <si>
    <t>정부가 공표한 법적·행정적 규정 문서다.</t>
  </si>
  <si>
    <t>문서번호·공표일·발효일·개정상태를 별도 필드로 저장한다.</t>
  </si>
  <si>
    <t>document</t>
  </si>
  <si>
    <t>ESTABLISHES</t>
  </si>
  <si>
    <t>GH-README,GH-P102,GH-P104,GH-P105</t>
  </si>
  <si>
    <t>TERM-112</t>
  </si>
  <si>
    <t>정책변화</t>
  </si>
  <si>
    <t>Policy Pivot</t>
  </si>
  <si>
    <t>정책 전환</t>
  </si>
  <si>
    <t>policy shift; reversal</t>
  </si>
  <si>
    <t>기존 정책 방향이 유의하게 변경되는 사건이다.</t>
  </si>
  <si>
    <t>발언·제안과 실제 법적 변경을 구분한다.</t>
  </si>
  <si>
    <t>Supply/Demand/Trade</t>
  </si>
  <si>
    <t>CHANGES</t>
  </si>
  <si>
    <t>TERM-113</t>
  </si>
  <si>
    <t>정책상태</t>
  </si>
  <si>
    <t>Policy Flag</t>
  </si>
  <si>
    <t>정책 이벤트 플래그</t>
  </si>
  <si>
    <t>policy event indicator</t>
  </si>
  <si>
    <t>Feature</t>
  </si>
  <si>
    <t>정책 사건의 존재 여부를 0/1로 표현한 모델 입력값이다.</t>
  </si>
  <si>
    <t>사건의 강도·방향과 별개이며 근거문장을 요구한다.</t>
  </si>
  <si>
    <t>Model Feature</t>
  </si>
  <si>
    <t>0/1</t>
  </si>
  <si>
    <t>P1-05 schema</t>
  </si>
  <si>
    <t>ModelFeature</t>
  </si>
  <si>
    <t>DERIVED_FROM</t>
  </si>
  <si>
    <t>TERM-114</t>
  </si>
  <si>
    <t>효력</t>
  </si>
  <si>
    <t>Effective Date</t>
  </si>
  <si>
    <t>정책 발효일</t>
  </si>
  <si>
    <t>implementation date</t>
  </si>
  <si>
    <t>DateAttribute</t>
  </si>
  <si>
    <t>정책이 법적·실무적으로 적용되기 시작하는 날짜다.</t>
  </si>
  <si>
    <t>발표일·공표일과 분리한다.</t>
  </si>
  <si>
    <t>date</t>
  </si>
  <si>
    <t>필수</t>
  </si>
  <si>
    <t>TemporalAttribute</t>
  </si>
  <si>
    <t>VALID_FROM</t>
  </si>
  <si>
    <t>TERM-115</t>
  </si>
  <si>
    <t>환경규제</t>
  </si>
  <si>
    <t>EU Deforestation Regulation</t>
  </si>
  <si>
    <t>EU 산림전용 방지 규정</t>
  </si>
  <si>
    <t>EUDR</t>
  </si>
  <si>
    <t>EU deforestation-free regulation</t>
  </si>
  <si>
    <t>Regulation</t>
  </si>
  <si>
    <t>산림전용과 관련된 상품의 추적성·실사 요건을 부과하는 EU 규정이다.</t>
  </si>
  <si>
    <t>브라질 원산지 공급자 추적성 영향을 별도 평가하고 적용일을 확인한다.</t>
  </si>
  <si>
    <t>Compliance/Supply</t>
  </si>
  <si>
    <t>regulation</t>
  </si>
  <si>
    <t>assessment pending</t>
  </si>
  <si>
    <t>TERM-116</t>
  </si>
  <si>
    <t>비축</t>
  </si>
  <si>
    <t>Strategic Grain Reserve</t>
  </si>
  <si>
    <t>곡물 전략비축</t>
  </si>
  <si>
    <t>government reserve policy</t>
  </si>
  <si>
    <t>정부가 식량안보를 위해 곡물·원료 재고를 보유·방출하는 정책이다.</t>
  </si>
  <si>
    <t>비축 매입은 수요, 방출은 공급 효과로 분리한다.</t>
  </si>
  <si>
    <t>TERM-117</t>
  </si>
  <si>
    <t>Data, Semantics &amp; Quality</t>
  </si>
  <si>
    <t>문서·근거</t>
  </si>
  <si>
    <t>Document &amp; Evidence</t>
  </si>
  <si>
    <t>문서</t>
  </si>
  <si>
    <t>Source Document</t>
  </si>
  <si>
    <t>원천문서</t>
  </si>
  <si>
    <t>report; PDF; bulletin</t>
  </si>
  <si>
    <t>Document</t>
  </si>
  <si>
    <t>추출·분석의 원본이 되는 식별 가능한 파일 또는 보고서다.</t>
  </si>
  <si>
    <t>제목·발행기관·발행일·해시·URL을 보존한다.</t>
  </si>
  <si>
    <t>Provenance</t>
  </si>
  <si>
    <t>SourceDocument</t>
  </si>
  <si>
    <t>GH-C04,GH-P105,GH-P106,GH-TEMPLATE</t>
  </si>
  <si>
    <t>TERM-118</t>
  </si>
  <si>
    <t>구조단위</t>
  </si>
  <si>
    <t>Document Chunk</t>
  </si>
  <si>
    <t>문서 청크</t>
  </si>
  <si>
    <t>layout block; text chunk</t>
  </si>
  <si>
    <t>DocumentPart</t>
  </si>
  <si>
    <t>레이아웃과 의미 경계를 보존한 문서의 처리 단위다.</t>
  </si>
  <si>
    <t>임의 글자수 분할보다 표·정책절·요약절 구조를 우선한다.</t>
  </si>
  <si>
    <t>Extraction</t>
  </si>
  <si>
    <t>text</t>
  </si>
  <si>
    <t>page required</t>
  </si>
  <si>
    <t>DocumentChunk</t>
  </si>
  <si>
    <t>PART_OF</t>
  </si>
  <si>
    <t>TERM-119</t>
  </si>
  <si>
    <t>근거</t>
  </si>
  <si>
    <t>Evidence Snippet</t>
  </si>
  <si>
    <t>근거 발췌문</t>
  </si>
  <si>
    <t>evidence_text; exact quote</t>
  </si>
  <si>
    <t>Evidence</t>
  </si>
  <si>
    <t>주장·점수·관계를 직접 뒷받침하는 최소한의 원문 구절이다.</t>
  </si>
  <si>
    <t>요약문이 아니라 원문 그대로 저장하고 페이지를 연결한다.</t>
  </si>
  <si>
    <t>Audit</t>
  </si>
  <si>
    <t>모든 핵심 주장 필수</t>
  </si>
  <si>
    <t>EvidenceSpan</t>
  </si>
  <si>
    <t>SUPPORTED_BY</t>
  </si>
  <si>
    <t>TERM-120</t>
  </si>
  <si>
    <t>위치</t>
  </si>
  <si>
    <t>Page Reference</t>
  </si>
  <si>
    <t>페이지 참조</t>
  </si>
  <si>
    <t>page_number; p.</t>
  </si>
  <si>
    <t>ProvenanceAttribute</t>
  </si>
  <si>
    <t>근거가 위치한 PDF 페이지 식별자다.</t>
  </si>
  <si>
    <t>인쇄 페이지와 파일 페이지가 다르면 둘 다 보존한다.</t>
  </si>
  <si>
    <t>integer/string</t>
  </si>
  <si>
    <t>PageReference</t>
  </si>
  <si>
    <t>LOCATED_AT</t>
  </si>
  <si>
    <t>TERM-121</t>
  </si>
  <si>
    <t>Bounding Box</t>
  </si>
  <si>
    <t>경계상자</t>
  </si>
  <si>
    <t>BBox</t>
  </si>
  <si>
    <t>coordinates; layout bbox</t>
  </si>
  <si>
    <t>페이지 내 근거 영역의 좌표다.</t>
  </si>
  <si>
    <t>좌표계·페이지 크기·단위를 함께 관리한다.</t>
  </si>
  <si>
    <t>[x1,y1,x2,y2]</t>
  </si>
  <si>
    <t>C-04 필수</t>
  </si>
  <si>
    <t>BoundingBox</t>
  </si>
  <si>
    <t>TERM-122</t>
  </si>
  <si>
    <t>추적성</t>
  </si>
  <si>
    <t>출처 추적정보</t>
  </si>
  <si>
    <t>lineage; source attribution</t>
  </si>
  <si>
    <t>Metadata</t>
  </si>
  <si>
    <t>데이터·주장·관계가 어떤 문서·위치·실행에서 생성되었는지 나타내는 계보 정보다.</t>
  </si>
  <si>
    <t>엔터티·별칭·인과관계 모두 문서 ID·페이지·원문을 보존한다.</t>
  </si>
  <si>
    <t>metadata</t>
  </si>
  <si>
    <t>ProvenanceRecord</t>
  </si>
  <si>
    <t>TERM-123</t>
  </si>
  <si>
    <t>시맨틱 정규화</t>
  </si>
  <si>
    <t>Semantic Normalization</t>
  </si>
  <si>
    <t>표준개념</t>
  </si>
  <si>
    <t>Canonical Entity</t>
  </si>
  <si>
    <t>표준 엔터티</t>
  </si>
  <si>
    <t>canonical concept</t>
  </si>
  <si>
    <t>SemanticEntity</t>
  </si>
  <si>
    <t>여러 언어·표기의 용어가 매핑되는 단일 표준 개념이다.</t>
  </si>
  <si>
    <t>엔터티 ID는 불변으로 두고 이름 변경은 버전 이력으로 관리한다.</t>
  </si>
  <si>
    <t>Semantic Layer</t>
  </si>
  <si>
    <t>entity</t>
  </si>
  <si>
    <t>CanonicalEntity</t>
  </si>
  <si>
    <t>MENTION_OF</t>
  </si>
  <si>
    <t>GH-P106,GH-ESA,CS-BREWSTER23,CS-KIOUKIS25</t>
  </si>
  <si>
    <t>TERM-124</t>
  </si>
  <si>
    <t>표기변형</t>
  </si>
  <si>
    <t>Entity Alias</t>
  </si>
  <si>
    <t>엔터티 별칭</t>
  </si>
  <si>
    <t>synonym; alternative label</t>
  </si>
  <si>
    <t>SemanticLabel</t>
  </si>
  <si>
    <t>표준 엔터티를 지칭하는 언어별·지역별·상업적 변형이다.</t>
  </si>
  <si>
    <t>언어·대소문자·유효기간·출처를 함께 저장한다.</t>
  </si>
  <si>
    <t>검증 필요</t>
  </si>
  <si>
    <t>EntityAlias</t>
  </si>
  <si>
    <t>ALIAS_OF</t>
  </si>
  <si>
    <t>TERM-125</t>
  </si>
  <si>
    <t>원문표현</t>
  </si>
  <si>
    <t>Entity Mention</t>
  </si>
  <si>
    <t>엔터티 언급</t>
  </si>
  <si>
    <t>surface form; mention</t>
  </si>
  <si>
    <t>TextAnnotation</t>
  </si>
  <si>
    <t>특정 근거 구절에 실제 나타난 문자열과 위치다.</t>
  </si>
  <si>
    <t>별칭 사전 항목과 개별 문서 언급을 구분한다.</t>
  </si>
  <si>
    <t>text span</t>
  </si>
  <si>
    <t>offset/page required</t>
  </si>
  <si>
    <t>EntityMention</t>
  </si>
  <si>
    <t>TERM-126</t>
  </si>
  <si>
    <t>통합계층</t>
  </si>
  <si>
    <t>시맨틱 레이어</t>
  </si>
  <si>
    <t>business semantic layer</t>
  </si>
  <si>
    <t>ArchitectureLayer</t>
  </si>
  <si>
    <t>원천 표현을 표준 엔터티·지표·단위·관계로 변환해 분석과 질의에 제공하는 계층이다.</t>
  </si>
  <si>
    <t>온톨로지 규칙과 지식그래프 사실을 모두 사용하지만 둘과 동일하지 않다.</t>
  </si>
  <si>
    <t>Architecture</t>
  </si>
  <si>
    <t>layer</t>
  </si>
  <si>
    <t>MVP</t>
  </si>
  <si>
    <t>SemanticLayer</t>
  </si>
  <si>
    <t>NORMALIZES</t>
  </si>
  <si>
    <t>TERM-127</t>
  </si>
  <si>
    <t>규칙모델</t>
  </si>
  <si>
    <t>Ontology</t>
  </si>
  <si>
    <t>온톨로지</t>
  </si>
  <si>
    <t>domain ontology</t>
  </si>
  <si>
    <t>KnowledgeModel</t>
  </si>
  <si>
    <t>클래스·속성·관계·제약조건을 정의하는 재사용 가능한 구조 규칙이다.</t>
  </si>
  <si>
    <t>실제 사건·수치 인스턴스 집합인 지식그래프와 구분한다.</t>
  </si>
  <si>
    <t>Knowledge Model</t>
  </si>
  <si>
    <t>schema</t>
  </si>
  <si>
    <t>DAG constraint</t>
  </si>
  <si>
    <t>GOVERNS</t>
  </si>
  <si>
    <t>TERM-128</t>
  </si>
  <si>
    <t>사실그래프</t>
  </si>
  <si>
    <t>Knowledge Graph</t>
  </si>
  <si>
    <t>지식그래프</t>
  </si>
  <si>
    <t>KG</t>
  </si>
  <si>
    <t>semantic graph</t>
  </si>
  <si>
    <t>KnowledgeStore</t>
  </si>
  <si>
    <t>온톨로지에 따라 구체 국가·사건·품목·수치를 노드와 관계로 실체화한 그래프다.</t>
  </si>
  <si>
    <t>온톨로지와 동일어로 사용하지 않는다.</t>
  </si>
  <si>
    <t>Knowledge Store</t>
  </si>
  <si>
    <t>graph</t>
  </si>
  <si>
    <t>validated facts only</t>
  </si>
  <si>
    <t>KnowledgeGraph</t>
  </si>
  <si>
    <t>INSTANTIATES</t>
  </si>
  <si>
    <t>TERM-129</t>
  </si>
  <si>
    <t>점진설계</t>
  </si>
  <si>
    <t>Minimum Viable Ontology</t>
  </si>
  <si>
    <t>최소 실행 온톨로지</t>
  </si>
  <si>
    <t>MVO</t>
  </si>
  <si>
    <t>minimum viable semantic model</t>
  </si>
  <si>
    <t>DesignPrinciple</t>
  </si>
  <si>
    <t>대두유 단일 파이프라인의 핵심 질의를 지원하는 최소 클래스·관계로 시작하는 원칙이다.</t>
  </si>
  <si>
    <t>전수 도메인을 한 번에 설계하지 않고 competency question을 기준으로 확장한다.</t>
  </si>
  <si>
    <t>principle</t>
  </si>
  <si>
    <t>TERM-130</t>
  </si>
  <si>
    <t>단위표준</t>
  </si>
  <si>
    <t>QUDT</t>
  </si>
  <si>
    <t>수량·단위 온톨로지</t>
  </si>
  <si>
    <t>Quantities Units Dimensions and Data Types</t>
  </si>
  <si>
    <t>Standard</t>
  </si>
  <si>
    <t>수량종류와 단위를 표준 URI로 표현하는 체계다.</t>
  </si>
  <si>
    <t>원문 단위와 정규화 단위, 환산계수를 함께 보존한다.</t>
  </si>
  <si>
    <t>Measurement</t>
  </si>
  <si>
    <t>URI</t>
  </si>
  <si>
    <t>필수 권장</t>
  </si>
  <si>
    <t>SemanticStandard</t>
  </si>
  <si>
    <t>STANDARDIZES</t>
  </si>
  <si>
    <t>TERM-131</t>
  </si>
  <si>
    <t>연결데이터</t>
  </si>
  <si>
    <t>JSON-LD</t>
  </si>
  <si>
    <t>JSON 연결데이터</t>
  </si>
  <si>
    <t>JSON for Linked Data</t>
  </si>
  <si>
    <t>Serialization</t>
  </si>
  <si>
    <t>JSON 문서에 의미론적 컨텍스트와 URI를 부여하는 직렬화 형식이다.</t>
  </si>
  <si>
    <t>운영 JSON과 그래프 교환용 JSON-LD를 구분한다.</t>
  </si>
  <si>
    <t>Interoperability</t>
  </si>
  <si>
    <t>format</t>
  </si>
  <si>
    <t>선택</t>
  </si>
  <si>
    <t>SerializationFormat</t>
  </si>
  <si>
    <t>SERIALIZES</t>
  </si>
  <si>
    <t>TERM-132</t>
  </si>
  <si>
    <t>인과·감성</t>
  </si>
  <si>
    <t>Causality &amp; Sentiment</t>
  </si>
  <si>
    <t>인과역할</t>
  </si>
  <si>
    <t>Cause</t>
  </si>
  <si>
    <t>원인</t>
  </si>
  <si>
    <t>external driver</t>
  </si>
  <si>
    <t>CausalRole</t>
  </si>
  <si>
    <t>기후·정책·지정학 등 외생적 사건 또는 변화다.</t>
  </si>
  <si>
    <t>가격과 직접 연결하지 않고 시장 메커니즘을 거친다.</t>
  </si>
  <si>
    <t>Causal Graph</t>
  </si>
  <si>
    <t>node role</t>
  </si>
  <si>
    <t>direct-to-price prohibited</t>
  </si>
  <si>
    <t>CauseNode</t>
  </si>
  <si>
    <t>CAUSES_MECHANISM</t>
  </si>
  <si>
    <t>GH-P105,GH-P106,GH-ESA,CS-WYREMBEK24</t>
  </si>
  <si>
    <t>TERM-133</t>
  </si>
  <si>
    <t>Market Mechanism</t>
  </si>
  <si>
    <t>시장 메커니즘</t>
  </si>
  <si>
    <t>intermediate mechanism</t>
  </si>
  <si>
    <t>원인이 수율·생산·재고·교역·운임·수요를 변화시키는 중간 경로다.</t>
  </si>
  <si>
    <t>물리·경제적 전달경로를 명시하며 추상어만 사용하지 않는다.</t>
  </si>
  <si>
    <t>required</t>
  </si>
  <si>
    <t>MechanismNode</t>
  </si>
  <si>
    <t>MECHANISM_AFFECTS_OUTCOME</t>
  </si>
  <si>
    <t>TERM-134</t>
  </si>
  <si>
    <t>Outcome</t>
  </si>
  <si>
    <t>결과</t>
  </si>
  <si>
    <t>price impact; supply-demand outcome</t>
  </si>
  <si>
    <t>인과경로의 최종 관측 또는 전망 대상이다.</t>
  </si>
  <si>
    <t>가격·공급·수요 중 어떤 대상인지 명시한다.</t>
  </si>
  <si>
    <t>OutcomeNode</t>
  </si>
  <si>
    <t>RESULTS_IN</t>
  </si>
  <si>
    <t>TERM-135</t>
  </si>
  <si>
    <t>인과기록</t>
  </si>
  <si>
    <t>Causal Claim</t>
  </si>
  <si>
    <t>인과 주장</t>
  </si>
  <si>
    <t>cause-mechanism-outcome claim</t>
  </si>
  <si>
    <t>Claim</t>
  </si>
  <si>
    <t>근거 구절이 지지하는 원인·메커니즘·결과의 하나의 검증 가능 주장이다.</t>
  </si>
  <si>
    <t>문서 명시와 분석자 추론을 구분하고 신뢰도·근거를 저장한다.</t>
  </si>
  <si>
    <t>record</t>
  </si>
  <si>
    <t>evidence required</t>
  </si>
  <si>
    <t>CausalClaim</t>
  </si>
  <si>
    <t>TERM-136</t>
  </si>
  <si>
    <t>관계</t>
  </si>
  <si>
    <t>Causal Edge</t>
  </si>
  <si>
    <t>인과 엣지</t>
  </si>
  <si>
    <t>directed causal relation</t>
  </si>
  <si>
    <t>Relation</t>
  </si>
  <si>
    <t>인과 그래프에서 두 노드 사이의 방향성 관계다.</t>
  </si>
  <si>
    <t>Cause→Price 직접 엣지는 금지하고 DAG 순환 여부를 검증한다.</t>
  </si>
  <si>
    <t>edge</t>
  </si>
  <si>
    <t>DAG only</t>
  </si>
  <si>
    <t>CausalEdge</t>
  </si>
  <si>
    <t>CONNECTS</t>
  </si>
  <si>
    <t>TERM-137</t>
  </si>
  <si>
    <t>분석단위</t>
  </si>
  <si>
    <t>Aspect</t>
  </si>
  <si>
    <t>관점·속성 단위</t>
  </si>
  <si>
    <t>sentiment aspect; domain aspect</t>
  </si>
  <si>
    <t>SemanticCategory</t>
  </si>
  <si>
    <t>Tax·Tariff·Mandate·Logistics처럼 감성·영향을 분리 평가하는 대상 차원이다.</t>
  </si>
  <si>
    <t>문서 전체 감성 대신 aspect별 방향을 기록한다.</t>
  </si>
  <si>
    <t>Sentiment</t>
  </si>
  <si>
    <t>category</t>
  </si>
  <si>
    <t>tracked list</t>
  </si>
  <si>
    <t>TERM-138</t>
  </si>
  <si>
    <t>방법</t>
  </si>
  <si>
    <t>Aspect-Based Sentiment Analysis</t>
  </si>
  <si>
    <t>관점 기반 감성분석</t>
  </si>
  <si>
    <t>ABSA</t>
  </si>
  <si>
    <t>aspect sentiment</t>
  </si>
  <si>
    <t>Method</t>
  </si>
  <si>
    <t>문서에서 대상 관점별 극성과 강도를 추출하는 방법이다.</t>
  </si>
  <si>
    <t>같은 문서의 상충 신호를 평균해 중립으로 지우지 않는다.</t>
  </si>
  <si>
    <t>method</t>
  </si>
  <si>
    <t>P1-05 pipeline</t>
  </si>
  <si>
    <t>AnalysisMethod</t>
  </si>
  <si>
    <t>GENERATES</t>
  </si>
  <si>
    <t>TERM-139</t>
  </si>
  <si>
    <t>점수</t>
  </si>
  <si>
    <t>Sentiment Score</t>
  </si>
  <si>
    <t>가격방향 감성점수</t>
  </si>
  <si>
    <t>S</t>
  </si>
  <si>
    <t>polarity score</t>
  </si>
  <si>
    <t>P1-05가 aspect별 대두유 가격 방향과 강도를 -1~+1로 나타낸 값이다.</t>
  </si>
  <si>
    <t>+1은 가격 상방, -1은 가격 하방이다. 공급에 대한 긍정/부정과 다르다.</t>
  </si>
  <si>
    <t>[-1,1]</t>
  </si>
  <si>
    <t>clamp required</t>
  </si>
  <si>
    <t>SentimentMetric</t>
  </si>
  <si>
    <t>TERM-140</t>
  </si>
  <si>
    <t>Confidence Score</t>
  </si>
  <si>
    <t>신뢰도 점수</t>
  </si>
  <si>
    <t>confidence</t>
  </si>
  <si>
    <t>출처 신뢰도·명시성·시의성을 종합한 0~1 점수다.</t>
  </si>
  <si>
    <t>모델 확률과 동일하다고 가정하지 않고 산정 기준을 버전 관리한다.</t>
  </si>
  <si>
    <t>Quality</t>
  </si>
  <si>
    <t>[0,1]</t>
  </si>
  <si>
    <t>ConfidenceMetric</t>
  </si>
  <si>
    <t>TERM-141</t>
  </si>
  <si>
    <t>추출·검증</t>
  </si>
  <si>
    <t>Extraction &amp; Validation</t>
  </si>
  <si>
    <t>구조화</t>
  </si>
  <si>
    <t>Structured Outputs</t>
  </si>
  <si>
    <t>구조화 출력</t>
  </si>
  <si>
    <t>schema-constrained output</t>
  </si>
  <si>
    <t>Capability</t>
  </si>
  <si>
    <t>모델 출력을 정의된 JSON Schema에 맞도록 제한하는 방식이다.</t>
  </si>
  <si>
    <t>스키마 적합성은 의미 정확성을 보장하지 않으므로 별도 eval과 근거 검증이 필요하다.</t>
  </si>
  <si>
    <t>JSON</t>
  </si>
  <si>
    <t>schema required</t>
  </si>
  <si>
    <t>ExtractionCapability</t>
  </si>
  <si>
    <t>CONFORMS_TO</t>
  </si>
  <si>
    <t>GH-C04,GH-C08,OA-SO,OA-EVAL</t>
  </si>
  <si>
    <t>TERM-142</t>
  </si>
  <si>
    <t>스키마</t>
  </si>
  <si>
    <t>JSON Schema</t>
  </si>
  <si>
    <t>JSON 스키마</t>
  </si>
  <si>
    <t>structured output schema</t>
  </si>
  <si>
    <t>필드·자료형·필수값·열거형 제약을 정의하는 스키마다.</t>
  </si>
  <si>
    <t>버전과 required/enum 범위를 고정하고 변경 시 schema drift를 기록한다.</t>
  </si>
  <si>
    <t>Validation</t>
  </si>
  <si>
    <t>versioned</t>
  </si>
  <si>
    <t>Schema</t>
  </si>
  <si>
    <t>VALIDATES</t>
  </si>
  <si>
    <t>TERM-143</t>
  </si>
  <si>
    <t>평가</t>
  </si>
  <si>
    <t>Evaluation</t>
  </si>
  <si>
    <t>Eval</t>
  </si>
  <si>
    <t>model eval; extraction eval</t>
  </si>
  <si>
    <t>QualityProcess</t>
  </si>
  <si>
    <t>대표 테스트 데이터와 판정 기준으로 추출·분류 성능을 검증하는 절차다.</t>
  </si>
  <si>
    <t>스키마 유효성 외에 엔터티·관계·방향·근거 페이지 정확도를 인간 정답과 비교한다.</t>
  </si>
  <si>
    <t>score</t>
  </si>
  <si>
    <t>representative test set</t>
  </si>
  <si>
    <t>TERM-144</t>
  </si>
  <si>
    <t>정답</t>
  </si>
  <si>
    <t>Ground Truth</t>
  </si>
  <si>
    <t>정답 라벨</t>
  </si>
  <si>
    <t>human-labeled reference</t>
  </si>
  <si>
    <t>QualityArtifact</t>
  </si>
  <si>
    <t>평가에서 모델 출력과 비교하는 인간 검증 기준이다.</t>
  </si>
  <si>
    <t>문서·페이지·판정자·버전을 보존한다.</t>
  </si>
  <si>
    <t>required for eval</t>
  </si>
  <si>
    <t>GroundTruth</t>
  </si>
  <si>
    <t>TERM-145</t>
  </si>
  <si>
    <t>추출품질</t>
  </si>
  <si>
    <t>Extraction Confidence</t>
  </si>
  <si>
    <t>추출 신뢰도</t>
  </si>
  <si>
    <t>OCR confidence; table confidence</t>
  </si>
  <si>
    <t>텍스트·표·레이아웃 추출의 기술적 신뢰도다.</t>
  </si>
  <si>
    <t>의미 해석 신뢰도와 구분한다.</t>
  </si>
  <si>
    <t>table &lt;0.85 fallback</t>
  </si>
  <si>
    <t>TERM-146</t>
  </si>
  <si>
    <t>데이터품질</t>
  </si>
  <si>
    <t>Data Quality Score</t>
  </si>
  <si>
    <t>데이터 품질점수</t>
  </si>
  <si>
    <t>DQ Score</t>
  </si>
  <si>
    <t>DQSOps score</t>
  </si>
  <si>
    <t>정확성·완전성·일관성·시의성·왜도를 가중합한 품질점수다.</t>
  </si>
  <si>
    <t>추출 의미 정확도와 동일하지 않으며 차원별 점수를 함께 본다.</t>
  </si>
  <si>
    <t>PASS ≥0.70; WARNING 0.50-0.69; REJECT &lt;0.50</t>
  </si>
  <si>
    <t>QualityMetric</t>
  </si>
  <si>
    <t>TERM-147</t>
  </si>
  <si>
    <t>스키마오류</t>
  </si>
  <si>
    <t>Schema Drift</t>
  </si>
  <si>
    <t>스키마 드리프트</t>
  </si>
  <si>
    <t>missing/renamed/type-changed field</t>
  </si>
  <si>
    <t>QualityAlert</t>
  </si>
  <si>
    <t>필수 필드·자료형·이름이 기준 스키마와 달라진 상태다.</t>
  </si>
  <si>
    <t>자동 보정하지 않고 적재를 차단하거나 경고한다.</t>
  </si>
  <si>
    <t>alert</t>
  </si>
  <si>
    <t>block on required-field breach</t>
  </si>
  <si>
    <t>DETECTS</t>
  </si>
  <si>
    <t>TERM-148</t>
  </si>
  <si>
    <t>시의성</t>
  </si>
  <si>
    <t>Stale Data</t>
  </si>
  <si>
    <t>오래된 데이터</t>
  </si>
  <si>
    <t>STALE</t>
  </si>
  <si>
    <t>freshness breach</t>
  </si>
  <si>
    <t>수집 시점이 허용 지연을 초과한 데이터다.</t>
  </si>
  <si>
    <t>발행일과 수집일을 구분하고 최신값처럼 사용하지 않는다.</t>
  </si>
  <si>
    <t>&gt;5 business days</t>
  </si>
  <si>
    <t>TERM-149</t>
  </si>
  <si>
    <t>중복</t>
  </si>
  <si>
    <t>Deduplication Group</t>
  </si>
  <si>
    <t>중복제거 그룹</t>
  </si>
  <si>
    <t>duplicate cluster</t>
  </si>
  <si>
    <t>동일 사건·수치·인과경로의 반복 언급을 하나로 묶는 식별자다.</t>
  </si>
  <si>
    <t>문서 반복 인용을 지표 수로 중복 집계하지 않는다.</t>
  </si>
  <si>
    <t>group id</t>
  </si>
  <si>
    <t>required for signal count</t>
  </si>
  <si>
    <t>DeduplicationGroup</t>
  </si>
  <si>
    <t>GROUPS</t>
  </si>
  <si>
    <t>TERM-150</t>
  </si>
  <si>
    <t>검토</t>
  </si>
  <si>
    <t>Human in the Loop</t>
  </si>
  <si>
    <t>인간 검토 게이트</t>
  </si>
  <si>
    <t>HITL</t>
  </si>
  <si>
    <t>human review</t>
  </si>
  <si>
    <t>GovernanceProcess</t>
  </si>
  <si>
    <t>AI 제안 후 도메인 전문가가 승인·수정·반려하는 통제 절차다.</t>
  </si>
  <si>
    <t>Buy/Hold와 신규 인과 엣지는 승인 전 확정 상태로 표시하지 않는다.</t>
  </si>
  <si>
    <t>Governance</t>
  </si>
  <si>
    <t>status</t>
  </si>
  <si>
    <t>ReviewProcess</t>
  </si>
  <si>
    <t>VALIDATED_BY</t>
  </si>
  <si>
    <t>TERM-151</t>
  </si>
  <si>
    <t>범위결정</t>
  </si>
  <si>
    <t>Decision D-021</t>
  </si>
  <si>
    <t>내부데이터 제외 결정</t>
  </si>
  <si>
    <t>D-021</t>
  </si>
  <si>
    <t>external-data-only rule</t>
  </si>
  <si>
    <t>GovernanceRule</t>
  </si>
  <si>
    <t>내부 ERP·S&amp;OP·조달원가를 학습·검증·피처에서 제외하는 프로젝트 결정이다.</t>
  </si>
  <si>
    <t>문서에 내부 도메인 예시가 있어도 분석 입력으로 사용하지 않는다.</t>
  </si>
  <si>
    <t>rule</t>
  </si>
  <si>
    <t>mandatory</t>
  </si>
  <si>
    <t>TERM-152</t>
  </si>
  <si>
    <t>시계열</t>
  </si>
  <si>
    <t>Structural Break</t>
  </si>
  <si>
    <t>구조적 변화</t>
  </si>
  <si>
    <t>regime shift; break point</t>
  </si>
  <si>
    <t>AnalyticalConcept</t>
  </si>
  <si>
    <t>시계열의 평균·분산·관계가 갑자기 지속적으로 달라지는 변화다.</t>
  </si>
  <si>
    <t>일시적 이상치와 구분하고 발생일·검정법·영향 변수를 저장한다.</t>
  </si>
  <si>
    <t>Model/Risk</t>
  </si>
  <si>
    <t>date/test statistic</t>
  </si>
  <si>
    <t>model-specific</t>
  </si>
  <si>
    <t>DETECTED_BY</t>
  </si>
  <si>
    <t>포함 범위</t>
  </si>
  <si>
    <t>경계·제외 규칙</t>
  </si>
  <si>
    <t>거시경제, 외환, 국제 교역량과 통계</t>
  </si>
  <si>
    <t>정책 도구 자체는 외교·정책·규제로 분리</t>
  </si>
  <si>
    <t>ENSO·이상기상·생육·생산·재고</t>
  </si>
  <si>
    <t>물류 차질은 물류·공급망으로 분리</t>
  </si>
  <si>
    <t>대두유 형태, 가격, 스프레드, 레짐, Buy/Hold</t>
  </si>
  <si>
    <t>에너지·정책 원인은 별도 분류</t>
  </si>
  <si>
    <t>WTI/Brent, 바이오디젤 수요, 혼합의무</t>
  </si>
  <si>
    <t>일반 환경정책과 구분</t>
  </si>
  <si>
    <t>분쟁, 제재, GPR/EPU, 핵심 해협 위험</t>
  </si>
  <si>
    <t>관세율·법령은 외교·정책·규제로 분리</t>
  </si>
  <si>
    <t>운임, 보험, 항만, 항로, 리드타임, 인코텀즈</t>
  </si>
  <si>
    <t>생산 자체는 농업·농기상으로 분리</t>
  </si>
  <si>
    <t>관세·수출세·쿼터·법령·규정 상태</t>
  </si>
  <si>
    <t>정책 영향은 별도 인과 메커니즘으로 연결</t>
  </si>
  <si>
    <t>문서 근거, 엔터티 정규화, 온톨로지, 인과, 검증</t>
  </si>
  <si>
    <t>도메인 사실과 메타데이터를 구분</t>
  </si>
  <si>
    <t>관계코드</t>
  </si>
  <si>
    <t>정의</t>
  </si>
  <si>
    <t>Subject Class</t>
  </si>
  <si>
    <t>Object Class</t>
  </si>
  <si>
    <t>대칭관계</t>
  </si>
  <si>
    <t>예시·제약</t>
  </si>
  <si>
    <t>언급이 표준 엔터티를 지칭</t>
  </si>
  <si>
    <t>N</t>
  </si>
  <si>
    <t>SBO mention MENTION_OF Soybean Oil</t>
  </si>
  <si>
    <t>별칭이 표준 엔터티에 속함</t>
  </si>
  <si>
    <t>대두유 ALIAS_OF Soybean Oil</t>
  </si>
  <si>
    <t>엔터티가 분류에 속함</t>
  </si>
  <si>
    <t>TaxonomyCategory</t>
  </si>
  <si>
    <t>Soybean Oil CLASSIFIED_AS Vegetable Oil</t>
  </si>
  <si>
    <t>주장·관계가 근거로 지지됨</t>
  </si>
  <si>
    <t>Claim/Edge</t>
  </si>
  <si>
    <t>CausalClaim SUPPORTED_BY p.8 quote</t>
  </si>
  <si>
    <t>레코드가 원천에서 파생됨</t>
  </si>
  <si>
    <t>Record</t>
  </si>
  <si>
    <t>SourceDocument/Chunk</t>
  </si>
  <si>
    <t>Observation DERIVED_FROM WASDE</t>
  </si>
  <si>
    <t>OCCURS_IN</t>
  </si>
  <si>
    <t>사건이 지리에서 발생</t>
  </si>
  <si>
    <t>GeoEntity</t>
  </si>
  <si>
    <t>Drought OCCURS_IN Córdoba</t>
  </si>
  <si>
    <t>한 엔터티가 다른 대상에 영향</t>
  </si>
  <si>
    <t>Entity/Event</t>
  </si>
  <si>
    <t>Entity/Metric</t>
  </si>
  <si>
    <t>Port Strike AFFECTS Lead Time</t>
  </si>
  <si>
    <t>원인이 시장 메커니즘을 촉발</t>
  </si>
  <si>
    <t>La Niña CAUSES_MECHANISM Yield Deficit</t>
  </si>
  <si>
    <t>메커니즘이 수급·가격 결과에 영향</t>
  </si>
  <si>
    <t>Yield Deficit MECHANISM_AFFECTS_OUTCOME SBO Price</t>
  </si>
  <si>
    <t>INCREASES</t>
  </si>
  <si>
    <t>대상 값을 증가시킴</t>
  </si>
  <si>
    <t>Freight Shock INCREASES CFR Price</t>
  </si>
  <si>
    <t>DECREASES</t>
  </si>
  <si>
    <t>대상 값을 감소시킴</t>
  </si>
  <si>
    <t>Bumper Crop DECREASES Price</t>
  </si>
  <si>
    <t>원료·공정이 산출물을 생산</t>
  </si>
  <si>
    <t>Commodity/Process</t>
  </si>
  <si>
    <t>Soybean Crush PRODUCES Soybean Oil</t>
  </si>
  <si>
    <t>EXPORTS_TO</t>
  </si>
  <si>
    <t>국가·주체가 목적지로 수출</t>
  </si>
  <si>
    <t>Country/Actor</t>
  </si>
  <si>
    <t>Country/Market</t>
  </si>
  <si>
    <t>Brazil EXPORTS_TO Korea</t>
  </si>
  <si>
    <t>IMPORTS_FROM</t>
  </si>
  <si>
    <t>국가·주체가 원산지에서 수입</t>
  </si>
  <si>
    <t>Korea IMPORTS_FROM Argentina</t>
  </si>
  <si>
    <t>교역·운송이 경로·항만을 경유</t>
  </si>
  <si>
    <t>TradeFlow/Shipment</t>
  </si>
  <si>
    <t>Route/Port</t>
  </si>
  <si>
    <t>TradeFlow ROUTED_VIA Santos</t>
  </si>
  <si>
    <t>정책이 품목·행위·시장을 규제</t>
  </si>
  <si>
    <t>Commodity/TradeFlow</t>
  </si>
  <si>
    <t>Export Tax REGULATES SBO Export</t>
  </si>
  <si>
    <t>품목이 다른 품목을 대체</t>
  </si>
  <si>
    <t>Y</t>
  </si>
  <si>
    <t>Palm Oil SUBSTITUTES_FOR Soybean Oil</t>
  </si>
  <si>
    <t>개념·현상이 지표로 측정</t>
  </si>
  <si>
    <t>Entity/Condition</t>
  </si>
  <si>
    <t>ENSO MEASURED_BY ONI</t>
  </si>
  <si>
    <t>전망이 대상 지표를 예측</t>
  </si>
  <si>
    <t>Forecast</t>
  </si>
  <si>
    <t>WASDE Forecast FORECASTS Production</t>
  </si>
  <si>
    <t>HAS_KOREA_IMPACT</t>
  </si>
  <si>
    <t>사건·전망이 한국 영향 평가를 가짐</t>
  </si>
  <si>
    <t>Event/Forecast</t>
  </si>
  <si>
    <t>KoreaImpact</t>
  </si>
  <si>
    <t>Route Disruption HAS_KOREA_IMPACT CIF Up</t>
  </si>
  <si>
    <t>레코드가 검토·평가로 검증</t>
  </si>
  <si>
    <t>Record/Edge</t>
  </si>
  <si>
    <t>Review/Eval</t>
  </si>
  <si>
    <t>CausalEdge VALIDATED_BY P1-03</t>
  </si>
  <si>
    <t>CONTRADICTS</t>
  </si>
  <si>
    <t>주장들이 서로 상충</t>
  </si>
  <si>
    <t>Forecast A CONTRADICTS Forecast B</t>
  </si>
  <si>
    <t>DIRECT_CAUSE_TO_PRICE</t>
  </si>
  <si>
    <t>금지 관계: 외생 원인에서 가격으로 직접 연결</t>
  </si>
  <si>
    <t>PriceOutcome</t>
  </si>
  <si>
    <t>금지 — 반드시 Market Mechanism 경유</t>
  </si>
  <si>
    <t>유형</t>
  </si>
  <si>
    <t>제목</t>
  </si>
  <si>
    <t>반영 범위</t>
  </si>
  <si>
    <t>URL</t>
  </si>
  <si>
    <t>GH-README</t>
  </si>
  <si>
    <t>GitHub</t>
  </si>
  <si>
    <t>Project Nexus README</t>
  </si>
  <si>
    <t>2026</t>
  </si>
  <si>
    <t>프로젝트 범위·변수·용어·제약</t>
  </si>
  <si>
    <t>https://github.com/Jozosco/Nexus/blob/main/README.md</t>
  </si>
  <si>
    <t>GH-PHASE</t>
  </si>
  <si>
    <t>Phase 1 Guide</t>
  </si>
  <si>
    <t>에이전트 역할·WBS·파이프라인</t>
  </si>
  <si>
    <t>https://github.com/Jozosco/Nexus/blob/main/.claude/skills/phase1/00_phase1_guide.md</t>
  </si>
  <si>
    <t>GH-C04</t>
  </si>
  <si>
    <t>C-04 Document Intelligence</t>
  </si>
  <si>
    <t>PDF 추출·페이지 provenance·단위정규화</t>
  </si>
  <si>
    <t>https://github.com/Jozosco/Nexus/blob/main/.claude/agents/c04-document-intelligence.md</t>
  </si>
  <si>
    <t>GH-P101</t>
  </si>
  <si>
    <t>P1-01 Commodity Analyst</t>
  </si>
  <si>
    <t>거시·가격·대체재 지표</t>
  </si>
  <si>
    <t>https://github.com/Jozosco/Nexus/blob/main/.claude/agents/p101-commodity-analyst.md</t>
  </si>
  <si>
    <t>GH-P102</t>
  </si>
  <si>
    <t>P1-02 Geopolitical Analyst</t>
  </si>
  <si>
    <t>GPR·EPU·분쟁·병목 경보</t>
  </si>
  <si>
    <t>https://github.com/Jozosco/Nexus/blob/main/.claude/agents/p102-geopolitical-analyst.md</t>
  </si>
  <si>
    <t>GH-P103</t>
  </si>
  <si>
    <t>P1-03 Climate Specialist</t>
  </si>
  <si>
    <t>ENSO·SPI·지역별 기상 임계값</t>
  </si>
  <si>
    <t>https://github.com/Jozosco/Nexus/blob/main/.claude/agents/p103-climate-specialist.md</t>
  </si>
  <si>
    <t>GH-P104</t>
  </si>
  <si>
    <t>P1-04 Supply Chain Analyst</t>
  </si>
  <si>
    <t>운임·리드타임·항로·보험료</t>
  </si>
  <si>
    <t>https://github.com/Jozosco/Nexus/blob/main/.claude/agents/p104-supply-chain-analyst.md</t>
  </si>
  <si>
    <t>GH-P105</t>
  </si>
  <si>
    <t>P1-05 News &amp; Sentiment</t>
  </si>
  <si>
    <t>ABSA·가격방향 감성·근거 발췌</t>
  </si>
  <si>
    <t>https://github.com/Jozosco/Nexus/blob/main/.claude/agents/p105-news-sentiment.md</t>
  </si>
  <si>
    <t>GH-P106</t>
  </si>
  <si>
    <t>P1-06 Semantic &amp; Ontology</t>
  </si>
  <si>
    <t>표준 엔터티·QUDT·Cause→Mechanism→Price</t>
  </si>
  <si>
    <t>https://github.com/Jozosco/Nexus/blob/main/.claude/agents/p106-semantic-ontology.md</t>
  </si>
  <si>
    <t>GH-C08</t>
  </si>
  <si>
    <t>C-08 Data Quality Validator</t>
  </si>
  <si>
    <t>DQSOps·스키마 드리프트·STALE</t>
  </si>
  <si>
    <t>https://github.com/Jozosco/Nexus/blob/main/.claude/agents/c08-data-quality-validator.md</t>
  </si>
  <si>
    <t>GH-TEMPLATE</t>
  </si>
  <si>
    <t>비정형데이터 요약본 Template</t>
  </si>
  <si>
    <t>요약 레코드·키워드·전망·근거</t>
  </si>
  <si>
    <t>https://github.com/Jozosco/Nexus/blob/main/.claude/agents/%EB%B9%84%EC%A0%95%ED%98%95%EB%8D%B0%EC%9D%B4%ED%84%B0%20%EC%9A%94%EC%95%BD%EB%B3%B8%20Template.md</t>
  </si>
  <si>
    <t>GH-ESA</t>
  </si>
  <si>
    <t>Enterprise Semantic Architecture Guide</t>
  </si>
  <si>
    <t>MVO·온톨로지와 KG 구분·인과 DAG</t>
  </si>
  <si>
    <t>https://github.com/Jozosco/Nexus/blob/main/.claude/agents/Enterprise%20Semantic%20Architecture_Deploying%20Ontology-Driven%20AI%20Agents%20for%20Commodity%20Procurement%20in%20F%26B%20Manufacturing.md</t>
  </si>
  <si>
    <t>OA-SO</t>
  </si>
  <si>
    <t>OpenAI Docs</t>
  </si>
  <si>
    <t>Structured model outputs</t>
  </si>
  <si>
    <t>JSON Schema 기반 구조화 출력</t>
  </si>
  <si>
    <t>https://developers.openai.com/api/docs/guides/structured-outputs</t>
  </si>
  <si>
    <t>OA-EVAL</t>
  </si>
  <si>
    <t>Working with evals</t>
  </si>
  <si>
    <t>대표 테스트셋·ground truth·grader</t>
  </si>
  <si>
    <t>https://developers.openai.com/api/docs/guides/evals</t>
  </si>
  <si>
    <t>CS-BREWSTER23</t>
  </si>
  <si>
    <t>Consensus</t>
  </si>
  <si>
    <t>Data sharing in agricultural supply chains: Using semantics to enable sustainable food systems</t>
  </si>
  <si>
    <t>2023</t>
  </si>
  <si>
    <t>기존 시맨틱 표준 재사용·레거시 통합</t>
  </si>
  <si>
    <t>https://consensus.app/papers/data-sharing-in-agricultural-supply-chains-using-brewster-kalatzis/87d826362228584b84684a25b863237e/?utm_source=chatgpt</t>
  </si>
  <si>
    <t>CS-KIOUKIS25</t>
  </si>
  <si>
    <t>Sowing Semantics, Reaping Interoperability</t>
  </si>
  <si>
    <t>2025</t>
  </si>
  <si>
    <t>Farm-to-Fork 온톨로지 확장·논리 일관성·JSON-LD</t>
  </si>
  <si>
    <t>https://consensus.app/papers/sowing-semantics-reaping-interoperability-watson-kioukis-papadakis/51e11d774da15cb4948265ead8802c4b/?utm_source=chatgpt</t>
  </si>
  <si>
    <t>CS-KOSASIH22</t>
  </si>
  <si>
    <t>Towards knowledge graph reasoning for supply chain risk management using graph neural networks</t>
  </si>
  <si>
    <t>2022</t>
  </si>
  <si>
    <t>공급망 숨은 관계 위험의 KG 추론</t>
  </si>
  <si>
    <t>https://consensus.app/papers/towards-knowledge-graph-reasoning-for-supply-chain-risk-kosasih-margaroli/c81d54e3233f5496a2eceb1bdb05c631/?utm_source=chatgpt</t>
  </si>
  <si>
    <t>CS-WYREMBEK24</t>
  </si>
  <si>
    <t>Causal machine learning for supply chain risk prediction and intervention planning</t>
  </si>
  <si>
    <t>2024</t>
  </si>
  <si>
    <t>상관과 인과 구분·what-if 개입</t>
  </si>
  <si>
    <t>https://consensus.app/papers/causal-machine-learning-for-supply-chain-risk-prediction-wyrembek-baryannis/747712947c0f59fe9fe47ea74624e6ba/?utm_source=chatgpt</t>
  </si>
  <si>
    <t>코드셋</t>
  </si>
  <si>
    <t>허용값</t>
  </si>
  <si>
    <t>사용 위치</t>
  </si>
  <si>
    <t>Priority</t>
  </si>
  <si>
    <t>해석 오류 시 핵심 판단이 달라지는 필수 용어</t>
  </si>
  <si>
    <t>용어사전.우선순위</t>
  </si>
  <si>
    <t>중요하지만 보조 근거로 교차검증 가능한 용어</t>
  </si>
  <si>
    <t>컨텍스트 보강용 용어</t>
  </si>
  <si>
    <t>Ambiguity</t>
  </si>
  <si>
    <t>표기·단위·방향·법적 상태 오해 가능성이 큼</t>
  </si>
  <si>
    <t>용어사전.모호성위험</t>
  </si>
  <si>
    <t>일부 문맥·단위 확인 필요</t>
  </si>
  <si>
    <t>하</t>
  </si>
  <si>
    <t>정의가 비교적 단일하고 명확</t>
  </si>
  <si>
    <t>Direction</t>
  </si>
  <si>
    <t>대두유 가격 상방</t>
  </si>
  <si>
    <t>대두유 가격 하방</t>
  </si>
  <si>
    <t>조건부 상방 위험</t>
  </si>
  <si>
    <t>조건부 하방 위험</t>
  </si>
  <si>
    <t>해당 수급지표 상승 시 가격 하방</t>
  </si>
  <si>
    <t>해당 수급지표 하락 시 가격 상방</t>
  </si>
  <si>
    <t>직접 방향을 부여하지 않고 메커니즘 필요</t>
  </si>
  <si>
    <t>보합·중립</t>
  </si>
  <si>
    <t>ReviewStatus</t>
  </si>
  <si>
    <t>PROPOSED</t>
  </si>
  <si>
    <t>신규 후보; 전문가 미검토</t>
  </si>
  <si>
    <t>VALIDATED</t>
  </si>
  <si>
    <t>도메인 전문가 검증 완료</t>
  </si>
  <si>
    <t>REJECTED</t>
  </si>
  <si>
    <t>오류·중복·범위 외로 반려</t>
  </si>
  <si>
    <t>DEPRECATED</t>
  </si>
  <si>
    <t>대체 용어로 전환되어 신규 사용 금지</t>
  </si>
  <si>
    <t>비정형 데이터 핵심 용어사전 v1.0</t>
    <phoneticPr fontId="9" type="noConversion"/>
  </si>
  <si>
    <t>1. 문서의 원문 표기를 먼저 Entity Mention으로 저장한 뒤 표준용어(Canonical Entity)에 Mapping</t>
    <phoneticPr fontId="9" type="noConversion"/>
  </si>
  <si>
    <t>2. 가격 추세는 대두유 기준이며, 공급 증가(↑)를 가격 상승으로 해석하지 않음</t>
    <phoneticPr fontId="9" type="noConversion"/>
  </si>
  <si>
    <t>3. Cause → Market Mechanism → Outcome 3단 경로를 강제하며 외생 원인→가격 직결은 금지</t>
    <phoneticPr fontId="9" type="noConversion"/>
  </si>
  <si>
    <t>4. 모든 핵심 엔터티·관계·점수에는 문서 ID, 페이지, 최소 원문 발췌, 신뢰도 연결</t>
    <phoneticPr fontId="9" type="noConversion"/>
  </si>
  <si>
    <t>5. 내부 ERP·S&amp;OP·조달원가 데이터는 학습·검증·피처에서 제외</t>
    <phoneticPr fontId="9" type="noConversion"/>
  </si>
  <si>
    <t>6. 임계값은 저장소의 현재 경보값이며, 원지수/정규화 지수·관할·시점을 반드시 확인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</si>
</sst>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name val="Carlito"/>
    </font>
    <font>
      <b/>
      <sz val="18"/>
      <color rgb="FFFFFFFF"/>
      <name val="Noto Sans KR"/>
      <family val="3"/>
      <charset val="129"/>
    </font>
    <font>
      <i/>
      <sz val="11"/>
      <color rgb="FF16324F"/>
      <name val="Noto Sans KR"/>
      <family val="3"/>
      <charset val="129"/>
    </font>
    <font>
      <sz val="10"/>
      <name val="Noto Sans KR"/>
      <family val="3"/>
      <charset val="129"/>
    </font>
    <font>
      <b/>
      <sz val="10"/>
      <color rgb="FFFFFFFF"/>
      <name val="Noto Sans KR"/>
      <family val="3"/>
      <charset val="129"/>
    </font>
    <font>
      <b/>
      <sz val="11"/>
      <color rgb="FFFFFFFF"/>
      <name val="Noto Sans KR"/>
      <family val="3"/>
      <charset val="129"/>
    </font>
    <font>
      <sz val="11"/>
      <color rgb="FF1F2937"/>
      <name val="Noto Sans KR"/>
      <family val="3"/>
      <charset val="129"/>
    </font>
    <font>
      <b/>
      <sz val="10"/>
      <color rgb="FFB42318"/>
      <name val="Noto Sans KR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EAF2F8"/>
      </patternFill>
    </fill>
    <fill>
      <patternFill patternType="solid">
        <fgColor rgb="FF1F6D6A"/>
      </patternFill>
    </fill>
    <fill>
      <patternFill patternType="solid">
        <fgColor rgb="FFF8FAFC"/>
      </patternFill>
    </fill>
    <fill>
      <patternFill patternType="solid">
        <fgColor rgb="FFFEE4E2"/>
      </patternFill>
    </fill>
  </fills>
  <borders count="7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/>
      <diagonal/>
    </border>
    <border>
      <left/>
      <right style="thin">
        <color rgb="FF9CA3AF"/>
      </right>
      <top style="thin">
        <color rgb="FF9CA3AF"/>
      </top>
      <bottom/>
      <diagonal/>
    </border>
    <border>
      <left style="thin">
        <color rgb="FF9CA3AF"/>
      </left>
      <right/>
      <top/>
      <bottom/>
      <diagonal/>
    </border>
    <border>
      <left/>
      <right style="thin">
        <color rgb="FF9CA3AF"/>
      </right>
      <top/>
      <bottom/>
      <diagonal/>
    </border>
    <border>
      <left style="thin">
        <color rgb="FF9CA3AF"/>
      </left>
      <right/>
      <top/>
      <bottom style="thin">
        <color rgb="FF9CA3AF"/>
      </bottom>
      <diagonal/>
    </border>
    <border>
      <left/>
      <right style="thin">
        <color rgb="FF9CA3AF"/>
      </right>
      <top/>
      <bottom style="thin">
        <color rgb="FF9CA3AF"/>
      </bottom>
      <diagonal/>
    </border>
  </borders>
  <cellStyleXfs count="2">
    <xf numFmtId="0" fontId="0" fillId="0" borderId="0"/>
    <xf numFmtId="0" fontId="8" fillId="0" borderId="0"/>
  </cellStyleXfs>
  <cellXfs count="14">
    <xf numFmtId="0" fontId="0" fillId="0" borderId="0" xfId="0"/>
    <xf numFmtId="0" fontId="4" fillId="4" borderId="1" xfId="1" applyNumberFormat="1" applyFont="1" applyFill="1" applyBorder="1"/>
    <xf numFmtId="0" fontId="4" fillId="4" borderId="2" xfId="1" applyNumberFormat="1" applyFont="1" applyFill="1" applyBorder="1"/>
    <xf numFmtId="0" fontId="3" fillId="0" borderId="3" xfId="1" applyNumberFormat="1" applyFont="1" applyFill="1" applyBorder="1"/>
    <xf numFmtId="0" fontId="3" fillId="0" borderId="5" xfId="1" applyNumberFormat="1" applyFont="1" applyFill="1" applyBorder="1"/>
    <xf numFmtId="3" fontId="3" fillId="0" borderId="4" xfId="1" applyNumberFormat="1" applyFont="1" applyFill="1" applyBorder="1"/>
    <xf numFmtId="3" fontId="3" fillId="0" borderId="6" xfId="1" applyNumberFormat="1" applyFont="1" applyFill="1" applyBorder="1"/>
    <xf numFmtId="0" fontId="3" fillId="0" borderId="0" xfId="1" applyNumberFormat="1" applyFont="1" applyFill="1" applyBorder="1" applyAlignment="1">
      <alignment wrapText="1"/>
    </xf>
    <xf numFmtId="0" fontId="3" fillId="0" borderId="0" xfId="1" applyNumberFormat="1" applyFont="1" applyFill="1" applyBorder="1" applyAlignment="1">
      <alignment vertical="top" wrapText="1"/>
    </xf>
    <xf numFmtId="0" fontId="7" fillId="6" borderId="0" xfId="1" applyNumberFormat="1" applyFont="1" applyFill="1" applyBorder="1" applyAlignment="1">
      <alignment wrapText="1"/>
    </xf>
    <xf numFmtId="0" fontId="1" fillId="2" borderId="0" xfId="1" applyNumberFormat="1" applyFont="1" applyFill="1" applyBorder="1" applyAlignment="1">
      <alignment horizontal="center" vertical="center"/>
    </xf>
    <xf numFmtId="0" fontId="2" fillId="3" borderId="0" xfId="1" applyNumberFormat="1" applyFont="1" applyFill="1" applyBorder="1" applyAlignment="1">
      <alignment horizontal="center"/>
    </xf>
    <xf numFmtId="0" fontId="5" fillId="2" borderId="0" xfId="1" applyNumberFormat="1" applyFont="1" applyFill="1" applyBorder="1"/>
    <xf numFmtId="0" fontId="6" fillId="5" borderId="0" xfId="1" applyNumberFormat="1" applyFont="1" applyFill="1" applyBorder="1" applyAlignment="1">
      <alignment vertical="top" wrapText="1"/>
    </xf>
  </cellXfs>
  <cellStyles count="2">
    <cellStyle name="Normal" xfId="1"/>
    <cellStyle name="표준" xfId="0" builtinId="0"/>
  </cellStyles>
  <dxfs count="2">
    <dxf>
      <font>
        <b/>
        <color rgb="FFB42318"/>
      </font>
      <fill>
        <patternFill patternType="solid">
          <bgColor rgb="FFFEE4E2"/>
        </patternFill>
      </fill>
    </dxf>
    <dxf>
      <font>
        <b/>
        <color rgb="FF7C2D12"/>
      </font>
      <fill>
        <patternFill patternType="solid">
          <bgColor rgb="FFFDE68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NexusTermDictionary" displayName="NexusTermDictionary" ref="A1:V153" totalsRowShown="0">
  <tableColumns count="22">
    <tableColumn id="1" name="용어ID"/>
    <tableColumn id="2" name="대분류"/>
    <tableColumn id="3" name="대분류_EN"/>
    <tableColumn id="4" name="중분류"/>
    <tableColumn id="5" name="중분류_EN"/>
    <tableColumn id="6" name="소분류"/>
    <tableColumn id="7" name="표준용어_EN"/>
    <tableColumn id="8" name="표준용어_KO"/>
    <tableColumn id="9" name="약어"/>
    <tableColumn id="10" name="동의어·변형"/>
    <tableColumn id="11" name="엔터티유형"/>
    <tableColumn id="12" name="프로젝트 정의"/>
    <tableColumn id="13" name="해석 규칙·주의점"/>
    <tableColumn id="14" name="영향대상"/>
    <tableColumn id="15" name="기본 가격방향"/>
    <tableColumn id="16" name="단위·범위"/>
    <tableColumn id="17" name="경보·판정기준"/>
    <tableColumn id="18" name="우선순위"/>
    <tableColumn id="19" name="모호성위험"/>
    <tableColumn id="20" name="온톨로지클래스"/>
    <tableColumn id="21" name="권장관계"/>
    <tableColumn id="22" name="출처코드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xonomyCategories" displayName="TaxonomyCategories" ref="A1:D9" totalsRowShown="0">
  <tableColumns count="4">
    <tableColumn id="1" name="대분류"/>
    <tableColumn id="2" name="대분류_EN"/>
    <tableColumn id="3" name="포함 범위"/>
    <tableColumn id="4" name="경계·제외 규칙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OntologyRelations" displayName="OntologyRelations" ref="A1:F24" totalsRowShown="0">
  <tableColumns count="6">
    <tableColumn id="1" name="관계코드"/>
    <tableColumn id="2" name="정의"/>
    <tableColumn id="3" name="Subject Class"/>
    <tableColumn id="4" name="Object Class"/>
    <tableColumn id="5" name="대칭관계"/>
    <tableColumn id="6" name="예시·제약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DictionarySources" displayName="DictionarySources" ref="A1:F19" totalsRowShown="0">
  <tableColumns count="6">
    <tableColumn id="1" name="출처코드"/>
    <tableColumn id="2" name="유형"/>
    <tableColumn id="3" name="제목"/>
    <tableColumn id="4" name="연도"/>
    <tableColumn id="5" name="반영 범위"/>
    <tableColumn id="6" name="UR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ctionaryCodeLists" displayName="DictionaryCodeLists" ref="A1:D19" totalsRowShown="0">
  <tableColumns count="4">
    <tableColumn id="1" name="코드셋"/>
    <tableColumn id="2" name="허용값"/>
    <tableColumn id="3" name="정의"/>
    <tableColumn id="4" name="사용 위치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showGridLines="0" tabSelected="1" workbookViewId="0">
      <selection sqref="A1:H2"/>
    </sheetView>
  </sheetViews>
  <sheetFormatPr defaultRowHeight="14.25"/>
  <cols>
    <col min="1" max="1" width="24" customWidth="1"/>
    <col min="2" max="3" width="16" customWidth="1"/>
    <col min="4" max="4" width="28" customWidth="1"/>
    <col min="5" max="8" width="16" customWidth="1"/>
  </cols>
  <sheetData>
    <row r="1" spans="1:8">
      <c r="A1" s="10" t="s">
        <v>1817</v>
      </c>
      <c r="B1" s="10" t="s">
        <v>0</v>
      </c>
      <c r="C1" s="10" t="s">
        <v>0</v>
      </c>
      <c r="D1" s="10" t="s">
        <v>0</v>
      </c>
      <c r="E1" s="10" t="s">
        <v>0</v>
      </c>
      <c r="F1" s="10" t="s">
        <v>0</v>
      </c>
      <c r="G1" s="10" t="s">
        <v>0</v>
      </c>
      <c r="H1" s="10" t="s">
        <v>0</v>
      </c>
    </row>
    <row r="2" spans="1:8">
      <c r="A2" s="10" t="s">
        <v>0</v>
      </c>
      <c r="B2" s="10" t="s">
        <v>0</v>
      </c>
      <c r="C2" s="10" t="s">
        <v>0</v>
      </c>
      <c r="D2" s="10" t="s">
        <v>0</v>
      </c>
      <c r="E2" s="10" t="s">
        <v>0</v>
      </c>
      <c r="F2" s="10" t="s">
        <v>0</v>
      </c>
      <c r="G2" s="10" t="s">
        <v>0</v>
      </c>
      <c r="H2" s="10" t="s">
        <v>0</v>
      </c>
    </row>
    <row r="3" spans="1:8" ht="18">
      <c r="A3" s="11" t="s">
        <v>1</v>
      </c>
      <c r="B3" s="11" t="s">
        <v>1</v>
      </c>
      <c r="C3" s="11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</row>
    <row r="5" spans="1:8" ht="16.5">
      <c r="A5" s="1" t="s">
        <v>2</v>
      </c>
      <c r="B5" s="2" t="s">
        <v>3</v>
      </c>
      <c r="D5" s="1" t="s">
        <v>4</v>
      </c>
      <c r="E5" s="2" t="s">
        <v>5</v>
      </c>
    </row>
    <row r="6" spans="1:8" ht="16.5">
      <c r="A6" s="3" t="s">
        <v>6</v>
      </c>
      <c r="B6" s="5">
        <f>COUNTA(용어사전!$A$2:$A$153)</f>
        <v>152</v>
      </c>
      <c r="D6" s="3" t="s">
        <v>7</v>
      </c>
      <c r="E6" s="5">
        <f>COUNTIF(용어사전!$B$2:$B$500,D6)</f>
        <v>15</v>
      </c>
    </row>
    <row r="7" spans="1:8" ht="16.5">
      <c r="A7" s="3" t="s">
        <v>8</v>
      </c>
      <c r="B7" s="5">
        <v>8</v>
      </c>
      <c r="D7" s="3" t="s">
        <v>9</v>
      </c>
      <c r="E7" s="5">
        <f>COUNTIF(용어사전!$B$2:$B$500,D7)</f>
        <v>25</v>
      </c>
    </row>
    <row r="8" spans="1:8" ht="16.5">
      <c r="A8" s="3" t="s">
        <v>10</v>
      </c>
      <c r="B8" s="5">
        <f>COUNTIF(용어사전!$R$2:$R$153,"A")</f>
        <v>115</v>
      </c>
      <c r="D8" s="3" t="s">
        <v>11</v>
      </c>
      <c r="E8" s="5">
        <f>COUNTIF(용어사전!$B$2:$B$500,D8)</f>
        <v>22</v>
      </c>
    </row>
    <row r="9" spans="1:8" ht="16.5">
      <c r="A9" s="4" t="s">
        <v>12</v>
      </c>
      <c r="B9" s="6">
        <f>COUNTIF(용어사전!$S$2:$S$153,"상")</f>
        <v>101</v>
      </c>
      <c r="D9" s="3" t="s">
        <v>13</v>
      </c>
      <c r="E9" s="5">
        <f>COUNTIF(용어사전!$B$2:$B$500,D9)</f>
        <v>10</v>
      </c>
    </row>
    <row r="10" spans="1:8" ht="16.5">
      <c r="D10" s="3" t="s">
        <v>14</v>
      </c>
      <c r="E10" s="5">
        <f>COUNTIF(용어사전!$B$2:$B$500,D10)</f>
        <v>12</v>
      </c>
    </row>
    <row r="11" spans="1:8" ht="16.5">
      <c r="D11" s="3" t="s">
        <v>15</v>
      </c>
      <c r="E11" s="5">
        <f>COUNTIF(용어사전!$B$2:$B$500,D11)</f>
        <v>18</v>
      </c>
    </row>
    <row r="12" spans="1:8" ht="16.5">
      <c r="D12" s="3" t="s">
        <v>16</v>
      </c>
      <c r="E12" s="5">
        <f>COUNTIF(용어사전!$B$2:$B$500,D12)</f>
        <v>14</v>
      </c>
    </row>
    <row r="13" spans="1:8" ht="16.5">
      <c r="D13" s="4" t="s">
        <v>17</v>
      </c>
      <c r="E13" s="6">
        <f>COUNTIF(용어사전!$B$2:$B$500,D13)</f>
        <v>36</v>
      </c>
    </row>
    <row r="16" spans="1:8" ht="18">
      <c r="A16" s="12" t="s">
        <v>18</v>
      </c>
      <c r="B16" s="12" t="s">
        <v>18</v>
      </c>
      <c r="C16" s="12" t="s">
        <v>18</v>
      </c>
      <c r="D16" s="12" t="s">
        <v>18</v>
      </c>
      <c r="E16" s="12" t="s">
        <v>18</v>
      </c>
      <c r="F16" s="12" t="s">
        <v>18</v>
      </c>
      <c r="G16" s="12" t="s">
        <v>18</v>
      </c>
      <c r="H16" s="12" t="s">
        <v>18</v>
      </c>
    </row>
    <row r="17" spans="1:8" ht="26.1" customHeight="1">
      <c r="A17" s="13" t="s">
        <v>1818</v>
      </c>
      <c r="B17" s="13"/>
      <c r="C17" s="13"/>
      <c r="D17" s="13"/>
      <c r="E17" s="13"/>
      <c r="F17" s="13"/>
      <c r="G17" s="13"/>
      <c r="H17" s="13"/>
    </row>
    <row r="18" spans="1:8" ht="26.1" customHeight="1">
      <c r="A18" s="13" t="s">
        <v>1819</v>
      </c>
      <c r="B18" s="13"/>
      <c r="C18" s="13"/>
      <c r="D18" s="13"/>
      <c r="E18" s="13"/>
      <c r="F18" s="13"/>
      <c r="G18" s="13"/>
      <c r="H18" s="13"/>
    </row>
    <row r="19" spans="1:8" ht="26.1" customHeight="1">
      <c r="A19" s="13" t="s">
        <v>1820</v>
      </c>
      <c r="B19" s="13"/>
      <c r="C19" s="13"/>
      <c r="D19" s="13"/>
      <c r="E19" s="13"/>
      <c r="F19" s="13"/>
      <c r="G19" s="13"/>
      <c r="H19" s="13"/>
    </row>
    <row r="20" spans="1:8" ht="26.1" customHeight="1">
      <c r="A20" s="13" t="s">
        <v>1821</v>
      </c>
      <c r="B20" s="13"/>
      <c r="C20" s="13"/>
      <c r="D20" s="13"/>
      <c r="E20" s="13"/>
      <c r="F20" s="13"/>
      <c r="G20" s="13"/>
      <c r="H20" s="13"/>
    </row>
    <row r="21" spans="1:8" ht="26.1" customHeight="1">
      <c r="A21" s="13" t="s">
        <v>1822</v>
      </c>
      <c r="B21" s="13"/>
      <c r="C21" s="13"/>
      <c r="D21" s="13"/>
      <c r="E21" s="13"/>
      <c r="F21" s="13"/>
      <c r="G21" s="13"/>
      <c r="H21" s="13"/>
    </row>
    <row r="22" spans="1:8" ht="26.1" customHeight="1">
      <c r="A22" s="13" t="s">
        <v>1823</v>
      </c>
      <c r="B22" s="13"/>
      <c r="C22" s="13"/>
      <c r="D22" s="13"/>
      <c r="E22" s="13"/>
      <c r="F22" s="13"/>
      <c r="G22" s="13"/>
      <c r="H22" s="13"/>
    </row>
    <row r="23" spans="1:8" ht="26.1" customHeight="1">
      <c r="A23" s="13" t="s">
        <v>19</v>
      </c>
      <c r="B23" s="13"/>
      <c r="C23" s="13"/>
      <c r="D23" s="13"/>
      <c r="E23" s="13"/>
      <c r="F23" s="13"/>
      <c r="G23" s="13"/>
      <c r="H23" s="13"/>
    </row>
  </sheetData>
  <mergeCells count="10">
    <mergeCell ref="A19:H19"/>
    <mergeCell ref="A20:H20"/>
    <mergeCell ref="A21:H21"/>
    <mergeCell ref="A22:H22"/>
    <mergeCell ref="A23:H23"/>
    <mergeCell ref="A1:H2"/>
    <mergeCell ref="A3:H3"/>
    <mergeCell ref="A16:H16"/>
    <mergeCell ref="A17:H17"/>
    <mergeCell ref="A18:H18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53"/>
  <sheetViews>
    <sheetView showGridLines="0" workbookViewId="0"/>
  </sheetViews>
  <sheetFormatPr defaultRowHeight="14.25"/>
  <cols>
    <col min="1" max="1" width="12" customWidth="1"/>
    <col min="2" max="2" width="18" customWidth="1"/>
    <col min="3" max="3" width="19" customWidth="1"/>
    <col min="4" max="4" width="18" customWidth="1"/>
    <col min="5" max="5" width="20" customWidth="1"/>
    <col min="6" max="6" width="16" customWidth="1"/>
    <col min="7" max="7" width="27" customWidth="1"/>
    <col min="8" max="8" width="23" customWidth="1"/>
    <col min="9" max="9" width="12" customWidth="1"/>
    <col min="10" max="10" width="30" customWidth="1"/>
    <col min="11" max="11" width="18" customWidth="1"/>
    <col min="12" max="12" width="42" customWidth="1"/>
    <col min="13" max="13" width="48" customWidth="1"/>
    <col min="14" max="14" width="18" customWidth="1"/>
    <col min="15" max="15" width="16" customWidth="1"/>
    <col min="16" max="16" width="18" customWidth="1"/>
    <col min="17" max="17" width="28" customWidth="1"/>
    <col min="18" max="18" width="10" customWidth="1"/>
    <col min="19" max="19" width="12" customWidth="1"/>
    <col min="20" max="21" width="22" customWidth="1"/>
    <col min="22" max="22" width="25" customWidth="1"/>
  </cols>
  <sheetData>
    <row r="1" spans="1:22" ht="16.5">
      <c r="A1" s="7" t="s">
        <v>20</v>
      </c>
      <c r="B1" s="7" t="s">
        <v>4</v>
      </c>
      <c r="C1" s="7" t="s">
        <v>21</v>
      </c>
      <c r="D1" s="7" t="s">
        <v>22</v>
      </c>
      <c r="E1" s="7" t="s">
        <v>23</v>
      </c>
      <c r="F1" s="7" t="s">
        <v>24</v>
      </c>
      <c r="G1" s="7" t="s">
        <v>25</v>
      </c>
      <c r="H1" s="7" t="s">
        <v>26</v>
      </c>
      <c r="I1" s="7" t="s">
        <v>27</v>
      </c>
      <c r="J1" s="7" t="s">
        <v>28</v>
      </c>
      <c r="K1" s="7" t="s">
        <v>29</v>
      </c>
      <c r="L1" s="7" t="s">
        <v>30</v>
      </c>
      <c r="M1" s="7" t="s">
        <v>31</v>
      </c>
      <c r="N1" s="7" t="s">
        <v>32</v>
      </c>
      <c r="O1" s="7" t="s">
        <v>33</v>
      </c>
      <c r="P1" s="7" t="s">
        <v>34</v>
      </c>
      <c r="Q1" s="7" t="s">
        <v>35</v>
      </c>
      <c r="R1" s="7" t="s">
        <v>36</v>
      </c>
      <c r="S1" s="7" t="s">
        <v>37</v>
      </c>
      <c r="T1" s="7" t="s">
        <v>38</v>
      </c>
      <c r="U1" s="7" t="s">
        <v>39</v>
      </c>
      <c r="V1" s="7" t="s">
        <v>40</v>
      </c>
    </row>
    <row r="2" spans="1:22" ht="42" customHeight="1">
      <c r="A2" s="8" t="s">
        <v>41</v>
      </c>
      <c r="B2" s="8" t="s">
        <v>7</v>
      </c>
      <c r="C2" s="8" t="s">
        <v>42</v>
      </c>
      <c r="D2" s="8" t="s">
        <v>43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52</v>
      </c>
      <c r="N2" s="8" t="s">
        <v>53</v>
      </c>
      <c r="O2" s="8" t="s">
        <v>54</v>
      </c>
      <c r="P2" s="8" t="s">
        <v>55</v>
      </c>
      <c r="Q2" s="8" t="s">
        <v>56</v>
      </c>
      <c r="R2" s="8" t="s">
        <v>57</v>
      </c>
      <c r="S2" s="8" t="s">
        <v>58</v>
      </c>
      <c r="T2" s="8" t="s">
        <v>59</v>
      </c>
      <c r="U2" s="8" t="s">
        <v>60</v>
      </c>
      <c r="V2" s="8" t="s">
        <v>61</v>
      </c>
    </row>
    <row r="3" spans="1:22" ht="42" customHeight="1">
      <c r="A3" s="8" t="s">
        <v>62</v>
      </c>
      <c r="B3" s="8" t="s">
        <v>7</v>
      </c>
      <c r="C3" s="8" t="s">
        <v>42</v>
      </c>
      <c r="D3" s="8" t="s">
        <v>43</v>
      </c>
      <c r="E3" s="8" t="s">
        <v>44</v>
      </c>
      <c r="F3" s="8" t="s">
        <v>63</v>
      </c>
      <c r="G3" s="8" t="s">
        <v>64</v>
      </c>
      <c r="H3" s="8" t="s">
        <v>65</v>
      </c>
      <c r="I3" s="8" t="s">
        <v>66</v>
      </c>
      <c r="J3" s="8" t="s">
        <v>67</v>
      </c>
      <c r="K3" s="8" t="s">
        <v>50</v>
      </c>
      <c r="L3" s="8" t="s">
        <v>68</v>
      </c>
      <c r="M3" s="8" t="s">
        <v>69</v>
      </c>
      <c r="N3" s="8" t="s">
        <v>70</v>
      </c>
      <c r="O3" s="8" t="s">
        <v>54</v>
      </c>
      <c r="P3" s="8" t="s">
        <v>71</v>
      </c>
      <c r="Q3" s="8" t="s">
        <v>56</v>
      </c>
      <c r="R3" s="8" t="s">
        <v>57</v>
      </c>
      <c r="S3" s="8" t="s">
        <v>58</v>
      </c>
      <c r="T3" s="8" t="s">
        <v>59</v>
      </c>
      <c r="U3" s="8" t="s">
        <v>60</v>
      </c>
      <c r="V3" s="8" t="s">
        <v>61</v>
      </c>
    </row>
    <row r="4" spans="1:22" ht="42" customHeight="1">
      <c r="A4" s="8" t="s">
        <v>72</v>
      </c>
      <c r="B4" s="8" t="s">
        <v>7</v>
      </c>
      <c r="C4" s="8" t="s">
        <v>42</v>
      </c>
      <c r="D4" s="8" t="s">
        <v>43</v>
      </c>
      <c r="E4" s="8" t="s">
        <v>44</v>
      </c>
      <c r="F4" s="8" t="s">
        <v>63</v>
      </c>
      <c r="G4" s="8" t="s">
        <v>73</v>
      </c>
      <c r="H4" s="8" t="s">
        <v>74</v>
      </c>
      <c r="I4" s="8"/>
      <c r="J4" s="8" t="s">
        <v>75</v>
      </c>
      <c r="K4" s="8" t="s">
        <v>76</v>
      </c>
      <c r="L4" s="8" t="s">
        <v>77</v>
      </c>
      <c r="M4" s="8" t="s">
        <v>78</v>
      </c>
      <c r="N4" s="8" t="s">
        <v>70</v>
      </c>
      <c r="O4" s="8" t="s">
        <v>54</v>
      </c>
      <c r="P4" s="8" t="s">
        <v>55</v>
      </c>
      <c r="Q4" s="8" t="s">
        <v>56</v>
      </c>
      <c r="R4" s="8" t="s">
        <v>57</v>
      </c>
      <c r="S4" s="8" t="s">
        <v>58</v>
      </c>
      <c r="T4" s="8" t="s">
        <v>79</v>
      </c>
      <c r="U4" s="8" t="s">
        <v>80</v>
      </c>
      <c r="V4" s="8" t="s">
        <v>61</v>
      </c>
    </row>
    <row r="5" spans="1:22" ht="42" customHeight="1">
      <c r="A5" s="8" t="s">
        <v>81</v>
      </c>
      <c r="B5" s="8" t="s">
        <v>7</v>
      </c>
      <c r="C5" s="8" t="s">
        <v>42</v>
      </c>
      <c r="D5" s="8" t="s">
        <v>43</v>
      </c>
      <c r="E5" s="8" t="s">
        <v>44</v>
      </c>
      <c r="F5" s="8" t="s">
        <v>82</v>
      </c>
      <c r="G5" s="8" t="s">
        <v>83</v>
      </c>
      <c r="H5" s="8" t="s">
        <v>84</v>
      </c>
      <c r="I5" s="8" t="s">
        <v>85</v>
      </c>
      <c r="J5" s="8" t="s">
        <v>86</v>
      </c>
      <c r="K5" s="8" t="s">
        <v>50</v>
      </c>
      <c r="L5" s="8" t="s">
        <v>87</v>
      </c>
      <c r="M5" s="8" t="s">
        <v>88</v>
      </c>
      <c r="N5" s="8" t="s">
        <v>89</v>
      </c>
      <c r="O5" s="8" t="s">
        <v>90</v>
      </c>
      <c r="P5" s="8" t="s">
        <v>91</v>
      </c>
      <c r="Q5" s="8" t="s">
        <v>92</v>
      </c>
      <c r="R5" s="8" t="s">
        <v>93</v>
      </c>
      <c r="S5" s="8" t="s">
        <v>58</v>
      </c>
      <c r="T5" s="8" t="s">
        <v>94</v>
      </c>
      <c r="U5" s="8" t="s">
        <v>60</v>
      </c>
      <c r="V5" s="8" t="s">
        <v>61</v>
      </c>
    </row>
    <row r="6" spans="1:22" ht="42" customHeight="1">
      <c r="A6" s="8" t="s">
        <v>95</v>
      </c>
      <c r="B6" s="8" t="s">
        <v>7</v>
      </c>
      <c r="C6" s="8" t="s">
        <v>42</v>
      </c>
      <c r="D6" s="8" t="s">
        <v>43</v>
      </c>
      <c r="E6" s="8" t="s">
        <v>44</v>
      </c>
      <c r="F6" s="8" t="s">
        <v>96</v>
      </c>
      <c r="G6" s="8" t="s">
        <v>97</v>
      </c>
      <c r="H6" s="8" t="s">
        <v>98</v>
      </c>
      <c r="I6" s="8" t="s">
        <v>99</v>
      </c>
      <c r="J6" s="8" t="s">
        <v>100</v>
      </c>
      <c r="K6" s="8" t="s">
        <v>50</v>
      </c>
      <c r="L6" s="8" t="s">
        <v>101</v>
      </c>
      <c r="M6" s="8" t="s">
        <v>102</v>
      </c>
      <c r="N6" s="8" t="s">
        <v>103</v>
      </c>
      <c r="O6" s="8" t="s">
        <v>54</v>
      </c>
      <c r="P6" s="8" t="s">
        <v>104</v>
      </c>
      <c r="Q6" s="8" t="s">
        <v>56</v>
      </c>
      <c r="R6" s="8" t="s">
        <v>93</v>
      </c>
      <c r="S6" s="8" t="s">
        <v>58</v>
      </c>
      <c r="T6" s="8" t="s">
        <v>59</v>
      </c>
      <c r="U6" s="8" t="s">
        <v>60</v>
      </c>
      <c r="V6" s="8" t="s">
        <v>61</v>
      </c>
    </row>
    <row r="7" spans="1:22" ht="42" customHeight="1">
      <c r="A7" s="8" t="s">
        <v>105</v>
      </c>
      <c r="B7" s="8" t="s">
        <v>7</v>
      </c>
      <c r="C7" s="8" t="s">
        <v>42</v>
      </c>
      <c r="D7" s="8" t="s">
        <v>106</v>
      </c>
      <c r="E7" s="8" t="s">
        <v>107</v>
      </c>
      <c r="F7" s="8" t="s">
        <v>108</v>
      </c>
      <c r="G7" s="8" t="s">
        <v>109</v>
      </c>
      <c r="H7" s="8" t="s">
        <v>110</v>
      </c>
      <c r="I7" s="8" t="s">
        <v>111</v>
      </c>
      <c r="J7" s="8" t="s">
        <v>112</v>
      </c>
      <c r="K7" s="8" t="s">
        <v>50</v>
      </c>
      <c r="L7" s="8" t="s">
        <v>113</v>
      </c>
      <c r="M7" s="8" t="s">
        <v>114</v>
      </c>
      <c r="N7" s="8" t="s">
        <v>115</v>
      </c>
      <c r="O7" s="8" t="s">
        <v>116</v>
      </c>
      <c r="P7" s="8" t="s">
        <v>109</v>
      </c>
      <c r="Q7" s="8" t="s">
        <v>117</v>
      </c>
      <c r="R7" s="8" t="s">
        <v>118</v>
      </c>
      <c r="S7" s="8" t="s">
        <v>119</v>
      </c>
      <c r="T7" s="8" t="s">
        <v>120</v>
      </c>
      <c r="U7" s="8" t="s">
        <v>80</v>
      </c>
      <c r="V7" s="8" t="s">
        <v>121</v>
      </c>
    </row>
    <row r="8" spans="1:22" ht="42" customHeight="1">
      <c r="A8" s="8" t="s">
        <v>122</v>
      </c>
      <c r="B8" s="8" t="s">
        <v>7</v>
      </c>
      <c r="C8" s="8" t="s">
        <v>42</v>
      </c>
      <c r="D8" s="8" t="s">
        <v>106</v>
      </c>
      <c r="E8" s="8" t="s">
        <v>107</v>
      </c>
      <c r="F8" s="8" t="s">
        <v>108</v>
      </c>
      <c r="G8" s="8" t="s">
        <v>123</v>
      </c>
      <c r="H8" s="8" t="s">
        <v>124</v>
      </c>
      <c r="I8" s="8" t="s">
        <v>125</v>
      </c>
      <c r="J8" s="8" t="s">
        <v>126</v>
      </c>
      <c r="K8" s="8" t="s">
        <v>50</v>
      </c>
      <c r="L8" s="8" t="s">
        <v>127</v>
      </c>
      <c r="M8" s="8" t="s">
        <v>128</v>
      </c>
      <c r="N8" s="8" t="s">
        <v>129</v>
      </c>
      <c r="O8" s="8" t="s">
        <v>54</v>
      </c>
      <c r="P8" s="8" t="s">
        <v>123</v>
      </c>
      <c r="Q8" s="8" t="s">
        <v>130</v>
      </c>
      <c r="R8" s="8" t="s">
        <v>57</v>
      </c>
      <c r="S8" s="8" t="s">
        <v>119</v>
      </c>
      <c r="T8" s="8" t="s">
        <v>120</v>
      </c>
      <c r="U8" s="8" t="s">
        <v>80</v>
      </c>
      <c r="V8" s="8" t="s">
        <v>121</v>
      </c>
    </row>
    <row r="9" spans="1:22" ht="42" customHeight="1">
      <c r="A9" s="8" t="s">
        <v>131</v>
      </c>
      <c r="B9" s="8" t="s">
        <v>7</v>
      </c>
      <c r="C9" s="8" t="s">
        <v>42</v>
      </c>
      <c r="D9" s="8" t="s">
        <v>106</v>
      </c>
      <c r="E9" s="8" t="s">
        <v>107</v>
      </c>
      <c r="F9" s="8" t="s">
        <v>108</v>
      </c>
      <c r="G9" s="8" t="s">
        <v>132</v>
      </c>
      <c r="H9" s="8" t="s">
        <v>133</v>
      </c>
      <c r="I9" s="8" t="s">
        <v>134</v>
      </c>
      <c r="J9" s="8" t="s">
        <v>135</v>
      </c>
      <c r="K9" s="8" t="s">
        <v>50</v>
      </c>
      <c r="L9" s="8" t="s">
        <v>136</v>
      </c>
      <c r="M9" s="8" t="s">
        <v>137</v>
      </c>
      <c r="N9" s="8" t="s">
        <v>129</v>
      </c>
      <c r="O9" s="8" t="s">
        <v>54</v>
      </c>
      <c r="P9" s="8" t="s">
        <v>132</v>
      </c>
      <c r="Q9" s="8" t="s">
        <v>138</v>
      </c>
      <c r="R9" s="8" t="s">
        <v>118</v>
      </c>
      <c r="S9" s="8" t="s">
        <v>119</v>
      </c>
      <c r="T9" s="8" t="s">
        <v>120</v>
      </c>
      <c r="U9" s="8" t="s">
        <v>80</v>
      </c>
      <c r="V9" s="8" t="s">
        <v>121</v>
      </c>
    </row>
    <row r="10" spans="1:22" ht="42" customHeight="1">
      <c r="A10" s="8" t="s">
        <v>139</v>
      </c>
      <c r="B10" s="8" t="s">
        <v>7</v>
      </c>
      <c r="C10" s="8" t="s">
        <v>42</v>
      </c>
      <c r="D10" s="8" t="s">
        <v>106</v>
      </c>
      <c r="E10" s="8" t="s">
        <v>107</v>
      </c>
      <c r="F10" s="8" t="s">
        <v>108</v>
      </c>
      <c r="G10" s="8" t="s">
        <v>140</v>
      </c>
      <c r="H10" s="8" t="s">
        <v>141</v>
      </c>
      <c r="I10" s="8" t="s">
        <v>142</v>
      </c>
      <c r="J10" s="8" t="s">
        <v>143</v>
      </c>
      <c r="K10" s="8" t="s">
        <v>50</v>
      </c>
      <c r="L10" s="8" t="s">
        <v>144</v>
      </c>
      <c r="M10" s="8" t="s">
        <v>145</v>
      </c>
      <c r="N10" s="8" t="s">
        <v>146</v>
      </c>
      <c r="O10" s="8" t="s">
        <v>54</v>
      </c>
      <c r="P10" s="8" t="s">
        <v>140</v>
      </c>
      <c r="Q10" s="8" t="s">
        <v>130</v>
      </c>
      <c r="R10" s="8" t="s">
        <v>93</v>
      </c>
      <c r="S10" s="8" t="s">
        <v>119</v>
      </c>
      <c r="T10" s="8" t="s">
        <v>120</v>
      </c>
      <c r="U10" s="8" t="s">
        <v>80</v>
      </c>
      <c r="V10" s="8" t="s">
        <v>121</v>
      </c>
    </row>
    <row r="11" spans="1:22" ht="42" customHeight="1">
      <c r="A11" s="8" t="s">
        <v>147</v>
      </c>
      <c r="B11" s="8" t="s">
        <v>7</v>
      </c>
      <c r="C11" s="8" t="s">
        <v>42</v>
      </c>
      <c r="D11" s="8" t="s">
        <v>106</v>
      </c>
      <c r="E11" s="8" t="s">
        <v>107</v>
      </c>
      <c r="F11" s="8" t="s">
        <v>108</v>
      </c>
      <c r="G11" s="8" t="s">
        <v>148</v>
      </c>
      <c r="H11" s="8" t="s">
        <v>149</v>
      </c>
      <c r="I11" s="8" t="s">
        <v>150</v>
      </c>
      <c r="J11" s="8" t="s">
        <v>151</v>
      </c>
      <c r="K11" s="8" t="s">
        <v>50</v>
      </c>
      <c r="L11" s="8" t="s">
        <v>152</v>
      </c>
      <c r="M11" s="8" t="s">
        <v>153</v>
      </c>
      <c r="N11" s="8" t="s">
        <v>154</v>
      </c>
      <c r="O11" s="8" t="s">
        <v>54</v>
      </c>
      <c r="P11" s="8" t="s">
        <v>148</v>
      </c>
      <c r="Q11" s="8" t="s">
        <v>130</v>
      </c>
      <c r="R11" s="8" t="s">
        <v>93</v>
      </c>
      <c r="S11" s="8" t="s">
        <v>119</v>
      </c>
      <c r="T11" s="8" t="s">
        <v>120</v>
      </c>
      <c r="U11" s="8" t="s">
        <v>80</v>
      </c>
      <c r="V11" s="8" t="s">
        <v>121</v>
      </c>
    </row>
    <row r="12" spans="1:22" ht="42" customHeight="1">
      <c r="A12" s="8" t="s">
        <v>155</v>
      </c>
      <c r="B12" s="8" t="s">
        <v>7</v>
      </c>
      <c r="C12" s="8" t="s">
        <v>42</v>
      </c>
      <c r="D12" s="8" t="s">
        <v>106</v>
      </c>
      <c r="E12" s="8" t="s">
        <v>107</v>
      </c>
      <c r="F12" s="8" t="s">
        <v>156</v>
      </c>
      <c r="G12" s="8" t="s">
        <v>157</v>
      </c>
      <c r="H12" s="8" t="s">
        <v>158</v>
      </c>
      <c r="I12" s="8" t="s">
        <v>159</v>
      </c>
      <c r="J12" s="8" t="s">
        <v>160</v>
      </c>
      <c r="K12" s="8" t="s">
        <v>161</v>
      </c>
      <c r="L12" s="8" t="s">
        <v>162</v>
      </c>
      <c r="M12" s="8" t="s">
        <v>163</v>
      </c>
      <c r="N12" s="8" t="s">
        <v>115</v>
      </c>
      <c r="O12" s="8" t="s">
        <v>54</v>
      </c>
      <c r="P12" s="8" t="s">
        <v>164</v>
      </c>
      <c r="Q12" s="8" t="s">
        <v>165</v>
      </c>
      <c r="R12" s="8" t="s">
        <v>118</v>
      </c>
      <c r="S12" s="8" t="s">
        <v>58</v>
      </c>
      <c r="T12" s="8" t="s">
        <v>161</v>
      </c>
      <c r="U12" s="8" t="s">
        <v>166</v>
      </c>
      <c r="V12" s="8" t="s">
        <v>121</v>
      </c>
    </row>
    <row r="13" spans="1:22" ht="42" customHeight="1">
      <c r="A13" s="8" t="s">
        <v>167</v>
      </c>
      <c r="B13" s="8" t="s">
        <v>7</v>
      </c>
      <c r="C13" s="8" t="s">
        <v>42</v>
      </c>
      <c r="D13" s="8" t="s">
        <v>168</v>
      </c>
      <c r="E13" s="8" t="s">
        <v>169</v>
      </c>
      <c r="F13" s="8" t="s">
        <v>170</v>
      </c>
      <c r="G13" s="8" t="s">
        <v>171</v>
      </c>
      <c r="H13" s="8" t="s">
        <v>172</v>
      </c>
      <c r="I13" s="8"/>
      <c r="J13" s="8" t="s">
        <v>173</v>
      </c>
      <c r="K13" s="8" t="s">
        <v>174</v>
      </c>
      <c r="L13" s="8" t="s">
        <v>175</v>
      </c>
      <c r="M13" s="8" t="s">
        <v>176</v>
      </c>
      <c r="N13" s="8" t="s">
        <v>177</v>
      </c>
      <c r="O13" s="8" t="s">
        <v>54</v>
      </c>
      <c r="P13" s="8" t="s">
        <v>178</v>
      </c>
      <c r="Q13" s="8" t="s">
        <v>56</v>
      </c>
      <c r="R13" s="8" t="s">
        <v>118</v>
      </c>
      <c r="S13" s="8" t="s">
        <v>58</v>
      </c>
      <c r="T13" s="8" t="s">
        <v>179</v>
      </c>
      <c r="U13" s="8" t="s">
        <v>60</v>
      </c>
      <c r="V13" s="8" t="s">
        <v>180</v>
      </c>
    </row>
    <row r="14" spans="1:22" ht="42" customHeight="1">
      <c r="A14" s="8" t="s">
        <v>181</v>
      </c>
      <c r="B14" s="8" t="s">
        <v>7</v>
      </c>
      <c r="C14" s="8" t="s">
        <v>42</v>
      </c>
      <c r="D14" s="8" t="s">
        <v>168</v>
      </c>
      <c r="E14" s="8" t="s">
        <v>169</v>
      </c>
      <c r="F14" s="8" t="s">
        <v>170</v>
      </c>
      <c r="G14" s="8" t="s">
        <v>182</v>
      </c>
      <c r="H14" s="8" t="s">
        <v>183</v>
      </c>
      <c r="I14" s="8"/>
      <c r="J14" s="8" t="s">
        <v>184</v>
      </c>
      <c r="K14" s="8" t="s">
        <v>174</v>
      </c>
      <c r="L14" s="8" t="s">
        <v>185</v>
      </c>
      <c r="M14" s="8" t="s">
        <v>186</v>
      </c>
      <c r="N14" s="8" t="s">
        <v>187</v>
      </c>
      <c r="O14" s="8" t="s">
        <v>188</v>
      </c>
      <c r="P14" s="8" t="s">
        <v>178</v>
      </c>
      <c r="Q14" s="8" t="s">
        <v>56</v>
      </c>
      <c r="R14" s="8" t="s">
        <v>118</v>
      </c>
      <c r="S14" s="8" t="s">
        <v>58</v>
      </c>
      <c r="T14" s="8" t="s">
        <v>179</v>
      </c>
      <c r="U14" s="8" t="s">
        <v>60</v>
      </c>
      <c r="V14" s="8" t="s">
        <v>180</v>
      </c>
    </row>
    <row r="15" spans="1:22" ht="42" customHeight="1">
      <c r="A15" s="8" t="s">
        <v>189</v>
      </c>
      <c r="B15" s="8" t="s">
        <v>7</v>
      </c>
      <c r="C15" s="8" t="s">
        <v>42</v>
      </c>
      <c r="D15" s="8" t="s">
        <v>168</v>
      </c>
      <c r="E15" s="8" t="s">
        <v>169</v>
      </c>
      <c r="F15" s="8" t="s">
        <v>190</v>
      </c>
      <c r="G15" s="8" t="s">
        <v>191</v>
      </c>
      <c r="H15" s="8" t="s">
        <v>192</v>
      </c>
      <c r="I15" s="8"/>
      <c r="J15" s="8" t="s">
        <v>193</v>
      </c>
      <c r="K15" s="8" t="s">
        <v>174</v>
      </c>
      <c r="L15" s="8" t="s">
        <v>194</v>
      </c>
      <c r="M15" s="8" t="s">
        <v>195</v>
      </c>
      <c r="N15" s="8" t="s">
        <v>196</v>
      </c>
      <c r="O15" s="8" t="s">
        <v>54</v>
      </c>
      <c r="P15" s="8" t="s">
        <v>197</v>
      </c>
      <c r="Q15" s="8" t="s">
        <v>56</v>
      </c>
      <c r="R15" s="8" t="s">
        <v>93</v>
      </c>
      <c r="S15" s="8" t="s">
        <v>58</v>
      </c>
      <c r="T15" s="8" t="s">
        <v>179</v>
      </c>
      <c r="U15" s="8" t="s">
        <v>60</v>
      </c>
      <c r="V15" s="8" t="s">
        <v>180</v>
      </c>
    </row>
    <row r="16" spans="1:22" ht="42" customHeight="1">
      <c r="A16" s="8" t="s">
        <v>198</v>
      </c>
      <c r="B16" s="8" t="s">
        <v>7</v>
      </c>
      <c r="C16" s="8" t="s">
        <v>42</v>
      </c>
      <c r="D16" s="8" t="s">
        <v>168</v>
      </c>
      <c r="E16" s="8" t="s">
        <v>169</v>
      </c>
      <c r="F16" s="8" t="s">
        <v>199</v>
      </c>
      <c r="G16" s="8" t="s">
        <v>200</v>
      </c>
      <c r="H16" s="8" t="s">
        <v>201</v>
      </c>
      <c r="I16" s="8" t="s">
        <v>202</v>
      </c>
      <c r="J16" s="8" t="s">
        <v>203</v>
      </c>
      <c r="K16" s="8" t="s">
        <v>204</v>
      </c>
      <c r="L16" s="8" t="s">
        <v>205</v>
      </c>
      <c r="M16" s="8" t="s">
        <v>206</v>
      </c>
      <c r="N16" s="8" t="s">
        <v>196</v>
      </c>
      <c r="O16" s="8" t="s">
        <v>54</v>
      </c>
      <c r="P16" s="8" t="s">
        <v>207</v>
      </c>
      <c r="Q16" s="8" t="s">
        <v>208</v>
      </c>
      <c r="R16" s="8" t="s">
        <v>57</v>
      </c>
      <c r="S16" s="8" t="s">
        <v>58</v>
      </c>
      <c r="T16" s="8" t="s">
        <v>204</v>
      </c>
      <c r="U16" s="8" t="s">
        <v>209</v>
      </c>
      <c r="V16" s="8" t="s">
        <v>180</v>
      </c>
    </row>
    <row r="17" spans="1:22" ht="42" customHeight="1">
      <c r="A17" s="8" t="s">
        <v>210</v>
      </c>
      <c r="B17" s="8" t="s">
        <v>9</v>
      </c>
      <c r="C17" s="8" t="s">
        <v>211</v>
      </c>
      <c r="D17" s="8" t="s">
        <v>212</v>
      </c>
      <c r="E17" s="8" t="s">
        <v>213</v>
      </c>
      <c r="F17" s="8" t="s">
        <v>214</v>
      </c>
      <c r="G17" s="8" t="s">
        <v>215</v>
      </c>
      <c r="H17" s="8" t="s">
        <v>216</v>
      </c>
      <c r="I17" s="8" t="s">
        <v>217</v>
      </c>
      <c r="J17" s="8" t="s">
        <v>218</v>
      </c>
      <c r="K17" s="8" t="s">
        <v>219</v>
      </c>
      <c r="L17" s="8" t="s">
        <v>220</v>
      </c>
      <c r="M17" s="8" t="s">
        <v>221</v>
      </c>
      <c r="N17" s="8" t="s">
        <v>222</v>
      </c>
      <c r="O17" s="8" t="s">
        <v>54</v>
      </c>
      <c r="P17" s="8" t="s">
        <v>223</v>
      </c>
      <c r="Q17" s="8" t="s">
        <v>224</v>
      </c>
      <c r="R17" s="8" t="s">
        <v>118</v>
      </c>
      <c r="S17" s="8" t="s">
        <v>119</v>
      </c>
      <c r="T17" s="8" t="s">
        <v>219</v>
      </c>
      <c r="U17" s="8" t="s">
        <v>80</v>
      </c>
      <c r="V17" s="8" t="s">
        <v>225</v>
      </c>
    </row>
    <row r="18" spans="1:22" ht="42" customHeight="1">
      <c r="A18" s="8" t="s">
        <v>226</v>
      </c>
      <c r="B18" s="8" t="s">
        <v>9</v>
      </c>
      <c r="C18" s="8" t="s">
        <v>211</v>
      </c>
      <c r="D18" s="8" t="s">
        <v>212</v>
      </c>
      <c r="E18" s="8" t="s">
        <v>213</v>
      </c>
      <c r="F18" s="8" t="s">
        <v>214</v>
      </c>
      <c r="G18" s="8" t="s">
        <v>227</v>
      </c>
      <c r="H18" s="8" t="s">
        <v>228</v>
      </c>
      <c r="I18" s="8" t="s">
        <v>229</v>
      </c>
      <c r="J18" s="8" t="s">
        <v>230</v>
      </c>
      <c r="K18" s="8" t="s">
        <v>50</v>
      </c>
      <c r="L18" s="8" t="s">
        <v>231</v>
      </c>
      <c r="M18" s="8" t="s">
        <v>232</v>
      </c>
      <c r="N18" s="8" t="s">
        <v>222</v>
      </c>
      <c r="O18" s="8" t="s">
        <v>54</v>
      </c>
      <c r="P18" s="8" t="s">
        <v>233</v>
      </c>
      <c r="Q18" s="8" t="s">
        <v>234</v>
      </c>
      <c r="R18" s="8" t="s">
        <v>118</v>
      </c>
      <c r="S18" s="8" t="s">
        <v>58</v>
      </c>
      <c r="T18" s="8" t="s">
        <v>235</v>
      </c>
      <c r="U18" s="8" t="s">
        <v>60</v>
      </c>
      <c r="V18" s="8" t="s">
        <v>225</v>
      </c>
    </row>
    <row r="19" spans="1:22" ht="42" customHeight="1">
      <c r="A19" s="8" t="s">
        <v>236</v>
      </c>
      <c r="B19" s="8" t="s">
        <v>9</v>
      </c>
      <c r="C19" s="8" t="s">
        <v>211</v>
      </c>
      <c r="D19" s="8" t="s">
        <v>212</v>
      </c>
      <c r="E19" s="8" t="s">
        <v>213</v>
      </c>
      <c r="F19" s="8" t="s">
        <v>237</v>
      </c>
      <c r="G19" s="8" t="s">
        <v>238</v>
      </c>
      <c r="H19" s="8" t="s">
        <v>239</v>
      </c>
      <c r="I19" s="8"/>
      <c r="J19" s="8" t="s">
        <v>240</v>
      </c>
      <c r="K19" s="8" t="s">
        <v>219</v>
      </c>
      <c r="L19" s="8" t="s">
        <v>241</v>
      </c>
      <c r="M19" s="8" t="s">
        <v>242</v>
      </c>
      <c r="N19" s="8" t="s">
        <v>222</v>
      </c>
      <c r="O19" s="8" t="s">
        <v>54</v>
      </c>
      <c r="P19" s="8" t="s">
        <v>243</v>
      </c>
      <c r="Q19" s="8" t="s">
        <v>244</v>
      </c>
      <c r="R19" s="8" t="s">
        <v>57</v>
      </c>
      <c r="S19" s="8" t="s">
        <v>119</v>
      </c>
      <c r="T19" s="8" t="s">
        <v>219</v>
      </c>
      <c r="U19" s="8" t="s">
        <v>80</v>
      </c>
      <c r="V19" s="8" t="s">
        <v>225</v>
      </c>
    </row>
    <row r="20" spans="1:22" ht="42" customHeight="1">
      <c r="A20" s="8" t="s">
        <v>245</v>
      </c>
      <c r="B20" s="8" t="s">
        <v>9</v>
      </c>
      <c r="C20" s="8" t="s">
        <v>211</v>
      </c>
      <c r="D20" s="8" t="s">
        <v>212</v>
      </c>
      <c r="E20" s="8" t="s">
        <v>213</v>
      </c>
      <c r="F20" s="8" t="s">
        <v>237</v>
      </c>
      <c r="G20" s="8" t="s">
        <v>246</v>
      </c>
      <c r="H20" s="8" t="s">
        <v>247</v>
      </c>
      <c r="I20" s="8"/>
      <c r="J20" s="8" t="s">
        <v>248</v>
      </c>
      <c r="K20" s="8" t="s">
        <v>219</v>
      </c>
      <c r="L20" s="8" t="s">
        <v>249</v>
      </c>
      <c r="M20" s="8" t="s">
        <v>250</v>
      </c>
      <c r="N20" s="8" t="s">
        <v>222</v>
      </c>
      <c r="O20" s="8" t="s">
        <v>90</v>
      </c>
      <c r="P20" s="8" t="s">
        <v>243</v>
      </c>
      <c r="Q20" s="8" t="s">
        <v>251</v>
      </c>
      <c r="R20" s="8" t="s">
        <v>118</v>
      </c>
      <c r="S20" s="8" t="s">
        <v>58</v>
      </c>
      <c r="T20" s="8" t="s">
        <v>219</v>
      </c>
      <c r="U20" s="8" t="s">
        <v>80</v>
      </c>
      <c r="V20" s="8" t="s">
        <v>225</v>
      </c>
    </row>
    <row r="21" spans="1:22" ht="42" customHeight="1">
      <c r="A21" s="8" t="s">
        <v>252</v>
      </c>
      <c r="B21" s="8" t="s">
        <v>9</v>
      </c>
      <c r="C21" s="8" t="s">
        <v>211</v>
      </c>
      <c r="D21" s="8" t="s">
        <v>212</v>
      </c>
      <c r="E21" s="8" t="s">
        <v>213</v>
      </c>
      <c r="F21" s="8" t="s">
        <v>253</v>
      </c>
      <c r="G21" s="8" t="s">
        <v>254</v>
      </c>
      <c r="H21" s="8" t="s">
        <v>255</v>
      </c>
      <c r="I21" s="8" t="s">
        <v>256</v>
      </c>
      <c r="J21" s="8" t="s">
        <v>257</v>
      </c>
      <c r="K21" s="8" t="s">
        <v>50</v>
      </c>
      <c r="L21" s="8" t="s">
        <v>258</v>
      </c>
      <c r="M21" s="8" t="s">
        <v>259</v>
      </c>
      <c r="N21" s="8" t="s">
        <v>222</v>
      </c>
      <c r="O21" s="8" t="s">
        <v>90</v>
      </c>
      <c r="P21" s="8" t="s">
        <v>260</v>
      </c>
      <c r="Q21" s="8" t="s">
        <v>261</v>
      </c>
      <c r="R21" s="8" t="s">
        <v>118</v>
      </c>
      <c r="S21" s="8" t="s">
        <v>58</v>
      </c>
      <c r="T21" s="8" t="s">
        <v>235</v>
      </c>
      <c r="U21" s="8" t="s">
        <v>60</v>
      </c>
      <c r="V21" s="8" t="s">
        <v>225</v>
      </c>
    </row>
    <row r="22" spans="1:22" ht="42" customHeight="1">
      <c r="A22" s="8" t="s">
        <v>262</v>
      </c>
      <c r="B22" s="8" t="s">
        <v>9</v>
      </c>
      <c r="C22" s="8" t="s">
        <v>211</v>
      </c>
      <c r="D22" s="8" t="s">
        <v>263</v>
      </c>
      <c r="E22" s="8" t="s">
        <v>264</v>
      </c>
      <c r="F22" s="8" t="s">
        <v>265</v>
      </c>
      <c r="G22" s="8" t="s">
        <v>266</v>
      </c>
      <c r="H22" s="8" t="s">
        <v>267</v>
      </c>
      <c r="I22" s="8"/>
      <c r="J22" s="8" t="s">
        <v>268</v>
      </c>
      <c r="K22" s="8" t="s">
        <v>269</v>
      </c>
      <c r="L22" s="8" t="s">
        <v>270</v>
      </c>
      <c r="M22" s="8" t="s">
        <v>271</v>
      </c>
      <c r="N22" s="8" t="s">
        <v>222</v>
      </c>
      <c r="O22" s="8" t="s">
        <v>90</v>
      </c>
      <c r="P22" s="8" t="s">
        <v>272</v>
      </c>
      <c r="Q22" s="8" t="s">
        <v>273</v>
      </c>
      <c r="R22" s="8" t="s">
        <v>118</v>
      </c>
      <c r="S22" s="8" t="s">
        <v>58</v>
      </c>
      <c r="T22" s="8" t="s">
        <v>269</v>
      </c>
      <c r="U22" s="8" t="s">
        <v>80</v>
      </c>
      <c r="V22" s="8" t="s">
        <v>274</v>
      </c>
    </row>
    <row r="23" spans="1:22" ht="42" customHeight="1">
      <c r="A23" s="8" t="s">
        <v>275</v>
      </c>
      <c r="B23" s="8" t="s">
        <v>9</v>
      </c>
      <c r="C23" s="8" t="s">
        <v>211</v>
      </c>
      <c r="D23" s="8" t="s">
        <v>263</v>
      </c>
      <c r="E23" s="8" t="s">
        <v>264</v>
      </c>
      <c r="F23" s="8" t="s">
        <v>276</v>
      </c>
      <c r="G23" s="8" t="s">
        <v>277</v>
      </c>
      <c r="H23" s="8" t="s">
        <v>278</v>
      </c>
      <c r="I23" s="8"/>
      <c r="J23" s="8" t="s">
        <v>279</v>
      </c>
      <c r="K23" s="8" t="s">
        <v>269</v>
      </c>
      <c r="L23" s="8" t="s">
        <v>280</v>
      </c>
      <c r="M23" s="8" t="s">
        <v>281</v>
      </c>
      <c r="N23" s="8" t="s">
        <v>222</v>
      </c>
      <c r="O23" s="8" t="s">
        <v>90</v>
      </c>
      <c r="P23" s="8" t="s">
        <v>233</v>
      </c>
      <c r="Q23" s="8" t="s">
        <v>282</v>
      </c>
      <c r="R23" s="8" t="s">
        <v>118</v>
      </c>
      <c r="S23" s="8" t="s">
        <v>58</v>
      </c>
      <c r="T23" s="8" t="s">
        <v>269</v>
      </c>
      <c r="U23" s="8" t="s">
        <v>80</v>
      </c>
      <c r="V23" s="8" t="s">
        <v>274</v>
      </c>
    </row>
    <row r="24" spans="1:22" ht="42" customHeight="1">
      <c r="A24" s="8" t="s">
        <v>283</v>
      </c>
      <c r="B24" s="8" t="s">
        <v>9</v>
      </c>
      <c r="C24" s="8" t="s">
        <v>211</v>
      </c>
      <c r="D24" s="8" t="s">
        <v>263</v>
      </c>
      <c r="E24" s="8" t="s">
        <v>264</v>
      </c>
      <c r="F24" s="8" t="s">
        <v>276</v>
      </c>
      <c r="G24" s="8" t="s">
        <v>284</v>
      </c>
      <c r="H24" s="8" t="s">
        <v>285</v>
      </c>
      <c r="I24" s="8"/>
      <c r="J24" s="8" t="s">
        <v>286</v>
      </c>
      <c r="K24" s="8" t="s">
        <v>269</v>
      </c>
      <c r="L24" s="8" t="s">
        <v>287</v>
      </c>
      <c r="M24" s="8" t="s">
        <v>288</v>
      </c>
      <c r="N24" s="8" t="s">
        <v>222</v>
      </c>
      <c r="O24" s="8" t="s">
        <v>90</v>
      </c>
      <c r="P24" s="8" t="s">
        <v>289</v>
      </c>
      <c r="Q24" s="8" t="s">
        <v>290</v>
      </c>
      <c r="R24" s="8" t="s">
        <v>118</v>
      </c>
      <c r="S24" s="8" t="s">
        <v>58</v>
      </c>
      <c r="T24" s="8" t="s">
        <v>269</v>
      </c>
      <c r="U24" s="8" t="s">
        <v>80</v>
      </c>
      <c r="V24" s="8" t="s">
        <v>274</v>
      </c>
    </row>
    <row r="25" spans="1:22" ht="42" customHeight="1">
      <c r="A25" s="8" t="s">
        <v>291</v>
      </c>
      <c r="B25" s="8" t="s">
        <v>9</v>
      </c>
      <c r="C25" s="8" t="s">
        <v>211</v>
      </c>
      <c r="D25" s="8" t="s">
        <v>263</v>
      </c>
      <c r="E25" s="8" t="s">
        <v>264</v>
      </c>
      <c r="F25" s="8" t="s">
        <v>265</v>
      </c>
      <c r="G25" s="8" t="s">
        <v>292</v>
      </c>
      <c r="H25" s="8" t="s">
        <v>293</v>
      </c>
      <c r="I25" s="8"/>
      <c r="J25" s="8" t="s">
        <v>294</v>
      </c>
      <c r="K25" s="8" t="s">
        <v>269</v>
      </c>
      <c r="L25" s="8" t="s">
        <v>295</v>
      </c>
      <c r="M25" s="8" t="s">
        <v>296</v>
      </c>
      <c r="N25" s="8" t="s">
        <v>222</v>
      </c>
      <c r="O25" s="8" t="s">
        <v>90</v>
      </c>
      <c r="P25" s="8" t="s">
        <v>297</v>
      </c>
      <c r="Q25" s="8" t="s">
        <v>298</v>
      </c>
      <c r="R25" s="8" t="s">
        <v>118</v>
      </c>
      <c r="S25" s="8" t="s">
        <v>119</v>
      </c>
      <c r="T25" s="8" t="s">
        <v>269</v>
      </c>
      <c r="U25" s="8" t="s">
        <v>80</v>
      </c>
      <c r="V25" s="8" t="s">
        <v>274</v>
      </c>
    </row>
    <row r="26" spans="1:22" ht="42" customHeight="1">
      <c r="A26" s="8" t="s">
        <v>299</v>
      </c>
      <c r="B26" s="8" t="s">
        <v>9</v>
      </c>
      <c r="C26" s="8" t="s">
        <v>211</v>
      </c>
      <c r="D26" s="8" t="s">
        <v>263</v>
      </c>
      <c r="E26" s="8" t="s">
        <v>264</v>
      </c>
      <c r="F26" s="8" t="s">
        <v>300</v>
      </c>
      <c r="G26" s="8" t="s">
        <v>301</v>
      </c>
      <c r="H26" s="8" t="s">
        <v>302</v>
      </c>
      <c r="I26" s="8"/>
      <c r="J26" s="8" t="s">
        <v>303</v>
      </c>
      <c r="K26" s="8" t="s">
        <v>269</v>
      </c>
      <c r="L26" s="8" t="s">
        <v>304</v>
      </c>
      <c r="M26" s="8" t="s">
        <v>305</v>
      </c>
      <c r="N26" s="8" t="s">
        <v>306</v>
      </c>
      <c r="O26" s="8" t="s">
        <v>90</v>
      </c>
      <c r="P26" s="8" t="s">
        <v>307</v>
      </c>
      <c r="Q26" s="8" t="s">
        <v>56</v>
      </c>
      <c r="R26" s="8" t="s">
        <v>57</v>
      </c>
      <c r="S26" s="8" t="s">
        <v>58</v>
      </c>
      <c r="T26" s="8" t="s">
        <v>269</v>
      </c>
      <c r="U26" s="8" t="s">
        <v>80</v>
      </c>
      <c r="V26" s="8" t="s">
        <v>274</v>
      </c>
    </row>
    <row r="27" spans="1:22" ht="42" customHeight="1">
      <c r="A27" s="8" t="s">
        <v>308</v>
      </c>
      <c r="B27" s="8" t="s">
        <v>9</v>
      </c>
      <c r="C27" s="8" t="s">
        <v>211</v>
      </c>
      <c r="D27" s="8" t="s">
        <v>263</v>
      </c>
      <c r="E27" s="8" t="s">
        <v>264</v>
      </c>
      <c r="F27" s="8" t="s">
        <v>309</v>
      </c>
      <c r="G27" s="8" t="s">
        <v>310</v>
      </c>
      <c r="H27" s="8" t="s">
        <v>311</v>
      </c>
      <c r="I27" s="8"/>
      <c r="J27" s="8" t="s">
        <v>312</v>
      </c>
      <c r="K27" s="8" t="s">
        <v>50</v>
      </c>
      <c r="L27" s="8" t="s">
        <v>313</v>
      </c>
      <c r="M27" s="8" t="s">
        <v>314</v>
      </c>
      <c r="N27" s="8" t="s">
        <v>222</v>
      </c>
      <c r="O27" s="8" t="s">
        <v>90</v>
      </c>
      <c r="P27" s="8" t="s">
        <v>315</v>
      </c>
      <c r="Q27" s="8" t="s">
        <v>316</v>
      </c>
      <c r="R27" s="8" t="s">
        <v>118</v>
      </c>
      <c r="S27" s="8" t="s">
        <v>58</v>
      </c>
      <c r="T27" s="8" t="s">
        <v>235</v>
      </c>
      <c r="U27" s="8" t="s">
        <v>60</v>
      </c>
      <c r="V27" s="8" t="s">
        <v>274</v>
      </c>
    </row>
    <row r="28" spans="1:22" ht="42" customHeight="1">
      <c r="A28" s="8" t="s">
        <v>317</v>
      </c>
      <c r="B28" s="8" t="s">
        <v>9</v>
      </c>
      <c r="C28" s="8" t="s">
        <v>211</v>
      </c>
      <c r="D28" s="8" t="s">
        <v>263</v>
      </c>
      <c r="E28" s="8" t="s">
        <v>264</v>
      </c>
      <c r="F28" s="8" t="s">
        <v>318</v>
      </c>
      <c r="G28" s="8" t="s">
        <v>319</v>
      </c>
      <c r="H28" s="8" t="s">
        <v>320</v>
      </c>
      <c r="I28" s="8"/>
      <c r="J28" s="8" t="s">
        <v>321</v>
      </c>
      <c r="K28" s="8" t="s">
        <v>322</v>
      </c>
      <c r="L28" s="8" t="s">
        <v>323</v>
      </c>
      <c r="M28" s="8" t="s">
        <v>324</v>
      </c>
      <c r="N28" s="8" t="s">
        <v>325</v>
      </c>
      <c r="O28" s="8" t="s">
        <v>90</v>
      </c>
      <c r="P28" s="8" t="s">
        <v>307</v>
      </c>
      <c r="Q28" s="8" t="s">
        <v>56</v>
      </c>
      <c r="R28" s="8" t="s">
        <v>118</v>
      </c>
      <c r="S28" s="8" t="s">
        <v>119</v>
      </c>
      <c r="T28" s="8" t="s">
        <v>322</v>
      </c>
      <c r="U28" s="8" t="s">
        <v>326</v>
      </c>
      <c r="V28" s="8" t="s">
        <v>274</v>
      </c>
    </row>
    <row r="29" spans="1:22" ht="42" customHeight="1">
      <c r="A29" s="8" t="s">
        <v>327</v>
      </c>
      <c r="B29" s="8" t="s">
        <v>9</v>
      </c>
      <c r="C29" s="8" t="s">
        <v>211</v>
      </c>
      <c r="D29" s="8" t="s">
        <v>328</v>
      </c>
      <c r="E29" s="8" t="s">
        <v>329</v>
      </c>
      <c r="F29" s="8" t="s">
        <v>330</v>
      </c>
      <c r="G29" s="8" t="s">
        <v>331</v>
      </c>
      <c r="H29" s="8" t="s">
        <v>332</v>
      </c>
      <c r="I29" s="8"/>
      <c r="J29" s="8" t="s">
        <v>333</v>
      </c>
      <c r="K29" s="8" t="s">
        <v>334</v>
      </c>
      <c r="L29" s="8" t="s">
        <v>335</v>
      </c>
      <c r="M29" s="8" t="s">
        <v>336</v>
      </c>
      <c r="N29" s="8" t="s">
        <v>222</v>
      </c>
      <c r="O29" s="8" t="s">
        <v>90</v>
      </c>
      <c r="P29" s="8" t="s">
        <v>337</v>
      </c>
      <c r="Q29" s="8" t="s">
        <v>338</v>
      </c>
      <c r="R29" s="8" t="s">
        <v>118</v>
      </c>
      <c r="S29" s="8" t="s">
        <v>119</v>
      </c>
      <c r="T29" s="8" t="s">
        <v>334</v>
      </c>
      <c r="U29" s="8" t="s">
        <v>339</v>
      </c>
      <c r="V29" s="8" t="s">
        <v>340</v>
      </c>
    </row>
    <row r="30" spans="1:22" ht="42" customHeight="1">
      <c r="A30" s="8" t="s">
        <v>341</v>
      </c>
      <c r="B30" s="8" t="s">
        <v>9</v>
      </c>
      <c r="C30" s="8" t="s">
        <v>211</v>
      </c>
      <c r="D30" s="8" t="s">
        <v>328</v>
      </c>
      <c r="E30" s="8" t="s">
        <v>329</v>
      </c>
      <c r="F30" s="8" t="s">
        <v>342</v>
      </c>
      <c r="G30" s="8" t="s">
        <v>343</v>
      </c>
      <c r="H30" s="8" t="s">
        <v>344</v>
      </c>
      <c r="I30" s="8"/>
      <c r="J30" s="8" t="s">
        <v>345</v>
      </c>
      <c r="K30" s="8" t="s">
        <v>174</v>
      </c>
      <c r="L30" s="8" t="s">
        <v>346</v>
      </c>
      <c r="M30" s="8" t="s">
        <v>347</v>
      </c>
      <c r="N30" s="8" t="s">
        <v>348</v>
      </c>
      <c r="O30" s="8" t="s">
        <v>188</v>
      </c>
      <c r="P30" s="8" t="s">
        <v>349</v>
      </c>
      <c r="Q30" s="8" t="s">
        <v>56</v>
      </c>
      <c r="R30" s="8" t="s">
        <v>118</v>
      </c>
      <c r="S30" s="8" t="s">
        <v>119</v>
      </c>
      <c r="T30" s="8" t="s">
        <v>350</v>
      </c>
      <c r="U30" s="8" t="s">
        <v>60</v>
      </c>
      <c r="V30" s="8" t="s">
        <v>340</v>
      </c>
    </row>
    <row r="31" spans="1:22" ht="42" customHeight="1">
      <c r="A31" s="8" t="s">
        <v>351</v>
      </c>
      <c r="B31" s="8" t="s">
        <v>9</v>
      </c>
      <c r="C31" s="8" t="s">
        <v>211</v>
      </c>
      <c r="D31" s="8" t="s">
        <v>328</v>
      </c>
      <c r="E31" s="8" t="s">
        <v>329</v>
      </c>
      <c r="F31" s="8" t="s">
        <v>352</v>
      </c>
      <c r="G31" s="8" t="s">
        <v>353</v>
      </c>
      <c r="H31" s="8" t="s">
        <v>354</v>
      </c>
      <c r="I31" s="8"/>
      <c r="J31" s="8" t="s">
        <v>355</v>
      </c>
      <c r="K31" s="8" t="s">
        <v>174</v>
      </c>
      <c r="L31" s="8" t="s">
        <v>356</v>
      </c>
      <c r="M31" s="8" t="s">
        <v>357</v>
      </c>
      <c r="N31" s="8" t="s">
        <v>348</v>
      </c>
      <c r="O31" s="8" t="s">
        <v>188</v>
      </c>
      <c r="P31" s="8" t="s">
        <v>358</v>
      </c>
      <c r="Q31" s="8" t="s">
        <v>56</v>
      </c>
      <c r="R31" s="8" t="s">
        <v>57</v>
      </c>
      <c r="S31" s="8" t="s">
        <v>58</v>
      </c>
      <c r="T31" s="8" t="s">
        <v>350</v>
      </c>
      <c r="U31" s="8" t="s">
        <v>60</v>
      </c>
      <c r="V31" s="8" t="s">
        <v>340</v>
      </c>
    </row>
    <row r="32" spans="1:22" ht="42" customHeight="1">
      <c r="A32" s="8" t="s">
        <v>359</v>
      </c>
      <c r="B32" s="8" t="s">
        <v>9</v>
      </c>
      <c r="C32" s="8" t="s">
        <v>211</v>
      </c>
      <c r="D32" s="8" t="s">
        <v>328</v>
      </c>
      <c r="E32" s="8" t="s">
        <v>329</v>
      </c>
      <c r="F32" s="8" t="s">
        <v>352</v>
      </c>
      <c r="G32" s="8" t="s">
        <v>360</v>
      </c>
      <c r="H32" s="8" t="s">
        <v>361</v>
      </c>
      <c r="I32" s="8"/>
      <c r="J32" s="8" t="s">
        <v>362</v>
      </c>
      <c r="K32" s="8" t="s">
        <v>174</v>
      </c>
      <c r="L32" s="8" t="s">
        <v>363</v>
      </c>
      <c r="M32" s="8" t="s">
        <v>364</v>
      </c>
      <c r="N32" s="8" t="s">
        <v>348</v>
      </c>
      <c r="O32" s="8" t="s">
        <v>188</v>
      </c>
      <c r="P32" s="8" t="s">
        <v>358</v>
      </c>
      <c r="Q32" s="8" t="s">
        <v>56</v>
      </c>
      <c r="R32" s="8" t="s">
        <v>57</v>
      </c>
      <c r="S32" s="8" t="s">
        <v>58</v>
      </c>
      <c r="T32" s="8" t="s">
        <v>350</v>
      </c>
      <c r="U32" s="8" t="s">
        <v>60</v>
      </c>
      <c r="V32" s="8" t="s">
        <v>340</v>
      </c>
    </row>
    <row r="33" spans="1:22" ht="42" customHeight="1">
      <c r="A33" s="8" t="s">
        <v>365</v>
      </c>
      <c r="B33" s="8" t="s">
        <v>9</v>
      </c>
      <c r="C33" s="8" t="s">
        <v>211</v>
      </c>
      <c r="D33" s="8" t="s">
        <v>328</v>
      </c>
      <c r="E33" s="8" t="s">
        <v>329</v>
      </c>
      <c r="F33" s="8" t="s">
        <v>366</v>
      </c>
      <c r="G33" s="8" t="s">
        <v>367</v>
      </c>
      <c r="H33" s="8" t="s">
        <v>368</v>
      </c>
      <c r="I33" s="8"/>
      <c r="J33" s="8" t="s">
        <v>369</v>
      </c>
      <c r="K33" s="8" t="s">
        <v>174</v>
      </c>
      <c r="L33" s="8" t="s">
        <v>370</v>
      </c>
      <c r="M33" s="8" t="s">
        <v>371</v>
      </c>
      <c r="N33" s="8" t="s">
        <v>348</v>
      </c>
      <c r="O33" s="8" t="s">
        <v>188</v>
      </c>
      <c r="P33" s="8" t="s">
        <v>178</v>
      </c>
      <c r="Q33" s="8" t="s">
        <v>56</v>
      </c>
      <c r="R33" s="8" t="s">
        <v>118</v>
      </c>
      <c r="S33" s="8" t="s">
        <v>119</v>
      </c>
      <c r="T33" s="8" t="s">
        <v>372</v>
      </c>
      <c r="U33" s="8" t="s">
        <v>60</v>
      </c>
      <c r="V33" s="8" t="s">
        <v>340</v>
      </c>
    </row>
    <row r="34" spans="1:22" ht="42" customHeight="1">
      <c r="A34" s="8" t="s">
        <v>373</v>
      </c>
      <c r="B34" s="8" t="s">
        <v>9</v>
      </c>
      <c r="C34" s="8" t="s">
        <v>211</v>
      </c>
      <c r="D34" s="8" t="s">
        <v>328</v>
      </c>
      <c r="E34" s="8" t="s">
        <v>329</v>
      </c>
      <c r="F34" s="8" t="s">
        <v>374</v>
      </c>
      <c r="G34" s="8" t="s">
        <v>375</v>
      </c>
      <c r="H34" s="8" t="s">
        <v>376</v>
      </c>
      <c r="I34" s="8"/>
      <c r="J34" s="8" t="s">
        <v>377</v>
      </c>
      <c r="K34" s="8" t="s">
        <v>174</v>
      </c>
      <c r="L34" s="8" t="s">
        <v>378</v>
      </c>
      <c r="M34" s="8" t="s">
        <v>379</v>
      </c>
      <c r="N34" s="8" t="s">
        <v>348</v>
      </c>
      <c r="O34" s="8" t="s">
        <v>188</v>
      </c>
      <c r="P34" s="8" t="s">
        <v>178</v>
      </c>
      <c r="Q34" s="8" t="s">
        <v>56</v>
      </c>
      <c r="R34" s="8" t="s">
        <v>118</v>
      </c>
      <c r="S34" s="8" t="s">
        <v>119</v>
      </c>
      <c r="T34" s="8" t="s">
        <v>380</v>
      </c>
      <c r="U34" s="8" t="s">
        <v>60</v>
      </c>
      <c r="V34" s="8" t="s">
        <v>340</v>
      </c>
    </row>
    <row r="35" spans="1:22" ht="42" customHeight="1">
      <c r="A35" s="8" t="s">
        <v>381</v>
      </c>
      <c r="B35" s="8" t="s">
        <v>9</v>
      </c>
      <c r="C35" s="8" t="s">
        <v>211</v>
      </c>
      <c r="D35" s="8" t="s">
        <v>328</v>
      </c>
      <c r="E35" s="8" t="s">
        <v>329</v>
      </c>
      <c r="F35" s="8" t="s">
        <v>374</v>
      </c>
      <c r="G35" s="8" t="s">
        <v>382</v>
      </c>
      <c r="H35" s="8" t="s">
        <v>383</v>
      </c>
      <c r="I35" s="8"/>
      <c r="J35" s="8" t="s">
        <v>384</v>
      </c>
      <c r="K35" s="8" t="s">
        <v>174</v>
      </c>
      <c r="L35" s="8" t="s">
        <v>385</v>
      </c>
      <c r="M35" s="8" t="s">
        <v>386</v>
      </c>
      <c r="N35" s="8" t="s">
        <v>348</v>
      </c>
      <c r="O35" s="8" t="s">
        <v>188</v>
      </c>
      <c r="P35" s="8" t="s">
        <v>55</v>
      </c>
      <c r="Q35" s="8" t="s">
        <v>56</v>
      </c>
      <c r="R35" s="8" t="s">
        <v>118</v>
      </c>
      <c r="S35" s="8" t="s">
        <v>119</v>
      </c>
      <c r="T35" s="8" t="s">
        <v>380</v>
      </c>
      <c r="U35" s="8" t="s">
        <v>60</v>
      </c>
      <c r="V35" s="8" t="s">
        <v>340</v>
      </c>
    </row>
    <row r="36" spans="1:22" ht="42" customHeight="1">
      <c r="A36" s="8" t="s">
        <v>387</v>
      </c>
      <c r="B36" s="8" t="s">
        <v>9</v>
      </c>
      <c r="C36" s="8" t="s">
        <v>211</v>
      </c>
      <c r="D36" s="8" t="s">
        <v>328</v>
      </c>
      <c r="E36" s="8" t="s">
        <v>329</v>
      </c>
      <c r="F36" s="8" t="s">
        <v>388</v>
      </c>
      <c r="G36" s="8" t="s">
        <v>389</v>
      </c>
      <c r="H36" s="8" t="s">
        <v>390</v>
      </c>
      <c r="I36" s="8"/>
      <c r="J36" s="8" t="s">
        <v>391</v>
      </c>
      <c r="K36" s="8" t="s">
        <v>174</v>
      </c>
      <c r="L36" s="8" t="s">
        <v>392</v>
      </c>
      <c r="M36" s="8" t="s">
        <v>393</v>
      </c>
      <c r="N36" s="8" t="s">
        <v>348</v>
      </c>
      <c r="O36" s="8" t="s">
        <v>188</v>
      </c>
      <c r="P36" s="8" t="s">
        <v>178</v>
      </c>
      <c r="Q36" s="8" t="s">
        <v>56</v>
      </c>
      <c r="R36" s="8" t="s">
        <v>118</v>
      </c>
      <c r="S36" s="8" t="s">
        <v>119</v>
      </c>
      <c r="T36" s="8" t="s">
        <v>394</v>
      </c>
      <c r="U36" s="8" t="s">
        <v>60</v>
      </c>
      <c r="V36" s="8" t="s">
        <v>340</v>
      </c>
    </row>
    <row r="37" spans="1:22" ht="42" customHeight="1">
      <c r="A37" s="8" t="s">
        <v>395</v>
      </c>
      <c r="B37" s="8" t="s">
        <v>9</v>
      </c>
      <c r="C37" s="8" t="s">
        <v>211</v>
      </c>
      <c r="D37" s="8" t="s">
        <v>328</v>
      </c>
      <c r="E37" s="8" t="s">
        <v>329</v>
      </c>
      <c r="F37" s="8" t="s">
        <v>388</v>
      </c>
      <c r="G37" s="8" t="s">
        <v>396</v>
      </c>
      <c r="H37" s="8" t="s">
        <v>397</v>
      </c>
      <c r="I37" s="8" t="s">
        <v>398</v>
      </c>
      <c r="J37" s="8" t="s">
        <v>399</v>
      </c>
      <c r="K37" s="8" t="s">
        <v>50</v>
      </c>
      <c r="L37" s="8" t="s">
        <v>400</v>
      </c>
      <c r="M37" s="8" t="s">
        <v>401</v>
      </c>
      <c r="N37" s="8" t="s">
        <v>402</v>
      </c>
      <c r="O37" s="8" t="s">
        <v>403</v>
      </c>
      <c r="P37" s="8" t="s">
        <v>55</v>
      </c>
      <c r="Q37" s="8" t="s">
        <v>404</v>
      </c>
      <c r="R37" s="8" t="s">
        <v>118</v>
      </c>
      <c r="S37" s="8" t="s">
        <v>58</v>
      </c>
      <c r="T37" s="8" t="s">
        <v>405</v>
      </c>
      <c r="U37" s="8" t="s">
        <v>60</v>
      </c>
      <c r="V37" s="8" t="s">
        <v>340</v>
      </c>
    </row>
    <row r="38" spans="1:22" ht="42" customHeight="1">
      <c r="A38" s="8" t="s">
        <v>406</v>
      </c>
      <c r="B38" s="8" t="s">
        <v>9</v>
      </c>
      <c r="C38" s="8" t="s">
        <v>211</v>
      </c>
      <c r="D38" s="8" t="s">
        <v>328</v>
      </c>
      <c r="E38" s="8" t="s">
        <v>329</v>
      </c>
      <c r="F38" s="8" t="s">
        <v>407</v>
      </c>
      <c r="G38" s="8" t="s">
        <v>408</v>
      </c>
      <c r="H38" s="8" t="s">
        <v>409</v>
      </c>
      <c r="I38" s="8"/>
      <c r="J38" s="8" t="s">
        <v>410</v>
      </c>
      <c r="K38" s="8" t="s">
        <v>411</v>
      </c>
      <c r="L38" s="8" t="s">
        <v>412</v>
      </c>
      <c r="M38" s="8" t="s">
        <v>413</v>
      </c>
      <c r="N38" s="8" t="s">
        <v>414</v>
      </c>
      <c r="O38" s="8" t="s">
        <v>90</v>
      </c>
      <c r="P38" s="8" t="s">
        <v>415</v>
      </c>
      <c r="Q38" s="8" t="s">
        <v>56</v>
      </c>
      <c r="R38" s="8" t="s">
        <v>118</v>
      </c>
      <c r="S38" s="8" t="s">
        <v>58</v>
      </c>
      <c r="T38" s="8" t="s">
        <v>416</v>
      </c>
      <c r="U38" s="8" t="s">
        <v>80</v>
      </c>
      <c r="V38" s="8" t="s">
        <v>340</v>
      </c>
    </row>
    <row r="39" spans="1:22" ht="42" customHeight="1">
      <c r="A39" s="8" t="s">
        <v>417</v>
      </c>
      <c r="B39" s="8" t="s">
        <v>9</v>
      </c>
      <c r="C39" s="8" t="s">
        <v>211</v>
      </c>
      <c r="D39" s="8" t="s">
        <v>328</v>
      </c>
      <c r="E39" s="8" t="s">
        <v>329</v>
      </c>
      <c r="F39" s="8" t="s">
        <v>418</v>
      </c>
      <c r="G39" s="8" t="s">
        <v>419</v>
      </c>
      <c r="H39" s="8" t="s">
        <v>420</v>
      </c>
      <c r="I39" s="8" t="s">
        <v>421</v>
      </c>
      <c r="J39" s="8" t="s">
        <v>422</v>
      </c>
      <c r="K39" s="8" t="s">
        <v>423</v>
      </c>
      <c r="L39" s="8" t="s">
        <v>424</v>
      </c>
      <c r="M39" s="8" t="s">
        <v>425</v>
      </c>
      <c r="N39" s="8" t="s">
        <v>426</v>
      </c>
      <c r="O39" s="8" t="s">
        <v>54</v>
      </c>
      <c r="P39" s="8" t="s">
        <v>427</v>
      </c>
      <c r="Q39" s="8" t="s">
        <v>428</v>
      </c>
      <c r="R39" s="8" t="s">
        <v>118</v>
      </c>
      <c r="S39" s="8" t="s">
        <v>119</v>
      </c>
      <c r="T39" s="8" t="s">
        <v>423</v>
      </c>
      <c r="U39" s="8" t="s">
        <v>429</v>
      </c>
      <c r="V39" s="8" t="s">
        <v>340</v>
      </c>
    </row>
    <row r="40" spans="1:22" ht="42" customHeight="1">
      <c r="A40" s="8" t="s">
        <v>430</v>
      </c>
      <c r="B40" s="8" t="s">
        <v>9</v>
      </c>
      <c r="C40" s="8" t="s">
        <v>211</v>
      </c>
      <c r="D40" s="8" t="s">
        <v>328</v>
      </c>
      <c r="E40" s="8" t="s">
        <v>329</v>
      </c>
      <c r="F40" s="8" t="s">
        <v>431</v>
      </c>
      <c r="G40" s="8" t="s">
        <v>432</v>
      </c>
      <c r="H40" s="8" t="s">
        <v>433</v>
      </c>
      <c r="I40" s="8" t="s">
        <v>434</v>
      </c>
      <c r="J40" s="8" t="s">
        <v>435</v>
      </c>
      <c r="K40" s="8" t="s">
        <v>204</v>
      </c>
      <c r="L40" s="8" t="s">
        <v>436</v>
      </c>
      <c r="M40" s="8" t="s">
        <v>437</v>
      </c>
      <c r="N40" s="8" t="s">
        <v>438</v>
      </c>
      <c r="O40" s="8" t="s">
        <v>54</v>
      </c>
      <c r="P40" s="8" t="s">
        <v>439</v>
      </c>
      <c r="Q40" s="8" t="s">
        <v>440</v>
      </c>
      <c r="R40" s="8" t="s">
        <v>118</v>
      </c>
      <c r="S40" s="8" t="s">
        <v>58</v>
      </c>
      <c r="T40" s="8" t="s">
        <v>204</v>
      </c>
      <c r="U40" s="8" t="s">
        <v>209</v>
      </c>
      <c r="V40" s="8" t="s">
        <v>340</v>
      </c>
    </row>
    <row r="41" spans="1:22" ht="42" customHeight="1">
      <c r="A41" s="8" t="s">
        <v>441</v>
      </c>
      <c r="B41" s="8" t="s">
        <v>9</v>
      </c>
      <c r="C41" s="8" t="s">
        <v>211</v>
      </c>
      <c r="D41" s="8" t="s">
        <v>328</v>
      </c>
      <c r="E41" s="8" t="s">
        <v>329</v>
      </c>
      <c r="F41" s="8" t="s">
        <v>442</v>
      </c>
      <c r="G41" s="8" t="s">
        <v>443</v>
      </c>
      <c r="H41" s="8" t="s">
        <v>444</v>
      </c>
      <c r="I41" s="8"/>
      <c r="J41" s="8" t="s">
        <v>445</v>
      </c>
      <c r="K41" s="8" t="s">
        <v>446</v>
      </c>
      <c r="L41" s="8" t="s">
        <v>447</v>
      </c>
      <c r="M41" s="8" t="s">
        <v>448</v>
      </c>
      <c r="N41" s="8" t="s">
        <v>449</v>
      </c>
      <c r="O41" s="8" t="s">
        <v>54</v>
      </c>
      <c r="P41" s="8" t="s">
        <v>450</v>
      </c>
      <c r="Q41" s="8" t="s">
        <v>56</v>
      </c>
      <c r="R41" s="8" t="s">
        <v>118</v>
      </c>
      <c r="S41" s="8" t="s">
        <v>119</v>
      </c>
      <c r="T41" s="8" t="s">
        <v>446</v>
      </c>
      <c r="U41" s="8" t="s">
        <v>451</v>
      </c>
      <c r="V41" s="8" t="s">
        <v>340</v>
      </c>
    </row>
    <row r="42" spans="1:22" ht="42" customHeight="1">
      <c r="A42" s="8" t="s">
        <v>452</v>
      </c>
      <c r="B42" s="8" t="s">
        <v>11</v>
      </c>
      <c r="C42" s="8" t="s">
        <v>453</v>
      </c>
      <c r="D42" s="8" t="s">
        <v>454</v>
      </c>
      <c r="E42" s="8" t="s">
        <v>455</v>
      </c>
      <c r="F42" s="8" t="s">
        <v>456</v>
      </c>
      <c r="G42" s="8" t="s">
        <v>457</v>
      </c>
      <c r="H42" s="8" t="s">
        <v>458</v>
      </c>
      <c r="I42" s="8"/>
      <c r="J42" s="8" t="s">
        <v>459</v>
      </c>
      <c r="K42" s="8" t="s">
        <v>460</v>
      </c>
      <c r="L42" s="8" t="s">
        <v>461</v>
      </c>
      <c r="M42" s="8" t="s">
        <v>462</v>
      </c>
      <c r="N42" s="8" t="s">
        <v>463</v>
      </c>
      <c r="O42" s="8" t="s">
        <v>54</v>
      </c>
      <c r="P42" s="8" t="s">
        <v>178</v>
      </c>
      <c r="Q42" s="8" t="s">
        <v>464</v>
      </c>
      <c r="R42" s="8" t="s">
        <v>118</v>
      </c>
      <c r="S42" s="8" t="s">
        <v>119</v>
      </c>
      <c r="T42" s="8" t="s">
        <v>460</v>
      </c>
      <c r="U42" s="8" t="s">
        <v>465</v>
      </c>
      <c r="V42" s="8" t="s">
        <v>466</v>
      </c>
    </row>
    <row r="43" spans="1:22" ht="42" customHeight="1">
      <c r="A43" s="8" t="s">
        <v>467</v>
      </c>
      <c r="B43" s="8" t="s">
        <v>11</v>
      </c>
      <c r="C43" s="8" t="s">
        <v>453</v>
      </c>
      <c r="D43" s="8" t="s">
        <v>454</v>
      </c>
      <c r="E43" s="8" t="s">
        <v>455</v>
      </c>
      <c r="F43" s="8" t="s">
        <v>468</v>
      </c>
      <c r="G43" s="8" t="s">
        <v>469</v>
      </c>
      <c r="H43" s="8" t="s">
        <v>470</v>
      </c>
      <c r="I43" s="8" t="s">
        <v>471</v>
      </c>
      <c r="J43" s="8" t="s">
        <v>472</v>
      </c>
      <c r="K43" s="8" t="s">
        <v>460</v>
      </c>
      <c r="L43" s="8" t="s">
        <v>473</v>
      </c>
      <c r="M43" s="8" t="s">
        <v>474</v>
      </c>
      <c r="N43" s="8" t="s">
        <v>475</v>
      </c>
      <c r="O43" s="8" t="s">
        <v>54</v>
      </c>
      <c r="P43" s="8" t="s">
        <v>476</v>
      </c>
      <c r="Q43" s="8" t="s">
        <v>477</v>
      </c>
      <c r="R43" s="8" t="s">
        <v>118</v>
      </c>
      <c r="S43" s="8" t="s">
        <v>119</v>
      </c>
      <c r="T43" s="8" t="s">
        <v>460</v>
      </c>
      <c r="U43" s="8" t="s">
        <v>478</v>
      </c>
      <c r="V43" s="8" t="s">
        <v>466</v>
      </c>
    </row>
    <row r="44" spans="1:22" ht="42" customHeight="1">
      <c r="A44" s="8" t="s">
        <v>479</v>
      </c>
      <c r="B44" s="8" t="s">
        <v>11</v>
      </c>
      <c r="C44" s="8" t="s">
        <v>453</v>
      </c>
      <c r="D44" s="8" t="s">
        <v>454</v>
      </c>
      <c r="E44" s="8" t="s">
        <v>455</v>
      </c>
      <c r="F44" s="8" t="s">
        <v>480</v>
      </c>
      <c r="G44" s="8" t="s">
        <v>481</v>
      </c>
      <c r="H44" s="8" t="s">
        <v>482</v>
      </c>
      <c r="I44" s="8" t="s">
        <v>483</v>
      </c>
      <c r="J44" s="8" t="s">
        <v>484</v>
      </c>
      <c r="K44" s="8" t="s">
        <v>485</v>
      </c>
      <c r="L44" s="8" t="s">
        <v>486</v>
      </c>
      <c r="M44" s="8" t="s">
        <v>487</v>
      </c>
      <c r="N44" s="8" t="s">
        <v>488</v>
      </c>
      <c r="O44" s="8" t="s">
        <v>54</v>
      </c>
      <c r="P44" s="8" t="s">
        <v>476</v>
      </c>
      <c r="Q44" s="8" t="s">
        <v>489</v>
      </c>
      <c r="R44" s="8" t="s">
        <v>118</v>
      </c>
      <c r="S44" s="8" t="s">
        <v>119</v>
      </c>
      <c r="T44" s="8" t="s">
        <v>485</v>
      </c>
      <c r="U44" s="8" t="s">
        <v>490</v>
      </c>
      <c r="V44" s="8" t="s">
        <v>466</v>
      </c>
    </row>
    <row r="45" spans="1:22" ht="42" customHeight="1">
      <c r="A45" s="8" t="s">
        <v>491</v>
      </c>
      <c r="B45" s="8" t="s">
        <v>11</v>
      </c>
      <c r="C45" s="8" t="s">
        <v>453</v>
      </c>
      <c r="D45" s="8" t="s">
        <v>454</v>
      </c>
      <c r="E45" s="8" t="s">
        <v>455</v>
      </c>
      <c r="F45" s="8" t="s">
        <v>480</v>
      </c>
      <c r="G45" s="8" t="s">
        <v>492</v>
      </c>
      <c r="H45" s="8" t="s">
        <v>493</v>
      </c>
      <c r="I45" s="8" t="s">
        <v>494</v>
      </c>
      <c r="J45" s="8" t="s">
        <v>495</v>
      </c>
      <c r="K45" s="8" t="s">
        <v>485</v>
      </c>
      <c r="L45" s="8" t="s">
        <v>496</v>
      </c>
      <c r="M45" s="8" t="s">
        <v>497</v>
      </c>
      <c r="N45" s="8" t="s">
        <v>488</v>
      </c>
      <c r="O45" s="8" t="s">
        <v>54</v>
      </c>
      <c r="P45" s="8" t="s">
        <v>476</v>
      </c>
      <c r="Q45" s="8" t="s">
        <v>498</v>
      </c>
      <c r="R45" s="8" t="s">
        <v>118</v>
      </c>
      <c r="S45" s="8" t="s">
        <v>119</v>
      </c>
      <c r="T45" s="8" t="s">
        <v>485</v>
      </c>
      <c r="U45" s="8" t="s">
        <v>490</v>
      </c>
      <c r="V45" s="8" t="s">
        <v>466</v>
      </c>
    </row>
    <row r="46" spans="1:22" ht="42" customHeight="1">
      <c r="A46" s="8" t="s">
        <v>499</v>
      </c>
      <c r="B46" s="8" t="s">
        <v>11</v>
      </c>
      <c r="C46" s="8" t="s">
        <v>453</v>
      </c>
      <c r="D46" s="8" t="s">
        <v>454</v>
      </c>
      <c r="E46" s="8" t="s">
        <v>455</v>
      </c>
      <c r="F46" s="8" t="s">
        <v>480</v>
      </c>
      <c r="G46" s="8" t="s">
        <v>500</v>
      </c>
      <c r="H46" s="8" t="s">
        <v>501</v>
      </c>
      <c r="I46" s="8" t="s">
        <v>502</v>
      </c>
      <c r="J46" s="8" t="s">
        <v>503</v>
      </c>
      <c r="K46" s="8" t="s">
        <v>485</v>
      </c>
      <c r="L46" s="8" t="s">
        <v>504</v>
      </c>
      <c r="M46" s="8" t="s">
        <v>505</v>
      </c>
      <c r="N46" s="8" t="s">
        <v>506</v>
      </c>
      <c r="O46" s="8" t="s">
        <v>54</v>
      </c>
      <c r="P46" s="8" t="s">
        <v>476</v>
      </c>
      <c r="Q46" s="8" t="s">
        <v>56</v>
      </c>
      <c r="R46" s="8" t="s">
        <v>57</v>
      </c>
      <c r="S46" s="8" t="s">
        <v>119</v>
      </c>
      <c r="T46" s="8" t="s">
        <v>485</v>
      </c>
      <c r="U46" s="8" t="s">
        <v>490</v>
      </c>
      <c r="V46" s="8" t="s">
        <v>466</v>
      </c>
    </row>
    <row r="47" spans="1:22" ht="42" customHeight="1">
      <c r="A47" s="8" t="s">
        <v>507</v>
      </c>
      <c r="B47" s="8" t="s">
        <v>11</v>
      </c>
      <c r="C47" s="8" t="s">
        <v>453</v>
      </c>
      <c r="D47" s="8" t="s">
        <v>454</v>
      </c>
      <c r="E47" s="8" t="s">
        <v>455</v>
      </c>
      <c r="F47" s="8" t="s">
        <v>508</v>
      </c>
      <c r="G47" s="8" t="s">
        <v>509</v>
      </c>
      <c r="H47" s="8" t="s">
        <v>510</v>
      </c>
      <c r="I47" s="8"/>
      <c r="J47" s="8" t="s">
        <v>511</v>
      </c>
      <c r="K47" s="8" t="s">
        <v>512</v>
      </c>
      <c r="L47" s="8" t="s">
        <v>513</v>
      </c>
      <c r="M47" s="8" t="s">
        <v>514</v>
      </c>
      <c r="N47" s="8" t="s">
        <v>515</v>
      </c>
      <c r="O47" s="8" t="s">
        <v>54</v>
      </c>
      <c r="P47" s="8" t="s">
        <v>207</v>
      </c>
      <c r="Q47" s="8" t="s">
        <v>516</v>
      </c>
      <c r="R47" s="8" t="s">
        <v>118</v>
      </c>
      <c r="S47" s="8" t="s">
        <v>119</v>
      </c>
      <c r="T47" s="8" t="s">
        <v>512</v>
      </c>
      <c r="U47" s="8" t="s">
        <v>326</v>
      </c>
      <c r="V47" s="8" t="s">
        <v>466</v>
      </c>
    </row>
    <row r="48" spans="1:22" ht="42" customHeight="1">
      <c r="A48" s="8" t="s">
        <v>517</v>
      </c>
      <c r="B48" s="8" t="s">
        <v>11</v>
      </c>
      <c r="C48" s="8" t="s">
        <v>453</v>
      </c>
      <c r="D48" s="8" t="s">
        <v>454</v>
      </c>
      <c r="E48" s="8" t="s">
        <v>455</v>
      </c>
      <c r="F48" s="8" t="s">
        <v>518</v>
      </c>
      <c r="G48" s="8" t="s">
        <v>519</v>
      </c>
      <c r="H48" s="8" t="s">
        <v>520</v>
      </c>
      <c r="I48" s="8" t="s">
        <v>521</v>
      </c>
      <c r="J48" s="8" t="s">
        <v>522</v>
      </c>
      <c r="K48" s="8" t="s">
        <v>523</v>
      </c>
      <c r="L48" s="8" t="s">
        <v>524</v>
      </c>
      <c r="M48" s="8" t="s">
        <v>525</v>
      </c>
      <c r="N48" s="8" t="s">
        <v>196</v>
      </c>
      <c r="O48" s="8" t="s">
        <v>54</v>
      </c>
      <c r="P48" s="8" t="s">
        <v>526</v>
      </c>
      <c r="Q48" s="8" t="s">
        <v>527</v>
      </c>
      <c r="R48" s="8" t="s">
        <v>118</v>
      </c>
      <c r="S48" s="8" t="s">
        <v>119</v>
      </c>
      <c r="T48" s="8" t="s">
        <v>523</v>
      </c>
      <c r="U48" s="8" t="s">
        <v>528</v>
      </c>
      <c r="V48" s="8" t="s">
        <v>466</v>
      </c>
    </row>
    <row r="49" spans="1:22" ht="42" customHeight="1">
      <c r="A49" s="8" t="s">
        <v>529</v>
      </c>
      <c r="B49" s="8" t="s">
        <v>11</v>
      </c>
      <c r="C49" s="8" t="s">
        <v>453</v>
      </c>
      <c r="D49" s="8" t="s">
        <v>454</v>
      </c>
      <c r="E49" s="8" t="s">
        <v>455</v>
      </c>
      <c r="F49" s="8" t="s">
        <v>518</v>
      </c>
      <c r="G49" s="8" t="s">
        <v>530</v>
      </c>
      <c r="H49" s="8" t="s">
        <v>531</v>
      </c>
      <c r="I49" s="8"/>
      <c r="J49" s="8" t="s">
        <v>532</v>
      </c>
      <c r="K49" s="8" t="s">
        <v>523</v>
      </c>
      <c r="L49" s="8" t="s">
        <v>533</v>
      </c>
      <c r="M49" s="8" t="s">
        <v>534</v>
      </c>
      <c r="N49" s="8" t="s">
        <v>196</v>
      </c>
      <c r="O49" s="8" t="s">
        <v>54</v>
      </c>
      <c r="P49" s="8" t="s">
        <v>526</v>
      </c>
      <c r="Q49" s="8" t="s">
        <v>535</v>
      </c>
      <c r="R49" s="8" t="s">
        <v>118</v>
      </c>
      <c r="S49" s="8" t="s">
        <v>58</v>
      </c>
      <c r="T49" s="8" t="s">
        <v>523</v>
      </c>
      <c r="U49" s="8" t="s">
        <v>528</v>
      </c>
      <c r="V49" s="8" t="s">
        <v>466</v>
      </c>
    </row>
    <row r="50" spans="1:22" ht="42" customHeight="1">
      <c r="A50" s="8" t="s">
        <v>536</v>
      </c>
      <c r="B50" s="8" t="s">
        <v>11</v>
      </c>
      <c r="C50" s="8" t="s">
        <v>453</v>
      </c>
      <c r="D50" s="8" t="s">
        <v>454</v>
      </c>
      <c r="E50" s="8" t="s">
        <v>455</v>
      </c>
      <c r="F50" s="8" t="s">
        <v>518</v>
      </c>
      <c r="G50" s="8" t="s">
        <v>537</v>
      </c>
      <c r="H50" s="8" t="s">
        <v>538</v>
      </c>
      <c r="I50" s="8"/>
      <c r="J50" s="8" t="s">
        <v>539</v>
      </c>
      <c r="K50" s="8" t="s">
        <v>523</v>
      </c>
      <c r="L50" s="8" t="s">
        <v>540</v>
      </c>
      <c r="M50" s="8" t="s">
        <v>541</v>
      </c>
      <c r="N50" s="8" t="s">
        <v>196</v>
      </c>
      <c r="O50" s="8" t="s">
        <v>54</v>
      </c>
      <c r="P50" s="8" t="s">
        <v>526</v>
      </c>
      <c r="Q50" s="8" t="s">
        <v>535</v>
      </c>
      <c r="R50" s="8" t="s">
        <v>118</v>
      </c>
      <c r="S50" s="8" t="s">
        <v>119</v>
      </c>
      <c r="T50" s="8" t="s">
        <v>523</v>
      </c>
      <c r="U50" s="8" t="s">
        <v>528</v>
      </c>
      <c r="V50" s="8" t="s">
        <v>466</v>
      </c>
    </row>
    <row r="51" spans="1:22" ht="42" customHeight="1">
      <c r="A51" s="8" t="s">
        <v>542</v>
      </c>
      <c r="B51" s="8" t="s">
        <v>11</v>
      </c>
      <c r="C51" s="8" t="s">
        <v>453</v>
      </c>
      <c r="D51" s="8" t="s">
        <v>543</v>
      </c>
      <c r="E51" s="8" t="s">
        <v>544</v>
      </c>
      <c r="F51" s="8" t="s">
        <v>545</v>
      </c>
      <c r="G51" s="8" t="s">
        <v>546</v>
      </c>
      <c r="H51" s="8" t="s">
        <v>547</v>
      </c>
      <c r="I51" s="8"/>
      <c r="J51" s="8" t="s">
        <v>548</v>
      </c>
      <c r="K51" s="8" t="s">
        <v>174</v>
      </c>
      <c r="L51" s="8" t="s">
        <v>549</v>
      </c>
      <c r="M51" s="8" t="s">
        <v>550</v>
      </c>
      <c r="N51" s="8" t="s">
        <v>402</v>
      </c>
      <c r="O51" s="8" t="s">
        <v>54</v>
      </c>
      <c r="P51" s="8" t="s">
        <v>551</v>
      </c>
      <c r="Q51" s="8" t="s">
        <v>56</v>
      </c>
      <c r="R51" s="8" t="s">
        <v>118</v>
      </c>
      <c r="S51" s="8" t="s">
        <v>119</v>
      </c>
      <c r="T51" s="8" t="s">
        <v>552</v>
      </c>
      <c r="U51" s="8" t="s">
        <v>60</v>
      </c>
      <c r="V51" s="8" t="s">
        <v>121</v>
      </c>
    </row>
    <row r="52" spans="1:22" ht="42" customHeight="1">
      <c r="A52" s="8" t="s">
        <v>553</v>
      </c>
      <c r="B52" s="8" t="s">
        <v>11</v>
      </c>
      <c r="C52" s="8" t="s">
        <v>453</v>
      </c>
      <c r="D52" s="8" t="s">
        <v>543</v>
      </c>
      <c r="E52" s="8" t="s">
        <v>544</v>
      </c>
      <c r="F52" s="8" t="s">
        <v>554</v>
      </c>
      <c r="G52" s="8" t="s">
        <v>555</v>
      </c>
      <c r="H52" s="8" t="s">
        <v>556</v>
      </c>
      <c r="I52" s="8"/>
      <c r="J52" s="8" t="s">
        <v>557</v>
      </c>
      <c r="K52" s="8" t="s">
        <v>174</v>
      </c>
      <c r="L52" s="8" t="s">
        <v>558</v>
      </c>
      <c r="M52" s="8" t="s">
        <v>559</v>
      </c>
      <c r="N52" s="8" t="s">
        <v>402</v>
      </c>
      <c r="O52" s="8" t="s">
        <v>54</v>
      </c>
      <c r="P52" s="8" t="s">
        <v>560</v>
      </c>
      <c r="Q52" s="8" t="s">
        <v>56</v>
      </c>
      <c r="R52" s="8" t="s">
        <v>118</v>
      </c>
      <c r="S52" s="8" t="s">
        <v>119</v>
      </c>
      <c r="T52" s="8" t="s">
        <v>552</v>
      </c>
      <c r="U52" s="8" t="s">
        <v>60</v>
      </c>
      <c r="V52" s="8" t="s">
        <v>121</v>
      </c>
    </row>
    <row r="53" spans="1:22" ht="42" customHeight="1">
      <c r="A53" s="8" t="s">
        <v>561</v>
      </c>
      <c r="B53" s="8" t="s">
        <v>11</v>
      </c>
      <c r="C53" s="8" t="s">
        <v>453</v>
      </c>
      <c r="D53" s="8" t="s">
        <v>543</v>
      </c>
      <c r="E53" s="8" t="s">
        <v>544</v>
      </c>
      <c r="F53" s="8" t="s">
        <v>562</v>
      </c>
      <c r="G53" s="8" t="s">
        <v>563</v>
      </c>
      <c r="H53" s="8" t="s">
        <v>564</v>
      </c>
      <c r="I53" s="8"/>
      <c r="J53" s="8" t="s">
        <v>565</v>
      </c>
      <c r="K53" s="8" t="s">
        <v>566</v>
      </c>
      <c r="L53" s="8" t="s">
        <v>567</v>
      </c>
      <c r="M53" s="8" t="s">
        <v>568</v>
      </c>
      <c r="N53" s="8" t="s">
        <v>402</v>
      </c>
      <c r="O53" s="8" t="s">
        <v>54</v>
      </c>
      <c r="P53" s="8" t="s">
        <v>569</v>
      </c>
      <c r="Q53" s="8" t="s">
        <v>570</v>
      </c>
      <c r="R53" s="8" t="s">
        <v>118</v>
      </c>
      <c r="S53" s="8" t="s">
        <v>119</v>
      </c>
      <c r="T53" s="8" t="s">
        <v>566</v>
      </c>
      <c r="U53" s="8" t="s">
        <v>451</v>
      </c>
      <c r="V53" s="8" t="s">
        <v>121</v>
      </c>
    </row>
    <row r="54" spans="1:22" ht="42" customHeight="1">
      <c r="A54" s="8" t="s">
        <v>571</v>
      </c>
      <c r="B54" s="8" t="s">
        <v>11</v>
      </c>
      <c r="C54" s="8" t="s">
        <v>453</v>
      </c>
      <c r="D54" s="8" t="s">
        <v>543</v>
      </c>
      <c r="E54" s="8" t="s">
        <v>544</v>
      </c>
      <c r="F54" s="8" t="s">
        <v>572</v>
      </c>
      <c r="G54" s="8" t="s">
        <v>573</v>
      </c>
      <c r="H54" s="8" t="s">
        <v>574</v>
      </c>
      <c r="I54" s="8" t="s">
        <v>575</v>
      </c>
      <c r="J54" s="8" t="s">
        <v>576</v>
      </c>
      <c r="K54" s="8" t="s">
        <v>50</v>
      </c>
      <c r="L54" s="8" t="s">
        <v>577</v>
      </c>
      <c r="M54" s="8" t="s">
        <v>578</v>
      </c>
      <c r="N54" s="8" t="s">
        <v>515</v>
      </c>
      <c r="O54" s="8" t="s">
        <v>90</v>
      </c>
      <c r="P54" s="8" t="s">
        <v>579</v>
      </c>
      <c r="Q54" s="8" t="s">
        <v>580</v>
      </c>
      <c r="R54" s="8" t="s">
        <v>118</v>
      </c>
      <c r="S54" s="8" t="s">
        <v>119</v>
      </c>
      <c r="T54" s="8" t="s">
        <v>581</v>
      </c>
      <c r="U54" s="8" t="s">
        <v>80</v>
      </c>
      <c r="V54" s="8" t="s">
        <v>121</v>
      </c>
    </row>
    <row r="55" spans="1:22" ht="42" customHeight="1">
      <c r="A55" s="8" t="s">
        <v>582</v>
      </c>
      <c r="B55" s="8" t="s">
        <v>11</v>
      </c>
      <c r="C55" s="8" t="s">
        <v>453</v>
      </c>
      <c r="D55" s="8" t="s">
        <v>543</v>
      </c>
      <c r="E55" s="8" t="s">
        <v>544</v>
      </c>
      <c r="F55" s="8" t="s">
        <v>572</v>
      </c>
      <c r="G55" s="8" t="s">
        <v>583</v>
      </c>
      <c r="H55" s="8" t="s">
        <v>584</v>
      </c>
      <c r="I55" s="8"/>
      <c r="J55" s="8" t="s">
        <v>585</v>
      </c>
      <c r="K55" s="8" t="s">
        <v>50</v>
      </c>
      <c r="L55" s="8" t="s">
        <v>586</v>
      </c>
      <c r="M55" s="8" t="s">
        <v>587</v>
      </c>
      <c r="N55" s="8" t="s">
        <v>588</v>
      </c>
      <c r="O55" s="8" t="s">
        <v>54</v>
      </c>
      <c r="P55" s="8" t="s">
        <v>551</v>
      </c>
      <c r="Q55" s="8" t="s">
        <v>589</v>
      </c>
      <c r="R55" s="8" t="s">
        <v>118</v>
      </c>
      <c r="S55" s="8" t="s">
        <v>119</v>
      </c>
      <c r="T55" s="8" t="s">
        <v>581</v>
      </c>
      <c r="U55" s="8" t="s">
        <v>80</v>
      </c>
      <c r="V55" s="8" t="s">
        <v>121</v>
      </c>
    </row>
    <row r="56" spans="1:22" ht="42" customHeight="1">
      <c r="A56" s="8" t="s">
        <v>590</v>
      </c>
      <c r="B56" s="8" t="s">
        <v>11</v>
      </c>
      <c r="C56" s="8" t="s">
        <v>453</v>
      </c>
      <c r="D56" s="8" t="s">
        <v>543</v>
      </c>
      <c r="E56" s="8" t="s">
        <v>544</v>
      </c>
      <c r="F56" s="8" t="s">
        <v>591</v>
      </c>
      <c r="G56" s="8" t="s">
        <v>592</v>
      </c>
      <c r="H56" s="8" t="s">
        <v>593</v>
      </c>
      <c r="I56" s="8" t="s">
        <v>594</v>
      </c>
      <c r="J56" s="8" t="s">
        <v>595</v>
      </c>
      <c r="K56" s="8" t="s">
        <v>460</v>
      </c>
      <c r="L56" s="8" t="s">
        <v>596</v>
      </c>
      <c r="M56" s="8" t="s">
        <v>597</v>
      </c>
      <c r="N56" s="8" t="s">
        <v>515</v>
      </c>
      <c r="O56" s="8" t="s">
        <v>598</v>
      </c>
      <c r="P56" s="8" t="s">
        <v>476</v>
      </c>
      <c r="Q56" s="8" t="s">
        <v>599</v>
      </c>
      <c r="R56" s="8" t="s">
        <v>118</v>
      </c>
      <c r="S56" s="8" t="s">
        <v>58</v>
      </c>
      <c r="T56" s="8" t="s">
        <v>460</v>
      </c>
      <c r="U56" s="8" t="s">
        <v>600</v>
      </c>
      <c r="V56" s="8" t="s">
        <v>121</v>
      </c>
    </row>
    <row r="57" spans="1:22" ht="42" customHeight="1">
      <c r="A57" s="8" t="s">
        <v>601</v>
      </c>
      <c r="B57" s="8" t="s">
        <v>11</v>
      </c>
      <c r="C57" s="8" t="s">
        <v>453</v>
      </c>
      <c r="D57" s="8" t="s">
        <v>543</v>
      </c>
      <c r="E57" s="8" t="s">
        <v>544</v>
      </c>
      <c r="F57" s="8" t="s">
        <v>591</v>
      </c>
      <c r="G57" s="8" t="s">
        <v>602</v>
      </c>
      <c r="H57" s="8" t="s">
        <v>603</v>
      </c>
      <c r="I57" s="8"/>
      <c r="J57" s="8" t="s">
        <v>604</v>
      </c>
      <c r="K57" s="8" t="s">
        <v>460</v>
      </c>
      <c r="L57" s="8" t="s">
        <v>605</v>
      </c>
      <c r="M57" s="8" t="s">
        <v>606</v>
      </c>
      <c r="N57" s="8" t="s">
        <v>515</v>
      </c>
      <c r="O57" s="8" t="s">
        <v>54</v>
      </c>
      <c r="P57" s="8" t="s">
        <v>476</v>
      </c>
      <c r="Q57" s="8" t="s">
        <v>607</v>
      </c>
      <c r="R57" s="8" t="s">
        <v>57</v>
      </c>
      <c r="S57" s="8" t="s">
        <v>58</v>
      </c>
      <c r="T57" s="8" t="s">
        <v>460</v>
      </c>
      <c r="U57" s="8" t="s">
        <v>600</v>
      </c>
      <c r="V57" s="8" t="s">
        <v>121</v>
      </c>
    </row>
    <row r="58" spans="1:22" ht="42" customHeight="1">
      <c r="A58" s="8" t="s">
        <v>608</v>
      </c>
      <c r="B58" s="8" t="s">
        <v>11</v>
      </c>
      <c r="C58" s="8" t="s">
        <v>453</v>
      </c>
      <c r="D58" s="8" t="s">
        <v>543</v>
      </c>
      <c r="E58" s="8" t="s">
        <v>544</v>
      </c>
      <c r="F58" s="8" t="s">
        <v>591</v>
      </c>
      <c r="G58" s="8" t="s">
        <v>609</v>
      </c>
      <c r="H58" s="8" t="s">
        <v>610</v>
      </c>
      <c r="I58" s="8"/>
      <c r="J58" s="8" t="s">
        <v>611</v>
      </c>
      <c r="K58" s="8" t="s">
        <v>460</v>
      </c>
      <c r="L58" s="8" t="s">
        <v>612</v>
      </c>
      <c r="M58" s="8" t="s">
        <v>613</v>
      </c>
      <c r="N58" s="8" t="s">
        <v>515</v>
      </c>
      <c r="O58" s="8" t="s">
        <v>90</v>
      </c>
      <c r="P58" s="8" t="s">
        <v>476</v>
      </c>
      <c r="Q58" s="8" t="s">
        <v>56</v>
      </c>
      <c r="R58" s="8" t="s">
        <v>57</v>
      </c>
      <c r="S58" s="8" t="s">
        <v>58</v>
      </c>
      <c r="T58" s="8" t="s">
        <v>460</v>
      </c>
      <c r="U58" s="8" t="s">
        <v>600</v>
      </c>
      <c r="V58" s="8" t="s">
        <v>121</v>
      </c>
    </row>
    <row r="59" spans="1:22" ht="42" customHeight="1">
      <c r="A59" s="8" t="s">
        <v>614</v>
      </c>
      <c r="B59" s="8" t="s">
        <v>11</v>
      </c>
      <c r="C59" s="8" t="s">
        <v>453</v>
      </c>
      <c r="D59" s="8" t="s">
        <v>615</v>
      </c>
      <c r="E59" s="8" t="s">
        <v>616</v>
      </c>
      <c r="F59" s="8" t="s">
        <v>617</v>
      </c>
      <c r="G59" s="8" t="s">
        <v>618</v>
      </c>
      <c r="H59" s="8" t="s">
        <v>619</v>
      </c>
      <c r="I59" s="8" t="s">
        <v>620</v>
      </c>
      <c r="J59" s="8" t="s">
        <v>621</v>
      </c>
      <c r="K59" s="8" t="s">
        <v>622</v>
      </c>
      <c r="L59" s="8" t="s">
        <v>623</v>
      </c>
      <c r="M59" s="8" t="s">
        <v>624</v>
      </c>
      <c r="N59" s="8" t="s">
        <v>402</v>
      </c>
      <c r="O59" s="8" t="s">
        <v>116</v>
      </c>
      <c r="P59" s="8" t="s">
        <v>625</v>
      </c>
      <c r="Q59" s="8" t="s">
        <v>626</v>
      </c>
      <c r="R59" s="8" t="s">
        <v>118</v>
      </c>
      <c r="S59" s="8" t="s">
        <v>119</v>
      </c>
      <c r="T59" s="8" t="s">
        <v>622</v>
      </c>
      <c r="U59" s="8" t="s">
        <v>326</v>
      </c>
      <c r="V59" s="8" t="s">
        <v>627</v>
      </c>
    </row>
    <row r="60" spans="1:22" ht="42" customHeight="1">
      <c r="A60" s="8" t="s">
        <v>628</v>
      </c>
      <c r="B60" s="8" t="s">
        <v>11</v>
      </c>
      <c r="C60" s="8" t="s">
        <v>453</v>
      </c>
      <c r="D60" s="8" t="s">
        <v>615</v>
      </c>
      <c r="E60" s="8" t="s">
        <v>616</v>
      </c>
      <c r="F60" s="8" t="s">
        <v>617</v>
      </c>
      <c r="G60" s="8" t="s">
        <v>629</v>
      </c>
      <c r="H60" s="8" t="s">
        <v>630</v>
      </c>
      <c r="I60" s="8" t="s">
        <v>631</v>
      </c>
      <c r="J60" s="8" t="s">
        <v>632</v>
      </c>
      <c r="K60" s="8" t="s">
        <v>622</v>
      </c>
      <c r="L60" s="8" t="s">
        <v>633</v>
      </c>
      <c r="M60" s="8" t="s">
        <v>634</v>
      </c>
      <c r="N60" s="8" t="s">
        <v>402</v>
      </c>
      <c r="O60" s="8" t="s">
        <v>635</v>
      </c>
      <c r="P60" s="8" t="s">
        <v>625</v>
      </c>
      <c r="Q60" s="8" t="s">
        <v>626</v>
      </c>
      <c r="R60" s="8" t="s">
        <v>118</v>
      </c>
      <c r="S60" s="8" t="s">
        <v>119</v>
      </c>
      <c r="T60" s="8" t="s">
        <v>622</v>
      </c>
      <c r="U60" s="8" t="s">
        <v>326</v>
      </c>
      <c r="V60" s="8" t="s">
        <v>627</v>
      </c>
    </row>
    <row r="61" spans="1:22" ht="42" customHeight="1">
      <c r="A61" s="8" t="s">
        <v>636</v>
      </c>
      <c r="B61" s="8" t="s">
        <v>11</v>
      </c>
      <c r="C61" s="8" t="s">
        <v>453</v>
      </c>
      <c r="D61" s="8" t="s">
        <v>615</v>
      </c>
      <c r="E61" s="8" t="s">
        <v>616</v>
      </c>
      <c r="F61" s="8" t="s">
        <v>617</v>
      </c>
      <c r="G61" s="8" t="s">
        <v>637</v>
      </c>
      <c r="H61" s="8" t="s">
        <v>638</v>
      </c>
      <c r="I61" s="8" t="s">
        <v>639</v>
      </c>
      <c r="J61" s="8" t="s">
        <v>640</v>
      </c>
      <c r="K61" s="8" t="s">
        <v>622</v>
      </c>
      <c r="L61" s="8" t="s">
        <v>641</v>
      </c>
      <c r="M61" s="8" t="s">
        <v>642</v>
      </c>
      <c r="N61" s="8" t="s">
        <v>402</v>
      </c>
      <c r="O61" s="8" t="s">
        <v>643</v>
      </c>
      <c r="P61" s="8" t="s">
        <v>625</v>
      </c>
      <c r="Q61" s="8" t="s">
        <v>626</v>
      </c>
      <c r="R61" s="8" t="s">
        <v>118</v>
      </c>
      <c r="S61" s="8" t="s">
        <v>58</v>
      </c>
      <c r="T61" s="8" t="s">
        <v>622</v>
      </c>
      <c r="U61" s="8" t="s">
        <v>326</v>
      </c>
      <c r="V61" s="8" t="s">
        <v>627</v>
      </c>
    </row>
    <row r="62" spans="1:22" ht="42" customHeight="1">
      <c r="A62" s="8" t="s">
        <v>644</v>
      </c>
      <c r="B62" s="8" t="s">
        <v>11</v>
      </c>
      <c r="C62" s="8" t="s">
        <v>453</v>
      </c>
      <c r="D62" s="8" t="s">
        <v>615</v>
      </c>
      <c r="E62" s="8" t="s">
        <v>616</v>
      </c>
      <c r="F62" s="8" t="s">
        <v>645</v>
      </c>
      <c r="G62" s="8" t="s">
        <v>646</v>
      </c>
      <c r="H62" s="8" t="s">
        <v>647</v>
      </c>
      <c r="I62" s="8" t="s">
        <v>648</v>
      </c>
      <c r="J62" s="8" t="s">
        <v>649</v>
      </c>
      <c r="K62" s="8" t="s">
        <v>650</v>
      </c>
      <c r="L62" s="8" t="s">
        <v>651</v>
      </c>
      <c r="M62" s="8" t="s">
        <v>652</v>
      </c>
      <c r="N62" s="8" t="s">
        <v>653</v>
      </c>
      <c r="O62" s="8" t="s">
        <v>54</v>
      </c>
      <c r="P62" s="8" t="s">
        <v>625</v>
      </c>
      <c r="Q62" s="8" t="s">
        <v>654</v>
      </c>
      <c r="R62" s="8" t="s">
        <v>118</v>
      </c>
      <c r="S62" s="8" t="s">
        <v>119</v>
      </c>
      <c r="T62" s="8" t="s">
        <v>650</v>
      </c>
      <c r="U62" s="8" t="s">
        <v>655</v>
      </c>
      <c r="V62" s="8" t="s">
        <v>627</v>
      </c>
    </row>
    <row r="63" spans="1:22" ht="42" customHeight="1">
      <c r="A63" s="8" t="s">
        <v>656</v>
      </c>
      <c r="B63" s="8" t="s">
        <v>11</v>
      </c>
      <c r="C63" s="8" t="s">
        <v>453</v>
      </c>
      <c r="D63" s="8" t="s">
        <v>615</v>
      </c>
      <c r="E63" s="8" t="s">
        <v>616</v>
      </c>
      <c r="F63" s="8" t="s">
        <v>645</v>
      </c>
      <c r="G63" s="8" t="s">
        <v>657</v>
      </c>
      <c r="H63" s="8" t="s">
        <v>658</v>
      </c>
      <c r="I63" s="8" t="s">
        <v>659</v>
      </c>
      <c r="J63" s="8" t="s">
        <v>660</v>
      </c>
      <c r="K63" s="8" t="s">
        <v>650</v>
      </c>
      <c r="L63" s="8" t="s">
        <v>661</v>
      </c>
      <c r="M63" s="8" t="s">
        <v>662</v>
      </c>
      <c r="N63" s="8" t="s">
        <v>653</v>
      </c>
      <c r="O63" s="8" t="s">
        <v>54</v>
      </c>
      <c r="P63" s="8" t="s">
        <v>625</v>
      </c>
      <c r="Q63" s="8" t="s">
        <v>654</v>
      </c>
      <c r="R63" s="8" t="s">
        <v>118</v>
      </c>
      <c r="S63" s="8" t="s">
        <v>119</v>
      </c>
      <c r="T63" s="8" t="s">
        <v>650</v>
      </c>
      <c r="U63" s="8" t="s">
        <v>655</v>
      </c>
      <c r="V63" s="8" t="s">
        <v>627</v>
      </c>
    </row>
    <row r="64" spans="1:22" ht="42" customHeight="1">
      <c r="A64" s="8" t="s">
        <v>663</v>
      </c>
      <c r="B64" s="8" t="s">
        <v>13</v>
      </c>
      <c r="C64" s="8" t="s">
        <v>664</v>
      </c>
      <c r="D64" s="8" t="s">
        <v>665</v>
      </c>
      <c r="E64" s="8" t="s">
        <v>666</v>
      </c>
      <c r="F64" s="8" t="s">
        <v>667</v>
      </c>
      <c r="G64" s="8" t="s">
        <v>668</v>
      </c>
      <c r="H64" s="8" t="s">
        <v>669</v>
      </c>
      <c r="I64" s="8" t="s">
        <v>670</v>
      </c>
      <c r="J64" s="8" t="s">
        <v>671</v>
      </c>
      <c r="K64" s="8" t="s">
        <v>672</v>
      </c>
      <c r="L64" s="8" t="s">
        <v>673</v>
      </c>
      <c r="M64" s="8" t="s">
        <v>674</v>
      </c>
      <c r="N64" s="8" t="s">
        <v>675</v>
      </c>
      <c r="O64" s="8" t="s">
        <v>90</v>
      </c>
      <c r="P64" s="8" t="s">
        <v>676</v>
      </c>
      <c r="Q64" s="8" t="s">
        <v>56</v>
      </c>
      <c r="R64" s="8" t="s">
        <v>57</v>
      </c>
      <c r="S64" s="8" t="s">
        <v>58</v>
      </c>
      <c r="T64" s="8" t="s">
        <v>677</v>
      </c>
      <c r="U64" s="8" t="s">
        <v>80</v>
      </c>
      <c r="V64" s="8" t="s">
        <v>61</v>
      </c>
    </row>
    <row r="65" spans="1:22" ht="42" customHeight="1">
      <c r="A65" s="8" t="s">
        <v>678</v>
      </c>
      <c r="B65" s="8" t="s">
        <v>13</v>
      </c>
      <c r="C65" s="8" t="s">
        <v>664</v>
      </c>
      <c r="D65" s="8" t="s">
        <v>665</v>
      </c>
      <c r="E65" s="8" t="s">
        <v>666</v>
      </c>
      <c r="F65" s="8" t="s">
        <v>667</v>
      </c>
      <c r="G65" s="8" t="s">
        <v>679</v>
      </c>
      <c r="H65" s="8" t="s">
        <v>680</v>
      </c>
      <c r="I65" s="8" t="s">
        <v>681</v>
      </c>
      <c r="J65" s="8" t="s">
        <v>682</v>
      </c>
      <c r="K65" s="8" t="s">
        <v>672</v>
      </c>
      <c r="L65" s="8" t="s">
        <v>683</v>
      </c>
      <c r="M65" s="8" t="s">
        <v>684</v>
      </c>
      <c r="N65" s="8" t="s">
        <v>675</v>
      </c>
      <c r="O65" s="8" t="s">
        <v>90</v>
      </c>
      <c r="P65" s="8" t="s">
        <v>676</v>
      </c>
      <c r="Q65" s="8" t="s">
        <v>56</v>
      </c>
      <c r="R65" s="8" t="s">
        <v>57</v>
      </c>
      <c r="S65" s="8" t="s">
        <v>58</v>
      </c>
      <c r="T65" s="8" t="s">
        <v>677</v>
      </c>
      <c r="U65" s="8" t="s">
        <v>80</v>
      </c>
      <c r="V65" s="8" t="s">
        <v>61</v>
      </c>
    </row>
    <row r="66" spans="1:22" ht="42" customHeight="1">
      <c r="A66" s="8" t="s">
        <v>685</v>
      </c>
      <c r="B66" s="8" t="s">
        <v>13</v>
      </c>
      <c r="C66" s="8" t="s">
        <v>664</v>
      </c>
      <c r="D66" s="8" t="s">
        <v>665</v>
      </c>
      <c r="E66" s="8" t="s">
        <v>666</v>
      </c>
      <c r="F66" s="8" t="s">
        <v>686</v>
      </c>
      <c r="G66" s="8" t="s">
        <v>687</v>
      </c>
      <c r="H66" s="8" t="s">
        <v>688</v>
      </c>
      <c r="I66" s="8"/>
      <c r="J66" s="8" t="s">
        <v>689</v>
      </c>
      <c r="K66" s="8" t="s">
        <v>690</v>
      </c>
      <c r="L66" s="8" t="s">
        <v>691</v>
      </c>
      <c r="M66" s="8" t="s">
        <v>692</v>
      </c>
      <c r="N66" s="8" t="s">
        <v>103</v>
      </c>
      <c r="O66" s="8" t="s">
        <v>116</v>
      </c>
      <c r="P66" s="8" t="s">
        <v>178</v>
      </c>
      <c r="Q66" s="8" t="s">
        <v>56</v>
      </c>
      <c r="R66" s="8" t="s">
        <v>118</v>
      </c>
      <c r="S66" s="8" t="s">
        <v>119</v>
      </c>
      <c r="T66" s="8" t="s">
        <v>690</v>
      </c>
      <c r="U66" s="8" t="s">
        <v>693</v>
      </c>
      <c r="V66" s="8" t="s">
        <v>61</v>
      </c>
    </row>
    <row r="67" spans="1:22" ht="42" customHeight="1">
      <c r="A67" s="8" t="s">
        <v>694</v>
      </c>
      <c r="B67" s="8" t="s">
        <v>13</v>
      </c>
      <c r="C67" s="8" t="s">
        <v>664</v>
      </c>
      <c r="D67" s="8" t="s">
        <v>695</v>
      </c>
      <c r="E67" s="8" t="s">
        <v>696</v>
      </c>
      <c r="F67" s="8" t="s">
        <v>697</v>
      </c>
      <c r="G67" s="8" t="s">
        <v>698</v>
      </c>
      <c r="H67" s="8" t="s">
        <v>699</v>
      </c>
      <c r="I67" s="8" t="s">
        <v>700</v>
      </c>
      <c r="J67" s="8" t="s">
        <v>701</v>
      </c>
      <c r="K67" s="8" t="s">
        <v>702</v>
      </c>
      <c r="L67" s="8" t="s">
        <v>703</v>
      </c>
      <c r="M67" s="8" t="s">
        <v>704</v>
      </c>
      <c r="N67" s="8" t="s">
        <v>705</v>
      </c>
      <c r="O67" s="8" t="s">
        <v>116</v>
      </c>
      <c r="P67" s="8" t="s">
        <v>706</v>
      </c>
      <c r="Q67" s="8" t="s">
        <v>56</v>
      </c>
      <c r="R67" s="8" t="s">
        <v>118</v>
      </c>
      <c r="S67" s="8" t="s">
        <v>119</v>
      </c>
      <c r="T67" s="8" t="s">
        <v>707</v>
      </c>
      <c r="U67" s="8" t="s">
        <v>708</v>
      </c>
      <c r="V67" s="8" t="s">
        <v>627</v>
      </c>
    </row>
    <row r="68" spans="1:22" ht="42" customHeight="1">
      <c r="A68" s="8" t="s">
        <v>709</v>
      </c>
      <c r="B68" s="8" t="s">
        <v>13</v>
      </c>
      <c r="C68" s="8" t="s">
        <v>664</v>
      </c>
      <c r="D68" s="8" t="s">
        <v>695</v>
      </c>
      <c r="E68" s="8" t="s">
        <v>696</v>
      </c>
      <c r="F68" s="8" t="s">
        <v>697</v>
      </c>
      <c r="G68" s="8" t="s">
        <v>710</v>
      </c>
      <c r="H68" s="8" t="s">
        <v>711</v>
      </c>
      <c r="I68" s="8" t="s">
        <v>712</v>
      </c>
      <c r="J68" s="8" t="s">
        <v>713</v>
      </c>
      <c r="K68" s="8" t="s">
        <v>714</v>
      </c>
      <c r="L68" s="8" t="s">
        <v>715</v>
      </c>
      <c r="M68" s="8" t="s">
        <v>716</v>
      </c>
      <c r="N68" s="8" t="s">
        <v>705</v>
      </c>
      <c r="O68" s="8" t="s">
        <v>116</v>
      </c>
      <c r="P68" s="8" t="s">
        <v>717</v>
      </c>
      <c r="Q68" s="8" t="s">
        <v>56</v>
      </c>
      <c r="R68" s="8" t="s">
        <v>118</v>
      </c>
      <c r="S68" s="8" t="s">
        <v>119</v>
      </c>
      <c r="T68" s="8" t="s">
        <v>714</v>
      </c>
      <c r="U68" s="8" t="s">
        <v>60</v>
      </c>
      <c r="V68" s="8" t="s">
        <v>627</v>
      </c>
    </row>
    <row r="69" spans="1:22" ht="42" customHeight="1">
      <c r="A69" s="8" t="s">
        <v>718</v>
      </c>
      <c r="B69" s="8" t="s">
        <v>13</v>
      </c>
      <c r="C69" s="8" t="s">
        <v>664</v>
      </c>
      <c r="D69" s="8" t="s">
        <v>695</v>
      </c>
      <c r="E69" s="8" t="s">
        <v>696</v>
      </c>
      <c r="F69" s="8" t="s">
        <v>719</v>
      </c>
      <c r="G69" s="8" t="s">
        <v>720</v>
      </c>
      <c r="H69" s="8" t="s">
        <v>721</v>
      </c>
      <c r="I69" s="8"/>
      <c r="J69" s="8" t="s">
        <v>722</v>
      </c>
      <c r="K69" s="8" t="s">
        <v>702</v>
      </c>
      <c r="L69" s="8" t="s">
        <v>723</v>
      </c>
      <c r="M69" s="8" t="s">
        <v>724</v>
      </c>
      <c r="N69" s="8" t="s">
        <v>705</v>
      </c>
      <c r="O69" s="8" t="s">
        <v>116</v>
      </c>
      <c r="P69" s="8" t="s">
        <v>55</v>
      </c>
      <c r="Q69" s="8" t="s">
        <v>56</v>
      </c>
      <c r="R69" s="8" t="s">
        <v>118</v>
      </c>
      <c r="S69" s="8" t="s">
        <v>119</v>
      </c>
      <c r="T69" s="8" t="s">
        <v>707</v>
      </c>
      <c r="U69" s="8" t="s">
        <v>708</v>
      </c>
      <c r="V69" s="8" t="s">
        <v>627</v>
      </c>
    </row>
    <row r="70" spans="1:22" ht="42" customHeight="1">
      <c r="A70" s="8" t="s">
        <v>725</v>
      </c>
      <c r="B70" s="8" t="s">
        <v>13</v>
      </c>
      <c r="C70" s="8" t="s">
        <v>664</v>
      </c>
      <c r="D70" s="8" t="s">
        <v>695</v>
      </c>
      <c r="E70" s="8" t="s">
        <v>696</v>
      </c>
      <c r="F70" s="8" t="s">
        <v>719</v>
      </c>
      <c r="G70" s="8" t="s">
        <v>726</v>
      </c>
      <c r="H70" s="8" t="s">
        <v>727</v>
      </c>
      <c r="I70" s="8" t="s">
        <v>726</v>
      </c>
      <c r="J70" s="8" t="s">
        <v>728</v>
      </c>
      <c r="K70" s="8" t="s">
        <v>729</v>
      </c>
      <c r="L70" s="8" t="s">
        <v>730</v>
      </c>
      <c r="M70" s="8" t="s">
        <v>731</v>
      </c>
      <c r="N70" s="8" t="s">
        <v>705</v>
      </c>
      <c r="O70" s="8" t="s">
        <v>116</v>
      </c>
      <c r="P70" s="8" t="s">
        <v>732</v>
      </c>
      <c r="Q70" s="8" t="s">
        <v>733</v>
      </c>
      <c r="R70" s="8" t="s">
        <v>57</v>
      </c>
      <c r="S70" s="8" t="s">
        <v>58</v>
      </c>
      <c r="T70" s="8" t="s">
        <v>729</v>
      </c>
      <c r="U70" s="8" t="s">
        <v>734</v>
      </c>
      <c r="V70" s="8" t="s">
        <v>627</v>
      </c>
    </row>
    <row r="71" spans="1:22" ht="42" customHeight="1">
      <c r="A71" s="8" t="s">
        <v>735</v>
      </c>
      <c r="B71" s="8" t="s">
        <v>13</v>
      </c>
      <c r="C71" s="8" t="s">
        <v>664</v>
      </c>
      <c r="D71" s="8" t="s">
        <v>695</v>
      </c>
      <c r="E71" s="8" t="s">
        <v>696</v>
      </c>
      <c r="F71" s="8" t="s">
        <v>719</v>
      </c>
      <c r="G71" s="8" t="s">
        <v>736</v>
      </c>
      <c r="H71" s="8" t="s">
        <v>737</v>
      </c>
      <c r="I71" s="8" t="s">
        <v>736</v>
      </c>
      <c r="J71" s="8" t="s">
        <v>738</v>
      </c>
      <c r="K71" s="8" t="s">
        <v>729</v>
      </c>
      <c r="L71" s="8" t="s">
        <v>739</v>
      </c>
      <c r="M71" s="8" t="s">
        <v>740</v>
      </c>
      <c r="N71" s="8" t="s">
        <v>705</v>
      </c>
      <c r="O71" s="8" t="s">
        <v>116</v>
      </c>
      <c r="P71" s="8" t="s">
        <v>741</v>
      </c>
      <c r="Q71" s="8" t="s">
        <v>733</v>
      </c>
      <c r="R71" s="8" t="s">
        <v>57</v>
      </c>
      <c r="S71" s="8" t="s">
        <v>58</v>
      </c>
      <c r="T71" s="8" t="s">
        <v>729</v>
      </c>
      <c r="U71" s="8" t="s">
        <v>734</v>
      </c>
      <c r="V71" s="8" t="s">
        <v>627</v>
      </c>
    </row>
    <row r="72" spans="1:22" ht="42" customHeight="1">
      <c r="A72" s="8" t="s">
        <v>742</v>
      </c>
      <c r="B72" s="8" t="s">
        <v>13</v>
      </c>
      <c r="C72" s="8" t="s">
        <v>664</v>
      </c>
      <c r="D72" s="8" t="s">
        <v>695</v>
      </c>
      <c r="E72" s="8" t="s">
        <v>696</v>
      </c>
      <c r="F72" s="8" t="s">
        <v>719</v>
      </c>
      <c r="G72" s="8" t="s">
        <v>743</v>
      </c>
      <c r="H72" s="8" t="s">
        <v>744</v>
      </c>
      <c r="I72" s="8" t="s">
        <v>743</v>
      </c>
      <c r="J72" s="8" t="s">
        <v>745</v>
      </c>
      <c r="K72" s="8" t="s">
        <v>729</v>
      </c>
      <c r="L72" s="8" t="s">
        <v>746</v>
      </c>
      <c r="M72" s="8" t="s">
        <v>747</v>
      </c>
      <c r="N72" s="8" t="s">
        <v>705</v>
      </c>
      <c r="O72" s="8" t="s">
        <v>90</v>
      </c>
      <c r="P72" s="8" t="s">
        <v>748</v>
      </c>
      <c r="Q72" s="8" t="s">
        <v>733</v>
      </c>
      <c r="R72" s="8" t="s">
        <v>118</v>
      </c>
      <c r="S72" s="8" t="s">
        <v>119</v>
      </c>
      <c r="T72" s="8" t="s">
        <v>729</v>
      </c>
      <c r="U72" s="8" t="s">
        <v>734</v>
      </c>
      <c r="V72" s="8" t="s">
        <v>627</v>
      </c>
    </row>
    <row r="73" spans="1:22" ht="42" customHeight="1">
      <c r="A73" s="8" t="s">
        <v>749</v>
      </c>
      <c r="B73" s="8" t="s">
        <v>13</v>
      </c>
      <c r="C73" s="8" t="s">
        <v>664</v>
      </c>
      <c r="D73" s="8" t="s">
        <v>695</v>
      </c>
      <c r="E73" s="8" t="s">
        <v>696</v>
      </c>
      <c r="F73" s="8" t="s">
        <v>719</v>
      </c>
      <c r="G73" s="8" t="s">
        <v>750</v>
      </c>
      <c r="H73" s="8" t="s">
        <v>751</v>
      </c>
      <c r="I73" s="8" t="s">
        <v>750</v>
      </c>
      <c r="J73" s="8" t="s">
        <v>752</v>
      </c>
      <c r="K73" s="8" t="s">
        <v>729</v>
      </c>
      <c r="L73" s="8" t="s">
        <v>753</v>
      </c>
      <c r="M73" s="8" t="s">
        <v>754</v>
      </c>
      <c r="N73" s="8" t="s">
        <v>705</v>
      </c>
      <c r="O73" s="8" t="s">
        <v>90</v>
      </c>
      <c r="P73" s="8" t="s">
        <v>755</v>
      </c>
      <c r="Q73" s="8" t="s">
        <v>756</v>
      </c>
      <c r="R73" s="8" t="s">
        <v>118</v>
      </c>
      <c r="S73" s="8" t="s">
        <v>119</v>
      </c>
      <c r="T73" s="8" t="s">
        <v>729</v>
      </c>
      <c r="U73" s="8" t="s">
        <v>734</v>
      </c>
      <c r="V73" s="8" t="s">
        <v>627</v>
      </c>
    </row>
    <row r="74" spans="1:22" ht="42" customHeight="1">
      <c r="A74" s="8" t="s">
        <v>757</v>
      </c>
      <c r="B74" s="8" t="s">
        <v>14</v>
      </c>
      <c r="C74" s="8" t="s">
        <v>758</v>
      </c>
      <c r="D74" s="8" t="s">
        <v>759</v>
      </c>
      <c r="E74" s="8" t="s">
        <v>760</v>
      </c>
      <c r="F74" s="8" t="s">
        <v>761</v>
      </c>
      <c r="G74" s="8" t="s">
        <v>762</v>
      </c>
      <c r="H74" s="8" t="s">
        <v>763</v>
      </c>
      <c r="I74" s="8" t="s">
        <v>764</v>
      </c>
      <c r="J74" s="8" t="s">
        <v>765</v>
      </c>
      <c r="K74" s="8" t="s">
        <v>50</v>
      </c>
      <c r="L74" s="8" t="s">
        <v>766</v>
      </c>
      <c r="M74" s="8" t="s">
        <v>767</v>
      </c>
      <c r="N74" s="8" t="s">
        <v>768</v>
      </c>
      <c r="O74" s="8" t="s">
        <v>90</v>
      </c>
      <c r="P74" s="8" t="s">
        <v>91</v>
      </c>
      <c r="Q74" s="8" t="s">
        <v>769</v>
      </c>
      <c r="R74" s="8" t="s">
        <v>118</v>
      </c>
      <c r="S74" s="8" t="s">
        <v>119</v>
      </c>
      <c r="T74" s="8" t="s">
        <v>94</v>
      </c>
      <c r="U74" s="8" t="s">
        <v>60</v>
      </c>
      <c r="V74" s="8" t="s">
        <v>770</v>
      </c>
    </row>
    <row r="75" spans="1:22" ht="42" customHeight="1">
      <c r="A75" s="8" t="s">
        <v>771</v>
      </c>
      <c r="B75" s="8" t="s">
        <v>14</v>
      </c>
      <c r="C75" s="8" t="s">
        <v>758</v>
      </c>
      <c r="D75" s="8" t="s">
        <v>759</v>
      </c>
      <c r="E75" s="8" t="s">
        <v>760</v>
      </c>
      <c r="F75" s="8" t="s">
        <v>772</v>
      </c>
      <c r="G75" s="8" t="s">
        <v>773</v>
      </c>
      <c r="H75" s="8" t="s">
        <v>774</v>
      </c>
      <c r="I75" s="8" t="s">
        <v>775</v>
      </c>
      <c r="J75" s="8" t="s">
        <v>776</v>
      </c>
      <c r="K75" s="8" t="s">
        <v>50</v>
      </c>
      <c r="L75" s="8" t="s">
        <v>777</v>
      </c>
      <c r="M75" s="8" t="s">
        <v>778</v>
      </c>
      <c r="N75" s="8" t="s">
        <v>89</v>
      </c>
      <c r="O75" s="8" t="s">
        <v>90</v>
      </c>
      <c r="P75" s="8" t="s">
        <v>91</v>
      </c>
      <c r="Q75" s="8" t="s">
        <v>779</v>
      </c>
      <c r="R75" s="8" t="s">
        <v>57</v>
      </c>
      <c r="S75" s="8" t="s">
        <v>58</v>
      </c>
      <c r="T75" s="8" t="s">
        <v>94</v>
      </c>
      <c r="U75" s="8" t="s">
        <v>60</v>
      </c>
      <c r="V75" s="8" t="s">
        <v>770</v>
      </c>
    </row>
    <row r="76" spans="1:22" ht="42" customHeight="1">
      <c r="A76" s="8" t="s">
        <v>780</v>
      </c>
      <c r="B76" s="8" t="s">
        <v>14</v>
      </c>
      <c r="C76" s="8" t="s">
        <v>758</v>
      </c>
      <c r="D76" s="8" t="s">
        <v>759</v>
      </c>
      <c r="E76" s="8" t="s">
        <v>760</v>
      </c>
      <c r="F76" s="8" t="s">
        <v>781</v>
      </c>
      <c r="G76" s="8" t="s">
        <v>782</v>
      </c>
      <c r="H76" s="8" t="s">
        <v>783</v>
      </c>
      <c r="I76" s="8"/>
      <c r="J76" s="8" t="s">
        <v>784</v>
      </c>
      <c r="K76" s="8" t="s">
        <v>322</v>
      </c>
      <c r="L76" s="8" t="s">
        <v>785</v>
      </c>
      <c r="M76" s="8" t="s">
        <v>786</v>
      </c>
      <c r="N76" s="8" t="s">
        <v>325</v>
      </c>
      <c r="O76" s="8" t="s">
        <v>90</v>
      </c>
      <c r="P76" s="8" t="s">
        <v>307</v>
      </c>
      <c r="Q76" s="8" t="s">
        <v>56</v>
      </c>
      <c r="R76" s="8" t="s">
        <v>118</v>
      </c>
      <c r="S76" s="8" t="s">
        <v>119</v>
      </c>
      <c r="T76" s="8" t="s">
        <v>322</v>
      </c>
      <c r="U76" s="8" t="s">
        <v>787</v>
      </c>
      <c r="V76" s="8" t="s">
        <v>770</v>
      </c>
    </row>
    <row r="77" spans="1:22" ht="42" customHeight="1">
      <c r="A77" s="8" t="s">
        <v>788</v>
      </c>
      <c r="B77" s="8" t="s">
        <v>14</v>
      </c>
      <c r="C77" s="8" t="s">
        <v>758</v>
      </c>
      <c r="D77" s="8" t="s">
        <v>759</v>
      </c>
      <c r="E77" s="8" t="s">
        <v>760</v>
      </c>
      <c r="F77" s="8" t="s">
        <v>789</v>
      </c>
      <c r="G77" s="8" t="s">
        <v>790</v>
      </c>
      <c r="H77" s="8" t="s">
        <v>791</v>
      </c>
      <c r="I77" s="8"/>
      <c r="J77" s="8" t="s">
        <v>792</v>
      </c>
      <c r="K77" s="8" t="s">
        <v>793</v>
      </c>
      <c r="L77" s="8" t="s">
        <v>794</v>
      </c>
      <c r="M77" s="8" t="s">
        <v>795</v>
      </c>
      <c r="N77" s="8" t="s">
        <v>796</v>
      </c>
      <c r="O77" s="8" t="s">
        <v>90</v>
      </c>
      <c r="P77" s="8" t="s">
        <v>797</v>
      </c>
      <c r="Q77" s="8" t="s">
        <v>56</v>
      </c>
      <c r="R77" s="8" t="s">
        <v>57</v>
      </c>
      <c r="S77" s="8" t="s">
        <v>119</v>
      </c>
      <c r="T77" s="8" t="s">
        <v>798</v>
      </c>
      <c r="U77" s="8" t="s">
        <v>799</v>
      </c>
      <c r="V77" s="8" t="s">
        <v>770</v>
      </c>
    </row>
    <row r="78" spans="1:22" ht="42" customHeight="1">
      <c r="A78" s="8" t="s">
        <v>800</v>
      </c>
      <c r="B78" s="8" t="s">
        <v>14</v>
      </c>
      <c r="C78" s="8" t="s">
        <v>758</v>
      </c>
      <c r="D78" s="8" t="s">
        <v>801</v>
      </c>
      <c r="E78" s="8" t="s">
        <v>802</v>
      </c>
      <c r="F78" s="8" t="s">
        <v>803</v>
      </c>
      <c r="G78" s="8" t="s">
        <v>804</v>
      </c>
      <c r="H78" s="8" t="s">
        <v>805</v>
      </c>
      <c r="I78" s="8"/>
      <c r="J78" s="8" t="s">
        <v>806</v>
      </c>
      <c r="K78" s="8" t="s">
        <v>322</v>
      </c>
      <c r="L78" s="8" t="s">
        <v>807</v>
      </c>
      <c r="M78" s="8" t="s">
        <v>808</v>
      </c>
      <c r="N78" s="8" t="s">
        <v>809</v>
      </c>
      <c r="O78" s="8" t="s">
        <v>90</v>
      </c>
      <c r="P78" s="8" t="s">
        <v>307</v>
      </c>
      <c r="Q78" s="8" t="s">
        <v>56</v>
      </c>
      <c r="R78" s="8" t="s">
        <v>118</v>
      </c>
      <c r="S78" s="8" t="s">
        <v>119</v>
      </c>
      <c r="T78" s="8" t="s">
        <v>810</v>
      </c>
      <c r="U78" s="8" t="s">
        <v>80</v>
      </c>
      <c r="V78" s="8" t="s">
        <v>811</v>
      </c>
    </row>
    <row r="79" spans="1:22" ht="42" customHeight="1">
      <c r="A79" s="8" t="s">
        <v>812</v>
      </c>
      <c r="B79" s="8" t="s">
        <v>14</v>
      </c>
      <c r="C79" s="8" t="s">
        <v>758</v>
      </c>
      <c r="D79" s="8" t="s">
        <v>801</v>
      </c>
      <c r="E79" s="8" t="s">
        <v>802</v>
      </c>
      <c r="F79" s="8" t="s">
        <v>813</v>
      </c>
      <c r="G79" s="8" t="s">
        <v>814</v>
      </c>
      <c r="H79" s="8" t="s">
        <v>813</v>
      </c>
      <c r="I79" s="8"/>
      <c r="J79" s="8" t="s">
        <v>815</v>
      </c>
      <c r="K79" s="8" t="s">
        <v>816</v>
      </c>
      <c r="L79" s="8" t="s">
        <v>817</v>
      </c>
      <c r="M79" s="8" t="s">
        <v>818</v>
      </c>
      <c r="N79" s="8" t="s">
        <v>819</v>
      </c>
      <c r="O79" s="8" t="s">
        <v>90</v>
      </c>
      <c r="P79" s="8" t="s">
        <v>706</v>
      </c>
      <c r="Q79" s="8" t="s">
        <v>56</v>
      </c>
      <c r="R79" s="8" t="s">
        <v>118</v>
      </c>
      <c r="S79" s="8" t="s">
        <v>119</v>
      </c>
      <c r="T79" s="8" t="s">
        <v>816</v>
      </c>
      <c r="U79" s="8" t="s">
        <v>820</v>
      </c>
      <c r="V79" s="8" t="s">
        <v>811</v>
      </c>
    </row>
    <row r="80" spans="1:22" ht="42" customHeight="1">
      <c r="A80" s="8" t="s">
        <v>821</v>
      </c>
      <c r="B80" s="8" t="s">
        <v>14</v>
      </c>
      <c r="C80" s="8" t="s">
        <v>758</v>
      </c>
      <c r="D80" s="8" t="s">
        <v>801</v>
      </c>
      <c r="E80" s="8" t="s">
        <v>802</v>
      </c>
      <c r="F80" s="8" t="s">
        <v>822</v>
      </c>
      <c r="G80" s="8" t="s">
        <v>823</v>
      </c>
      <c r="H80" s="8" t="s">
        <v>824</v>
      </c>
      <c r="I80" s="8"/>
      <c r="J80" s="8" t="s">
        <v>825</v>
      </c>
      <c r="K80" s="8" t="s">
        <v>322</v>
      </c>
      <c r="L80" s="8" t="s">
        <v>826</v>
      </c>
      <c r="M80" s="8" t="s">
        <v>827</v>
      </c>
      <c r="N80" s="8" t="s">
        <v>828</v>
      </c>
      <c r="O80" s="8" t="s">
        <v>54</v>
      </c>
      <c r="P80" s="8" t="s">
        <v>307</v>
      </c>
      <c r="Q80" s="8" t="s">
        <v>56</v>
      </c>
      <c r="R80" s="8" t="s">
        <v>118</v>
      </c>
      <c r="S80" s="8" t="s">
        <v>58</v>
      </c>
      <c r="T80" s="8" t="s">
        <v>810</v>
      </c>
      <c r="U80" s="8" t="s">
        <v>80</v>
      </c>
      <c r="V80" s="8" t="s">
        <v>811</v>
      </c>
    </row>
    <row r="81" spans="1:22" ht="42" customHeight="1">
      <c r="A81" s="8" t="s">
        <v>829</v>
      </c>
      <c r="B81" s="8" t="s">
        <v>14</v>
      </c>
      <c r="C81" s="8" t="s">
        <v>758</v>
      </c>
      <c r="D81" s="8" t="s">
        <v>801</v>
      </c>
      <c r="E81" s="8" t="s">
        <v>802</v>
      </c>
      <c r="F81" s="8" t="s">
        <v>830</v>
      </c>
      <c r="G81" s="8" t="s">
        <v>831</v>
      </c>
      <c r="H81" s="8" t="s">
        <v>832</v>
      </c>
      <c r="I81" s="8"/>
      <c r="J81" s="8" t="s">
        <v>833</v>
      </c>
      <c r="K81" s="8" t="s">
        <v>322</v>
      </c>
      <c r="L81" s="8" t="s">
        <v>834</v>
      </c>
      <c r="M81" s="8" t="s">
        <v>835</v>
      </c>
      <c r="N81" s="8" t="s">
        <v>187</v>
      </c>
      <c r="O81" s="8" t="s">
        <v>90</v>
      </c>
      <c r="P81" s="8" t="s">
        <v>836</v>
      </c>
      <c r="Q81" s="8" t="s">
        <v>56</v>
      </c>
      <c r="R81" s="8" t="s">
        <v>57</v>
      </c>
      <c r="S81" s="8" t="s">
        <v>119</v>
      </c>
      <c r="T81" s="8" t="s">
        <v>810</v>
      </c>
      <c r="U81" s="8" t="s">
        <v>80</v>
      </c>
      <c r="V81" s="8" t="s">
        <v>811</v>
      </c>
    </row>
    <row r="82" spans="1:22" ht="42" customHeight="1">
      <c r="A82" s="8" t="s">
        <v>837</v>
      </c>
      <c r="B82" s="8" t="s">
        <v>14</v>
      </c>
      <c r="C82" s="8" t="s">
        <v>758</v>
      </c>
      <c r="D82" s="8" t="s">
        <v>838</v>
      </c>
      <c r="E82" s="8" t="s">
        <v>839</v>
      </c>
      <c r="F82" s="8" t="s">
        <v>840</v>
      </c>
      <c r="G82" s="8" t="s">
        <v>841</v>
      </c>
      <c r="H82" s="8" t="s">
        <v>842</v>
      </c>
      <c r="I82" s="8"/>
      <c r="J82" s="8" t="s">
        <v>843</v>
      </c>
      <c r="K82" s="8" t="s">
        <v>844</v>
      </c>
      <c r="L82" s="8" t="s">
        <v>845</v>
      </c>
      <c r="M82" s="8" t="s">
        <v>846</v>
      </c>
      <c r="N82" s="8" t="s">
        <v>847</v>
      </c>
      <c r="O82" s="8" t="s">
        <v>90</v>
      </c>
      <c r="P82" s="8" t="s">
        <v>848</v>
      </c>
      <c r="Q82" s="8" t="s">
        <v>849</v>
      </c>
      <c r="R82" s="8" t="s">
        <v>118</v>
      </c>
      <c r="S82" s="8" t="s">
        <v>119</v>
      </c>
      <c r="T82" s="8" t="s">
        <v>844</v>
      </c>
      <c r="U82" s="8" t="s">
        <v>850</v>
      </c>
      <c r="V82" s="8" t="s">
        <v>851</v>
      </c>
    </row>
    <row r="83" spans="1:22" ht="42" customHeight="1">
      <c r="A83" s="8" t="s">
        <v>852</v>
      </c>
      <c r="B83" s="8" t="s">
        <v>14</v>
      </c>
      <c r="C83" s="8" t="s">
        <v>758</v>
      </c>
      <c r="D83" s="8" t="s">
        <v>838</v>
      </c>
      <c r="E83" s="8" t="s">
        <v>839</v>
      </c>
      <c r="F83" s="8" t="s">
        <v>853</v>
      </c>
      <c r="G83" s="8" t="s">
        <v>854</v>
      </c>
      <c r="H83" s="8" t="s">
        <v>855</v>
      </c>
      <c r="I83" s="8"/>
      <c r="J83" s="8" t="s">
        <v>856</v>
      </c>
      <c r="K83" s="8" t="s">
        <v>857</v>
      </c>
      <c r="L83" s="8" t="s">
        <v>858</v>
      </c>
      <c r="M83" s="8" t="s">
        <v>859</v>
      </c>
      <c r="N83" s="8" t="s">
        <v>860</v>
      </c>
      <c r="O83" s="8" t="s">
        <v>90</v>
      </c>
      <c r="P83" s="8" t="s">
        <v>848</v>
      </c>
      <c r="Q83" s="8" t="s">
        <v>861</v>
      </c>
      <c r="R83" s="8" t="s">
        <v>118</v>
      </c>
      <c r="S83" s="8" t="s">
        <v>119</v>
      </c>
      <c r="T83" s="8" t="s">
        <v>862</v>
      </c>
      <c r="U83" s="8" t="s">
        <v>850</v>
      </c>
      <c r="V83" s="8" t="s">
        <v>851</v>
      </c>
    </row>
    <row r="84" spans="1:22" ht="42" customHeight="1">
      <c r="A84" s="8" t="s">
        <v>863</v>
      </c>
      <c r="B84" s="8" t="s">
        <v>14</v>
      </c>
      <c r="C84" s="8" t="s">
        <v>758</v>
      </c>
      <c r="D84" s="8" t="s">
        <v>838</v>
      </c>
      <c r="E84" s="8" t="s">
        <v>839</v>
      </c>
      <c r="F84" s="8" t="s">
        <v>864</v>
      </c>
      <c r="G84" s="8" t="s">
        <v>865</v>
      </c>
      <c r="H84" s="8" t="s">
        <v>866</v>
      </c>
      <c r="I84" s="8"/>
      <c r="J84" s="8" t="s">
        <v>867</v>
      </c>
      <c r="K84" s="8" t="s">
        <v>844</v>
      </c>
      <c r="L84" s="8" t="s">
        <v>868</v>
      </c>
      <c r="M84" s="8" t="s">
        <v>869</v>
      </c>
      <c r="N84" s="8" t="s">
        <v>870</v>
      </c>
      <c r="O84" s="8" t="s">
        <v>90</v>
      </c>
      <c r="P84" s="8" t="s">
        <v>848</v>
      </c>
      <c r="Q84" s="8" t="s">
        <v>871</v>
      </c>
      <c r="R84" s="8" t="s">
        <v>57</v>
      </c>
      <c r="S84" s="8" t="s">
        <v>58</v>
      </c>
      <c r="T84" s="8" t="s">
        <v>844</v>
      </c>
      <c r="U84" s="8" t="s">
        <v>850</v>
      </c>
      <c r="V84" s="8" t="s">
        <v>851</v>
      </c>
    </row>
    <row r="85" spans="1:22" ht="42" customHeight="1">
      <c r="A85" s="8" t="s">
        <v>872</v>
      </c>
      <c r="B85" s="8" t="s">
        <v>14</v>
      </c>
      <c r="C85" s="8" t="s">
        <v>758</v>
      </c>
      <c r="D85" s="8" t="s">
        <v>838</v>
      </c>
      <c r="E85" s="8" t="s">
        <v>839</v>
      </c>
      <c r="F85" s="8" t="s">
        <v>873</v>
      </c>
      <c r="G85" s="8" t="s">
        <v>874</v>
      </c>
      <c r="H85" s="8" t="s">
        <v>875</v>
      </c>
      <c r="I85" s="8" t="s">
        <v>876</v>
      </c>
      <c r="J85" s="8" t="s">
        <v>877</v>
      </c>
      <c r="K85" s="8" t="s">
        <v>50</v>
      </c>
      <c r="L85" s="8" t="s">
        <v>878</v>
      </c>
      <c r="M85" s="8" t="s">
        <v>879</v>
      </c>
      <c r="N85" s="8" t="s">
        <v>880</v>
      </c>
      <c r="O85" s="8" t="s">
        <v>90</v>
      </c>
      <c r="P85" s="8" t="s">
        <v>881</v>
      </c>
      <c r="Q85" s="8" t="s">
        <v>882</v>
      </c>
      <c r="R85" s="8" t="s">
        <v>118</v>
      </c>
      <c r="S85" s="8" t="s">
        <v>119</v>
      </c>
      <c r="T85" s="8" t="s">
        <v>883</v>
      </c>
      <c r="U85" s="8" t="s">
        <v>60</v>
      </c>
      <c r="V85" s="8" t="s">
        <v>851</v>
      </c>
    </row>
    <row r="86" spans="1:22" ht="42" customHeight="1">
      <c r="A86" s="8" t="s">
        <v>884</v>
      </c>
      <c r="B86" s="8" t="s">
        <v>15</v>
      </c>
      <c r="C86" s="8" t="s">
        <v>885</v>
      </c>
      <c r="D86" s="8" t="s">
        <v>886</v>
      </c>
      <c r="E86" s="8" t="s">
        <v>887</v>
      </c>
      <c r="F86" s="8" t="s">
        <v>888</v>
      </c>
      <c r="G86" s="8" t="s">
        <v>889</v>
      </c>
      <c r="H86" s="8" t="s">
        <v>890</v>
      </c>
      <c r="I86" s="8" t="s">
        <v>891</v>
      </c>
      <c r="J86" s="8" t="s">
        <v>892</v>
      </c>
      <c r="K86" s="8" t="s">
        <v>50</v>
      </c>
      <c r="L86" s="8" t="s">
        <v>893</v>
      </c>
      <c r="M86" s="8" t="s">
        <v>894</v>
      </c>
      <c r="N86" s="8" t="s">
        <v>895</v>
      </c>
      <c r="O86" s="8" t="s">
        <v>116</v>
      </c>
      <c r="P86" s="8" t="s">
        <v>91</v>
      </c>
      <c r="Q86" s="8" t="s">
        <v>896</v>
      </c>
      <c r="R86" s="8" t="s">
        <v>118</v>
      </c>
      <c r="S86" s="8" t="s">
        <v>119</v>
      </c>
      <c r="T86" s="8" t="s">
        <v>883</v>
      </c>
      <c r="U86" s="8" t="s">
        <v>60</v>
      </c>
      <c r="V86" s="8" t="s">
        <v>897</v>
      </c>
    </row>
    <row r="87" spans="1:22" ht="42" customHeight="1">
      <c r="A87" s="8" t="s">
        <v>898</v>
      </c>
      <c r="B87" s="8" t="s">
        <v>15</v>
      </c>
      <c r="C87" s="8" t="s">
        <v>885</v>
      </c>
      <c r="D87" s="8" t="s">
        <v>886</v>
      </c>
      <c r="E87" s="8" t="s">
        <v>887</v>
      </c>
      <c r="F87" s="8" t="s">
        <v>899</v>
      </c>
      <c r="G87" s="8" t="s">
        <v>900</v>
      </c>
      <c r="H87" s="8" t="s">
        <v>901</v>
      </c>
      <c r="I87" s="8" t="s">
        <v>902</v>
      </c>
      <c r="J87" s="8" t="s">
        <v>903</v>
      </c>
      <c r="K87" s="8" t="s">
        <v>50</v>
      </c>
      <c r="L87" s="8" t="s">
        <v>904</v>
      </c>
      <c r="M87" s="8" t="s">
        <v>905</v>
      </c>
      <c r="N87" s="8" t="s">
        <v>895</v>
      </c>
      <c r="O87" s="8" t="s">
        <v>116</v>
      </c>
      <c r="P87" s="8" t="s">
        <v>91</v>
      </c>
      <c r="Q87" s="8" t="s">
        <v>896</v>
      </c>
      <c r="R87" s="8" t="s">
        <v>118</v>
      </c>
      <c r="S87" s="8" t="s">
        <v>119</v>
      </c>
      <c r="T87" s="8" t="s">
        <v>883</v>
      </c>
      <c r="U87" s="8" t="s">
        <v>60</v>
      </c>
      <c r="V87" s="8" t="s">
        <v>897</v>
      </c>
    </row>
    <row r="88" spans="1:22" ht="42" customHeight="1">
      <c r="A88" s="8" t="s">
        <v>906</v>
      </c>
      <c r="B88" s="8" t="s">
        <v>15</v>
      </c>
      <c r="C88" s="8" t="s">
        <v>885</v>
      </c>
      <c r="D88" s="8" t="s">
        <v>886</v>
      </c>
      <c r="E88" s="8" t="s">
        <v>887</v>
      </c>
      <c r="F88" s="8" t="s">
        <v>907</v>
      </c>
      <c r="G88" s="8" t="s">
        <v>908</v>
      </c>
      <c r="H88" s="8" t="s">
        <v>909</v>
      </c>
      <c r="I88" s="8"/>
      <c r="J88" s="8" t="s">
        <v>910</v>
      </c>
      <c r="K88" s="8" t="s">
        <v>174</v>
      </c>
      <c r="L88" s="8" t="s">
        <v>911</v>
      </c>
      <c r="M88" s="8" t="s">
        <v>912</v>
      </c>
      <c r="N88" s="8" t="s">
        <v>913</v>
      </c>
      <c r="O88" s="8" t="s">
        <v>116</v>
      </c>
      <c r="P88" s="8" t="s">
        <v>914</v>
      </c>
      <c r="Q88" s="8" t="s">
        <v>56</v>
      </c>
      <c r="R88" s="8" t="s">
        <v>118</v>
      </c>
      <c r="S88" s="8" t="s">
        <v>119</v>
      </c>
      <c r="T88" s="8" t="s">
        <v>915</v>
      </c>
      <c r="U88" s="8" t="s">
        <v>60</v>
      </c>
      <c r="V88" s="8" t="s">
        <v>897</v>
      </c>
    </row>
    <row r="89" spans="1:22" ht="42" customHeight="1">
      <c r="A89" s="8" t="s">
        <v>916</v>
      </c>
      <c r="B89" s="8" t="s">
        <v>15</v>
      </c>
      <c r="C89" s="8" t="s">
        <v>885</v>
      </c>
      <c r="D89" s="8" t="s">
        <v>886</v>
      </c>
      <c r="E89" s="8" t="s">
        <v>887</v>
      </c>
      <c r="F89" s="8" t="s">
        <v>917</v>
      </c>
      <c r="G89" s="8" t="s">
        <v>918</v>
      </c>
      <c r="H89" s="8" t="s">
        <v>919</v>
      </c>
      <c r="I89" s="8" t="s">
        <v>920</v>
      </c>
      <c r="J89" s="8" t="s">
        <v>921</v>
      </c>
      <c r="K89" s="8" t="s">
        <v>174</v>
      </c>
      <c r="L89" s="8" t="s">
        <v>922</v>
      </c>
      <c r="M89" s="8" t="s">
        <v>923</v>
      </c>
      <c r="N89" s="8" t="s">
        <v>913</v>
      </c>
      <c r="O89" s="8" t="s">
        <v>116</v>
      </c>
      <c r="P89" s="8" t="s">
        <v>924</v>
      </c>
      <c r="Q89" s="8" t="s">
        <v>925</v>
      </c>
      <c r="R89" s="8" t="s">
        <v>118</v>
      </c>
      <c r="S89" s="8" t="s">
        <v>119</v>
      </c>
      <c r="T89" s="8" t="s">
        <v>926</v>
      </c>
      <c r="U89" s="8" t="s">
        <v>60</v>
      </c>
      <c r="V89" s="8" t="s">
        <v>897</v>
      </c>
    </row>
    <row r="90" spans="1:22" ht="42" customHeight="1">
      <c r="A90" s="8" t="s">
        <v>927</v>
      </c>
      <c r="B90" s="8" t="s">
        <v>15</v>
      </c>
      <c r="C90" s="8" t="s">
        <v>885</v>
      </c>
      <c r="D90" s="8" t="s">
        <v>928</v>
      </c>
      <c r="E90" s="8" t="s">
        <v>929</v>
      </c>
      <c r="F90" s="8" t="s">
        <v>930</v>
      </c>
      <c r="G90" s="8" t="s">
        <v>931</v>
      </c>
      <c r="H90" s="8" t="s">
        <v>932</v>
      </c>
      <c r="I90" s="8"/>
      <c r="J90" s="8" t="s">
        <v>933</v>
      </c>
      <c r="K90" s="8" t="s">
        <v>934</v>
      </c>
      <c r="L90" s="8" t="s">
        <v>935</v>
      </c>
      <c r="M90" s="8" t="s">
        <v>936</v>
      </c>
      <c r="N90" s="8" t="s">
        <v>870</v>
      </c>
      <c r="O90" s="8" t="s">
        <v>116</v>
      </c>
      <c r="P90" s="8" t="s">
        <v>937</v>
      </c>
      <c r="Q90" s="8" t="s">
        <v>56</v>
      </c>
      <c r="R90" s="8" t="s">
        <v>118</v>
      </c>
      <c r="S90" s="8" t="s">
        <v>58</v>
      </c>
      <c r="T90" s="8" t="s">
        <v>938</v>
      </c>
      <c r="U90" s="8" t="s">
        <v>80</v>
      </c>
      <c r="V90" s="8" t="s">
        <v>939</v>
      </c>
    </row>
    <row r="91" spans="1:22" ht="42" customHeight="1">
      <c r="A91" s="8" t="s">
        <v>940</v>
      </c>
      <c r="B91" s="8" t="s">
        <v>15</v>
      </c>
      <c r="C91" s="8" t="s">
        <v>885</v>
      </c>
      <c r="D91" s="8" t="s">
        <v>928</v>
      </c>
      <c r="E91" s="8" t="s">
        <v>929</v>
      </c>
      <c r="F91" s="8" t="s">
        <v>941</v>
      </c>
      <c r="G91" s="8" t="s">
        <v>942</v>
      </c>
      <c r="H91" s="8" t="s">
        <v>943</v>
      </c>
      <c r="I91" s="8"/>
      <c r="J91" s="8" t="s">
        <v>944</v>
      </c>
      <c r="K91" s="8" t="s">
        <v>411</v>
      </c>
      <c r="L91" s="8" t="s">
        <v>945</v>
      </c>
      <c r="M91" s="8" t="s">
        <v>946</v>
      </c>
      <c r="N91" s="8" t="s">
        <v>947</v>
      </c>
      <c r="O91" s="8" t="s">
        <v>90</v>
      </c>
      <c r="P91" s="8" t="s">
        <v>948</v>
      </c>
      <c r="Q91" s="8" t="s">
        <v>56</v>
      </c>
      <c r="R91" s="8" t="s">
        <v>118</v>
      </c>
      <c r="S91" s="8" t="s">
        <v>58</v>
      </c>
      <c r="T91" s="8" t="s">
        <v>949</v>
      </c>
      <c r="U91" s="8" t="s">
        <v>80</v>
      </c>
      <c r="V91" s="8" t="s">
        <v>939</v>
      </c>
    </row>
    <row r="92" spans="1:22" ht="42" customHeight="1">
      <c r="A92" s="8" t="s">
        <v>950</v>
      </c>
      <c r="B92" s="8" t="s">
        <v>15</v>
      </c>
      <c r="C92" s="8" t="s">
        <v>885</v>
      </c>
      <c r="D92" s="8" t="s">
        <v>928</v>
      </c>
      <c r="E92" s="8" t="s">
        <v>929</v>
      </c>
      <c r="F92" s="8" t="s">
        <v>951</v>
      </c>
      <c r="G92" s="8" t="s">
        <v>952</v>
      </c>
      <c r="H92" s="8" t="s">
        <v>953</v>
      </c>
      <c r="I92" s="8"/>
      <c r="J92" s="8" t="s">
        <v>954</v>
      </c>
      <c r="K92" s="8" t="s">
        <v>174</v>
      </c>
      <c r="L92" s="8" t="s">
        <v>955</v>
      </c>
      <c r="M92" s="8" t="s">
        <v>956</v>
      </c>
      <c r="N92" s="8" t="s">
        <v>957</v>
      </c>
      <c r="O92" s="8" t="s">
        <v>116</v>
      </c>
      <c r="P92" s="8" t="s">
        <v>958</v>
      </c>
      <c r="Q92" s="8" t="s">
        <v>959</v>
      </c>
      <c r="R92" s="8" t="s">
        <v>118</v>
      </c>
      <c r="S92" s="8" t="s">
        <v>58</v>
      </c>
      <c r="T92" s="8" t="s">
        <v>915</v>
      </c>
      <c r="U92" s="8" t="s">
        <v>60</v>
      </c>
      <c r="V92" s="8" t="s">
        <v>939</v>
      </c>
    </row>
    <row r="93" spans="1:22" ht="42" customHeight="1">
      <c r="A93" s="8" t="s">
        <v>960</v>
      </c>
      <c r="B93" s="8" t="s">
        <v>15</v>
      </c>
      <c r="C93" s="8" t="s">
        <v>885</v>
      </c>
      <c r="D93" s="8" t="s">
        <v>928</v>
      </c>
      <c r="E93" s="8" t="s">
        <v>929</v>
      </c>
      <c r="F93" s="8" t="s">
        <v>961</v>
      </c>
      <c r="G93" s="8" t="s">
        <v>962</v>
      </c>
      <c r="H93" s="8" t="s">
        <v>963</v>
      </c>
      <c r="I93" s="8"/>
      <c r="J93" s="8" t="s">
        <v>964</v>
      </c>
      <c r="K93" s="8" t="s">
        <v>965</v>
      </c>
      <c r="L93" s="8" t="s">
        <v>966</v>
      </c>
      <c r="M93" s="8" t="s">
        <v>967</v>
      </c>
      <c r="N93" s="8" t="s">
        <v>870</v>
      </c>
      <c r="O93" s="8" t="s">
        <v>116</v>
      </c>
      <c r="P93" s="8" t="s">
        <v>968</v>
      </c>
      <c r="Q93" s="8" t="s">
        <v>56</v>
      </c>
      <c r="R93" s="8" t="s">
        <v>118</v>
      </c>
      <c r="S93" s="8" t="s">
        <v>58</v>
      </c>
      <c r="T93" s="8" t="s">
        <v>938</v>
      </c>
      <c r="U93" s="8" t="s">
        <v>850</v>
      </c>
      <c r="V93" s="8" t="s">
        <v>939</v>
      </c>
    </row>
    <row r="94" spans="1:22" ht="42" customHeight="1">
      <c r="A94" s="8" t="s">
        <v>969</v>
      </c>
      <c r="B94" s="8" t="s">
        <v>15</v>
      </c>
      <c r="C94" s="8" t="s">
        <v>885</v>
      </c>
      <c r="D94" s="8" t="s">
        <v>928</v>
      </c>
      <c r="E94" s="8" t="s">
        <v>929</v>
      </c>
      <c r="F94" s="8" t="s">
        <v>970</v>
      </c>
      <c r="G94" s="8" t="s">
        <v>971</v>
      </c>
      <c r="H94" s="8" t="s">
        <v>972</v>
      </c>
      <c r="I94" s="8"/>
      <c r="J94" s="8" t="s">
        <v>973</v>
      </c>
      <c r="K94" s="8" t="s">
        <v>174</v>
      </c>
      <c r="L94" s="8" t="s">
        <v>974</v>
      </c>
      <c r="M94" s="8" t="s">
        <v>975</v>
      </c>
      <c r="N94" s="8" t="s">
        <v>895</v>
      </c>
      <c r="O94" s="8" t="s">
        <v>188</v>
      </c>
      <c r="P94" s="8" t="s">
        <v>976</v>
      </c>
      <c r="Q94" s="8" t="s">
        <v>56</v>
      </c>
      <c r="R94" s="8" t="s">
        <v>57</v>
      </c>
      <c r="S94" s="8" t="s">
        <v>119</v>
      </c>
      <c r="T94" s="8" t="s">
        <v>915</v>
      </c>
      <c r="U94" s="8" t="s">
        <v>60</v>
      </c>
      <c r="V94" s="8" t="s">
        <v>939</v>
      </c>
    </row>
    <row r="95" spans="1:22" ht="42" customHeight="1">
      <c r="A95" s="8" t="s">
        <v>977</v>
      </c>
      <c r="B95" s="8" t="s">
        <v>15</v>
      </c>
      <c r="C95" s="8" t="s">
        <v>885</v>
      </c>
      <c r="D95" s="8" t="s">
        <v>928</v>
      </c>
      <c r="E95" s="8" t="s">
        <v>929</v>
      </c>
      <c r="F95" s="8" t="s">
        <v>978</v>
      </c>
      <c r="G95" s="8" t="s">
        <v>979</v>
      </c>
      <c r="H95" s="8" t="s">
        <v>980</v>
      </c>
      <c r="I95" s="8"/>
      <c r="J95" s="8" t="s">
        <v>981</v>
      </c>
      <c r="K95" s="8" t="s">
        <v>982</v>
      </c>
      <c r="L95" s="8" t="s">
        <v>983</v>
      </c>
      <c r="M95" s="8" t="s">
        <v>984</v>
      </c>
      <c r="N95" s="8" t="s">
        <v>985</v>
      </c>
      <c r="O95" s="8" t="s">
        <v>54</v>
      </c>
      <c r="P95" s="8" t="s">
        <v>178</v>
      </c>
      <c r="Q95" s="8" t="s">
        <v>986</v>
      </c>
      <c r="R95" s="8" t="s">
        <v>57</v>
      </c>
      <c r="S95" s="8" t="s">
        <v>119</v>
      </c>
      <c r="T95" s="8" t="s">
        <v>179</v>
      </c>
      <c r="U95" s="8" t="s">
        <v>60</v>
      </c>
      <c r="V95" s="8" t="s">
        <v>939</v>
      </c>
    </row>
    <row r="96" spans="1:22" ht="42" customHeight="1">
      <c r="A96" s="8" t="s">
        <v>987</v>
      </c>
      <c r="B96" s="8" t="s">
        <v>15</v>
      </c>
      <c r="C96" s="8" t="s">
        <v>885</v>
      </c>
      <c r="D96" s="8" t="s">
        <v>988</v>
      </c>
      <c r="E96" s="8" t="s">
        <v>989</v>
      </c>
      <c r="F96" s="8" t="s">
        <v>990</v>
      </c>
      <c r="G96" s="8" t="s">
        <v>991</v>
      </c>
      <c r="H96" s="8" t="s">
        <v>992</v>
      </c>
      <c r="I96" s="8" t="s">
        <v>993</v>
      </c>
      <c r="J96" s="8" t="s">
        <v>994</v>
      </c>
      <c r="K96" s="8" t="s">
        <v>995</v>
      </c>
      <c r="L96" s="8" t="s">
        <v>996</v>
      </c>
      <c r="M96" s="8" t="s">
        <v>997</v>
      </c>
      <c r="N96" s="8" t="s">
        <v>998</v>
      </c>
      <c r="O96" s="8" t="s">
        <v>54</v>
      </c>
      <c r="P96" s="8" t="s">
        <v>999</v>
      </c>
      <c r="Q96" s="8" t="s">
        <v>1000</v>
      </c>
      <c r="R96" s="8" t="s">
        <v>118</v>
      </c>
      <c r="S96" s="8" t="s">
        <v>119</v>
      </c>
      <c r="T96" s="8" t="s">
        <v>995</v>
      </c>
      <c r="U96" s="8" t="s">
        <v>166</v>
      </c>
      <c r="V96" s="8" t="s">
        <v>897</v>
      </c>
    </row>
    <row r="97" spans="1:22" ht="42" customHeight="1">
      <c r="A97" s="8" t="s">
        <v>1001</v>
      </c>
      <c r="B97" s="8" t="s">
        <v>15</v>
      </c>
      <c r="C97" s="8" t="s">
        <v>885</v>
      </c>
      <c r="D97" s="8" t="s">
        <v>988</v>
      </c>
      <c r="E97" s="8" t="s">
        <v>989</v>
      </c>
      <c r="F97" s="8" t="s">
        <v>990</v>
      </c>
      <c r="G97" s="8" t="s">
        <v>1002</v>
      </c>
      <c r="H97" s="8" t="s">
        <v>1003</v>
      </c>
      <c r="I97" s="8" t="s">
        <v>1004</v>
      </c>
      <c r="J97" s="8" t="s">
        <v>1005</v>
      </c>
      <c r="K97" s="8" t="s">
        <v>995</v>
      </c>
      <c r="L97" s="8" t="s">
        <v>1006</v>
      </c>
      <c r="M97" s="8" t="s">
        <v>1007</v>
      </c>
      <c r="N97" s="8" t="s">
        <v>913</v>
      </c>
      <c r="O97" s="8" t="s">
        <v>54</v>
      </c>
      <c r="P97" s="8" t="s">
        <v>999</v>
      </c>
      <c r="Q97" s="8" t="s">
        <v>1008</v>
      </c>
      <c r="R97" s="8" t="s">
        <v>118</v>
      </c>
      <c r="S97" s="8" t="s">
        <v>119</v>
      </c>
      <c r="T97" s="8" t="s">
        <v>995</v>
      </c>
      <c r="U97" s="8" t="s">
        <v>166</v>
      </c>
      <c r="V97" s="8" t="s">
        <v>897</v>
      </c>
    </row>
    <row r="98" spans="1:22" ht="42" customHeight="1">
      <c r="A98" s="8" t="s">
        <v>1009</v>
      </c>
      <c r="B98" s="8" t="s">
        <v>15</v>
      </c>
      <c r="C98" s="8" t="s">
        <v>885</v>
      </c>
      <c r="D98" s="8" t="s">
        <v>988</v>
      </c>
      <c r="E98" s="8" t="s">
        <v>989</v>
      </c>
      <c r="F98" s="8" t="s">
        <v>990</v>
      </c>
      <c r="G98" s="8" t="s">
        <v>1010</v>
      </c>
      <c r="H98" s="8" t="s">
        <v>1011</v>
      </c>
      <c r="I98" s="8" t="s">
        <v>1012</v>
      </c>
      <c r="J98" s="8" t="s">
        <v>1013</v>
      </c>
      <c r="K98" s="8" t="s">
        <v>995</v>
      </c>
      <c r="L98" s="8" t="s">
        <v>1014</v>
      </c>
      <c r="M98" s="8" t="s">
        <v>1015</v>
      </c>
      <c r="N98" s="8" t="s">
        <v>913</v>
      </c>
      <c r="O98" s="8" t="s">
        <v>54</v>
      </c>
      <c r="P98" s="8" t="s">
        <v>999</v>
      </c>
      <c r="Q98" s="8" t="s">
        <v>1000</v>
      </c>
      <c r="R98" s="8" t="s">
        <v>118</v>
      </c>
      <c r="S98" s="8" t="s">
        <v>119</v>
      </c>
      <c r="T98" s="8" t="s">
        <v>995</v>
      </c>
      <c r="U98" s="8" t="s">
        <v>166</v>
      </c>
      <c r="V98" s="8" t="s">
        <v>897</v>
      </c>
    </row>
    <row r="99" spans="1:22" ht="42" customHeight="1">
      <c r="A99" s="8" t="s">
        <v>1016</v>
      </c>
      <c r="B99" s="8" t="s">
        <v>15</v>
      </c>
      <c r="C99" s="8" t="s">
        <v>885</v>
      </c>
      <c r="D99" s="8" t="s">
        <v>988</v>
      </c>
      <c r="E99" s="8" t="s">
        <v>989</v>
      </c>
      <c r="F99" s="8" t="s">
        <v>1017</v>
      </c>
      <c r="G99" s="8" t="s">
        <v>1018</v>
      </c>
      <c r="H99" s="8" t="s">
        <v>1019</v>
      </c>
      <c r="I99" s="8"/>
      <c r="J99" s="8" t="s">
        <v>1020</v>
      </c>
      <c r="K99" s="8" t="s">
        <v>174</v>
      </c>
      <c r="L99" s="8" t="s">
        <v>1021</v>
      </c>
      <c r="M99" s="8" t="s">
        <v>1022</v>
      </c>
      <c r="N99" s="8" t="s">
        <v>1023</v>
      </c>
      <c r="O99" s="8" t="s">
        <v>90</v>
      </c>
      <c r="P99" s="8" t="s">
        <v>958</v>
      </c>
      <c r="Q99" s="8" t="s">
        <v>1024</v>
      </c>
      <c r="R99" s="8" t="s">
        <v>118</v>
      </c>
      <c r="S99" s="8" t="s">
        <v>119</v>
      </c>
      <c r="T99" s="8" t="s">
        <v>1025</v>
      </c>
      <c r="U99" s="8" t="s">
        <v>60</v>
      </c>
      <c r="V99" s="8" t="s">
        <v>897</v>
      </c>
    </row>
    <row r="100" spans="1:22" ht="42" customHeight="1">
      <c r="A100" s="8" t="s">
        <v>1026</v>
      </c>
      <c r="B100" s="8" t="s">
        <v>15</v>
      </c>
      <c r="C100" s="8" t="s">
        <v>885</v>
      </c>
      <c r="D100" s="8" t="s">
        <v>988</v>
      </c>
      <c r="E100" s="8" t="s">
        <v>989</v>
      </c>
      <c r="F100" s="8" t="s">
        <v>1017</v>
      </c>
      <c r="G100" s="8" t="s">
        <v>1027</v>
      </c>
      <c r="H100" s="8" t="s">
        <v>1028</v>
      </c>
      <c r="I100" s="8"/>
      <c r="J100" s="8" t="s">
        <v>1029</v>
      </c>
      <c r="K100" s="8" t="s">
        <v>174</v>
      </c>
      <c r="L100" s="8" t="s">
        <v>1030</v>
      </c>
      <c r="M100" s="8" t="s">
        <v>1031</v>
      </c>
      <c r="N100" s="8" t="s">
        <v>957</v>
      </c>
      <c r="O100" s="8" t="s">
        <v>54</v>
      </c>
      <c r="P100" s="8" t="s">
        <v>958</v>
      </c>
      <c r="Q100" s="8" t="s">
        <v>1032</v>
      </c>
      <c r="R100" s="8" t="s">
        <v>118</v>
      </c>
      <c r="S100" s="8" t="s">
        <v>119</v>
      </c>
      <c r="T100" s="8" t="s">
        <v>1025</v>
      </c>
      <c r="U100" s="8" t="s">
        <v>60</v>
      </c>
      <c r="V100" s="8" t="s">
        <v>897</v>
      </c>
    </row>
    <row r="101" spans="1:22" ht="42" customHeight="1">
      <c r="A101" s="8" t="s">
        <v>1033</v>
      </c>
      <c r="B101" s="8" t="s">
        <v>15</v>
      </c>
      <c r="C101" s="8" t="s">
        <v>885</v>
      </c>
      <c r="D101" s="8" t="s">
        <v>988</v>
      </c>
      <c r="E101" s="8" t="s">
        <v>989</v>
      </c>
      <c r="F101" s="8" t="s">
        <v>1034</v>
      </c>
      <c r="G101" s="8" t="s">
        <v>1035</v>
      </c>
      <c r="H101" s="8" t="s">
        <v>1036</v>
      </c>
      <c r="I101" s="8"/>
      <c r="J101" s="8" t="s">
        <v>1037</v>
      </c>
      <c r="K101" s="8" t="s">
        <v>1038</v>
      </c>
      <c r="L101" s="8" t="s">
        <v>1039</v>
      </c>
      <c r="M101" s="8" t="s">
        <v>1040</v>
      </c>
      <c r="N101" s="8" t="s">
        <v>1041</v>
      </c>
      <c r="O101" s="8" t="s">
        <v>54</v>
      </c>
      <c r="P101" s="8" t="s">
        <v>848</v>
      </c>
      <c r="Q101" s="8" t="s">
        <v>1042</v>
      </c>
      <c r="R101" s="8" t="s">
        <v>57</v>
      </c>
      <c r="S101" s="8" t="s">
        <v>58</v>
      </c>
      <c r="T101" s="8" t="s">
        <v>1038</v>
      </c>
      <c r="U101" s="8" t="s">
        <v>1043</v>
      </c>
      <c r="V101" s="8" t="s">
        <v>897</v>
      </c>
    </row>
    <row r="102" spans="1:22" ht="42" customHeight="1">
      <c r="A102" s="8" t="s">
        <v>1044</v>
      </c>
      <c r="B102" s="8" t="s">
        <v>15</v>
      </c>
      <c r="C102" s="8" t="s">
        <v>885</v>
      </c>
      <c r="D102" s="8" t="s">
        <v>988</v>
      </c>
      <c r="E102" s="8" t="s">
        <v>989</v>
      </c>
      <c r="F102" s="8" t="s">
        <v>1034</v>
      </c>
      <c r="G102" s="8" t="s">
        <v>1045</v>
      </c>
      <c r="H102" s="8" t="s">
        <v>1046</v>
      </c>
      <c r="I102" s="8"/>
      <c r="J102" s="8" t="s">
        <v>1047</v>
      </c>
      <c r="K102" s="8" t="s">
        <v>1048</v>
      </c>
      <c r="L102" s="8" t="s">
        <v>1049</v>
      </c>
      <c r="M102" s="8" t="s">
        <v>1050</v>
      </c>
      <c r="N102" s="8" t="s">
        <v>1041</v>
      </c>
      <c r="O102" s="8" t="s">
        <v>54</v>
      </c>
      <c r="P102" s="8" t="s">
        <v>848</v>
      </c>
      <c r="Q102" s="8" t="s">
        <v>1051</v>
      </c>
      <c r="R102" s="8" t="s">
        <v>57</v>
      </c>
      <c r="S102" s="8" t="s">
        <v>58</v>
      </c>
      <c r="T102" s="8" t="s">
        <v>1048</v>
      </c>
      <c r="U102" s="8" t="s">
        <v>1043</v>
      </c>
      <c r="V102" s="8" t="s">
        <v>897</v>
      </c>
    </row>
    <row r="103" spans="1:22" ht="42" customHeight="1">
      <c r="A103" s="8" t="s">
        <v>1052</v>
      </c>
      <c r="B103" s="8" t="s">
        <v>15</v>
      </c>
      <c r="C103" s="8" t="s">
        <v>885</v>
      </c>
      <c r="D103" s="8" t="s">
        <v>988</v>
      </c>
      <c r="E103" s="8" t="s">
        <v>989</v>
      </c>
      <c r="F103" s="8" t="s">
        <v>1034</v>
      </c>
      <c r="G103" s="8" t="s">
        <v>1053</v>
      </c>
      <c r="H103" s="8" t="s">
        <v>1054</v>
      </c>
      <c r="I103" s="8"/>
      <c r="J103" s="8" t="s">
        <v>1055</v>
      </c>
      <c r="K103" s="8" t="s">
        <v>1038</v>
      </c>
      <c r="L103" s="8" t="s">
        <v>1056</v>
      </c>
      <c r="M103" s="8" t="s">
        <v>1057</v>
      </c>
      <c r="N103" s="8" t="s">
        <v>1041</v>
      </c>
      <c r="O103" s="8" t="s">
        <v>54</v>
      </c>
      <c r="P103" s="8" t="s">
        <v>848</v>
      </c>
      <c r="Q103" s="8" t="s">
        <v>1051</v>
      </c>
      <c r="R103" s="8" t="s">
        <v>57</v>
      </c>
      <c r="S103" s="8" t="s">
        <v>58</v>
      </c>
      <c r="T103" s="8" t="s">
        <v>1038</v>
      </c>
      <c r="U103" s="8" t="s">
        <v>1043</v>
      </c>
      <c r="V103" s="8" t="s">
        <v>897</v>
      </c>
    </row>
    <row r="104" spans="1:22" ht="42" customHeight="1">
      <c r="A104" s="8" t="s">
        <v>1058</v>
      </c>
      <c r="B104" s="8" t="s">
        <v>16</v>
      </c>
      <c r="C104" s="8" t="s">
        <v>1059</v>
      </c>
      <c r="D104" s="8" t="s">
        <v>1060</v>
      </c>
      <c r="E104" s="8" t="s">
        <v>1061</v>
      </c>
      <c r="F104" s="8" t="s">
        <v>1062</v>
      </c>
      <c r="G104" s="8" t="s">
        <v>1063</v>
      </c>
      <c r="H104" s="8" t="s">
        <v>1064</v>
      </c>
      <c r="I104" s="8"/>
      <c r="J104" s="8" t="s">
        <v>1065</v>
      </c>
      <c r="K104" s="8" t="s">
        <v>1066</v>
      </c>
      <c r="L104" s="8" t="s">
        <v>1067</v>
      </c>
      <c r="M104" s="8" t="s">
        <v>1068</v>
      </c>
      <c r="N104" s="8" t="s">
        <v>1069</v>
      </c>
      <c r="O104" s="8" t="s">
        <v>54</v>
      </c>
      <c r="P104" s="8" t="s">
        <v>1070</v>
      </c>
      <c r="Q104" s="8" t="s">
        <v>56</v>
      </c>
      <c r="R104" s="8" t="s">
        <v>118</v>
      </c>
      <c r="S104" s="8" t="s">
        <v>119</v>
      </c>
      <c r="T104" s="8" t="s">
        <v>1066</v>
      </c>
      <c r="U104" s="8" t="s">
        <v>708</v>
      </c>
      <c r="V104" s="8" t="s">
        <v>1071</v>
      </c>
    </row>
    <row r="105" spans="1:22" ht="42" customHeight="1">
      <c r="A105" s="8" t="s">
        <v>1072</v>
      </c>
      <c r="B105" s="8" t="s">
        <v>16</v>
      </c>
      <c r="C105" s="8" t="s">
        <v>1059</v>
      </c>
      <c r="D105" s="8" t="s">
        <v>1060</v>
      </c>
      <c r="E105" s="8" t="s">
        <v>1061</v>
      </c>
      <c r="F105" s="8" t="s">
        <v>1073</v>
      </c>
      <c r="G105" s="8" t="s">
        <v>1074</v>
      </c>
      <c r="H105" s="8" t="s">
        <v>1073</v>
      </c>
      <c r="I105" s="8"/>
      <c r="J105" s="8" t="s">
        <v>1075</v>
      </c>
      <c r="K105" s="8" t="s">
        <v>1066</v>
      </c>
      <c r="L105" s="8" t="s">
        <v>1076</v>
      </c>
      <c r="M105" s="8" t="s">
        <v>1077</v>
      </c>
      <c r="N105" s="8" t="s">
        <v>1078</v>
      </c>
      <c r="O105" s="8" t="s">
        <v>90</v>
      </c>
      <c r="P105" s="8" t="s">
        <v>55</v>
      </c>
      <c r="Q105" s="8" t="s">
        <v>56</v>
      </c>
      <c r="R105" s="8" t="s">
        <v>118</v>
      </c>
      <c r="S105" s="8" t="s">
        <v>119</v>
      </c>
      <c r="T105" s="8" t="s">
        <v>1066</v>
      </c>
      <c r="U105" s="8" t="s">
        <v>708</v>
      </c>
      <c r="V105" s="8" t="s">
        <v>1071</v>
      </c>
    </row>
    <row r="106" spans="1:22" ht="42" customHeight="1">
      <c r="A106" s="8" t="s">
        <v>1079</v>
      </c>
      <c r="B106" s="8" t="s">
        <v>16</v>
      </c>
      <c r="C106" s="8" t="s">
        <v>1059</v>
      </c>
      <c r="D106" s="8" t="s">
        <v>1060</v>
      </c>
      <c r="E106" s="8" t="s">
        <v>1061</v>
      </c>
      <c r="F106" s="8" t="s">
        <v>1073</v>
      </c>
      <c r="G106" s="8" t="s">
        <v>1080</v>
      </c>
      <c r="H106" s="8" t="s">
        <v>1081</v>
      </c>
      <c r="I106" s="8"/>
      <c r="J106" s="8" t="s">
        <v>1082</v>
      </c>
      <c r="K106" s="8" t="s">
        <v>1066</v>
      </c>
      <c r="L106" s="8" t="s">
        <v>1083</v>
      </c>
      <c r="M106" s="8" t="s">
        <v>1084</v>
      </c>
      <c r="N106" s="8" t="s">
        <v>1078</v>
      </c>
      <c r="O106" s="8" t="s">
        <v>90</v>
      </c>
      <c r="P106" s="8" t="s">
        <v>55</v>
      </c>
      <c r="Q106" s="8" t="s">
        <v>56</v>
      </c>
      <c r="R106" s="8" t="s">
        <v>118</v>
      </c>
      <c r="S106" s="8" t="s">
        <v>119</v>
      </c>
      <c r="T106" s="8" t="s">
        <v>1066</v>
      </c>
      <c r="U106" s="8" t="s">
        <v>708</v>
      </c>
      <c r="V106" s="8" t="s">
        <v>1071</v>
      </c>
    </row>
    <row r="107" spans="1:22" ht="42" customHeight="1">
      <c r="A107" s="8" t="s">
        <v>1085</v>
      </c>
      <c r="B107" s="8" t="s">
        <v>16</v>
      </c>
      <c r="C107" s="8" t="s">
        <v>1059</v>
      </c>
      <c r="D107" s="8" t="s">
        <v>1060</v>
      </c>
      <c r="E107" s="8" t="s">
        <v>1061</v>
      </c>
      <c r="F107" s="8" t="s">
        <v>1086</v>
      </c>
      <c r="G107" s="8" t="s">
        <v>1087</v>
      </c>
      <c r="H107" s="8" t="s">
        <v>1088</v>
      </c>
      <c r="I107" s="8"/>
      <c r="J107" s="8" t="s">
        <v>1089</v>
      </c>
      <c r="K107" s="8" t="s">
        <v>1066</v>
      </c>
      <c r="L107" s="8" t="s">
        <v>1090</v>
      </c>
      <c r="M107" s="8" t="s">
        <v>1091</v>
      </c>
      <c r="N107" s="8" t="s">
        <v>146</v>
      </c>
      <c r="O107" s="8" t="s">
        <v>54</v>
      </c>
      <c r="P107" s="8" t="s">
        <v>1092</v>
      </c>
      <c r="Q107" s="8" t="s">
        <v>56</v>
      </c>
      <c r="R107" s="8" t="s">
        <v>118</v>
      </c>
      <c r="S107" s="8" t="s">
        <v>119</v>
      </c>
      <c r="T107" s="8" t="s">
        <v>1066</v>
      </c>
      <c r="U107" s="8" t="s">
        <v>820</v>
      </c>
      <c r="V107" s="8" t="s">
        <v>1071</v>
      </c>
    </row>
    <row r="108" spans="1:22" ht="42" customHeight="1">
      <c r="A108" s="8" t="s">
        <v>1093</v>
      </c>
      <c r="B108" s="8" t="s">
        <v>16</v>
      </c>
      <c r="C108" s="8" t="s">
        <v>1059</v>
      </c>
      <c r="D108" s="8" t="s">
        <v>1060</v>
      </c>
      <c r="E108" s="8" t="s">
        <v>1061</v>
      </c>
      <c r="F108" s="8" t="s">
        <v>1086</v>
      </c>
      <c r="G108" s="8" t="s">
        <v>1094</v>
      </c>
      <c r="H108" s="8" t="s">
        <v>1095</v>
      </c>
      <c r="I108" s="8"/>
      <c r="J108" s="8" t="s">
        <v>1096</v>
      </c>
      <c r="K108" s="8" t="s">
        <v>1066</v>
      </c>
      <c r="L108" s="8" t="s">
        <v>1097</v>
      </c>
      <c r="M108" s="8" t="s">
        <v>1098</v>
      </c>
      <c r="N108" s="8" t="s">
        <v>129</v>
      </c>
      <c r="O108" s="8" t="s">
        <v>116</v>
      </c>
      <c r="P108" s="8" t="s">
        <v>706</v>
      </c>
      <c r="Q108" s="8" t="s">
        <v>56</v>
      </c>
      <c r="R108" s="8" t="s">
        <v>118</v>
      </c>
      <c r="S108" s="8" t="s">
        <v>119</v>
      </c>
      <c r="T108" s="8" t="s">
        <v>1066</v>
      </c>
      <c r="U108" s="8" t="s">
        <v>820</v>
      </c>
      <c r="V108" s="8" t="s">
        <v>1071</v>
      </c>
    </row>
    <row r="109" spans="1:22" ht="42" customHeight="1">
      <c r="A109" s="8" t="s">
        <v>1099</v>
      </c>
      <c r="B109" s="8" t="s">
        <v>16</v>
      </c>
      <c r="C109" s="8" t="s">
        <v>1059</v>
      </c>
      <c r="D109" s="8" t="s">
        <v>1060</v>
      </c>
      <c r="E109" s="8" t="s">
        <v>1061</v>
      </c>
      <c r="F109" s="8" t="s">
        <v>1100</v>
      </c>
      <c r="G109" s="8" t="s">
        <v>1101</v>
      </c>
      <c r="H109" s="8" t="s">
        <v>1102</v>
      </c>
      <c r="I109" s="8"/>
      <c r="J109" s="8" t="s">
        <v>1103</v>
      </c>
      <c r="K109" s="8" t="s">
        <v>1066</v>
      </c>
      <c r="L109" s="8" t="s">
        <v>1104</v>
      </c>
      <c r="M109" s="8" t="s">
        <v>1105</v>
      </c>
      <c r="N109" s="8" t="s">
        <v>438</v>
      </c>
      <c r="O109" s="8" t="s">
        <v>54</v>
      </c>
      <c r="P109" s="8" t="s">
        <v>1106</v>
      </c>
      <c r="Q109" s="8" t="s">
        <v>56</v>
      </c>
      <c r="R109" s="8" t="s">
        <v>57</v>
      </c>
      <c r="S109" s="8" t="s">
        <v>119</v>
      </c>
      <c r="T109" s="8" t="s">
        <v>1066</v>
      </c>
      <c r="U109" s="8" t="s">
        <v>1107</v>
      </c>
      <c r="V109" s="8" t="s">
        <v>1071</v>
      </c>
    </row>
    <row r="110" spans="1:22" ht="42" customHeight="1">
      <c r="A110" s="8" t="s">
        <v>1108</v>
      </c>
      <c r="B110" s="8" t="s">
        <v>16</v>
      </c>
      <c r="C110" s="8" t="s">
        <v>1059</v>
      </c>
      <c r="D110" s="8" t="s">
        <v>1060</v>
      </c>
      <c r="E110" s="8" t="s">
        <v>1061</v>
      </c>
      <c r="F110" s="8" t="s">
        <v>1109</v>
      </c>
      <c r="G110" s="8" t="s">
        <v>1110</v>
      </c>
      <c r="H110" s="8" t="s">
        <v>1111</v>
      </c>
      <c r="I110" s="8"/>
      <c r="J110" s="8" t="s">
        <v>1112</v>
      </c>
      <c r="K110" s="8" t="s">
        <v>1066</v>
      </c>
      <c r="L110" s="8" t="s">
        <v>1113</v>
      </c>
      <c r="M110" s="8" t="s">
        <v>1114</v>
      </c>
      <c r="N110" s="8" t="s">
        <v>196</v>
      </c>
      <c r="O110" s="8" t="s">
        <v>54</v>
      </c>
      <c r="P110" s="8" t="s">
        <v>55</v>
      </c>
      <c r="Q110" s="8" t="s">
        <v>56</v>
      </c>
      <c r="R110" s="8" t="s">
        <v>118</v>
      </c>
      <c r="S110" s="8" t="s">
        <v>58</v>
      </c>
      <c r="T110" s="8" t="s">
        <v>1066</v>
      </c>
      <c r="U110" s="8" t="s">
        <v>1115</v>
      </c>
      <c r="V110" s="8" t="s">
        <v>1071</v>
      </c>
    </row>
    <row r="111" spans="1:22" ht="42" customHeight="1">
      <c r="A111" s="8" t="s">
        <v>1116</v>
      </c>
      <c r="B111" s="8" t="s">
        <v>16</v>
      </c>
      <c r="C111" s="8" t="s">
        <v>1059</v>
      </c>
      <c r="D111" s="8" t="s">
        <v>1060</v>
      </c>
      <c r="E111" s="8" t="s">
        <v>1061</v>
      </c>
      <c r="F111" s="8" t="s">
        <v>1117</v>
      </c>
      <c r="G111" s="8" t="s">
        <v>1118</v>
      </c>
      <c r="H111" s="8" t="s">
        <v>1119</v>
      </c>
      <c r="I111" s="8"/>
      <c r="J111" s="8" t="s">
        <v>1120</v>
      </c>
      <c r="K111" s="8" t="s">
        <v>1066</v>
      </c>
      <c r="L111" s="8" t="s">
        <v>1121</v>
      </c>
      <c r="M111" s="8" t="s">
        <v>1122</v>
      </c>
      <c r="N111" s="8" t="s">
        <v>196</v>
      </c>
      <c r="O111" s="8" t="s">
        <v>598</v>
      </c>
      <c r="P111" s="8" t="s">
        <v>706</v>
      </c>
      <c r="Q111" s="8" t="s">
        <v>56</v>
      </c>
      <c r="R111" s="8" t="s">
        <v>57</v>
      </c>
      <c r="S111" s="8" t="s">
        <v>119</v>
      </c>
      <c r="T111" s="8" t="s">
        <v>1066</v>
      </c>
      <c r="U111" s="8" t="s">
        <v>1123</v>
      </c>
      <c r="V111" s="8" t="s">
        <v>1071</v>
      </c>
    </row>
    <row r="112" spans="1:22" ht="42" customHeight="1">
      <c r="A112" s="8" t="s">
        <v>1124</v>
      </c>
      <c r="B112" s="8" t="s">
        <v>16</v>
      </c>
      <c r="C112" s="8" t="s">
        <v>1059</v>
      </c>
      <c r="D112" s="8" t="s">
        <v>1125</v>
      </c>
      <c r="E112" s="8" t="s">
        <v>1126</v>
      </c>
      <c r="F112" s="8" t="s">
        <v>1127</v>
      </c>
      <c r="G112" s="8" t="s">
        <v>1128</v>
      </c>
      <c r="H112" s="8" t="s">
        <v>1129</v>
      </c>
      <c r="I112" s="8"/>
      <c r="J112" s="8" t="s">
        <v>1130</v>
      </c>
      <c r="K112" s="8" t="s">
        <v>1131</v>
      </c>
      <c r="L112" s="8" t="s">
        <v>1132</v>
      </c>
      <c r="M112" s="8" t="s">
        <v>1133</v>
      </c>
      <c r="N112" s="8" t="s">
        <v>702</v>
      </c>
      <c r="O112" s="8" t="s">
        <v>54</v>
      </c>
      <c r="P112" s="8" t="s">
        <v>1134</v>
      </c>
      <c r="Q112" s="8" t="s">
        <v>56</v>
      </c>
      <c r="R112" s="8" t="s">
        <v>57</v>
      </c>
      <c r="S112" s="8" t="s">
        <v>119</v>
      </c>
      <c r="T112" s="8" t="s">
        <v>1131</v>
      </c>
      <c r="U112" s="8" t="s">
        <v>1135</v>
      </c>
      <c r="V112" s="8" t="s">
        <v>1136</v>
      </c>
    </row>
    <row r="113" spans="1:22" ht="42" customHeight="1">
      <c r="A113" s="8" t="s">
        <v>1137</v>
      </c>
      <c r="B113" s="8" t="s">
        <v>16</v>
      </c>
      <c r="C113" s="8" t="s">
        <v>1059</v>
      </c>
      <c r="D113" s="8" t="s">
        <v>1125</v>
      </c>
      <c r="E113" s="8" t="s">
        <v>1126</v>
      </c>
      <c r="F113" s="8" t="s">
        <v>1138</v>
      </c>
      <c r="G113" s="8" t="s">
        <v>1139</v>
      </c>
      <c r="H113" s="8" t="s">
        <v>1140</v>
      </c>
      <c r="I113" s="8"/>
      <c r="J113" s="8" t="s">
        <v>1141</v>
      </c>
      <c r="K113" s="8" t="s">
        <v>816</v>
      </c>
      <c r="L113" s="8" t="s">
        <v>1142</v>
      </c>
      <c r="M113" s="8" t="s">
        <v>1143</v>
      </c>
      <c r="N113" s="8" t="s">
        <v>1144</v>
      </c>
      <c r="O113" s="8" t="s">
        <v>54</v>
      </c>
      <c r="P113" s="8" t="s">
        <v>307</v>
      </c>
      <c r="Q113" s="8" t="s">
        <v>56</v>
      </c>
      <c r="R113" s="8" t="s">
        <v>118</v>
      </c>
      <c r="S113" s="8" t="s">
        <v>119</v>
      </c>
      <c r="T113" s="8" t="s">
        <v>816</v>
      </c>
      <c r="U113" s="8" t="s">
        <v>1145</v>
      </c>
      <c r="V113" s="8" t="s">
        <v>1136</v>
      </c>
    </row>
    <row r="114" spans="1:22" ht="42" customHeight="1">
      <c r="A114" s="8" t="s">
        <v>1146</v>
      </c>
      <c r="B114" s="8" t="s">
        <v>16</v>
      </c>
      <c r="C114" s="8" t="s">
        <v>1059</v>
      </c>
      <c r="D114" s="8" t="s">
        <v>1125</v>
      </c>
      <c r="E114" s="8" t="s">
        <v>1126</v>
      </c>
      <c r="F114" s="8" t="s">
        <v>1147</v>
      </c>
      <c r="G114" s="8" t="s">
        <v>1148</v>
      </c>
      <c r="H114" s="8" t="s">
        <v>1149</v>
      </c>
      <c r="I114" s="8"/>
      <c r="J114" s="8" t="s">
        <v>1150</v>
      </c>
      <c r="K114" s="8" t="s">
        <v>1151</v>
      </c>
      <c r="L114" s="8" t="s">
        <v>1152</v>
      </c>
      <c r="M114" s="8" t="s">
        <v>1153</v>
      </c>
      <c r="N114" s="8" t="s">
        <v>1154</v>
      </c>
      <c r="O114" s="8" t="s">
        <v>54</v>
      </c>
      <c r="P114" s="8" t="s">
        <v>1155</v>
      </c>
      <c r="Q114" s="8" t="s">
        <v>1156</v>
      </c>
      <c r="R114" s="8" t="s">
        <v>118</v>
      </c>
      <c r="S114" s="8" t="s">
        <v>119</v>
      </c>
      <c r="T114" s="8" t="s">
        <v>1157</v>
      </c>
      <c r="U114" s="8" t="s">
        <v>1158</v>
      </c>
      <c r="V114" s="8" t="s">
        <v>1136</v>
      </c>
    </row>
    <row r="115" spans="1:22" ht="42" customHeight="1">
      <c r="A115" s="8" t="s">
        <v>1159</v>
      </c>
      <c r="B115" s="8" t="s">
        <v>16</v>
      </c>
      <c r="C115" s="8" t="s">
        <v>1059</v>
      </c>
      <c r="D115" s="8" t="s">
        <v>1125</v>
      </c>
      <c r="E115" s="8" t="s">
        <v>1126</v>
      </c>
      <c r="F115" s="8" t="s">
        <v>1160</v>
      </c>
      <c r="G115" s="8" t="s">
        <v>1161</v>
      </c>
      <c r="H115" s="8" t="s">
        <v>1162</v>
      </c>
      <c r="I115" s="8"/>
      <c r="J115" s="8" t="s">
        <v>1163</v>
      </c>
      <c r="K115" s="8" t="s">
        <v>1164</v>
      </c>
      <c r="L115" s="8" t="s">
        <v>1165</v>
      </c>
      <c r="M115" s="8" t="s">
        <v>1166</v>
      </c>
      <c r="N115" s="8" t="s">
        <v>426</v>
      </c>
      <c r="O115" s="8" t="s">
        <v>54</v>
      </c>
      <c r="P115" s="8" t="s">
        <v>1167</v>
      </c>
      <c r="Q115" s="8" t="s">
        <v>1168</v>
      </c>
      <c r="R115" s="8" t="s">
        <v>118</v>
      </c>
      <c r="S115" s="8" t="s">
        <v>119</v>
      </c>
      <c r="T115" s="8" t="s">
        <v>1169</v>
      </c>
      <c r="U115" s="8" t="s">
        <v>1170</v>
      </c>
      <c r="V115" s="8" t="s">
        <v>1136</v>
      </c>
    </row>
    <row r="116" spans="1:22" ht="42" customHeight="1">
      <c r="A116" s="8" t="s">
        <v>1171</v>
      </c>
      <c r="B116" s="8" t="s">
        <v>16</v>
      </c>
      <c r="C116" s="8" t="s">
        <v>1059</v>
      </c>
      <c r="D116" s="8" t="s">
        <v>1125</v>
      </c>
      <c r="E116" s="8" t="s">
        <v>1126</v>
      </c>
      <c r="F116" s="8" t="s">
        <v>1172</v>
      </c>
      <c r="G116" s="8" t="s">
        <v>1173</v>
      </c>
      <c r="H116" s="8" t="s">
        <v>1174</v>
      </c>
      <c r="I116" s="8" t="s">
        <v>1175</v>
      </c>
      <c r="J116" s="8" t="s">
        <v>1176</v>
      </c>
      <c r="K116" s="8" t="s">
        <v>1177</v>
      </c>
      <c r="L116" s="8" t="s">
        <v>1178</v>
      </c>
      <c r="M116" s="8" t="s">
        <v>1179</v>
      </c>
      <c r="N116" s="8" t="s">
        <v>1180</v>
      </c>
      <c r="O116" s="8" t="s">
        <v>90</v>
      </c>
      <c r="P116" s="8" t="s">
        <v>1181</v>
      </c>
      <c r="Q116" s="8" t="s">
        <v>1182</v>
      </c>
      <c r="R116" s="8" t="s">
        <v>57</v>
      </c>
      <c r="S116" s="8" t="s">
        <v>119</v>
      </c>
      <c r="T116" s="8" t="s">
        <v>1177</v>
      </c>
      <c r="U116" s="8" t="s">
        <v>708</v>
      </c>
      <c r="V116" s="8" t="s">
        <v>1136</v>
      </c>
    </row>
    <row r="117" spans="1:22" ht="42" customHeight="1">
      <c r="A117" s="8" t="s">
        <v>1183</v>
      </c>
      <c r="B117" s="8" t="s">
        <v>16</v>
      </c>
      <c r="C117" s="8" t="s">
        <v>1059</v>
      </c>
      <c r="D117" s="8" t="s">
        <v>1125</v>
      </c>
      <c r="E117" s="8" t="s">
        <v>1126</v>
      </c>
      <c r="F117" s="8" t="s">
        <v>1184</v>
      </c>
      <c r="G117" s="8" t="s">
        <v>1185</v>
      </c>
      <c r="H117" s="8" t="s">
        <v>1186</v>
      </c>
      <c r="I117" s="8"/>
      <c r="J117" s="8" t="s">
        <v>1187</v>
      </c>
      <c r="K117" s="8" t="s">
        <v>702</v>
      </c>
      <c r="L117" s="8" t="s">
        <v>1188</v>
      </c>
      <c r="M117" s="8" t="s">
        <v>1189</v>
      </c>
      <c r="N117" s="8" t="s">
        <v>438</v>
      </c>
      <c r="O117" s="8" t="s">
        <v>54</v>
      </c>
      <c r="P117" s="8" t="s">
        <v>178</v>
      </c>
      <c r="Q117" s="8" t="s">
        <v>56</v>
      </c>
      <c r="R117" s="8" t="s">
        <v>57</v>
      </c>
      <c r="S117" s="8" t="s">
        <v>119</v>
      </c>
      <c r="T117" s="8" t="s">
        <v>702</v>
      </c>
      <c r="U117" s="8" t="s">
        <v>80</v>
      </c>
      <c r="V117" s="8" t="s">
        <v>1136</v>
      </c>
    </row>
    <row r="118" spans="1:22" ht="42" customHeight="1">
      <c r="A118" s="8" t="s">
        <v>1190</v>
      </c>
      <c r="B118" s="8" t="s">
        <v>17</v>
      </c>
      <c r="C118" s="8" t="s">
        <v>1191</v>
      </c>
      <c r="D118" s="8" t="s">
        <v>1192</v>
      </c>
      <c r="E118" s="8" t="s">
        <v>1193</v>
      </c>
      <c r="F118" s="8" t="s">
        <v>1194</v>
      </c>
      <c r="G118" s="8" t="s">
        <v>1195</v>
      </c>
      <c r="H118" s="8" t="s">
        <v>1196</v>
      </c>
      <c r="I118" s="8"/>
      <c r="J118" s="8" t="s">
        <v>1197</v>
      </c>
      <c r="K118" s="8" t="s">
        <v>1198</v>
      </c>
      <c r="L118" s="8" t="s">
        <v>1199</v>
      </c>
      <c r="M118" s="8" t="s">
        <v>1200</v>
      </c>
      <c r="N118" s="8" t="s">
        <v>1201</v>
      </c>
      <c r="O118" s="8" t="s">
        <v>54</v>
      </c>
      <c r="P118" s="8" t="s">
        <v>1134</v>
      </c>
      <c r="Q118" s="8" t="s">
        <v>1168</v>
      </c>
      <c r="R118" s="8" t="s">
        <v>118</v>
      </c>
      <c r="S118" s="8" t="s">
        <v>58</v>
      </c>
      <c r="T118" s="8" t="s">
        <v>1202</v>
      </c>
      <c r="U118" s="8" t="s">
        <v>209</v>
      </c>
      <c r="V118" s="8" t="s">
        <v>1203</v>
      </c>
    </row>
    <row r="119" spans="1:22" ht="42" customHeight="1">
      <c r="A119" s="8" t="s">
        <v>1204</v>
      </c>
      <c r="B119" s="8" t="s">
        <v>17</v>
      </c>
      <c r="C119" s="8" t="s">
        <v>1191</v>
      </c>
      <c r="D119" s="8" t="s">
        <v>1192</v>
      </c>
      <c r="E119" s="8" t="s">
        <v>1193</v>
      </c>
      <c r="F119" s="8" t="s">
        <v>1205</v>
      </c>
      <c r="G119" s="8" t="s">
        <v>1206</v>
      </c>
      <c r="H119" s="8" t="s">
        <v>1207</v>
      </c>
      <c r="I119" s="8"/>
      <c r="J119" s="8" t="s">
        <v>1208</v>
      </c>
      <c r="K119" s="8" t="s">
        <v>1209</v>
      </c>
      <c r="L119" s="8" t="s">
        <v>1210</v>
      </c>
      <c r="M119" s="8" t="s">
        <v>1211</v>
      </c>
      <c r="N119" s="8" t="s">
        <v>1212</v>
      </c>
      <c r="O119" s="8" t="s">
        <v>54</v>
      </c>
      <c r="P119" s="8" t="s">
        <v>1213</v>
      </c>
      <c r="Q119" s="8" t="s">
        <v>1214</v>
      </c>
      <c r="R119" s="8" t="s">
        <v>118</v>
      </c>
      <c r="S119" s="8" t="s">
        <v>119</v>
      </c>
      <c r="T119" s="8" t="s">
        <v>1215</v>
      </c>
      <c r="U119" s="8" t="s">
        <v>1216</v>
      </c>
      <c r="V119" s="8" t="s">
        <v>1203</v>
      </c>
    </row>
    <row r="120" spans="1:22" ht="42" customHeight="1">
      <c r="A120" s="8" t="s">
        <v>1217</v>
      </c>
      <c r="B120" s="8" t="s">
        <v>17</v>
      </c>
      <c r="C120" s="8" t="s">
        <v>1191</v>
      </c>
      <c r="D120" s="8" t="s">
        <v>1192</v>
      </c>
      <c r="E120" s="8" t="s">
        <v>1193</v>
      </c>
      <c r="F120" s="8" t="s">
        <v>1218</v>
      </c>
      <c r="G120" s="8" t="s">
        <v>1219</v>
      </c>
      <c r="H120" s="8" t="s">
        <v>1220</v>
      </c>
      <c r="I120" s="8"/>
      <c r="J120" s="8" t="s">
        <v>1221</v>
      </c>
      <c r="K120" s="8" t="s">
        <v>1222</v>
      </c>
      <c r="L120" s="8" t="s">
        <v>1223</v>
      </c>
      <c r="M120" s="8" t="s">
        <v>1224</v>
      </c>
      <c r="N120" s="8" t="s">
        <v>1225</v>
      </c>
      <c r="O120" s="8" t="s">
        <v>54</v>
      </c>
      <c r="P120" s="8" t="s">
        <v>1213</v>
      </c>
      <c r="Q120" s="8" t="s">
        <v>1226</v>
      </c>
      <c r="R120" s="8" t="s">
        <v>118</v>
      </c>
      <c r="S120" s="8" t="s">
        <v>119</v>
      </c>
      <c r="T120" s="8" t="s">
        <v>1227</v>
      </c>
      <c r="U120" s="8" t="s">
        <v>1228</v>
      </c>
      <c r="V120" s="8" t="s">
        <v>1203</v>
      </c>
    </row>
    <row r="121" spans="1:22" ht="42" customHeight="1">
      <c r="A121" s="8" t="s">
        <v>1229</v>
      </c>
      <c r="B121" s="8" t="s">
        <v>17</v>
      </c>
      <c r="C121" s="8" t="s">
        <v>1191</v>
      </c>
      <c r="D121" s="8" t="s">
        <v>1192</v>
      </c>
      <c r="E121" s="8" t="s">
        <v>1193</v>
      </c>
      <c r="F121" s="8" t="s">
        <v>1230</v>
      </c>
      <c r="G121" s="8" t="s">
        <v>1231</v>
      </c>
      <c r="H121" s="8" t="s">
        <v>1232</v>
      </c>
      <c r="I121" s="8"/>
      <c r="J121" s="8" t="s">
        <v>1233</v>
      </c>
      <c r="K121" s="8" t="s">
        <v>1234</v>
      </c>
      <c r="L121" s="8" t="s">
        <v>1235</v>
      </c>
      <c r="M121" s="8" t="s">
        <v>1236</v>
      </c>
      <c r="N121" s="8" t="s">
        <v>1225</v>
      </c>
      <c r="O121" s="8" t="s">
        <v>54</v>
      </c>
      <c r="P121" s="8" t="s">
        <v>1237</v>
      </c>
      <c r="Q121" s="8" t="s">
        <v>1168</v>
      </c>
      <c r="R121" s="8" t="s">
        <v>118</v>
      </c>
      <c r="S121" s="8" t="s">
        <v>119</v>
      </c>
      <c r="T121" s="8" t="s">
        <v>1238</v>
      </c>
      <c r="U121" s="8" t="s">
        <v>1239</v>
      </c>
      <c r="V121" s="8" t="s">
        <v>1203</v>
      </c>
    </row>
    <row r="122" spans="1:22" ht="42" customHeight="1">
      <c r="A122" s="8" t="s">
        <v>1240</v>
      </c>
      <c r="B122" s="8" t="s">
        <v>17</v>
      </c>
      <c r="C122" s="8" t="s">
        <v>1191</v>
      </c>
      <c r="D122" s="8" t="s">
        <v>1192</v>
      </c>
      <c r="E122" s="8" t="s">
        <v>1193</v>
      </c>
      <c r="F122" s="8" t="s">
        <v>1230</v>
      </c>
      <c r="G122" s="8" t="s">
        <v>1241</v>
      </c>
      <c r="H122" s="8" t="s">
        <v>1242</v>
      </c>
      <c r="I122" s="8" t="s">
        <v>1243</v>
      </c>
      <c r="J122" s="8" t="s">
        <v>1244</v>
      </c>
      <c r="K122" s="8" t="s">
        <v>1234</v>
      </c>
      <c r="L122" s="8" t="s">
        <v>1245</v>
      </c>
      <c r="M122" s="8" t="s">
        <v>1246</v>
      </c>
      <c r="N122" s="8" t="s">
        <v>1225</v>
      </c>
      <c r="O122" s="8" t="s">
        <v>54</v>
      </c>
      <c r="P122" s="8" t="s">
        <v>1247</v>
      </c>
      <c r="Q122" s="8" t="s">
        <v>1248</v>
      </c>
      <c r="R122" s="8" t="s">
        <v>57</v>
      </c>
      <c r="S122" s="8" t="s">
        <v>119</v>
      </c>
      <c r="T122" s="8" t="s">
        <v>1249</v>
      </c>
      <c r="U122" s="8" t="s">
        <v>1239</v>
      </c>
      <c r="V122" s="8" t="s">
        <v>1203</v>
      </c>
    </row>
    <row r="123" spans="1:22" ht="42" customHeight="1">
      <c r="A123" s="8" t="s">
        <v>1250</v>
      </c>
      <c r="B123" s="8" t="s">
        <v>17</v>
      </c>
      <c r="C123" s="8" t="s">
        <v>1191</v>
      </c>
      <c r="D123" s="8" t="s">
        <v>1192</v>
      </c>
      <c r="E123" s="8" t="s">
        <v>1193</v>
      </c>
      <c r="F123" s="8" t="s">
        <v>1251</v>
      </c>
      <c r="G123" s="8" t="s">
        <v>1201</v>
      </c>
      <c r="H123" s="8" t="s">
        <v>1252</v>
      </c>
      <c r="I123" s="8"/>
      <c r="J123" s="8" t="s">
        <v>1253</v>
      </c>
      <c r="K123" s="8" t="s">
        <v>1254</v>
      </c>
      <c r="L123" s="8" t="s">
        <v>1255</v>
      </c>
      <c r="M123" s="8" t="s">
        <v>1256</v>
      </c>
      <c r="N123" s="8" t="s">
        <v>1225</v>
      </c>
      <c r="O123" s="8" t="s">
        <v>54</v>
      </c>
      <c r="P123" s="8" t="s">
        <v>1257</v>
      </c>
      <c r="Q123" s="8" t="s">
        <v>1168</v>
      </c>
      <c r="R123" s="8" t="s">
        <v>118</v>
      </c>
      <c r="S123" s="8" t="s">
        <v>119</v>
      </c>
      <c r="T123" s="8" t="s">
        <v>1258</v>
      </c>
      <c r="U123" s="8" t="s">
        <v>1158</v>
      </c>
      <c r="V123" s="8" t="s">
        <v>1203</v>
      </c>
    </row>
    <row r="124" spans="1:22" ht="42" customHeight="1">
      <c r="A124" s="8" t="s">
        <v>1259</v>
      </c>
      <c r="B124" s="8" t="s">
        <v>17</v>
      </c>
      <c r="C124" s="8" t="s">
        <v>1191</v>
      </c>
      <c r="D124" s="8" t="s">
        <v>1260</v>
      </c>
      <c r="E124" s="8" t="s">
        <v>1261</v>
      </c>
      <c r="F124" s="8" t="s">
        <v>1262</v>
      </c>
      <c r="G124" s="8" t="s">
        <v>1263</v>
      </c>
      <c r="H124" s="8" t="s">
        <v>1264</v>
      </c>
      <c r="I124" s="8"/>
      <c r="J124" s="8" t="s">
        <v>1265</v>
      </c>
      <c r="K124" s="8" t="s">
        <v>1266</v>
      </c>
      <c r="L124" s="8" t="s">
        <v>1267</v>
      </c>
      <c r="M124" s="8" t="s">
        <v>1268</v>
      </c>
      <c r="N124" s="8" t="s">
        <v>1269</v>
      </c>
      <c r="O124" s="8" t="s">
        <v>54</v>
      </c>
      <c r="P124" s="8" t="s">
        <v>1270</v>
      </c>
      <c r="Q124" s="8" t="s">
        <v>1168</v>
      </c>
      <c r="R124" s="8" t="s">
        <v>118</v>
      </c>
      <c r="S124" s="8" t="s">
        <v>119</v>
      </c>
      <c r="T124" s="8" t="s">
        <v>1271</v>
      </c>
      <c r="U124" s="8" t="s">
        <v>1272</v>
      </c>
      <c r="V124" s="8" t="s">
        <v>1273</v>
      </c>
    </row>
    <row r="125" spans="1:22" ht="42" customHeight="1">
      <c r="A125" s="8" t="s">
        <v>1274</v>
      </c>
      <c r="B125" s="8" t="s">
        <v>17</v>
      </c>
      <c r="C125" s="8" t="s">
        <v>1191</v>
      </c>
      <c r="D125" s="8" t="s">
        <v>1260</v>
      </c>
      <c r="E125" s="8" t="s">
        <v>1261</v>
      </c>
      <c r="F125" s="8" t="s">
        <v>1275</v>
      </c>
      <c r="G125" s="8" t="s">
        <v>1276</v>
      </c>
      <c r="H125" s="8" t="s">
        <v>1277</v>
      </c>
      <c r="I125" s="8"/>
      <c r="J125" s="8" t="s">
        <v>1278</v>
      </c>
      <c r="K125" s="8" t="s">
        <v>1279</v>
      </c>
      <c r="L125" s="8" t="s">
        <v>1280</v>
      </c>
      <c r="M125" s="8" t="s">
        <v>1281</v>
      </c>
      <c r="N125" s="8" t="s">
        <v>1269</v>
      </c>
      <c r="O125" s="8" t="s">
        <v>54</v>
      </c>
      <c r="P125" s="8" t="s">
        <v>1213</v>
      </c>
      <c r="Q125" s="8" t="s">
        <v>1282</v>
      </c>
      <c r="R125" s="8" t="s">
        <v>118</v>
      </c>
      <c r="S125" s="8" t="s">
        <v>119</v>
      </c>
      <c r="T125" s="8" t="s">
        <v>1283</v>
      </c>
      <c r="U125" s="8" t="s">
        <v>1284</v>
      </c>
      <c r="V125" s="8" t="s">
        <v>1273</v>
      </c>
    </row>
    <row r="126" spans="1:22" ht="42" customHeight="1">
      <c r="A126" s="8" t="s">
        <v>1285</v>
      </c>
      <c r="B126" s="8" t="s">
        <v>17</v>
      </c>
      <c r="C126" s="8" t="s">
        <v>1191</v>
      </c>
      <c r="D126" s="8" t="s">
        <v>1260</v>
      </c>
      <c r="E126" s="8" t="s">
        <v>1261</v>
      </c>
      <c r="F126" s="8" t="s">
        <v>1286</v>
      </c>
      <c r="G126" s="8" t="s">
        <v>1287</v>
      </c>
      <c r="H126" s="8" t="s">
        <v>1288</v>
      </c>
      <c r="I126" s="8"/>
      <c r="J126" s="8" t="s">
        <v>1289</v>
      </c>
      <c r="K126" s="8" t="s">
        <v>1290</v>
      </c>
      <c r="L126" s="8" t="s">
        <v>1291</v>
      </c>
      <c r="M126" s="8" t="s">
        <v>1292</v>
      </c>
      <c r="N126" s="8" t="s">
        <v>1212</v>
      </c>
      <c r="O126" s="8" t="s">
        <v>54</v>
      </c>
      <c r="P126" s="8" t="s">
        <v>1293</v>
      </c>
      <c r="Q126" s="8" t="s">
        <v>1294</v>
      </c>
      <c r="R126" s="8" t="s">
        <v>118</v>
      </c>
      <c r="S126" s="8" t="s">
        <v>119</v>
      </c>
      <c r="T126" s="8" t="s">
        <v>1295</v>
      </c>
      <c r="U126" s="8" t="s">
        <v>1272</v>
      </c>
      <c r="V126" s="8" t="s">
        <v>1273</v>
      </c>
    </row>
    <row r="127" spans="1:22" ht="42" customHeight="1">
      <c r="A127" s="8" t="s">
        <v>1296</v>
      </c>
      <c r="B127" s="8" t="s">
        <v>17</v>
      </c>
      <c r="C127" s="8" t="s">
        <v>1191</v>
      </c>
      <c r="D127" s="8" t="s">
        <v>1260</v>
      </c>
      <c r="E127" s="8" t="s">
        <v>1261</v>
      </c>
      <c r="F127" s="8" t="s">
        <v>1297</v>
      </c>
      <c r="G127" s="8" t="s">
        <v>1269</v>
      </c>
      <c r="H127" s="8" t="s">
        <v>1298</v>
      </c>
      <c r="I127" s="8"/>
      <c r="J127" s="8" t="s">
        <v>1299</v>
      </c>
      <c r="K127" s="8" t="s">
        <v>1300</v>
      </c>
      <c r="L127" s="8" t="s">
        <v>1301</v>
      </c>
      <c r="M127" s="8" t="s">
        <v>1302</v>
      </c>
      <c r="N127" s="8" t="s">
        <v>1303</v>
      </c>
      <c r="O127" s="8" t="s">
        <v>54</v>
      </c>
      <c r="P127" s="8" t="s">
        <v>1304</v>
      </c>
      <c r="Q127" s="8" t="s">
        <v>1305</v>
      </c>
      <c r="R127" s="8" t="s">
        <v>118</v>
      </c>
      <c r="S127" s="8" t="s">
        <v>119</v>
      </c>
      <c r="T127" s="8" t="s">
        <v>1306</v>
      </c>
      <c r="U127" s="8" t="s">
        <v>1307</v>
      </c>
      <c r="V127" s="8" t="s">
        <v>1273</v>
      </c>
    </row>
    <row r="128" spans="1:22" ht="42" customHeight="1">
      <c r="A128" s="8" t="s">
        <v>1308</v>
      </c>
      <c r="B128" s="8" t="s">
        <v>17</v>
      </c>
      <c r="C128" s="8" t="s">
        <v>1191</v>
      </c>
      <c r="D128" s="8" t="s">
        <v>1260</v>
      </c>
      <c r="E128" s="8" t="s">
        <v>1261</v>
      </c>
      <c r="F128" s="8" t="s">
        <v>1309</v>
      </c>
      <c r="G128" s="8" t="s">
        <v>1310</v>
      </c>
      <c r="H128" s="8" t="s">
        <v>1311</v>
      </c>
      <c r="I128" s="8"/>
      <c r="J128" s="8" t="s">
        <v>1312</v>
      </c>
      <c r="K128" s="8" t="s">
        <v>1313</v>
      </c>
      <c r="L128" s="8" t="s">
        <v>1314</v>
      </c>
      <c r="M128" s="8" t="s">
        <v>1315</v>
      </c>
      <c r="N128" s="8" t="s">
        <v>1316</v>
      </c>
      <c r="O128" s="8" t="s">
        <v>54</v>
      </c>
      <c r="P128" s="8" t="s">
        <v>1317</v>
      </c>
      <c r="Q128" s="8" t="s">
        <v>1318</v>
      </c>
      <c r="R128" s="8" t="s">
        <v>118</v>
      </c>
      <c r="S128" s="8" t="s">
        <v>119</v>
      </c>
      <c r="T128" s="8" t="s">
        <v>1310</v>
      </c>
      <c r="U128" s="8" t="s">
        <v>1319</v>
      </c>
      <c r="V128" s="8" t="s">
        <v>1273</v>
      </c>
    </row>
    <row r="129" spans="1:22" ht="42" customHeight="1">
      <c r="A129" s="8" t="s">
        <v>1320</v>
      </c>
      <c r="B129" s="8" t="s">
        <v>17</v>
      </c>
      <c r="C129" s="8" t="s">
        <v>1191</v>
      </c>
      <c r="D129" s="8" t="s">
        <v>1260</v>
      </c>
      <c r="E129" s="8" t="s">
        <v>1261</v>
      </c>
      <c r="F129" s="8" t="s">
        <v>1321</v>
      </c>
      <c r="G129" s="8" t="s">
        <v>1322</v>
      </c>
      <c r="H129" s="8" t="s">
        <v>1323</v>
      </c>
      <c r="I129" s="8" t="s">
        <v>1324</v>
      </c>
      <c r="J129" s="8" t="s">
        <v>1325</v>
      </c>
      <c r="K129" s="8" t="s">
        <v>1326</v>
      </c>
      <c r="L129" s="8" t="s">
        <v>1327</v>
      </c>
      <c r="M129" s="8" t="s">
        <v>1328</v>
      </c>
      <c r="N129" s="8" t="s">
        <v>1329</v>
      </c>
      <c r="O129" s="8" t="s">
        <v>54</v>
      </c>
      <c r="P129" s="8" t="s">
        <v>1330</v>
      </c>
      <c r="Q129" s="8" t="s">
        <v>1331</v>
      </c>
      <c r="R129" s="8" t="s">
        <v>118</v>
      </c>
      <c r="S129" s="8" t="s">
        <v>119</v>
      </c>
      <c r="T129" s="8" t="s">
        <v>1332</v>
      </c>
      <c r="U129" s="8" t="s">
        <v>1333</v>
      </c>
      <c r="V129" s="8" t="s">
        <v>1273</v>
      </c>
    </row>
    <row r="130" spans="1:22" ht="42" customHeight="1">
      <c r="A130" s="8" t="s">
        <v>1334</v>
      </c>
      <c r="B130" s="8" t="s">
        <v>17</v>
      </c>
      <c r="C130" s="8" t="s">
        <v>1191</v>
      </c>
      <c r="D130" s="8" t="s">
        <v>1260</v>
      </c>
      <c r="E130" s="8" t="s">
        <v>1261</v>
      </c>
      <c r="F130" s="8" t="s">
        <v>1335</v>
      </c>
      <c r="G130" s="8" t="s">
        <v>1336</v>
      </c>
      <c r="H130" s="8" t="s">
        <v>1337</v>
      </c>
      <c r="I130" s="8" t="s">
        <v>1338</v>
      </c>
      <c r="J130" s="8" t="s">
        <v>1339</v>
      </c>
      <c r="K130" s="8" t="s">
        <v>1340</v>
      </c>
      <c r="L130" s="8" t="s">
        <v>1341</v>
      </c>
      <c r="M130" s="8" t="s">
        <v>1342</v>
      </c>
      <c r="N130" s="8" t="s">
        <v>1303</v>
      </c>
      <c r="O130" s="8" t="s">
        <v>54</v>
      </c>
      <c r="P130" s="8" t="s">
        <v>1343</v>
      </c>
      <c r="Q130" s="8" t="s">
        <v>1305</v>
      </c>
      <c r="R130" s="8" t="s">
        <v>118</v>
      </c>
      <c r="S130" s="8" t="s">
        <v>58</v>
      </c>
      <c r="T130" s="8" t="s">
        <v>1340</v>
      </c>
      <c r="U130" s="8" t="s">
        <v>1319</v>
      </c>
      <c r="V130" s="8" t="s">
        <v>1273</v>
      </c>
    </row>
    <row r="131" spans="1:22" ht="42" customHeight="1">
      <c r="A131" s="8" t="s">
        <v>1344</v>
      </c>
      <c r="B131" s="8" t="s">
        <v>17</v>
      </c>
      <c r="C131" s="8" t="s">
        <v>1191</v>
      </c>
      <c r="D131" s="8" t="s">
        <v>1260</v>
      </c>
      <c r="E131" s="8" t="s">
        <v>1261</v>
      </c>
      <c r="F131" s="8" t="s">
        <v>1345</v>
      </c>
      <c r="G131" s="8" t="s">
        <v>1346</v>
      </c>
      <c r="H131" s="8" t="s">
        <v>1347</v>
      </c>
      <c r="I131" s="8" t="s">
        <v>1346</v>
      </c>
      <c r="J131" s="8" t="s">
        <v>1348</v>
      </c>
      <c r="K131" s="8" t="s">
        <v>1349</v>
      </c>
      <c r="L131" s="8" t="s">
        <v>1350</v>
      </c>
      <c r="M131" s="8" t="s">
        <v>1351</v>
      </c>
      <c r="N131" s="8" t="s">
        <v>1352</v>
      </c>
      <c r="O131" s="8" t="s">
        <v>54</v>
      </c>
      <c r="P131" s="8" t="s">
        <v>1353</v>
      </c>
      <c r="Q131" s="8" t="s">
        <v>1354</v>
      </c>
      <c r="R131" s="8" t="s">
        <v>118</v>
      </c>
      <c r="S131" s="8" t="s">
        <v>119</v>
      </c>
      <c r="T131" s="8" t="s">
        <v>1355</v>
      </c>
      <c r="U131" s="8" t="s">
        <v>1356</v>
      </c>
      <c r="V131" s="8" t="s">
        <v>1273</v>
      </c>
    </row>
    <row r="132" spans="1:22" ht="42" customHeight="1">
      <c r="A132" s="8" t="s">
        <v>1357</v>
      </c>
      <c r="B132" s="8" t="s">
        <v>17</v>
      </c>
      <c r="C132" s="8" t="s">
        <v>1191</v>
      </c>
      <c r="D132" s="8" t="s">
        <v>1260</v>
      </c>
      <c r="E132" s="8" t="s">
        <v>1261</v>
      </c>
      <c r="F132" s="8" t="s">
        <v>1358</v>
      </c>
      <c r="G132" s="8" t="s">
        <v>1359</v>
      </c>
      <c r="H132" s="8" t="s">
        <v>1360</v>
      </c>
      <c r="I132" s="8" t="s">
        <v>1359</v>
      </c>
      <c r="J132" s="8" t="s">
        <v>1361</v>
      </c>
      <c r="K132" s="8" t="s">
        <v>1362</v>
      </c>
      <c r="L132" s="8" t="s">
        <v>1363</v>
      </c>
      <c r="M132" s="8" t="s">
        <v>1364</v>
      </c>
      <c r="N132" s="8" t="s">
        <v>1365</v>
      </c>
      <c r="O132" s="8" t="s">
        <v>54</v>
      </c>
      <c r="P132" s="8" t="s">
        <v>1366</v>
      </c>
      <c r="Q132" s="8" t="s">
        <v>1367</v>
      </c>
      <c r="R132" s="8" t="s">
        <v>57</v>
      </c>
      <c r="S132" s="8" t="s">
        <v>119</v>
      </c>
      <c r="T132" s="8" t="s">
        <v>1368</v>
      </c>
      <c r="U132" s="8" t="s">
        <v>1369</v>
      </c>
      <c r="V132" s="8" t="s">
        <v>1273</v>
      </c>
    </row>
    <row r="133" spans="1:22" ht="42" customHeight="1">
      <c r="A133" s="8" t="s">
        <v>1370</v>
      </c>
      <c r="B133" s="8" t="s">
        <v>17</v>
      </c>
      <c r="C133" s="8" t="s">
        <v>1191</v>
      </c>
      <c r="D133" s="8" t="s">
        <v>1371</v>
      </c>
      <c r="E133" s="8" t="s">
        <v>1372</v>
      </c>
      <c r="F133" s="8" t="s">
        <v>1373</v>
      </c>
      <c r="G133" s="8" t="s">
        <v>1374</v>
      </c>
      <c r="H133" s="8" t="s">
        <v>1375</v>
      </c>
      <c r="I133" s="8"/>
      <c r="J133" s="8" t="s">
        <v>1376</v>
      </c>
      <c r="K133" s="8" t="s">
        <v>1377</v>
      </c>
      <c r="L133" s="8" t="s">
        <v>1378</v>
      </c>
      <c r="M133" s="8" t="s">
        <v>1379</v>
      </c>
      <c r="N133" s="8" t="s">
        <v>1380</v>
      </c>
      <c r="O133" s="8" t="s">
        <v>54</v>
      </c>
      <c r="P133" s="8" t="s">
        <v>1381</v>
      </c>
      <c r="Q133" s="8" t="s">
        <v>1382</v>
      </c>
      <c r="R133" s="8" t="s">
        <v>118</v>
      </c>
      <c r="S133" s="8" t="s">
        <v>119</v>
      </c>
      <c r="T133" s="8" t="s">
        <v>1383</v>
      </c>
      <c r="U133" s="8" t="s">
        <v>1384</v>
      </c>
      <c r="V133" s="8" t="s">
        <v>1385</v>
      </c>
    </row>
    <row r="134" spans="1:22" ht="42" customHeight="1">
      <c r="A134" s="8" t="s">
        <v>1386</v>
      </c>
      <c r="B134" s="8" t="s">
        <v>17</v>
      </c>
      <c r="C134" s="8" t="s">
        <v>1191</v>
      </c>
      <c r="D134" s="8" t="s">
        <v>1371</v>
      </c>
      <c r="E134" s="8" t="s">
        <v>1372</v>
      </c>
      <c r="F134" s="8" t="s">
        <v>1373</v>
      </c>
      <c r="G134" s="8" t="s">
        <v>1387</v>
      </c>
      <c r="H134" s="8" t="s">
        <v>1388</v>
      </c>
      <c r="I134" s="8"/>
      <c r="J134" s="8" t="s">
        <v>1389</v>
      </c>
      <c r="K134" s="8" t="s">
        <v>1377</v>
      </c>
      <c r="L134" s="8" t="s">
        <v>1390</v>
      </c>
      <c r="M134" s="8" t="s">
        <v>1391</v>
      </c>
      <c r="N134" s="8" t="s">
        <v>1380</v>
      </c>
      <c r="O134" s="8" t="s">
        <v>54</v>
      </c>
      <c r="P134" s="8" t="s">
        <v>1381</v>
      </c>
      <c r="Q134" s="8" t="s">
        <v>1392</v>
      </c>
      <c r="R134" s="8" t="s">
        <v>118</v>
      </c>
      <c r="S134" s="8" t="s">
        <v>119</v>
      </c>
      <c r="T134" s="8" t="s">
        <v>1393</v>
      </c>
      <c r="U134" s="8" t="s">
        <v>1394</v>
      </c>
      <c r="V134" s="8" t="s">
        <v>1385</v>
      </c>
    </row>
    <row r="135" spans="1:22" ht="42" customHeight="1">
      <c r="A135" s="8" t="s">
        <v>1395</v>
      </c>
      <c r="B135" s="8" t="s">
        <v>17</v>
      </c>
      <c r="C135" s="8" t="s">
        <v>1191</v>
      </c>
      <c r="D135" s="8" t="s">
        <v>1371</v>
      </c>
      <c r="E135" s="8" t="s">
        <v>1372</v>
      </c>
      <c r="F135" s="8" t="s">
        <v>1373</v>
      </c>
      <c r="G135" s="8" t="s">
        <v>1396</v>
      </c>
      <c r="H135" s="8" t="s">
        <v>1397</v>
      </c>
      <c r="I135" s="8"/>
      <c r="J135" s="8" t="s">
        <v>1398</v>
      </c>
      <c r="K135" s="8" t="s">
        <v>1377</v>
      </c>
      <c r="L135" s="8" t="s">
        <v>1399</v>
      </c>
      <c r="M135" s="8" t="s">
        <v>1400</v>
      </c>
      <c r="N135" s="8" t="s">
        <v>1380</v>
      </c>
      <c r="O135" s="8" t="s">
        <v>54</v>
      </c>
      <c r="P135" s="8" t="s">
        <v>1381</v>
      </c>
      <c r="Q135" s="8" t="s">
        <v>1392</v>
      </c>
      <c r="R135" s="8" t="s">
        <v>118</v>
      </c>
      <c r="S135" s="8" t="s">
        <v>119</v>
      </c>
      <c r="T135" s="8" t="s">
        <v>1401</v>
      </c>
      <c r="U135" s="8" t="s">
        <v>1402</v>
      </c>
      <c r="V135" s="8" t="s">
        <v>1385</v>
      </c>
    </row>
    <row r="136" spans="1:22" ht="42" customHeight="1">
      <c r="A136" s="8" t="s">
        <v>1403</v>
      </c>
      <c r="B136" s="8" t="s">
        <v>17</v>
      </c>
      <c r="C136" s="8" t="s">
        <v>1191</v>
      </c>
      <c r="D136" s="8" t="s">
        <v>1371</v>
      </c>
      <c r="E136" s="8" t="s">
        <v>1372</v>
      </c>
      <c r="F136" s="8" t="s">
        <v>1404</v>
      </c>
      <c r="G136" s="8" t="s">
        <v>1405</v>
      </c>
      <c r="H136" s="8" t="s">
        <v>1406</v>
      </c>
      <c r="I136" s="8"/>
      <c r="J136" s="8" t="s">
        <v>1407</v>
      </c>
      <c r="K136" s="8" t="s">
        <v>1408</v>
      </c>
      <c r="L136" s="8" t="s">
        <v>1409</v>
      </c>
      <c r="M136" s="8" t="s">
        <v>1410</v>
      </c>
      <c r="N136" s="8" t="s">
        <v>1380</v>
      </c>
      <c r="O136" s="8" t="s">
        <v>54</v>
      </c>
      <c r="P136" s="8" t="s">
        <v>1411</v>
      </c>
      <c r="Q136" s="8" t="s">
        <v>1412</v>
      </c>
      <c r="R136" s="8" t="s">
        <v>118</v>
      </c>
      <c r="S136" s="8" t="s">
        <v>119</v>
      </c>
      <c r="T136" s="8" t="s">
        <v>1413</v>
      </c>
      <c r="U136" s="8" t="s">
        <v>1228</v>
      </c>
      <c r="V136" s="8" t="s">
        <v>1385</v>
      </c>
    </row>
    <row r="137" spans="1:22" ht="42" customHeight="1">
      <c r="A137" s="8" t="s">
        <v>1414</v>
      </c>
      <c r="B137" s="8" t="s">
        <v>17</v>
      </c>
      <c r="C137" s="8" t="s">
        <v>1191</v>
      </c>
      <c r="D137" s="8" t="s">
        <v>1371</v>
      </c>
      <c r="E137" s="8" t="s">
        <v>1372</v>
      </c>
      <c r="F137" s="8" t="s">
        <v>1415</v>
      </c>
      <c r="G137" s="8" t="s">
        <v>1416</v>
      </c>
      <c r="H137" s="8" t="s">
        <v>1417</v>
      </c>
      <c r="I137" s="8"/>
      <c r="J137" s="8" t="s">
        <v>1418</v>
      </c>
      <c r="K137" s="8" t="s">
        <v>1419</v>
      </c>
      <c r="L137" s="8" t="s">
        <v>1420</v>
      </c>
      <c r="M137" s="8" t="s">
        <v>1421</v>
      </c>
      <c r="N137" s="8" t="s">
        <v>1380</v>
      </c>
      <c r="O137" s="8" t="s">
        <v>54</v>
      </c>
      <c r="P137" s="8" t="s">
        <v>1422</v>
      </c>
      <c r="Q137" s="8" t="s">
        <v>1423</v>
      </c>
      <c r="R137" s="8" t="s">
        <v>118</v>
      </c>
      <c r="S137" s="8" t="s">
        <v>119</v>
      </c>
      <c r="T137" s="8" t="s">
        <v>1424</v>
      </c>
      <c r="U137" s="8" t="s">
        <v>1425</v>
      </c>
      <c r="V137" s="8" t="s">
        <v>1385</v>
      </c>
    </row>
    <row r="138" spans="1:22" ht="42" customHeight="1">
      <c r="A138" s="8" t="s">
        <v>1426</v>
      </c>
      <c r="B138" s="8" t="s">
        <v>17</v>
      </c>
      <c r="C138" s="8" t="s">
        <v>1191</v>
      </c>
      <c r="D138" s="8" t="s">
        <v>1371</v>
      </c>
      <c r="E138" s="8" t="s">
        <v>1372</v>
      </c>
      <c r="F138" s="8" t="s">
        <v>1427</v>
      </c>
      <c r="G138" s="8" t="s">
        <v>1428</v>
      </c>
      <c r="H138" s="8" t="s">
        <v>1429</v>
      </c>
      <c r="I138" s="8"/>
      <c r="J138" s="8" t="s">
        <v>1430</v>
      </c>
      <c r="K138" s="8" t="s">
        <v>1431</v>
      </c>
      <c r="L138" s="8" t="s">
        <v>1432</v>
      </c>
      <c r="M138" s="8" t="s">
        <v>1433</v>
      </c>
      <c r="N138" s="8" t="s">
        <v>1434</v>
      </c>
      <c r="O138" s="8" t="s">
        <v>54</v>
      </c>
      <c r="P138" s="8" t="s">
        <v>1435</v>
      </c>
      <c r="Q138" s="8" t="s">
        <v>1436</v>
      </c>
      <c r="R138" s="8" t="s">
        <v>118</v>
      </c>
      <c r="S138" s="8" t="s">
        <v>119</v>
      </c>
      <c r="T138" s="8" t="s">
        <v>1428</v>
      </c>
      <c r="U138" s="8" t="s">
        <v>326</v>
      </c>
      <c r="V138" s="8" t="s">
        <v>1385</v>
      </c>
    </row>
    <row r="139" spans="1:22" ht="42" customHeight="1">
      <c r="A139" s="8" t="s">
        <v>1437</v>
      </c>
      <c r="B139" s="8" t="s">
        <v>17</v>
      </c>
      <c r="C139" s="8" t="s">
        <v>1191</v>
      </c>
      <c r="D139" s="8" t="s">
        <v>1371</v>
      </c>
      <c r="E139" s="8" t="s">
        <v>1372</v>
      </c>
      <c r="F139" s="8" t="s">
        <v>1438</v>
      </c>
      <c r="G139" s="8" t="s">
        <v>1439</v>
      </c>
      <c r="H139" s="8" t="s">
        <v>1440</v>
      </c>
      <c r="I139" s="8" t="s">
        <v>1441</v>
      </c>
      <c r="J139" s="8" t="s">
        <v>1442</v>
      </c>
      <c r="K139" s="8" t="s">
        <v>1443</v>
      </c>
      <c r="L139" s="8" t="s">
        <v>1444</v>
      </c>
      <c r="M139" s="8" t="s">
        <v>1445</v>
      </c>
      <c r="N139" s="8" t="s">
        <v>1434</v>
      </c>
      <c r="O139" s="8" t="s">
        <v>54</v>
      </c>
      <c r="P139" s="8" t="s">
        <v>1446</v>
      </c>
      <c r="Q139" s="8" t="s">
        <v>1447</v>
      </c>
      <c r="R139" s="8" t="s">
        <v>118</v>
      </c>
      <c r="S139" s="8" t="s">
        <v>119</v>
      </c>
      <c r="T139" s="8" t="s">
        <v>1448</v>
      </c>
      <c r="U139" s="8" t="s">
        <v>1449</v>
      </c>
      <c r="V139" s="8" t="s">
        <v>1385</v>
      </c>
    </row>
    <row r="140" spans="1:22" ht="42" customHeight="1">
      <c r="A140" s="8" t="s">
        <v>1450</v>
      </c>
      <c r="B140" s="8" t="s">
        <v>17</v>
      </c>
      <c r="C140" s="8" t="s">
        <v>1191</v>
      </c>
      <c r="D140" s="8" t="s">
        <v>1371</v>
      </c>
      <c r="E140" s="8" t="s">
        <v>1372</v>
      </c>
      <c r="F140" s="8" t="s">
        <v>1451</v>
      </c>
      <c r="G140" s="8" t="s">
        <v>1452</v>
      </c>
      <c r="H140" s="8" t="s">
        <v>1453</v>
      </c>
      <c r="I140" s="8" t="s">
        <v>1454</v>
      </c>
      <c r="J140" s="8" t="s">
        <v>1455</v>
      </c>
      <c r="K140" s="8" t="s">
        <v>174</v>
      </c>
      <c r="L140" s="8" t="s">
        <v>1456</v>
      </c>
      <c r="M140" s="8" t="s">
        <v>1457</v>
      </c>
      <c r="N140" s="8" t="s">
        <v>402</v>
      </c>
      <c r="O140" s="8" t="s">
        <v>54</v>
      </c>
      <c r="P140" s="8" t="s">
        <v>1458</v>
      </c>
      <c r="Q140" s="8" t="s">
        <v>1459</v>
      </c>
      <c r="R140" s="8" t="s">
        <v>118</v>
      </c>
      <c r="S140" s="8" t="s">
        <v>119</v>
      </c>
      <c r="T140" s="8" t="s">
        <v>1460</v>
      </c>
      <c r="U140" s="8" t="s">
        <v>60</v>
      </c>
      <c r="V140" s="8" t="s">
        <v>1385</v>
      </c>
    </row>
    <row r="141" spans="1:22" ht="42" customHeight="1">
      <c r="A141" s="8" t="s">
        <v>1461</v>
      </c>
      <c r="B141" s="8" t="s">
        <v>17</v>
      </c>
      <c r="C141" s="8" t="s">
        <v>1191</v>
      </c>
      <c r="D141" s="8" t="s">
        <v>1371</v>
      </c>
      <c r="E141" s="8" t="s">
        <v>1372</v>
      </c>
      <c r="F141" s="8" t="s">
        <v>1451</v>
      </c>
      <c r="G141" s="8" t="s">
        <v>1462</v>
      </c>
      <c r="H141" s="8" t="s">
        <v>1463</v>
      </c>
      <c r="I141" s="8" t="s">
        <v>93</v>
      </c>
      <c r="J141" s="8" t="s">
        <v>1464</v>
      </c>
      <c r="K141" s="8" t="s">
        <v>174</v>
      </c>
      <c r="L141" s="8" t="s">
        <v>1465</v>
      </c>
      <c r="M141" s="8" t="s">
        <v>1466</v>
      </c>
      <c r="N141" s="8" t="s">
        <v>1467</v>
      </c>
      <c r="O141" s="8" t="s">
        <v>54</v>
      </c>
      <c r="P141" s="8" t="s">
        <v>1468</v>
      </c>
      <c r="Q141" s="8" t="s">
        <v>1392</v>
      </c>
      <c r="R141" s="8" t="s">
        <v>118</v>
      </c>
      <c r="S141" s="8" t="s">
        <v>119</v>
      </c>
      <c r="T141" s="8" t="s">
        <v>1469</v>
      </c>
      <c r="U141" s="8" t="s">
        <v>60</v>
      </c>
      <c r="V141" s="8" t="s">
        <v>1385</v>
      </c>
    </row>
    <row r="142" spans="1:22" ht="42" customHeight="1">
      <c r="A142" s="8" t="s">
        <v>1470</v>
      </c>
      <c r="B142" s="8" t="s">
        <v>17</v>
      </c>
      <c r="C142" s="8" t="s">
        <v>1191</v>
      </c>
      <c r="D142" s="8" t="s">
        <v>1471</v>
      </c>
      <c r="E142" s="8" t="s">
        <v>1472</v>
      </c>
      <c r="F142" s="8" t="s">
        <v>1473</v>
      </c>
      <c r="G142" s="8" t="s">
        <v>1474</v>
      </c>
      <c r="H142" s="8" t="s">
        <v>1475</v>
      </c>
      <c r="I142" s="8"/>
      <c r="J142" s="8" t="s">
        <v>1476</v>
      </c>
      <c r="K142" s="8" t="s">
        <v>1477</v>
      </c>
      <c r="L142" s="8" t="s">
        <v>1478</v>
      </c>
      <c r="M142" s="8" t="s">
        <v>1479</v>
      </c>
      <c r="N142" s="8" t="s">
        <v>1212</v>
      </c>
      <c r="O142" s="8" t="s">
        <v>54</v>
      </c>
      <c r="P142" s="8" t="s">
        <v>1480</v>
      </c>
      <c r="Q142" s="8" t="s">
        <v>1481</v>
      </c>
      <c r="R142" s="8" t="s">
        <v>118</v>
      </c>
      <c r="S142" s="8" t="s">
        <v>119</v>
      </c>
      <c r="T142" s="8" t="s">
        <v>1482</v>
      </c>
      <c r="U142" s="8" t="s">
        <v>1483</v>
      </c>
      <c r="V142" s="8" t="s">
        <v>1484</v>
      </c>
    </row>
    <row r="143" spans="1:22" ht="42" customHeight="1">
      <c r="A143" s="8" t="s">
        <v>1485</v>
      </c>
      <c r="B143" s="8" t="s">
        <v>17</v>
      </c>
      <c r="C143" s="8" t="s">
        <v>1191</v>
      </c>
      <c r="D143" s="8" t="s">
        <v>1471</v>
      </c>
      <c r="E143" s="8" t="s">
        <v>1472</v>
      </c>
      <c r="F143" s="8" t="s">
        <v>1486</v>
      </c>
      <c r="G143" s="8" t="s">
        <v>1487</v>
      </c>
      <c r="H143" s="8" t="s">
        <v>1488</v>
      </c>
      <c r="I143" s="8"/>
      <c r="J143" s="8" t="s">
        <v>1489</v>
      </c>
      <c r="K143" s="8" t="s">
        <v>1349</v>
      </c>
      <c r="L143" s="8" t="s">
        <v>1490</v>
      </c>
      <c r="M143" s="8" t="s">
        <v>1491</v>
      </c>
      <c r="N143" s="8" t="s">
        <v>1492</v>
      </c>
      <c r="O143" s="8" t="s">
        <v>54</v>
      </c>
      <c r="P143" s="8" t="s">
        <v>1317</v>
      </c>
      <c r="Q143" s="8" t="s">
        <v>1493</v>
      </c>
      <c r="R143" s="8" t="s">
        <v>118</v>
      </c>
      <c r="S143" s="8" t="s">
        <v>119</v>
      </c>
      <c r="T143" s="8" t="s">
        <v>1494</v>
      </c>
      <c r="U143" s="8" t="s">
        <v>1495</v>
      </c>
      <c r="V143" s="8" t="s">
        <v>1484</v>
      </c>
    </row>
    <row r="144" spans="1:22" ht="42" customHeight="1">
      <c r="A144" s="8" t="s">
        <v>1496</v>
      </c>
      <c r="B144" s="8" t="s">
        <v>17</v>
      </c>
      <c r="C144" s="8" t="s">
        <v>1191</v>
      </c>
      <c r="D144" s="8" t="s">
        <v>1471</v>
      </c>
      <c r="E144" s="8" t="s">
        <v>1472</v>
      </c>
      <c r="F144" s="8" t="s">
        <v>1497</v>
      </c>
      <c r="G144" s="8" t="s">
        <v>1498</v>
      </c>
      <c r="H144" s="8" t="s">
        <v>1497</v>
      </c>
      <c r="I144" s="8" t="s">
        <v>1499</v>
      </c>
      <c r="J144" s="8" t="s">
        <v>1500</v>
      </c>
      <c r="K144" s="8" t="s">
        <v>1501</v>
      </c>
      <c r="L144" s="8" t="s">
        <v>1502</v>
      </c>
      <c r="M144" s="8" t="s">
        <v>1503</v>
      </c>
      <c r="N144" s="8" t="s">
        <v>1467</v>
      </c>
      <c r="O144" s="8" t="s">
        <v>54</v>
      </c>
      <c r="P144" s="8" t="s">
        <v>1504</v>
      </c>
      <c r="Q144" s="8" t="s">
        <v>1505</v>
      </c>
      <c r="R144" s="8" t="s">
        <v>118</v>
      </c>
      <c r="S144" s="8" t="s">
        <v>58</v>
      </c>
      <c r="T144" s="8" t="s">
        <v>1498</v>
      </c>
      <c r="U144" s="8" t="s">
        <v>1495</v>
      </c>
      <c r="V144" s="8" t="s">
        <v>1484</v>
      </c>
    </row>
    <row r="145" spans="1:22" ht="42" customHeight="1">
      <c r="A145" s="8" t="s">
        <v>1506</v>
      </c>
      <c r="B145" s="8" t="s">
        <v>17</v>
      </c>
      <c r="C145" s="8" t="s">
        <v>1191</v>
      </c>
      <c r="D145" s="8" t="s">
        <v>1471</v>
      </c>
      <c r="E145" s="8" t="s">
        <v>1472</v>
      </c>
      <c r="F145" s="8" t="s">
        <v>1507</v>
      </c>
      <c r="G145" s="8" t="s">
        <v>1508</v>
      </c>
      <c r="H145" s="8" t="s">
        <v>1509</v>
      </c>
      <c r="I145" s="8"/>
      <c r="J145" s="8" t="s">
        <v>1510</v>
      </c>
      <c r="K145" s="8" t="s">
        <v>1511</v>
      </c>
      <c r="L145" s="8" t="s">
        <v>1512</v>
      </c>
      <c r="M145" s="8" t="s">
        <v>1513</v>
      </c>
      <c r="N145" s="8" t="s">
        <v>1467</v>
      </c>
      <c r="O145" s="8" t="s">
        <v>54</v>
      </c>
      <c r="P145" s="8" t="s">
        <v>625</v>
      </c>
      <c r="Q145" s="8" t="s">
        <v>1514</v>
      </c>
      <c r="R145" s="8" t="s">
        <v>118</v>
      </c>
      <c r="S145" s="8" t="s">
        <v>58</v>
      </c>
      <c r="T145" s="8" t="s">
        <v>1515</v>
      </c>
      <c r="U145" s="8" t="s">
        <v>1495</v>
      </c>
      <c r="V145" s="8" t="s">
        <v>1484</v>
      </c>
    </row>
    <row r="146" spans="1:22" ht="42" customHeight="1">
      <c r="A146" s="8" t="s">
        <v>1516</v>
      </c>
      <c r="B146" s="8" t="s">
        <v>17</v>
      </c>
      <c r="C146" s="8" t="s">
        <v>1191</v>
      </c>
      <c r="D146" s="8" t="s">
        <v>1471</v>
      </c>
      <c r="E146" s="8" t="s">
        <v>1472</v>
      </c>
      <c r="F146" s="8" t="s">
        <v>1517</v>
      </c>
      <c r="G146" s="8" t="s">
        <v>1518</v>
      </c>
      <c r="H146" s="8" t="s">
        <v>1519</v>
      </c>
      <c r="I146" s="8"/>
      <c r="J146" s="8" t="s">
        <v>1520</v>
      </c>
      <c r="K146" s="8" t="s">
        <v>174</v>
      </c>
      <c r="L146" s="8" t="s">
        <v>1521</v>
      </c>
      <c r="M146" s="8" t="s">
        <v>1522</v>
      </c>
      <c r="N146" s="8" t="s">
        <v>1212</v>
      </c>
      <c r="O146" s="8" t="s">
        <v>54</v>
      </c>
      <c r="P146" s="8" t="s">
        <v>1468</v>
      </c>
      <c r="Q146" s="8" t="s">
        <v>1523</v>
      </c>
      <c r="R146" s="8" t="s">
        <v>118</v>
      </c>
      <c r="S146" s="8" t="s">
        <v>119</v>
      </c>
      <c r="T146" s="8" t="s">
        <v>1469</v>
      </c>
      <c r="U146" s="8" t="s">
        <v>60</v>
      </c>
      <c r="V146" s="8" t="s">
        <v>1484</v>
      </c>
    </row>
    <row r="147" spans="1:22" ht="42" customHeight="1">
      <c r="A147" s="8" t="s">
        <v>1524</v>
      </c>
      <c r="B147" s="8" t="s">
        <v>17</v>
      </c>
      <c r="C147" s="8" t="s">
        <v>1191</v>
      </c>
      <c r="D147" s="8" t="s">
        <v>1471</v>
      </c>
      <c r="E147" s="8" t="s">
        <v>1472</v>
      </c>
      <c r="F147" s="8" t="s">
        <v>1525</v>
      </c>
      <c r="G147" s="8" t="s">
        <v>1526</v>
      </c>
      <c r="H147" s="8" t="s">
        <v>1527</v>
      </c>
      <c r="I147" s="8" t="s">
        <v>1528</v>
      </c>
      <c r="J147" s="8" t="s">
        <v>1529</v>
      </c>
      <c r="K147" s="8" t="s">
        <v>174</v>
      </c>
      <c r="L147" s="8" t="s">
        <v>1530</v>
      </c>
      <c r="M147" s="8" t="s">
        <v>1531</v>
      </c>
      <c r="N147" s="8" t="s">
        <v>1467</v>
      </c>
      <c r="O147" s="8" t="s">
        <v>54</v>
      </c>
      <c r="P147" s="8" t="s">
        <v>1468</v>
      </c>
      <c r="Q147" s="8" t="s">
        <v>1532</v>
      </c>
      <c r="R147" s="8" t="s">
        <v>118</v>
      </c>
      <c r="S147" s="8" t="s">
        <v>58</v>
      </c>
      <c r="T147" s="8" t="s">
        <v>1533</v>
      </c>
      <c r="U147" s="8" t="s">
        <v>60</v>
      </c>
      <c r="V147" s="8" t="s">
        <v>1484</v>
      </c>
    </row>
    <row r="148" spans="1:22" ht="42" customHeight="1">
      <c r="A148" s="8" t="s">
        <v>1534</v>
      </c>
      <c r="B148" s="8" t="s">
        <v>17</v>
      </c>
      <c r="C148" s="8" t="s">
        <v>1191</v>
      </c>
      <c r="D148" s="8" t="s">
        <v>1471</v>
      </c>
      <c r="E148" s="8" t="s">
        <v>1472</v>
      </c>
      <c r="F148" s="8" t="s">
        <v>1535</v>
      </c>
      <c r="G148" s="8" t="s">
        <v>1536</v>
      </c>
      <c r="H148" s="8" t="s">
        <v>1537</v>
      </c>
      <c r="I148" s="8"/>
      <c r="J148" s="8" t="s">
        <v>1538</v>
      </c>
      <c r="K148" s="8" t="s">
        <v>1539</v>
      </c>
      <c r="L148" s="8" t="s">
        <v>1540</v>
      </c>
      <c r="M148" s="8" t="s">
        <v>1541</v>
      </c>
      <c r="N148" s="8" t="s">
        <v>1467</v>
      </c>
      <c r="O148" s="8" t="s">
        <v>54</v>
      </c>
      <c r="P148" s="8" t="s">
        <v>1542</v>
      </c>
      <c r="Q148" s="8" t="s">
        <v>1543</v>
      </c>
      <c r="R148" s="8" t="s">
        <v>118</v>
      </c>
      <c r="S148" s="8" t="s">
        <v>58</v>
      </c>
      <c r="T148" s="8" t="s">
        <v>1539</v>
      </c>
      <c r="U148" s="8" t="s">
        <v>1544</v>
      </c>
      <c r="V148" s="8" t="s">
        <v>1484</v>
      </c>
    </row>
    <row r="149" spans="1:22" ht="42" customHeight="1">
      <c r="A149" s="8" t="s">
        <v>1545</v>
      </c>
      <c r="B149" s="8" t="s">
        <v>17</v>
      </c>
      <c r="C149" s="8" t="s">
        <v>1191</v>
      </c>
      <c r="D149" s="8" t="s">
        <v>1471</v>
      </c>
      <c r="E149" s="8" t="s">
        <v>1472</v>
      </c>
      <c r="F149" s="8" t="s">
        <v>1546</v>
      </c>
      <c r="G149" s="8" t="s">
        <v>1547</v>
      </c>
      <c r="H149" s="8" t="s">
        <v>1548</v>
      </c>
      <c r="I149" s="8" t="s">
        <v>1549</v>
      </c>
      <c r="J149" s="8" t="s">
        <v>1550</v>
      </c>
      <c r="K149" s="8" t="s">
        <v>1539</v>
      </c>
      <c r="L149" s="8" t="s">
        <v>1551</v>
      </c>
      <c r="M149" s="8" t="s">
        <v>1552</v>
      </c>
      <c r="N149" s="8" t="s">
        <v>1467</v>
      </c>
      <c r="O149" s="8" t="s">
        <v>54</v>
      </c>
      <c r="P149" s="8" t="s">
        <v>164</v>
      </c>
      <c r="Q149" s="8" t="s">
        <v>1553</v>
      </c>
      <c r="R149" s="8" t="s">
        <v>118</v>
      </c>
      <c r="S149" s="8" t="s">
        <v>58</v>
      </c>
      <c r="T149" s="8" t="s">
        <v>1539</v>
      </c>
      <c r="U149" s="8" t="s">
        <v>1544</v>
      </c>
      <c r="V149" s="8" t="s">
        <v>1484</v>
      </c>
    </row>
    <row r="150" spans="1:22" ht="42" customHeight="1">
      <c r="A150" s="8" t="s">
        <v>1554</v>
      </c>
      <c r="B150" s="8" t="s">
        <v>17</v>
      </c>
      <c r="C150" s="8" t="s">
        <v>1191</v>
      </c>
      <c r="D150" s="8" t="s">
        <v>1471</v>
      </c>
      <c r="E150" s="8" t="s">
        <v>1472</v>
      </c>
      <c r="F150" s="8" t="s">
        <v>1555</v>
      </c>
      <c r="G150" s="8" t="s">
        <v>1556</v>
      </c>
      <c r="H150" s="8" t="s">
        <v>1557</v>
      </c>
      <c r="I150" s="8"/>
      <c r="J150" s="8" t="s">
        <v>1558</v>
      </c>
      <c r="K150" s="8" t="s">
        <v>1254</v>
      </c>
      <c r="L150" s="8" t="s">
        <v>1559</v>
      </c>
      <c r="M150" s="8" t="s">
        <v>1560</v>
      </c>
      <c r="N150" s="8" t="s">
        <v>1467</v>
      </c>
      <c r="O150" s="8" t="s">
        <v>54</v>
      </c>
      <c r="P150" s="8" t="s">
        <v>1561</v>
      </c>
      <c r="Q150" s="8" t="s">
        <v>1562</v>
      </c>
      <c r="R150" s="8" t="s">
        <v>118</v>
      </c>
      <c r="S150" s="8" t="s">
        <v>119</v>
      </c>
      <c r="T150" s="8" t="s">
        <v>1563</v>
      </c>
      <c r="U150" s="8" t="s">
        <v>1564</v>
      </c>
      <c r="V150" s="8" t="s">
        <v>1484</v>
      </c>
    </row>
    <row r="151" spans="1:22" ht="42" customHeight="1">
      <c r="A151" s="8" t="s">
        <v>1565</v>
      </c>
      <c r="B151" s="8" t="s">
        <v>17</v>
      </c>
      <c r="C151" s="8" t="s">
        <v>1191</v>
      </c>
      <c r="D151" s="8" t="s">
        <v>1471</v>
      </c>
      <c r="E151" s="8" t="s">
        <v>1472</v>
      </c>
      <c r="F151" s="8" t="s">
        <v>1566</v>
      </c>
      <c r="G151" s="8" t="s">
        <v>1567</v>
      </c>
      <c r="H151" s="8" t="s">
        <v>1568</v>
      </c>
      <c r="I151" s="8" t="s">
        <v>1569</v>
      </c>
      <c r="J151" s="8" t="s">
        <v>1570</v>
      </c>
      <c r="K151" s="8" t="s">
        <v>1571</v>
      </c>
      <c r="L151" s="8" t="s">
        <v>1572</v>
      </c>
      <c r="M151" s="8" t="s">
        <v>1573</v>
      </c>
      <c r="N151" s="8" t="s">
        <v>1574</v>
      </c>
      <c r="O151" s="8" t="s">
        <v>54</v>
      </c>
      <c r="P151" s="8" t="s">
        <v>1575</v>
      </c>
      <c r="Q151" s="8" t="s">
        <v>1392</v>
      </c>
      <c r="R151" s="8" t="s">
        <v>118</v>
      </c>
      <c r="S151" s="8" t="s">
        <v>58</v>
      </c>
      <c r="T151" s="8" t="s">
        <v>1576</v>
      </c>
      <c r="U151" s="8" t="s">
        <v>1577</v>
      </c>
      <c r="V151" s="8" t="s">
        <v>1484</v>
      </c>
    </row>
    <row r="152" spans="1:22" ht="42" customHeight="1">
      <c r="A152" s="8" t="s">
        <v>1578</v>
      </c>
      <c r="B152" s="8" t="s">
        <v>17</v>
      </c>
      <c r="C152" s="8" t="s">
        <v>1191</v>
      </c>
      <c r="D152" s="8" t="s">
        <v>1471</v>
      </c>
      <c r="E152" s="8" t="s">
        <v>1472</v>
      </c>
      <c r="F152" s="8" t="s">
        <v>1579</v>
      </c>
      <c r="G152" s="8" t="s">
        <v>1580</v>
      </c>
      <c r="H152" s="8" t="s">
        <v>1581</v>
      </c>
      <c r="I152" s="8" t="s">
        <v>1582</v>
      </c>
      <c r="J152" s="8" t="s">
        <v>1583</v>
      </c>
      <c r="K152" s="8" t="s">
        <v>1584</v>
      </c>
      <c r="L152" s="8" t="s">
        <v>1585</v>
      </c>
      <c r="M152" s="8" t="s">
        <v>1586</v>
      </c>
      <c r="N152" s="8" t="s">
        <v>1574</v>
      </c>
      <c r="O152" s="8" t="s">
        <v>54</v>
      </c>
      <c r="P152" s="8" t="s">
        <v>1587</v>
      </c>
      <c r="Q152" s="8" t="s">
        <v>1588</v>
      </c>
      <c r="R152" s="8" t="s">
        <v>118</v>
      </c>
      <c r="S152" s="8" t="s">
        <v>119</v>
      </c>
      <c r="T152" s="8" t="s">
        <v>1584</v>
      </c>
      <c r="U152" s="8" t="s">
        <v>1319</v>
      </c>
      <c r="V152" s="8" t="s">
        <v>1484</v>
      </c>
    </row>
    <row r="153" spans="1:22" ht="42" customHeight="1">
      <c r="A153" s="8" t="s">
        <v>1589</v>
      </c>
      <c r="B153" s="8" t="s">
        <v>17</v>
      </c>
      <c r="C153" s="8" t="s">
        <v>1191</v>
      </c>
      <c r="D153" s="8" t="s">
        <v>1471</v>
      </c>
      <c r="E153" s="8" t="s">
        <v>1472</v>
      </c>
      <c r="F153" s="8" t="s">
        <v>1590</v>
      </c>
      <c r="G153" s="8" t="s">
        <v>1591</v>
      </c>
      <c r="H153" s="8" t="s">
        <v>1592</v>
      </c>
      <c r="I153" s="8"/>
      <c r="J153" s="8" t="s">
        <v>1593</v>
      </c>
      <c r="K153" s="8" t="s">
        <v>1594</v>
      </c>
      <c r="L153" s="8" t="s">
        <v>1595</v>
      </c>
      <c r="M153" s="8" t="s">
        <v>1596</v>
      </c>
      <c r="N153" s="8" t="s">
        <v>1597</v>
      </c>
      <c r="O153" s="8" t="s">
        <v>90</v>
      </c>
      <c r="P153" s="8" t="s">
        <v>1598</v>
      </c>
      <c r="Q153" s="8" t="s">
        <v>1599</v>
      </c>
      <c r="R153" s="8" t="s">
        <v>118</v>
      </c>
      <c r="S153" s="8" t="s">
        <v>119</v>
      </c>
      <c r="T153" s="8" t="s">
        <v>1594</v>
      </c>
      <c r="U153" s="8" t="s">
        <v>1600</v>
      </c>
      <c r="V153" s="8" t="s">
        <v>1484</v>
      </c>
    </row>
  </sheetData>
  <phoneticPr fontId="9" type="noConversion"/>
  <conditionalFormatting sqref="R2:R153">
    <cfRule type="containsText" dxfId="1" priority="1" operator="containsText" text="A"/>
  </conditionalFormatting>
  <conditionalFormatting sqref="S2:S153">
    <cfRule type="containsText" dxfId="0" priority="2" operator="containsText" text="상"/>
  </conditionalFormatting>
  <dataValidations count="2">
    <dataValidation type="list" sqref="R2:R500">
      <formula1>"A,B,C"</formula1>
    </dataValidation>
    <dataValidation type="list" sqref="S2:S500">
      <formula1>"상,중,하"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showGridLines="0" workbookViewId="0"/>
  </sheetViews>
  <sheetFormatPr defaultRowHeight="14.25"/>
  <cols>
    <col min="1" max="1" width="25" customWidth="1"/>
    <col min="2" max="2" width="30" customWidth="1"/>
    <col min="3" max="4" width="46" customWidth="1"/>
  </cols>
  <sheetData>
    <row r="1" spans="1:4" ht="16.5">
      <c r="A1" s="7" t="s">
        <v>4</v>
      </c>
      <c r="B1" s="7" t="s">
        <v>21</v>
      </c>
      <c r="C1" s="7" t="s">
        <v>1601</v>
      </c>
      <c r="D1" s="7" t="s">
        <v>1602</v>
      </c>
    </row>
    <row r="2" spans="1:4" ht="39.950000000000003" customHeight="1">
      <c r="A2" s="7" t="s">
        <v>7</v>
      </c>
      <c r="B2" s="7" t="s">
        <v>42</v>
      </c>
      <c r="C2" s="7" t="s">
        <v>1603</v>
      </c>
      <c r="D2" s="7" t="s">
        <v>1604</v>
      </c>
    </row>
    <row r="3" spans="1:4" ht="39.950000000000003" customHeight="1">
      <c r="A3" s="7" t="s">
        <v>9</v>
      </c>
      <c r="B3" s="7" t="s">
        <v>211</v>
      </c>
      <c r="C3" s="7" t="s">
        <v>1605</v>
      </c>
      <c r="D3" s="7" t="s">
        <v>1606</v>
      </c>
    </row>
    <row r="4" spans="1:4" ht="39.950000000000003" customHeight="1">
      <c r="A4" s="7" t="s">
        <v>11</v>
      </c>
      <c r="B4" s="7" t="s">
        <v>453</v>
      </c>
      <c r="C4" s="7" t="s">
        <v>1607</v>
      </c>
      <c r="D4" s="7" t="s">
        <v>1608</v>
      </c>
    </row>
    <row r="5" spans="1:4" ht="39.950000000000003" customHeight="1">
      <c r="A5" s="7" t="s">
        <v>13</v>
      </c>
      <c r="B5" s="7" t="s">
        <v>664</v>
      </c>
      <c r="C5" s="7" t="s">
        <v>1609</v>
      </c>
      <c r="D5" s="7" t="s">
        <v>1610</v>
      </c>
    </row>
    <row r="6" spans="1:4" ht="39.950000000000003" customHeight="1">
      <c r="A6" s="7" t="s">
        <v>14</v>
      </c>
      <c r="B6" s="7" t="s">
        <v>758</v>
      </c>
      <c r="C6" s="7" t="s">
        <v>1611</v>
      </c>
      <c r="D6" s="7" t="s">
        <v>1612</v>
      </c>
    </row>
    <row r="7" spans="1:4" ht="39.950000000000003" customHeight="1">
      <c r="A7" s="7" t="s">
        <v>15</v>
      </c>
      <c r="B7" s="7" t="s">
        <v>885</v>
      </c>
      <c r="C7" s="7" t="s">
        <v>1613</v>
      </c>
      <c r="D7" s="7" t="s">
        <v>1614</v>
      </c>
    </row>
    <row r="8" spans="1:4" ht="39.950000000000003" customHeight="1">
      <c r="A8" s="7" t="s">
        <v>16</v>
      </c>
      <c r="B8" s="7" t="s">
        <v>1059</v>
      </c>
      <c r="C8" s="7" t="s">
        <v>1615</v>
      </c>
      <c r="D8" s="7" t="s">
        <v>1616</v>
      </c>
    </row>
    <row r="9" spans="1:4" ht="39.950000000000003" customHeight="1">
      <c r="A9" s="7" t="s">
        <v>17</v>
      </c>
      <c r="B9" s="7" t="s">
        <v>1191</v>
      </c>
      <c r="C9" s="7" t="s">
        <v>1617</v>
      </c>
      <c r="D9" s="7" t="s">
        <v>1618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showGridLines="0" workbookViewId="0"/>
  </sheetViews>
  <sheetFormatPr defaultRowHeight="14.25"/>
  <cols>
    <col min="1" max="1" width="30" customWidth="1"/>
    <col min="2" max="2" width="45" customWidth="1"/>
    <col min="3" max="4" width="24" customWidth="1"/>
    <col min="5" max="5" width="11" customWidth="1"/>
    <col min="6" max="6" width="55" customWidth="1"/>
  </cols>
  <sheetData>
    <row r="1" spans="1:6" ht="16.5">
      <c r="A1" s="7" t="s">
        <v>1619</v>
      </c>
      <c r="B1" s="7" t="s">
        <v>1620</v>
      </c>
      <c r="C1" s="7" t="s">
        <v>1621</v>
      </c>
      <c r="D1" s="7" t="s">
        <v>1622</v>
      </c>
      <c r="E1" s="7" t="s">
        <v>1623</v>
      </c>
      <c r="F1" s="7" t="s">
        <v>1624</v>
      </c>
    </row>
    <row r="2" spans="1:6" ht="39.950000000000003" customHeight="1">
      <c r="A2" s="7" t="s">
        <v>1272</v>
      </c>
      <c r="B2" s="7" t="s">
        <v>1625</v>
      </c>
      <c r="C2" s="7" t="s">
        <v>1295</v>
      </c>
      <c r="D2" s="7" t="s">
        <v>1271</v>
      </c>
      <c r="E2" s="7" t="s">
        <v>1626</v>
      </c>
      <c r="F2" s="7" t="s">
        <v>1627</v>
      </c>
    </row>
    <row r="3" spans="1:6" ht="39.950000000000003" customHeight="1">
      <c r="A3" s="7" t="s">
        <v>1284</v>
      </c>
      <c r="B3" s="7" t="s">
        <v>1628</v>
      </c>
      <c r="C3" s="7" t="s">
        <v>1283</v>
      </c>
      <c r="D3" s="7" t="s">
        <v>1271</v>
      </c>
      <c r="E3" s="7" t="s">
        <v>1626</v>
      </c>
      <c r="F3" s="7" t="s">
        <v>1629</v>
      </c>
    </row>
    <row r="4" spans="1:6" ht="39.950000000000003" customHeight="1">
      <c r="A4" s="7" t="s">
        <v>478</v>
      </c>
      <c r="B4" s="7" t="s">
        <v>1630</v>
      </c>
      <c r="C4" s="7" t="s">
        <v>1271</v>
      </c>
      <c r="D4" s="7" t="s">
        <v>1631</v>
      </c>
      <c r="E4" s="7" t="s">
        <v>1626</v>
      </c>
      <c r="F4" s="7" t="s">
        <v>1632</v>
      </c>
    </row>
    <row r="5" spans="1:6" ht="39.950000000000003" customHeight="1">
      <c r="A5" s="7" t="s">
        <v>1228</v>
      </c>
      <c r="B5" s="7" t="s">
        <v>1633</v>
      </c>
      <c r="C5" s="7" t="s">
        <v>1634</v>
      </c>
      <c r="D5" s="7" t="s">
        <v>1227</v>
      </c>
      <c r="E5" s="7" t="s">
        <v>1626</v>
      </c>
      <c r="F5" s="7" t="s">
        <v>1635</v>
      </c>
    </row>
    <row r="6" spans="1:6" ht="39.950000000000003" customHeight="1">
      <c r="A6" s="7" t="s">
        <v>1158</v>
      </c>
      <c r="B6" s="7" t="s">
        <v>1636</v>
      </c>
      <c r="C6" s="7" t="s">
        <v>1637</v>
      </c>
      <c r="D6" s="7" t="s">
        <v>1638</v>
      </c>
      <c r="E6" s="7" t="s">
        <v>1626</v>
      </c>
      <c r="F6" s="7" t="s">
        <v>1639</v>
      </c>
    </row>
    <row r="7" spans="1:6" ht="39.950000000000003" customHeight="1">
      <c r="A7" s="7" t="s">
        <v>1640</v>
      </c>
      <c r="B7" s="7" t="s">
        <v>1641</v>
      </c>
      <c r="C7" s="7" t="s">
        <v>411</v>
      </c>
      <c r="D7" s="7" t="s">
        <v>1642</v>
      </c>
      <c r="E7" s="7" t="s">
        <v>1626</v>
      </c>
      <c r="F7" s="7" t="s">
        <v>1643</v>
      </c>
    </row>
    <row r="8" spans="1:6" ht="39.950000000000003" customHeight="1">
      <c r="A8" s="7" t="s">
        <v>80</v>
      </c>
      <c r="B8" s="7" t="s">
        <v>1644</v>
      </c>
      <c r="C8" s="7" t="s">
        <v>1645</v>
      </c>
      <c r="D8" s="7" t="s">
        <v>1646</v>
      </c>
      <c r="E8" s="7" t="s">
        <v>1626</v>
      </c>
      <c r="F8" s="7" t="s">
        <v>1647</v>
      </c>
    </row>
    <row r="9" spans="1:6" ht="39.950000000000003" customHeight="1">
      <c r="A9" s="7" t="s">
        <v>1384</v>
      </c>
      <c r="B9" s="7" t="s">
        <v>1648</v>
      </c>
      <c r="C9" s="7" t="s">
        <v>1383</v>
      </c>
      <c r="D9" s="7" t="s">
        <v>1393</v>
      </c>
      <c r="E9" s="7" t="s">
        <v>1626</v>
      </c>
      <c r="F9" s="7" t="s">
        <v>1649</v>
      </c>
    </row>
    <row r="10" spans="1:6" ht="39.950000000000003" customHeight="1">
      <c r="A10" s="7" t="s">
        <v>1394</v>
      </c>
      <c r="B10" s="7" t="s">
        <v>1650</v>
      </c>
      <c r="C10" s="7" t="s">
        <v>1393</v>
      </c>
      <c r="D10" s="7" t="s">
        <v>1401</v>
      </c>
      <c r="E10" s="7" t="s">
        <v>1626</v>
      </c>
      <c r="F10" s="7" t="s">
        <v>1651</v>
      </c>
    </row>
    <row r="11" spans="1:6" ht="39.950000000000003" customHeight="1">
      <c r="A11" s="7" t="s">
        <v>1652</v>
      </c>
      <c r="B11" s="7" t="s">
        <v>1653</v>
      </c>
      <c r="C11" s="7" t="s">
        <v>1645</v>
      </c>
      <c r="D11" s="7" t="s">
        <v>174</v>
      </c>
      <c r="E11" s="7" t="s">
        <v>1626</v>
      </c>
      <c r="F11" s="7" t="s">
        <v>1654</v>
      </c>
    </row>
    <row r="12" spans="1:6" ht="39.950000000000003" customHeight="1">
      <c r="A12" s="7" t="s">
        <v>1655</v>
      </c>
      <c r="B12" s="7" t="s">
        <v>1656</v>
      </c>
      <c r="C12" s="7" t="s">
        <v>1645</v>
      </c>
      <c r="D12" s="7" t="s">
        <v>174</v>
      </c>
      <c r="E12" s="7" t="s">
        <v>1626</v>
      </c>
      <c r="F12" s="7" t="s">
        <v>1657</v>
      </c>
    </row>
    <row r="13" spans="1:6" ht="39.950000000000003" customHeight="1">
      <c r="A13" s="7" t="s">
        <v>465</v>
      </c>
      <c r="B13" s="7" t="s">
        <v>1658</v>
      </c>
      <c r="C13" s="7" t="s">
        <v>1659</v>
      </c>
      <c r="D13" s="7" t="s">
        <v>460</v>
      </c>
      <c r="E13" s="7" t="s">
        <v>1626</v>
      </c>
      <c r="F13" s="7" t="s">
        <v>1660</v>
      </c>
    </row>
    <row r="14" spans="1:6" ht="39.950000000000003" customHeight="1">
      <c r="A14" s="7" t="s">
        <v>1661</v>
      </c>
      <c r="B14" s="7" t="s">
        <v>1662</v>
      </c>
      <c r="C14" s="7" t="s">
        <v>1663</v>
      </c>
      <c r="D14" s="7" t="s">
        <v>1664</v>
      </c>
      <c r="E14" s="7" t="s">
        <v>1626</v>
      </c>
      <c r="F14" s="7" t="s">
        <v>1665</v>
      </c>
    </row>
    <row r="15" spans="1:6" ht="39.950000000000003" customHeight="1">
      <c r="A15" s="7" t="s">
        <v>1666</v>
      </c>
      <c r="B15" s="7" t="s">
        <v>1667</v>
      </c>
      <c r="C15" s="7" t="s">
        <v>1663</v>
      </c>
      <c r="D15" s="7" t="s">
        <v>1664</v>
      </c>
      <c r="E15" s="7" t="s">
        <v>1626</v>
      </c>
      <c r="F15" s="7" t="s">
        <v>1668</v>
      </c>
    </row>
    <row r="16" spans="1:6" ht="39.950000000000003" customHeight="1">
      <c r="A16" s="7" t="s">
        <v>850</v>
      </c>
      <c r="B16" s="7" t="s">
        <v>1669</v>
      </c>
      <c r="C16" s="7" t="s">
        <v>1670</v>
      </c>
      <c r="D16" s="7" t="s">
        <v>1671</v>
      </c>
      <c r="E16" s="7" t="s">
        <v>1626</v>
      </c>
      <c r="F16" s="7" t="s">
        <v>1672</v>
      </c>
    </row>
    <row r="17" spans="1:6" ht="39.950000000000003" customHeight="1">
      <c r="A17" s="7" t="s">
        <v>708</v>
      </c>
      <c r="B17" s="7" t="s">
        <v>1673</v>
      </c>
      <c r="C17" s="7" t="s">
        <v>702</v>
      </c>
      <c r="D17" s="7" t="s">
        <v>1674</v>
      </c>
      <c r="E17" s="7" t="s">
        <v>1626</v>
      </c>
      <c r="F17" s="7" t="s">
        <v>1675</v>
      </c>
    </row>
    <row r="18" spans="1:6" ht="39.950000000000003" customHeight="1">
      <c r="A18" s="7" t="s">
        <v>600</v>
      </c>
      <c r="B18" s="7" t="s">
        <v>1676</v>
      </c>
      <c r="C18" s="7" t="s">
        <v>460</v>
      </c>
      <c r="D18" s="7" t="s">
        <v>460</v>
      </c>
      <c r="E18" s="7" t="s">
        <v>1677</v>
      </c>
      <c r="F18" s="7" t="s">
        <v>1678</v>
      </c>
    </row>
    <row r="19" spans="1:6" ht="39.950000000000003" customHeight="1">
      <c r="A19" s="7" t="s">
        <v>60</v>
      </c>
      <c r="B19" s="7" t="s">
        <v>1679</v>
      </c>
      <c r="C19" s="7" t="s">
        <v>1680</v>
      </c>
      <c r="D19" s="7" t="s">
        <v>50</v>
      </c>
      <c r="E19" s="7" t="s">
        <v>1626</v>
      </c>
      <c r="F19" s="7" t="s">
        <v>1681</v>
      </c>
    </row>
    <row r="20" spans="1:6" ht="39.950000000000003" customHeight="1">
      <c r="A20" s="7" t="s">
        <v>451</v>
      </c>
      <c r="B20" s="7" t="s">
        <v>1682</v>
      </c>
      <c r="C20" s="7" t="s">
        <v>1683</v>
      </c>
      <c r="D20" s="7" t="s">
        <v>174</v>
      </c>
      <c r="E20" s="7" t="s">
        <v>1626</v>
      </c>
      <c r="F20" s="7" t="s">
        <v>1684</v>
      </c>
    </row>
    <row r="21" spans="1:6" ht="39.950000000000003" customHeight="1">
      <c r="A21" s="7" t="s">
        <v>1685</v>
      </c>
      <c r="B21" s="7" t="s">
        <v>1686</v>
      </c>
      <c r="C21" s="7" t="s">
        <v>1687</v>
      </c>
      <c r="D21" s="7" t="s">
        <v>1688</v>
      </c>
      <c r="E21" s="7" t="s">
        <v>1626</v>
      </c>
      <c r="F21" s="7" t="s">
        <v>1689</v>
      </c>
    </row>
    <row r="22" spans="1:6" ht="39.950000000000003" customHeight="1">
      <c r="A22" s="7" t="s">
        <v>1577</v>
      </c>
      <c r="B22" s="7" t="s">
        <v>1690</v>
      </c>
      <c r="C22" s="7" t="s">
        <v>1691</v>
      </c>
      <c r="D22" s="7" t="s">
        <v>1692</v>
      </c>
      <c r="E22" s="7" t="s">
        <v>1626</v>
      </c>
      <c r="F22" s="7" t="s">
        <v>1693</v>
      </c>
    </row>
    <row r="23" spans="1:6" ht="39.950000000000003" customHeight="1">
      <c r="A23" s="7" t="s">
        <v>1694</v>
      </c>
      <c r="B23" s="7" t="s">
        <v>1695</v>
      </c>
      <c r="C23" s="7" t="s">
        <v>1408</v>
      </c>
      <c r="D23" s="7" t="s">
        <v>1408</v>
      </c>
      <c r="E23" s="7" t="s">
        <v>1677</v>
      </c>
      <c r="F23" s="7" t="s">
        <v>1696</v>
      </c>
    </row>
    <row r="24" spans="1:6" ht="39.950000000000003" customHeight="1">
      <c r="A24" s="9" t="s">
        <v>1697</v>
      </c>
      <c r="B24" s="9" t="s">
        <v>1698</v>
      </c>
      <c r="C24" s="9" t="s">
        <v>1383</v>
      </c>
      <c r="D24" s="9" t="s">
        <v>1699</v>
      </c>
      <c r="E24" s="9" t="s">
        <v>1626</v>
      </c>
      <c r="F24" s="9" t="s">
        <v>1700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showGridLines="0" workbookViewId="0"/>
  </sheetViews>
  <sheetFormatPr defaultRowHeight="14.25"/>
  <cols>
    <col min="1" max="1" width="20" customWidth="1"/>
    <col min="2" max="2" width="16" customWidth="1"/>
    <col min="3" max="3" width="52" customWidth="1"/>
    <col min="4" max="4" width="12" customWidth="1"/>
    <col min="5" max="5" width="45" customWidth="1"/>
    <col min="6" max="6" width="85" customWidth="1"/>
  </cols>
  <sheetData>
    <row r="1" spans="1:6" ht="16.5">
      <c r="A1" s="7" t="s">
        <v>40</v>
      </c>
      <c r="B1" s="7" t="s">
        <v>1701</v>
      </c>
      <c r="C1" s="7" t="s">
        <v>1702</v>
      </c>
      <c r="D1" s="7" t="s">
        <v>418</v>
      </c>
      <c r="E1" s="7" t="s">
        <v>1703</v>
      </c>
      <c r="F1" s="7" t="s">
        <v>1704</v>
      </c>
    </row>
    <row r="2" spans="1:6" ht="44.1" customHeight="1">
      <c r="A2" s="7" t="s">
        <v>1705</v>
      </c>
      <c r="B2" s="7" t="s">
        <v>1706</v>
      </c>
      <c r="C2" s="7" t="s">
        <v>1707</v>
      </c>
      <c r="D2" s="7" t="s">
        <v>1708</v>
      </c>
      <c r="E2" s="7" t="s">
        <v>1709</v>
      </c>
      <c r="F2" s="7" t="s">
        <v>1710</v>
      </c>
    </row>
    <row r="3" spans="1:6" ht="44.1" customHeight="1">
      <c r="A3" s="7" t="s">
        <v>1711</v>
      </c>
      <c r="B3" s="7" t="s">
        <v>1706</v>
      </c>
      <c r="C3" s="7" t="s">
        <v>1712</v>
      </c>
      <c r="D3" s="7" t="s">
        <v>1708</v>
      </c>
      <c r="E3" s="7" t="s">
        <v>1713</v>
      </c>
      <c r="F3" s="7" t="s">
        <v>1714</v>
      </c>
    </row>
    <row r="4" spans="1:6" ht="44.1" customHeight="1">
      <c r="A4" s="7" t="s">
        <v>1715</v>
      </c>
      <c r="B4" s="7" t="s">
        <v>1706</v>
      </c>
      <c r="C4" s="7" t="s">
        <v>1716</v>
      </c>
      <c r="D4" s="7" t="s">
        <v>1708</v>
      </c>
      <c r="E4" s="7" t="s">
        <v>1717</v>
      </c>
      <c r="F4" s="7" t="s">
        <v>1718</v>
      </c>
    </row>
    <row r="5" spans="1:6" ht="44.1" customHeight="1">
      <c r="A5" s="7" t="s">
        <v>1719</v>
      </c>
      <c r="B5" s="7" t="s">
        <v>1706</v>
      </c>
      <c r="C5" s="7" t="s">
        <v>1720</v>
      </c>
      <c r="D5" s="7" t="s">
        <v>1708</v>
      </c>
      <c r="E5" s="7" t="s">
        <v>1721</v>
      </c>
      <c r="F5" s="7" t="s">
        <v>1722</v>
      </c>
    </row>
    <row r="6" spans="1:6" ht="44.1" customHeight="1">
      <c r="A6" s="7" t="s">
        <v>1723</v>
      </c>
      <c r="B6" s="7" t="s">
        <v>1706</v>
      </c>
      <c r="C6" s="7" t="s">
        <v>1724</v>
      </c>
      <c r="D6" s="7" t="s">
        <v>1708</v>
      </c>
      <c r="E6" s="7" t="s">
        <v>1725</v>
      </c>
      <c r="F6" s="7" t="s">
        <v>1726</v>
      </c>
    </row>
    <row r="7" spans="1:6" ht="44.1" customHeight="1">
      <c r="A7" s="7" t="s">
        <v>1727</v>
      </c>
      <c r="B7" s="7" t="s">
        <v>1706</v>
      </c>
      <c r="C7" s="7" t="s">
        <v>1728</v>
      </c>
      <c r="D7" s="7" t="s">
        <v>1708</v>
      </c>
      <c r="E7" s="7" t="s">
        <v>1729</v>
      </c>
      <c r="F7" s="7" t="s">
        <v>1730</v>
      </c>
    </row>
    <row r="8" spans="1:6" ht="44.1" customHeight="1">
      <c r="A8" s="7" t="s">
        <v>1731</v>
      </c>
      <c r="B8" s="7" t="s">
        <v>1706</v>
      </c>
      <c r="C8" s="7" t="s">
        <v>1732</v>
      </c>
      <c r="D8" s="7" t="s">
        <v>1708</v>
      </c>
      <c r="E8" s="7" t="s">
        <v>1733</v>
      </c>
      <c r="F8" s="7" t="s">
        <v>1734</v>
      </c>
    </row>
    <row r="9" spans="1:6" ht="44.1" customHeight="1">
      <c r="A9" s="7" t="s">
        <v>1735</v>
      </c>
      <c r="B9" s="7" t="s">
        <v>1706</v>
      </c>
      <c r="C9" s="7" t="s">
        <v>1736</v>
      </c>
      <c r="D9" s="7" t="s">
        <v>1708</v>
      </c>
      <c r="E9" s="7" t="s">
        <v>1737</v>
      </c>
      <c r="F9" s="7" t="s">
        <v>1738</v>
      </c>
    </row>
    <row r="10" spans="1:6" ht="44.1" customHeight="1">
      <c r="A10" s="7" t="s">
        <v>1739</v>
      </c>
      <c r="B10" s="7" t="s">
        <v>1706</v>
      </c>
      <c r="C10" s="7" t="s">
        <v>1740</v>
      </c>
      <c r="D10" s="7" t="s">
        <v>1708</v>
      </c>
      <c r="E10" s="7" t="s">
        <v>1741</v>
      </c>
      <c r="F10" s="7" t="s">
        <v>1742</v>
      </c>
    </row>
    <row r="11" spans="1:6" ht="44.1" customHeight="1">
      <c r="A11" s="7" t="s">
        <v>1743</v>
      </c>
      <c r="B11" s="7" t="s">
        <v>1706</v>
      </c>
      <c r="C11" s="7" t="s">
        <v>1744</v>
      </c>
      <c r="D11" s="7" t="s">
        <v>1708</v>
      </c>
      <c r="E11" s="7" t="s">
        <v>1745</v>
      </c>
      <c r="F11" s="7" t="s">
        <v>1746</v>
      </c>
    </row>
    <row r="12" spans="1:6" ht="44.1" customHeight="1">
      <c r="A12" s="7" t="s">
        <v>1747</v>
      </c>
      <c r="B12" s="7" t="s">
        <v>1706</v>
      </c>
      <c r="C12" s="7" t="s">
        <v>1748</v>
      </c>
      <c r="D12" s="7" t="s">
        <v>1708</v>
      </c>
      <c r="E12" s="7" t="s">
        <v>1749</v>
      </c>
      <c r="F12" s="7" t="s">
        <v>1750</v>
      </c>
    </row>
    <row r="13" spans="1:6" ht="44.1" customHeight="1">
      <c r="A13" s="7" t="s">
        <v>1751</v>
      </c>
      <c r="B13" s="7" t="s">
        <v>1706</v>
      </c>
      <c r="C13" s="7" t="s">
        <v>1752</v>
      </c>
      <c r="D13" s="7" t="s">
        <v>1708</v>
      </c>
      <c r="E13" s="7" t="s">
        <v>1753</v>
      </c>
      <c r="F13" s="7" t="s">
        <v>1754</v>
      </c>
    </row>
    <row r="14" spans="1:6" ht="44.1" customHeight="1">
      <c r="A14" s="7" t="s">
        <v>1755</v>
      </c>
      <c r="B14" s="7" t="s">
        <v>1756</v>
      </c>
      <c r="C14" s="7" t="s">
        <v>1757</v>
      </c>
      <c r="D14" s="7" t="s">
        <v>1708</v>
      </c>
      <c r="E14" s="7" t="s">
        <v>1758</v>
      </c>
      <c r="F14" s="7" t="s">
        <v>1759</v>
      </c>
    </row>
    <row r="15" spans="1:6" ht="44.1" customHeight="1">
      <c r="A15" s="7" t="s">
        <v>1760</v>
      </c>
      <c r="B15" s="7" t="s">
        <v>1756</v>
      </c>
      <c r="C15" s="7" t="s">
        <v>1761</v>
      </c>
      <c r="D15" s="7" t="s">
        <v>1708</v>
      </c>
      <c r="E15" s="7" t="s">
        <v>1762</v>
      </c>
      <c r="F15" s="7" t="s">
        <v>1763</v>
      </c>
    </row>
    <row r="16" spans="1:6" ht="44.1" customHeight="1">
      <c r="A16" s="7" t="s">
        <v>1764</v>
      </c>
      <c r="B16" s="7" t="s">
        <v>1765</v>
      </c>
      <c r="C16" s="7" t="s">
        <v>1766</v>
      </c>
      <c r="D16" s="7" t="s">
        <v>1767</v>
      </c>
      <c r="E16" s="7" t="s">
        <v>1768</v>
      </c>
      <c r="F16" s="7" t="s">
        <v>1769</v>
      </c>
    </row>
    <row r="17" spans="1:6" ht="44.1" customHeight="1">
      <c r="A17" s="7" t="s">
        <v>1770</v>
      </c>
      <c r="B17" s="7" t="s">
        <v>1765</v>
      </c>
      <c r="C17" s="7" t="s">
        <v>1771</v>
      </c>
      <c r="D17" s="7" t="s">
        <v>1772</v>
      </c>
      <c r="E17" s="7" t="s">
        <v>1773</v>
      </c>
      <c r="F17" s="7" t="s">
        <v>1774</v>
      </c>
    </row>
    <row r="18" spans="1:6" ht="44.1" customHeight="1">
      <c r="A18" s="7" t="s">
        <v>1775</v>
      </c>
      <c r="B18" s="7" t="s">
        <v>1765</v>
      </c>
      <c r="C18" s="7" t="s">
        <v>1776</v>
      </c>
      <c r="D18" s="7" t="s">
        <v>1777</v>
      </c>
      <c r="E18" s="7" t="s">
        <v>1778</v>
      </c>
      <c r="F18" s="7" t="s">
        <v>1779</v>
      </c>
    </row>
    <row r="19" spans="1:6" ht="44.1" customHeight="1">
      <c r="A19" s="7" t="s">
        <v>1780</v>
      </c>
      <c r="B19" s="7" t="s">
        <v>1765</v>
      </c>
      <c r="C19" s="7" t="s">
        <v>1781</v>
      </c>
      <c r="D19" s="7" t="s">
        <v>1782</v>
      </c>
      <c r="E19" s="7" t="s">
        <v>1783</v>
      </c>
      <c r="F19" s="7" t="s">
        <v>1784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showGridLines="0" workbookViewId="0"/>
  </sheetViews>
  <sheetFormatPr defaultRowHeight="14.25"/>
  <cols>
    <col min="1" max="2" width="20" customWidth="1"/>
    <col min="3" max="3" width="55" customWidth="1"/>
    <col min="4" max="4" width="30" customWidth="1"/>
  </cols>
  <sheetData>
    <row r="1" spans="1:4" ht="16.5">
      <c r="A1" s="7" t="s">
        <v>1785</v>
      </c>
      <c r="B1" s="7" t="s">
        <v>1786</v>
      </c>
      <c r="C1" s="7" t="s">
        <v>1620</v>
      </c>
      <c r="D1" s="7" t="s">
        <v>1787</v>
      </c>
    </row>
    <row r="2" spans="1:4" ht="36" customHeight="1">
      <c r="A2" s="7" t="s">
        <v>1788</v>
      </c>
      <c r="B2" s="7" t="s">
        <v>118</v>
      </c>
      <c r="C2" s="7" t="s">
        <v>1789</v>
      </c>
      <c r="D2" s="7" t="s">
        <v>1790</v>
      </c>
    </row>
    <row r="3" spans="1:4" ht="36" customHeight="1">
      <c r="A3" s="7" t="s">
        <v>1788</v>
      </c>
      <c r="B3" s="7" t="s">
        <v>57</v>
      </c>
      <c r="C3" s="7" t="s">
        <v>1791</v>
      </c>
      <c r="D3" s="7" t="s">
        <v>1790</v>
      </c>
    </row>
    <row r="4" spans="1:4" ht="36" customHeight="1">
      <c r="A4" s="7" t="s">
        <v>1788</v>
      </c>
      <c r="B4" s="7" t="s">
        <v>93</v>
      </c>
      <c r="C4" s="7" t="s">
        <v>1792</v>
      </c>
      <c r="D4" s="7" t="s">
        <v>1790</v>
      </c>
    </row>
    <row r="5" spans="1:4" ht="36" customHeight="1">
      <c r="A5" s="7" t="s">
        <v>1793</v>
      </c>
      <c r="B5" s="7" t="s">
        <v>119</v>
      </c>
      <c r="C5" s="7" t="s">
        <v>1794</v>
      </c>
      <c r="D5" s="7" t="s">
        <v>1795</v>
      </c>
    </row>
    <row r="6" spans="1:4" ht="36" customHeight="1">
      <c r="A6" s="7" t="s">
        <v>1793</v>
      </c>
      <c r="B6" s="7" t="s">
        <v>58</v>
      </c>
      <c r="C6" s="7" t="s">
        <v>1796</v>
      </c>
      <c r="D6" s="7" t="s">
        <v>1795</v>
      </c>
    </row>
    <row r="7" spans="1:4" ht="36" customHeight="1">
      <c r="A7" s="7" t="s">
        <v>1793</v>
      </c>
      <c r="B7" s="7" t="s">
        <v>1797</v>
      </c>
      <c r="C7" s="7" t="s">
        <v>1798</v>
      </c>
      <c r="D7" s="7" t="s">
        <v>1795</v>
      </c>
    </row>
    <row r="8" spans="1:4" ht="36" customHeight="1">
      <c r="A8" s="7" t="s">
        <v>1799</v>
      </c>
      <c r="B8" s="7" t="s">
        <v>116</v>
      </c>
      <c r="C8" s="7" t="s">
        <v>1800</v>
      </c>
      <c r="D8" s="7" t="s">
        <v>33</v>
      </c>
    </row>
    <row r="9" spans="1:4" ht="36" customHeight="1">
      <c r="A9" s="7" t="s">
        <v>1799</v>
      </c>
      <c r="B9" s="7" t="s">
        <v>635</v>
      </c>
      <c r="C9" s="7" t="s">
        <v>1801</v>
      </c>
      <c r="D9" s="7" t="s">
        <v>33</v>
      </c>
    </row>
    <row r="10" spans="1:4" ht="36" customHeight="1">
      <c r="A10" s="7" t="s">
        <v>1799</v>
      </c>
      <c r="B10" s="7" t="s">
        <v>90</v>
      </c>
      <c r="C10" s="7" t="s">
        <v>1802</v>
      </c>
      <c r="D10" s="7" t="s">
        <v>33</v>
      </c>
    </row>
    <row r="11" spans="1:4" ht="36" customHeight="1">
      <c r="A11" s="7" t="s">
        <v>1799</v>
      </c>
      <c r="B11" s="7" t="s">
        <v>598</v>
      </c>
      <c r="C11" s="7" t="s">
        <v>1803</v>
      </c>
      <c r="D11" s="7" t="s">
        <v>33</v>
      </c>
    </row>
    <row r="12" spans="1:4" ht="36" customHeight="1">
      <c r="A12" s="7" t="s">
        <v>1799</v>
      </c>
      <c r="B12" s="7" t="s">
        <v>188</v>
      </c>
      <c r="C12" s="7" t="s">
        <v>1804</v>
      </c>
      <c r="D12" s="7" t="s">
        <v>33</v>
      </c>
    </row>
    <row r="13" spans="1:4" ht="36" customHeight="1">
      <c r="A13" s="7" t="s">
        <v>1799</v>
      </c>
      <c r="B13" s="7" t="s">
        <v>403</v>
      </c>
      <c r="C13" s="7" t="s">
        <v>1805</v>
      </c>
      <c r="D13" s="7" t="s">
        <v>33</v>
      </c>
    </row>
    <row r="14" spans="1:4" ht="36" customHeight="1">
      <c r="A14" s="7" t="s">
        <v>1799</v>
      </c>
      <c r="B14" s="7" t="s">
        <v>54</v>
      </c>
      <c r="C14" s="7" t="s">
        <v>1806</v>
      </c>
      <c r="D14" s="7" t="s">
        <v>33</v>
      </c>
    </row>
    <row r="15" spans="1:4" ht="36" customHeight="1">
      <c r="A15" s="7" t="s">
        <v>1799</v>
      </c>
      <c r="B15" s="7" t="s">
        <v>643</v>
      </c>
      <c r="C15" s="7" t="s">
        <v>1807</v>
      </c>
      <c r="D15" s="7" t="s">
        <v>33</v>
      </c>
    </row>
    <row r="16" spans="1:4" ht="36" customHeight="1">
      <c r="A16" s="7" t="s">
        <v>1808</v>
      </c>
      <c r="B16" s="7" t="s">
        <v>1809</v>
      </c>
      <c r="C16" s="7" t="s">
        <v>1810</v>
      </c>
      <c r="D16" s="7" t="s">
        <v>1269</v>
      </c>
    </row>
    <row r="17" spans="1:4" ht="36" customHeight="1">
      <c r="A17" s="7" t="s">
        <v>1808</v>
      </c>
      <c r="B17" s="7" t="s">
        <v>1811</v>
      </c>
      <c r="C17" s="7" t="s">
        <v>1812</v>
      </c>
      <c r="D17" s="7" t="s">
        <v>1269</v>
      </c>
    </row>
    <row r="18" spans="1:4" ht="36" customHeight="1">
      <c r="A18" s="7" t="s">
        <v>1808</v>
      </c>
      <c r="B18" s="7" t="s">
        <v>1813</v>
      </c>
      <c r="C18" s="7" t="s">
        <v>1814</v>
      </c>
      <c r="D18" s="7" t="s">
        <v>1269</v>
      </c>
    </row>
    <row r="19" spans="1:4" ht="36" customHeight="1">
      <c r="A19" s="7" t="s">
        <v>1808</v>
      </c>
      <c r="B19" s="7" t="s">
        <v>1815</v>
      </c>
      <c r="C19" s="7" t="s">
        <v>1816</v>
      </c>
      <c r="D19" s="7" t="s">
        <v>1269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요약</vt:lpstr>
      <vt:lpstr>용어사전</vt:lpstr>
      <vt:lpstr>분류체계</vt:lpstr>
      <vt:lpstr>관계사전</vt:lpstr>
      <vt:lpstr>출처</vt:lpstr>
      <vt:lpstr>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ds</cp:lastModifiedBy>
  <dcterms:modified xsi:type="dcterms:W3CDTF">2026-08-11T06:02:18Z</dcterms:modified>
</cp:coreProperties>
</file>