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125" windowHeight="1164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용어사전" sheetId="2" state="visible" r:id="rId2"/>
    <sheet xmlns:r="http://schemas.openxmlformats.org/officeDocument/2006/relationships" name="분류체계" sheetId="3" state="visible" r:id="rId3"/>
    <sheet xmlns:r="http://schemas.openxmlformats.org/officeDocument/2006/relationships" name="관계사전" sheetId="4" state="visible" r:id="rId4"/>
    <sheet xmlns:r="http://schemas.openxmlformats.org/officeDocument/2006/relationships" name="출처" sheetId="5" state="visible" r:id="rId5"/>
    <sheet xmlns:r="http://schemas.openxmlformats.org/officeDocument/2006/relationships" name="코드목록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Noto Sans KR"/>
      <charset val="129"/>
      <family val="3"/>
      <b val="1"/>
      <color rgb="FFFFFFFF"/>
      <sz val="18"/>
    </font>
    <font>
      <name val="Noto Sans KR"/>
      <charset val="129"/>
      <family val="3"/>
      <i val="1"/>
      <color rgb="FF16324F"/>
      <sz val="11"/>
    </font>
    <font>
      <name val="Noto Sans KR"/>
      <charset val="129"/>
      <family val="3"/>
      <sz val="10"/>
    </font>
    <font>
      <name val="Noto Sans KR"/>
      <charset val="129"/>
      <family val="3"/>
      <b val="1"/>
      <color rgb="FFFFFFFF"/>
      <sz val="10"/>
    </font>
    <font>
      <name val="Noto Sans KR"/>
      <charset val="129"/>
      <family val="3"/>
      <b val="1"/>
      <color rgb="FFFFFFFF"/>
      <sz val="11"/>
    </font>
    <font>
      <name val="Noto Sans KR"/>
      <charset val="129"/>
      <family val="3"/>
      <color rgb="FF1F2937"/>
      <sz val="11"/>
    </font>
    <font>
      <name val="Noto Sans KR"/>
      <charset val="129"/>
      <family val="3"/>
      <b val="1"/>
      <color rgb="FFB42318"/>
      <sz val="10"/>
    </font>
    <font>
      <name val="Carlito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F6D6A"/>
      </patternFill>
    </fill>
    <fill>
      <patternFill patternType="solid">
        <fgColor rgb="FFF8FAFC"/>
      </patternFill>
    </fill>
    <fill>
      <patternFill patternType="solid">
        <fgColor rgb="FFFEE4E2"/>
      </patternFill>
    </fill>
  </fills>
  <borders count="7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</borders>
  <cellStyleXfs count="2">
    <xf numFmtId="0" fontId="8" fillId="0" borderId="0"/>
    <xf numFmtId="0" fontId="8" fillId="0" borderId="0"/>
  </cellStyleXfs>
  <cellXfs count="18">
    <xf numFmtId="0" fontId="0" fillId="0" borderId="0" pivotButton="0" quotePrefix="0" xfId="0"/>
    <xf numFmtId="0" fontId="4" fillId="4" borderId="1" pivotButton="0" quotePrefix="0" xfId="1"/>
    <xf numFmtId="0" fontId="4" fillId="4" borderId="2" pivotButton="0" quotePrefix="0" xfId="1"/>
    <xf numFmtId="0" fontId="3" fillId="0" borderId="3" pivotButton="0" quotePrefix="0" xfId="1"/>
    <xf numFmtId="0" fontId="3" fillId="0" borderId="5" pivotButton="0" quotePrefix="0" xfId="1"/>
    <xf numFmtId="3" fontId="3" fillId="0" borderId="4" pivotButton="0" quotePrefix="0" xfId="1"/>
    <xf numFmtId="3" fontId="3" fillId="0" borderId="6" pivotButton="0" quotePrefix="0" xfId="1"/>
    <xf numFmtId="0" fontId="3" fillId="0" borderId="0" applyAlignment="1" pivotButton="0" quotePrefix="0" xfId="1">
      <alignment wrapText="1"/>
    </xf>
    <xf numFmtId="0" fontId="3" fillId="0" borderId="0" applyAlignment="1" pivotButton="0" quotePrefix="0" xfId="1">
      <alignment vertical="top" wrapText="1"/>
    </xf>
    <xf numFmtId="0" fontId="7" fillId="6" borderId="0" applyAlignment="1" pivotButton="0" quotePrefix="0" xfId="1">
      <alignment wrapText="1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1">
      <alignment horizontal="center"/>
    </xf>
    <xf numFmtId="0" fontId="5" fillId="2" borderId="0" pivotButton="0" quotePrefix="0" xfId="1"/>
    <xf numFmtId="0" fontId="6" fillId="5" borderId="0" applyAlignment="1" pivotButton="0" quotePrefix="0" xfId="1">
      <alignment vertical="top" wrapText="1"/>
    </xf>
    <xf numFmtId="0" fontId="3" fillId="0" borderId="5" pivotButton="0" quotePrefix="0" xfId="0"/>
    <xf numFmtId="3" fontId="3" fillId="0" borderId="6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2">
    <cellStyle name="표준" xfId="0" builtinId="0"/>
    <cellStyle name="Normal" xfId="1"/>
  </cellStyles>
  <dxfs count="2">
    <dxf>
      <font>
        <b val="1"/>
        <color rgb="FFB42318"/>
      </font>
      <fill>
        <patternFill patternType="solid">
          <bgColor rgb="FFFEE4E2"/>
        </patternFill>
      </fill>
    </dxf>
    <dxf>
      <font>
        <b val="1"/>
        <color rgb="FF7C2D12"/>
      </font>
      <fill>
        <patternFill patternType="solid">
          <bgColor rgb="FFFDE68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exusTermDictionary" displayName="NexusTermDictionary" ref="A1:V153" headerRowCount="1" totalsRowShown="0">
  <tableColumns count="22">
    <tableColumn id="1" name="용어ID"/>
    <tableColumn id="2" name="대분류"/>
    <tableColumn id="3" name="대분류_EN"/>
    <tableColumn id="4" name="중분류"/>
    <tableColumn id="5" name="중분류_EN"/>
    <tableColumn id="6" name="소분류"/>
    <tableColumn id="7" name="표준용어_EN"/>
    <tableColumn id="8" name="표준용어_KO"/>
    <tableColumn id="9" name="약어"/>
    <tableColumn id="10" name="동의어·변형"/>
    <tableColumn id="11" name="엔터티유형"/>
    <tableColumn id="12" name="프로젝트 정의"/>
    <tableColumn id="13" name="해석 규칙·주의점"/>
    <tableColumn id="14" name="영향대상"/>
    <tableColumn id="15" name="기본 가격방향"/>
    <tableColumn id="16" name="단위·범위"/>
    <tableColumn id="17" name="경보·판정기준"/>
    <tableColumn id="18" name="우선순위"/>
    <tableColumn id="19" name="모호성위험"/>
    <tableColumn id="20" name="온톨로지클래스"/>
    <tableColumn id="21" name="권장관계"/>
    <tableColumn id="22" name="출처코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xonomyCategories" displayName="TaxonomyCategories" ref="A1:D9" headerRowCount="1" totalsRowShown="0">
  <tableColumns count="4">
    <tableColumn id="1" name="대분류"/>
    <tableColumn id="2" name="대분류_EN"/>
    <tableColumn id="3" name="포함 범위"/>
    <tableColumn id="4" name="경계·제외 규칙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OntologyRelations" displayName="OntologyRelations" ref="A1:F24" headerRowCount="1" totalsRowShown="0">
  <tableColumns count="6">
    <tableColumn id="1" name="관계코드"/>
    <tableColumn id="2" name="정의"/>
    <tableColumn id="3" name="Subject Class"/>
    <tableColumn id="4" name="Object Class"/>
    <tableColumn id="5" name="대칭관계"/>
    <tableColumn id="6" name="예시·제약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ctionarySources" displayName="DictionarySources" ref="A1:F19" headerRowCount="1" totalsRowShown="0">
  <tableColumns count="6">
    <tableColumn id="1" name="출처코드"/>
    <tableColumn id="2" name="유형"/>
    <tableColumn id="3" name="제목"/>
    <tableColumn id="4" name="연도"/>
    <tableColumn id="5" name="반영 범위"/>
    <tableColumn id="6" name="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ctionaryCodeLists" displayName="DictionaryCodeLists" ref="A1:D19" headerRowCount="1" totalsRowShown="0">
  <tableColumns count="4">
    <tableColumn id="1" name="코드셋"/>
    <tableColumn id="2" name="허용값"/>
    <tableColumn id="3" name="정의"/>
    <tableColumn id="4" name="사용 위치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tabSelected="1" workbookViewId="0">
      <selection activeCell="A1" sqref="A1:H2"/>
    </sheetView>
  </sheetViews>
  <sheetFormatPr baseColWidth="8" defaultRowHeight="14.25"/>
  <cols>
    <col width="24" customWidth="1" min="1" max="1"/>
    <col width="16" customWidth="1" min="2" max="3"/>
    <col width="28" customWidth="1" min="4" max="4"/>
    <col width="16" customWidth="1" min="5" max="8"/>
  </cols>
  <sheetData>
    <row r="1">
      <c r="A1" s="10" t="inlineStr">
        <is>
          <t>비정형 데이터 핵심 용어사전 v1.1</t>
        </is>
      </c>
    </row>
    <row r="2"/>
    <row r="3" ht="18" customHeight="1">
      <c r="A3" s="11" t="inlineStr">
        <is>
          <t>비정형 PDF 해석 · Semantic Layer · Ontology 공통 통제어휘 | 2026-09-13</t>
        </is>
      </c>
    </row>
    <row r="5" ht="16.5" customHeight="1">
      <c r="A5" s="1" t="inlineStr">
        <is>
          <t>핵심 지표</t>
        </is>
      </c>
      <c r="B5" s="2" t="inlineStr">
        <is>
          <t>값</t>
        </is>
      </c>
      <c r="D5" s="1" t="inlineStr">
        <is>
          <t>대분류</t>
        </is>
      </c>
      <c r="E5" s="2" t="inlineStr">
        <is>
          <t>용어 수</t>
        </is>
      </c>
    </row>
    <row r="6" ht="16.5" customHeight="1">
      <c r="A6" s="3" t="inlineStr">
        <is>
          <t>전체 용어 수</t>
        </is>
      </c>
      <c r="B6" s="5">
        <f>COUNTA(용어사전!$A$2:$A$500)</f>
        <v/>
      </c>
      <c r="D6" s="3" t="inlineStr">
        <is>
          <t>경제·무역</t>
        </is>
      </c>
      <c r="E6" s="5">
        <f>COUNTIF(용어사전!$B$2:$B$500,D6)</f>
        <v/>
      </c>
    </row>
    <row r="7" ht="16.5" customHeight="1">
      <c r="A7" s="3" t="inlineStr">
        <is>
          <t>대분류 수</t>
        </is>
      </c>
      <c r="B7" s="5">
        <f>COUNTA(분류체계!$A$2:$A$500)</f>
        <v/>
      </c>
      <c r="D7" s="3" t="inlineStr">
        <is>
          <t>농업·농기상</t>
        </is>
      </c>
      <c r="E7" s="5">
        <f>COUNTIF(용어사전!$B$2:$B$500,D7)</f>
        <v/>
      </c>
    </row>
    <row r="8" ht="16.5" customHeight="1">
      <c r="A8" s="3" t="inlineStr">
        <is>
          <t>우선순위 A</t>
        </is>
      </c>
      <c r="B8" s="5">
        <f>COUNTIF(용어사전!$R$2:$R$500,"A")</f>
        <v/>
      </c>
      <c r="D8" s="3" t="inlineStr">
        <is>
          <t>시장·가격·조달</t>
        </is>
      </c>
      <c r="E8" s="5">
        <f>COUNTIF(용어사전!$B$2:$B$500,D8)</f>
        <v/>
      </c>
    </row>
    <row r="9" ht="16.5" customHeight="1">
      <c r="A9" s="4" t="inlineStr">
        <is>
          <t>모호성 위험 상</t>
        </is>
      </c>
      <c r="B9" s="6">
        <f>COUNTIF(용어사전!$S$2:$S$500,"상")</f>
        <v/>
      </c>
      <c r="D9" s="3" t="inlineStr">
        <is>
          <t>에너지·바이오연료</t>
        </is>
      </c>
      <c r="E9" s="5">
        <f>COUNTIF(용어사전!$B$2:$B$500,D9)</f>
        <v/>
      </c>
    </row>
    <row r="10" ht="16.5" customHeight="1">
      <c r="D10" s="3" t="inlineStr">
        <is>
          <t>지정학·안보</t>
        </is>
      </c>
      <c r="E10" s="5">
        <f>COUNTIF(용어사전!$B$2:$B$500,D10)</f>
        <v/>
      </c>
    </row>
    <row r="11" ht="16.5" customHeight="1">
      <c r="D11" s="3" t="inlineStr">
        <is>
          <t>물류·공급망</t>
        </is>
      </c>
      <c r="E11" s="5">
        <f>COUNTIF(용어사전!$B$2:$B$500,D11)</f>
        <v/>
      </c>
    </row>
    <row r="12" ht="16.5" customHeight="1">
      <c r="D12" s="3" t="inlineStr">
        <is>
          <t>외교·정책·규제</t>
        </is>
      </c>
      <c r="E12" s="5">
        <f>COUNTIF(용어사전!$B$2:$B$500,D12)</f>
        <v/>
      </c>
    </row>
    <row r="13" ht="16.5" customHeight="1">
      <c r="D13" s="4" t="inlineStr">
        <is>
          <t>데이터·시맨틱·품질</t>
        </is>
      </c>
      <c r="E13" s="6">
        <f>COUNTIF(용어사전!$B$2:$B$500,D13)</f>
        <v/>
      </c>
    </row>
    <row r="14">
      <c r="D14" s="14" t="inlineStr">
        <is>
          <t>시장구조·기업</t>
        </is>
      </c>
      <c r="E14" s="15">
        <f>COUNTIF(용어사전!$B$2:$B$500,D14)</f>
        <v/>
      </c>
    </row>
    <row r="16" ht="18" customHeight="1">
      <c r="A16" s="12" t="inlineStr">
        <is>
          <t>사용 규칙</t>
        </is>
      </c>
    </row>
    <row r="17" ht="26.1" customHeight="1">
      <c r="A17" s="13" t="inlineStr">
        <is>
          <t>1. 문서의 원문 표기를 먼저 Entity Mention으로 저장한 뒤 표준용어(Canonical Entity)에 Mapping</t>
        </is>
      </c>
    </row>
    <row r="18" ht="26.1" customHeight="1">
      <c r="A18" s="13" t="inlineStr">
        <is>
          <t>2. 가격 추세는 대두유 기준이며, 공급 증가(↑)를 가격 상승으로 해석하지 않음</t>
        </is>
      </c>
    </row>
    <row r="19" ht="26.1" customHeight="1">
      <c r="A19" s="13" t="inlineStr">
        <is>
          <t>3. Cause → Market Mechanism → Outcome 3단 경로를 강제하며 외생 원인→가격 직결은 금지</t>
        </is>
      </c>
    </row>
    <row r="20" ht="26.1" customHeight="1">
      <c r="A20" s="13" t="inlineStr">
        <is>
          <t>4. 모든 핵심 엔터티·관계·점수에는 문서 ID, 페이지, 최소 원문 발췌, 신뢰도 연결</t>
        </is>
      </c>
    </row>
    <row r="21" ht="26.1" customHeight="1">
      <c r="A21" s="13" t="inlineStr">
        <is>
          <t>5. 내부 ERP·S&amp;OP·조달원가 데이터는 학습·검증·피처에서 제외</t>
        </is>
      </c>
    </row>
    <row r="22" ht="26.1" customHeight="1">
      <c r="A22" s="13" t="inlineStr">
        <is>
          <t>6. 임계값은 저장소의 현재 경보값이며, 원지수/정규화 지수·관할·시점을 반드시 확인</t>
        </is>
      </c>
    </row>
    <row r="23" ht="26.1" customHeight="1">
      <c r="A23" s="13" t="inlineStr">
        <is>
          <t>7. 신규 용어는 임시 상태로 등록하고 P1-01~04 또는 P1-06 검토 후 활성화합니다.</t>
        </is>
      </c>
    </row>
  </sheetData>
  <mergeCells count="10">
    <mergeCell ref="A18:H18"/>
    <mergeCell ref="A3:H3"/>
    <mergeCell ref="A21:H21"/>
    <mergeCell ref="A20:H20"/>
    <mergeCell ref="A16:H16"/>
    <mergeCell ref="A19:H19"/>
    <mergeCell ref="A23:H23"/>
    <mergeCell ref="A1:H2"/>
    <mergeCell ref="A22:H2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5"/>
  <sheetViews>
    <sheetView showGridLines="0" workbookViewId="0">
      <selection activeCell="A1" sqref="A1"/>
    </sheetView>
  </sheetViews>
  <sheetFormatPr baseColWidth="8" defaultRowHeight="14.25"/>
  <cols>
    <col width="12" customWidth="1" min="1" max="1"/>
    <col width="18" customWidth="1" min="2" max="2"/>
    <col width="19" customWidth="1" min="3" max="3"/>
    <col width="18" customWidth="1" min="4" max="4"/>
    <col width="20" customWidth="1" min="5" max="5"/>
    <col width="16" customWidth="1" min="6" max="6"/>
    <col width="27" customWidth="1" min="7" max="7"/>
    <col width="23" customWidth="1" min="8" max="8"/>
    <col width="12" customWidth="1" min="9" max="9"/>
    <col width="30" customWidth="1" min="10" max="10"/>
    <col width="18" customWidth="1" min="11" max="11"/>
    <col width="42" customWidth="1" min="12" max="12"/>
    <col width="48" customWidth="1" min="13" max="13"/>
    <col width="18" customWidth="1" min="14" max="14"/>
    <col width="16" customWidth="1" min="15" max="15"/>
    <col width="18" customWidth="1" min="16" max="16"/>
    <col width="28" customWidth="1" min="17" max="17"/>
    <col width="10" customWidth="1" min="18" max="18"/>
    <col width="12" customWidth="1" min="19" max="19"/>
    <col width="22" customWidth="1" min="20" max="21"/>
    <col width="25" customWidth="1" min="22" max="22"/>
  </cols>
  <sheetData>
    <row r="1" ht="16.5" customHeight="1">
      <c r="A1" s="7" t="inlineStr">
        <is>
          <t>용어ID</t>
        </is>
      </c>
      <c r="B1" s="7" t="inlineStr">
        <is>
          <t>대분류</t>
        </is>
      </c>
      <c r="C1" s="7" t="inlineStr">
        <is>
          <t>대분류_EN</t>
        </is>
      </c>
      <c r="D1" s="7" t="inlineStr">
        <is>
          <t>중분류</t>
        </is>
      </c>
      <c r="E1" s="7" t="inlineStr">
        <is>
          <t>중분류_EN</t>
        </is>
      </c>
      <c r="F1" s="7" t="inlineStr">
        <is>
          <t>소분류</t>
        </is>
      </c>
      <c r="G1" s="7" t="inlineStr">
        <is>
          <t>표준용어_EN</t>
        </is>
      </c>
      <c r="H1" s="7" t="inlineStr">
        <is>
          <t>표준용어_KO</t>
        </is>
      </c>
      <c r="I1" s="7" t="inlineStr">
        <is>
          <t>약어</t>
        </is>
      </c>
      <c r="J1" s="7" t="inlineStr">
        <is>
          <t>동의어·변형</t>
        </is>
      </c>
      <c r="K1" s="7" t="inlineStr">
        <is>
          <t>엔터티유형</t>
        </is>
      </c>
      <c r="L1" s="7" t="inlineStr">
        <is>
          <t>프로젝트 정의</t>
        </is>
      </c>
      <c r="M1" s="7" t="inlineStr">
        <is>
          <t>해석 규칙·주의점</t>
        </is>
      </c>
      <c r="N1" s="7" t="inlineStr">
        <is>
          <t>영향대상</t>
        </is>
      </c>
      <c r="O1" s="7" t="inlineStr">
        <is>
          <t>기본 가격방향</t>
        </is>
      </c>
      <c r="P1" s="7" t="inlineStr">
        <is>
          <t>단위·범위</t>
        </is>
      </c>
      <c r="Q1" s="7" t="inlineStr">
        <is>
          <t>경보·판정기준</t>
        </is>
      </c>
      <c r="R1" s="7" t="inlineStr">
        <is>
          <t>우선순위</t>
        </is>
      </c>
      <c r="S1" s="7" t="inlineStr">
        <is>
          <t>모호성위험</t>
        </is>
      </c>
      <c r="T1" s="7" t="inlineStr">
        <is>
          <t>온톨로지클래스</t>
        </is>
      </c>
      <c r="U1" s="7" t="inlineStr">
        <is>
          <t>권장관계</t>
        </is>
      </c>
      <c r="V1" s="7" t="inlineStr">
        <is>
          <t>출처코드</t>
        </is>
      </c>
    </row>
    <row r="2" ht="42" customHeight="1">
      <c r="A2" s="8" t="inlineStr">
        <is>
          <t>TERM-001</t>
        </is>
      </c>
      <c r="B2" s="8" t="inlineStr">
        <is>
          <t>경제·무역</t>
        </is>
      </c>
      <c r="C2" s="8" t="inlineStr">
        <is>
          <t>Economy &amp; Trade</t>
        </is>
      </c>
      <c r="D2" s="8" t="inlineStr">
        <is>
          <t>거시경제</t>
        </is>
      </c>
      <c r="E2" s="8" t="inlineStr">
        <is>
          <t>Macroeconomy</t>
        </is>
      </c>
      <c r="F2" s="8" t="inlineStr">
        <is>
          <t>금리</t>
        </is>
      </c>
      <c r="G2" s="8" t="inlineStr">
        <is>
          <t>Federal Funds Rate</t>
        </is>
      </c>
      <c r="H2" s="8" t="inlineStr">
        <is>
          <t>미 연방기금금리</t>
        </is>
      </c>
      <c r="I2" s="8" t="inlineStr">
        <is>
          <t>FEDFUNDS</t>
        </is>
      </c>
      <c r="J2" s="8" t="inlineStr">
        <is>
          <t>Fed funds rate; policy rate</t>
        </is>
      </c>
      <c r="K2" s="8" t="inlineStr">
        <is>
          <t>Indicator</t>
        </is>
      </c>
      <c r="L2" s="8" t="inlineStr">
        <is>
          <t>미국의 단기 정책금리 지표로 달러·금융비용·원자재 위험선호에 영향을 준다.</t>
        </is>
      </c>
      <c r="M2" s="8" t="inlineStr">
        <is>
          <t>금리 상승을 대두유 가격 상승으로 자동 변환하지 말고 달러·수요·재고 경로를 확인한다.</t>
        </is>
      </c>
      <c r="N2" s="8" t="inlineStr">
        <is>
          <t>Macro/FX</t>
        </is>
      </c>
      <c r="O2" s="8" t="inlineStr">
        <is>
          <t>CONTEXT</t>
        </is>
      </c>
      <c r="P2" s="8" t="inlineStr">
        <is>
          <t>%</t>
        </is>
      </c>
      <c r="Q2" s="8" t="inlineStr">
        <is>
          <t>문서별</t>
        </is>
      </c>
      <c r="R2" s="8" t="inlineStr">
        <is>
          <t>B</t>
        </is>
      </c>
      <c r="S2" s="8" t="inlineStr">
        <is>
          <t>중</t>
        </is>
      </c>
      <c r="T2" s="8" t="inlineStr">
        <is>
          <t>EconomicIndicator</t>
        </is>
      </c>
      <c r="U2" s="8" t="inlineStr">
        <is>
          <t>MEASURED_BY</t>
        </is>
      </c>
      <c r="V2" s="8" t="inlineStr">
        <is>
          <t>GH-README,GH-P101</t>
        </is>
      </c>
    </row>
    <row r="3" ht="42" customHeight="1">
      <c r="A3" s="8" t="inlineStr">
        <is>
          <t>TERM-002</t>
        </is>
      </c>
      <c r="B3" s="8" t="inlineStr">
        <is>
          <t>경제·무역</t>
        </is>
      </c>
      <c r="C3" s="8" t="inlineStr">
        <is>
          <t>Economy &amp; Trade</t>
        </is>
      </c>
      <c r="D3" s="8" t="inlineStr">
        <is>
          <t>거시경제</t>
        </is>
      </c>
      <c r="E3" s="8" t="inlineStr">
        <is>
          <t>Macroeconomy</t>
        </is>
      </c>
      <c r="F3" s="8" t="inlineStr">
        <is>
          <t>물가</t>
        </is>
      </c>
      <c r="G3" s="8" t="inlineStr">
        <is>
          <t>Consumer Price Index</t>
        </is>
      </c>
      <c r="H3" s="8" t="inlineStr">
        <is>
          <t>소비자물가지수</t>
        </is>
      </c>
      <c r="I3" s="8" t="inlineStr">
        <is>
          <t>CPI</t>
        </is>
      </c>
      <c r="J3" s="8" t="inlineStr">
        <is>
          <t>global CPI; CPIAUCSL; inflation index</t>
        </is>
      </c>
      <c r="K3" s="8" t="inlineStr">
        <is>
          <t>Indicator</t>
        </is>
      </c>
      <c r="L3" s="8" t="inlineStr">
        <is>
          <t>소비자 물가수준의 변화를 나타내는 지수다.</t>
        </is>
      </c>
      <c r="M3" s="8" t="inlineStr">
        <is>
          <t>전년동월비와 지수 레벨을 구분하고 국가·기준연도를 함께 저장한다.</t>
        </is>
      </c>
      <c r="N3" s="8" t="inlineStr">
        <is>
          <t>Demand/Cost</t>
        </is>
      </c>
      <c r="O3" s="8" t="inlineStr">
        <is>
          <t>CONTEXT</t>
        </is>
      </c>
      <c r="P3" s="8" t="inlineStr">
        <is>
          <t>index or % YoY</t>
        </is>
      </c>
      <c r="Q3" s="8" t="inlineStr">
        <is>
          <t>문서별</t>
        </is>
      </c>
      <c r="R3" s="8" t="inlineStr">
        <is>
          <t>B</t>
        </is>
      </c>
      <c r="S3" s="8" t="inlineStr">
        <is>
          <t>중</t>
        </is>
      </c>
      <c r="T3" s="8" t="inlineStr">
        <is>
          <t>EconomicIndicator</t>
        </is>
      </c>
      <c r="U3" s="8" t="inlineStr">
        <is>
          <t>MEASURED_BY</t>
        </is>
      </c>
      <c r="V3" s="8" t="inlineStr">
        <is>
          <t>GH-README,GH-P101</t>
        </is>
      </c>
    </row>
    <row r="4" ht="42" customHeight="1">
      <c r="A4" s="8" t="inlineStr">
        <is>
          <t>TERM-003</t>
        </is>
      </c>
      <c r="B4" s="8" t="inlineStr">
        <is>
          <t>경제·무역</t>
        </is>
      </c>
      <c r="C4" s="8" t="inlineStr">
        <is>
          <t>Economy &amp; Trade</t>
        </is>
      </c>
      <c r="D4" s="8" t="inlineStr">
        <is>
          <t>거시경제</t>
        </is>
      </c>
      <c r="E4" s="8" t="inlineStr">
        <is>
          <t>Macroeconomy</t>
        </is>
      </c>
      <c r="F4" s="8" t="inlineStr">
        <is>
          <t>물가</t>
        </is>
      </c>
      <c r="G4" s="8" t="inlineStr">
        <is>
          <t>Inflation</t>
        </is>
      </c>
      <c r="H4" s="8" t="inlineStr">
        <is>
          <t>인플레이션</t>
        </is>
      </c>
      <c r="I4" s="8" t="n"/>
      <c r="J4" s="8" t="inlineStr">
        <is>
          <t>price inflation; 물가상승률</t>
        </is>
      </c>
      <c r="K4" s="8" t="inlineStr">
        <is>
          <t>Concept</t>
        </is>
      </c>
      <c r="L4" s="8" t="inlineStr">
        <is>
          <t>전반적인 가격수준의 지속적 상승이다.</t>
        </is>
      </c>
      <c r="M4" s="8" t="inlineStr">
        <is>
          <t>CPI 수준과 상승률을 혼동하지 않으며 명목가격 상승을 실질 수급 변화로 해석하지 않는다.</t>
        </is>
      </c>
      <c r="N4" s="8" t="inlineStr">
        <is>
          <t>Demand/Cost</t>
        </is>
      </c>
      <c r="O4" s="8" t="inlineStr">
        <is>
          <t>CONTEXT</t>
        </is>
      </c>
      <c r="P4" s="8" t="inlineStr">
        <is>
          <t>%</t>
        </is>
      </c>
      <c r="Q4" s="8" t="inlineStr">
        <is>
          <t>문서별</t>
        </is>
      </c>
      <c r="R4" s="8" t="inlineStr">
        <is>
          <t>B</t>
        </is>
      </c>
      <c r="S4" s="8" t="inlineStr">
        <is>
          <t>중</t>
        </is>
      </c>
      <c r="T4" s="8" t="inlineStr">
        <is>
          <t>EconomicCondition</t>
        </is>
      </c>
      <c r="U4" s="8" t="inlineStr">
        <is>
          <t>AFFECTS</t>
        </is>
      </c>
      <c r="V4" s="8" t="inlineStr">
        <is>
          <t>GH-README,GH-P101</t>
        </is>
      </c>
    </row>
    <row r="5" ht="42" customHeight="1">
      <c r="A5" s="8" t="inlineStr">
        <is>
          <t>TERM-004</t>
        </is>
      </c>
      <c r="B5" s="8" t="inlineStr">
        <is>
          <t>경제·무역</t>
        </is>
      </c>
      <c r="C5" s="8" t="inlineStr">
        <is>
          <t>Economy &amp; Trade</t>
        </is>
      </c>
      <c r="D5" s="8" t="inlineStr">
        <is>
          <t>거시경제</t>
        </is>
      </c>
      <c r="E5" s="8" t="inlineStr">
        <is>
          <t>Macroeconomy</t>
        </is>
      </c>
      <c r="F5" s="8" t="inlineStr">
        <is>
          <t>위험선호</t>
        </is>
      </c>
      <c r="G5" s="8" t="inlineStr">
        <is>
          <t>VIX Index</t>
        </is>
      </c>
      <c r="H5" s="8" t="inlineStr">
        <is>
          <t>변동성지수</t>
        </is>
      </c>
      <c r="I5" s="8" t="inlineStr">
        <is>
          <t>VIX</t>
        </is>
      </c>
      <c r="J5" s="8" t="inlineStr">
        <is>
          <t>fear index; VIXCLS</t>
        </is>
      </c>
      <c r="K5" s="8" t="inlineStr">
        <is>
          <t>Indicator</t>
        </is>
      </c>
      <c r="L5" s="8" t="inlineStr">
        <is>
          <t>미국 주식시장의 기대 변동성 지표로 글로벌 위험회피의 대용치다.</t>
        </is>
      </c>
      <c r="M5" s="8" t="inlineStr">
        <is>
          <t>대두유 직접 원인이 아니라 금융환경 컨텍스트로 분류한다.</t>
        </is>
      </c>
      <c r="N5" s="8" t="inlineStr">
        <is>
          <t>Risk Premium</t>
        </is>
      </c>
      <c r="O5" s="8" t="inlineStr">
        <is>
          <t>UP_RISK</t>
        </is>
      </c>
      <c r="P5" s="8" t="inlineStr">
        <is>
          <t>index</t>
        </is>
      </c>
      <c r="Q5" s="8" t="inlineStr">
        <is>
          <t>통계적 임계값 사용</t>
        </is>
      </c>
      <c r="R5" s="8" t="inlineStr">
        <is>
          <t>C</t>
        </is>
      </c>
      <c r="S5" s="8" t="inlineStr">
        <is>
          <t>중</t>
        </is>
      </c>
      <c r="T5" s="8" t="inlineStr">
        <is>
          <t>RiskIndicator</t>
        </is>
      </c>
      <c r="U5" s="8" t="inlineStr">
        <is>
          <t>MEASURED_BY</t>
        </is>
      </c>
      <c r="V5" s="8" t="inlineStr">
        <is>
          <t>GH-README,GH-P101</t>
        </is>
      </c>
    </row>
    <row r="6" ht="42" customHeight="1">
      <c r="A6" s="8" t="inlineStr">
        <is>
          <t>TERM-005</t>
        </is>
      </c>
      <c r="B6" s="8" t="inlineStr">
        <is>
          <t>경제·무역</t>
        </is>
      </c>
      <c r="C6" s="8" t="inlineStr">
        <is>
          <t>Economy &amp; Trade</t>
        </is>
      </c>
      <c r="D6" s="8" t="inlineStr">
        <is>
          <t>거시경제</t>
        </is>
      </c>
      <c r="E6" s="8" t="inlineStr">
        <is>
          <t>Macroeconomy</t>
        </is>
      </c>
      <c r="F6" s="8" t="inlineStr">
        <is>
          <t>성장</t>
        </is>
      </c>
      <c r="G6" s="8" t="inlineStr">
        <is>
          <t>Gross Domestic Product</t>
        </is>
      </c>
      <c r="H6" s="8" t="inlineStr">
        <is>
          <t>국내총생산</t>
        </is>
      </c>
      <c r="I6" s="8" t="inlineStr">
        <is>
          <t>GDP</t>
        </is>
      </c>
      <c r="J6" s="8" t="inlineStr">
        <is>
          <t>economic growth</t>
        </is>
      </c>
      <c r="K6" s="8" t="inlineStr">
        <is>
          <t>Indicator</t>
        </is>
      </c>
      <c r="L6" s="8" t="inlineStr">
        <is>
          <t>국가 경제활동의 총생산 규모다.</t>
        </is>
      </c>
      <c r="M6" s="8" t="inlineStr">
        <is>
          <t>명목·실질, 전기비·전년비, 국가를 반드시 구분한다.</t>
        </is>
      </c>
      <c r="N6" s="8" t="inlineStr">
        <is>
          <t>Demand</t>
        </is>
      </c>
      <c r="O6" s="8" t="inlineStr">
        <is>
          <t>CONTEXT</t>
        </is>
      </c>
      <c r="P6" s="8" t="inlineStr">
        <is>
          <t>currency or %</t>
        </is>
      </c>
      <c r="Q6" s="8" t="inlineStr">
        <is>
          <t>문서별</t>
        </is>
      </c>
      <c r="R6" s="8" t="inlineStr">
        <is>
          <t>C</t>
        </is>
      </c>
      <c r="S6" s="8" t="inlineStr">
        <is>
          <t>중</t>
        </is>
      </c>
      <c r="T6" s="8" t="inlineStr">
        <is>
          <t>EconomicIndicator</t>
        </is>
      </c>
      <c r="U6" s="8" t="inlineStr">
        <is>
          <t>MEASURED_BY</t>
        </is>
      </c>
      <c r="V6" s="8" t="inlineStr">
        <is>
          <t>GH-README,GH-P101</t>
        </is>
      </c>
    </row>
    <row r="7" ht="42" customHeight="1">
      <c r="A7" s="8" t="inlineStr">
        <is>
          <t>TERM-006</t>
        </is>
      </c>
      <c r="B7" s="8" t="inlineStr">
        <is>
          <t>경제·무역</t>
        </is>
      </c>
      <c r="C7" s="8" t="inlineStr">
        <is>
          <t>Economy &amp; Trade</t>
        </is>
      </c>
      <c r="D7" s="8" t="inlineStr">
        <is>
          <t>외환</t>
        </is>
      </c>
      <c r="E7" s="8" t="inlineStr">
        <is>
          <t>Foreign Exchange</t>
        </is>
      </c>
      <c r="F7" s="8" t="inlineStr">
        <is>
          <t>환율</t>
        </is>
      </c>
      <c r="G7" s="8" t="inlineStr">
        <is>
          <t>KRW per USD</t>
        </is>
      </c>
      <c r="H7" s="8" t="inlineStr">
        <is>
          <t>원/달러 환율</t>
        </is>
      </c>
      <c r="I7" s="8" t="inlineStr">
        <is>
          <t>KRW/USD</t>
        </is>
      </c>
      <c r="J7" s="8" t="inlineStr">
        <is>
          <t>USD/KRW; won-dollar rate</t>
        </is>
      </c>
      <c r="K7" s="8" t="inlineStr">
        <is>
          <t>Indicator</t>
        </is>
      </c>
      <c r="L7" s="8" t="inlineStr">
        <is>
          <t>1달러당 원화 가격으로 한국의 수입원가를 결정하는 핵심 환율이다.</t>
        </is>
      </c>
      <c r="M7" s="8" t="inlineStr">
        <is>
          <t>표기 방향을 확인한다. KRW/USD 상승은 원화 약세이자 원화 수입원가 상승이다.</t>
        </is>
      </c>
      <c r="N7" s="8" t="inlineStr">
        <is>
          <t>Korea Import Cost</t>
        </is>
      </c>
      <c r="O7" s="8" t="inlineStr">
        <is>
          <t>UP</t>
        </is>
      </c>
      <c r="P7" s="8" t="inlineStr">
        <is>
          <t>KRW per USD</t>
        </is>
      </c>
      <c r="Q7" s="8" t="inlineStr">
        <is>
          <t>&gt;2σ deviation</t>
        </is>
      </c>
      <c r="R7" s="8" t="inlineStr">
        <is>
          <t>A</t>
        </is>
      </c>
      <c r="S7" s="8" t="inlineStr">
        <is>
          <t>상</t>
        </is>
      </c>
      <c r="T7" s="8" t="inlineStr">
        <is>
          <t>ExchangeRate</t>
        </is>
      </c>
      <c r="U7" s="8" t="inlineStr">
        <is>
          <t>AFFECTS</t>
        </is>
      </c>
      <c r="V7" s="8" t="inlineStr">
        <is>
          <t>GH-README,GH-P101,GH-P104</t>
        </is>
      </c>
    </row>
    <row r="8" ht="42" customHeight="1">
      <c r="A8" s="8" t="inlineStr">
        <is>
          <t>TERM-007</t>
        </is>
      </c>
      <c r="B8" s="8" t="inlineStr">
        <is>
          <t>경제·무역</t>
        </is>
      </c>
      <c r="C8" s="8" t="inlineStr">
        <is>
          <t>Economy &amp; Trade</t>
        </is>
      </c>
      <c r="D8" s="8" t="inlineStr">
        <is>
          <t>외환</t>
        </is>
      </c>
      <c r="E8" s="8" t="inlineStr">
        <is>
          <t>Foreign Exchange</t>
        </is>
      </c>
      <c r="F8" s="8" t="inlineStr">
        <is>
          <t>환율</t>
        </is>
      </c>
      <c r="G8" s="8" t="inlineStr">
        <is>
          <t>BRL per USD</t>
        </is>
      </c>
      <c r="H8" s="8" t="inlineStr">
        <is>
          <t>브라질 헤알/달러 환율</t>
        </is>
      </c>
      <c r="I8" s="8" t="inlineStr">
        <is>
          <t>BRL/USD</t>
        </is>
      </c>
      <c r="J8" s="8" t="inlineStr">
        <is>
          <t>USD/BRL; real-dollar</t>
        </is>
      </c>
      <c r="K8" s="8" t="inlineStr">
        <is>
          <t>Indicator</t>
        </is>
      </c>
      <c r="L8" s="8" t="inlineStr">
        <is>
          <t>브라질 수출경쟁력과 생산자 판매 유인을 설명하는 환율이다.</t>
        </is>
      </c>
      <c r="M8" s="8" t="inlineStr">
        <is>
          <t>표기 방향·현지통화 기준을 확인하고 가격 효과는 수출공급 메커니즘을 통해 판단한다.</t>
        </is>
      </c>
      <c r="N8" s="8" t="inlineStr">
        <is>
          <t>Export Supply</t>
        </is>
      </c>
      <c r="O8" s="8" t="inlineStr">
        <is>
          <t>CONTEXT</t>
        </is>
      </c>
      <c r="P8" s="8" t="inlineStr">
        <is>
          <t>BRL per USD</t>
        </is>
      </c>
      <c r="Q8" s="8" t="inlineStr">
        <is>
          <t>통계적 임계값</t>
        </is>
      </c>
      <c r="R8" s="8" t="inlineStr">
        <is>
          <t>B</t>
        </is>
      </c>
      <c r="S8" s="8" t="inlineStr">
        <is>
          <t>상</t>
        </is>
      </c>
      <c r="T8" s="8" t="inlineStr">
        <is>
          <t>ExchangeRate</t>
        </is>
      </c>
      <c r="U8" s="8" t="inlineStr">
        <is>
          <t>AFFECTS</t>
        </is>
      </c>
      <c r="V8" s="8" t="inlineStr">
        <is>
          <t>GH-README,GH-P101,GH-P104</t>
        </is>
      </c>
    </row>
    <row r="9" ht="42" customHeight="1">
      <c r="A9" s="8" t="inlineStr">
        <is>
          <t>TERM-008</t>
        </is>
      </c>
      <c r="B9" s="8" t="inlineStr">
        <is>
          <t>경제·무역</t>
        </is>
      </c>
      <c r="C9" s="8" t="inlineStr">
        <is>
          <t>Economy &amp; Trade</t>
        </is>
      </c>
      <c r="D9" s="8" t="inlineStr">
        <is>
          <t>외환</t>
        </is>
      </c>
      <c r="E9" s="8" t="inlineStr">
        <is>
          <t>Foreign Exchange</t>
        </is>
      </c>
      <c r="F9" s="8" t="inlineStr">
        <is>
          <t>환율</t>
        </is>
      </c>
      <c r="G9" s="8" t="inlineStr">
        <is>
          <t>ARS per USD</t>
        </is>
      </c>
      <c r="H9" s="8" t="inlineStr">
        <is>
          <t>아르헨티나 페소/달러 환율</t>
        </is>
      </c>
      <c r="I9" s="8" t="inlineStr">
        <is>
          <t>ARS/USD</t>
        </is>
      </c>
      <c r="J9" s="8" t="inlineStr">
        <is>
          <t>USD/ARS; peso devaluation</t>
        </is>
      </c>
      <c r="K9" s="8" t="inlineStr">
        <is>
          <t>Indicator</t>
        </is>
      </c>
      <c r="L9" s="8" t="inlineStr">
        <is>
          <t>아르헨티나 수출세·생산자 판매유인과 결합해 수출공급에 영향을 주는 환율이다.</t>
        </is>
      </c>
      <c r="M9" s="8" t="inlineStr">
        <is>
          <t>공식환율과 병행환율을 구분하고 DEXARUE는 저장소에서 유효하지 않은 FRED 코드로 표시되어 있다.</t>
        </is>
      </c>
      <c r="N9" s="8" t="inlineStr">
        <is>
          <t>Export Supply</t>
        </is>
      </c>
      <c r="O9" s="8" t="inlineStr">
        <is>
          <t>CONTEXT</t>
        </is>
      </c>
      <c r="P9" s="8" t="inlineStr">
        <is>
          <t>ARS per USD</t>
        </is>
      </c>
      <c r="Q9" s="8" t="inlineStr">
        <is>
          <t>데이터 공백</t>
        </is>
      </c>
      <c r="R9" s="8" t="inlineStr">
        <is>
          <t>A</t>
        </is>
      </c>
      <c r="S9" s="8" t="inlineStr">
        <is>
          <t>상</t>
        </is>
      </c>
      <c r="T9" s="8" t="inlineStr">
        <is>
          <t>ExchangeRate</t>
        </is>
      </c>
      <c r="U9" s="8" t="inlineStr">
        <is>
          <t>AFFECTS</t>
        </is>
      </c>
      <c r="V9" s="8" t="inlineStr">
        <is>
          <t>GH-README,GH-P101,GH-P104</t>
        </is>
      </c>
    </row>
    <row r="10" ht="42" customHeight="1">
      <c r="A10" s="8" t="inlineStr">
        <is>
          <t>TERM-009</t>
        </is>
      </c>
      <c r="B10" s="8" t="inlineStr">
        <is>
          <t>경제·무역</t>
        </is>
      </c>
      <c r="C10" s="8" t="inlineStr">
        <is>
          <t>Economy &amp; Trade</t>
        </is>
      </c>
      <c r="D10" s="8" t="inlineStr">
        <is>
          <t>외환</t>
        </is>
      </c>
      <c r="E10" s="8" t="inlineStr">
        <is>
          <t>Foreign Exchange</t>
        </is>
      </c>
      <c r="F10" s="8" t="inlineStr">
        <is>
          <t>환율</t>
        </is>
      </c>
      <c r="G10" s="8" t="inlineStr">
        <is>
          <t>CNY per USD</t>
        </is>
      </c>
      <c r="H10" s="8" t="inlineStr">
        <is>
          <t>중국 위안/달러 환율</t>
        </is>
      </c>
      <c r="I10" s="8" t="inlineStr">
        <is>
          <t>CNY/USD</t>
        </is>
      </c>
      <c r="J10" s="8" t="inlineStr">
        <is>
          <t>USD/CNY; yuan-dollar</t>
        </is>
      </c>
      <c r="K10" s="8" t="inlineStr">
        <is>
          <t>Indicator</t>
        </is>
      </c>
      <c r="L10" s="8" t="inlineStr">
        <is>
          <t>중국의 수입비용·수요와 관련된 환율이다.</t>
        </is>
      </c>
      <c r="M10" s="8" t="inlineStr">
        <is>
          <t>표기 방향과 중국 수입수요 연결 근거가 있을 때만 가격 신호로 사용한다.</t>
        </is>
      </c>
      <c r="N10" s="8" t="inlineStr">
        <is>
          <t>Import Demand</t>
        </is>
      </c>
      <c r="O10" s="8" t="inlineStr">
        <is>
          <t>CONTEXT</t>
        </is>
      </c>
      <c r="P10" s="8" t="inlineStr">
        <is>
          <t>CNY per USD</t>
        </is>
      </c>
      <c r="Q10" s="8" t="inlineStr">
        <is>
          <t>통계적 임계값</t>
        </is>
      </c>
      <c r="R10" s="8" t="inlineStr">
        <is>
          <t>C</t>
        </is>
      </c>
      <c r="S10" s="8" t="inlineStr">
        <is>
          <t>상</t>
        </is>
      </c>
      <c r="T10" s="8" t="inlineStr">
        <is>
          <t>ExchangeRate</t>
        </is>
      </c>
      <c r="U10" s="8" t="inlineStr">
        <is>
          <t>AFFECTS</t>
        </is>
      </c>
      <c r="V10" s="8" t="inlineStr">
        <is>
          <t>GH-README,GH-P101,GH-P104</t>
        </is>
      </c>
    </row>
    <row r="11" ht="42" customHeight="1">
      <c r="A11" s="8" t="inlineStr">
        <is>
          <t>TERM-010</t>
        </is>
      </c>
      <c r="B11" s="8" t="inlineStr">
        <is>
          <t>경제·무역</t>
        </is>
      </c>
      <c r="C11" s="8" t="inlineStr">
        <is>
          <t>Economy &amp; Trade</t>
        </is>
      </c>
      <c r="D11" s="8" t="inlineStr">
        <is>
          <t>외환</t>
        </is>
      </c>
      <c r="E11" s="8" t="inlineStr">
        <is>
          <t>Foreign Exchange</t>
        </is>
      </c>
      <c r="F11" s="8" t="inlineStr">
        <is>
          <t>환율</t>
        </is>
      </c>
      <c r="G11" s="8" t="inlineStr">
        <is>
          <t>MYR per USD</t>
        </is>
      </c>
      <c r="H11" s="8" t="inlineStr">
        <is>
          <t>말레이시아 링깃/달러 환율</t>
        </is>
      </c>
      <c r="I11" s="8" t="inlineStr">
        <is>
          <t>MYR/USD</t>
        </is>
      </c>
      <c r="J11" s="8" t="inlineStr">
        <is>
          <t>USD/MYR; ringgit-dollar</t>
        </is>
      </c>
      <c r="K11" s="8" t="inlineStr">
        <is>
          <t>Indicator</t>
        </is>
      </c>
      <c r="L11" s="8" t="inlineStr">
        <is>
          <t>팜유 경쟁가격과 대체재 관계에 영향을 줄 수 있는 환율이다.</t>
        </is>
      </c>
      <c r="M11" s="8" t="inlineStr">
        <is>
          <t>대두유 직접 신호가 아니라 팜유 상대가격 경로가 확인될 때 사용한다.</t>
        </is>
      </c>
      <c r="N11" s="8" t="inlineStr">
        <is>
          <t>Substitute Price</t>
        </is>
      </c>
      <c r="O11" s="8" t="inlineStr">
        <is>
          <t>CONTEXT</t>
        </is>
      </c>
      <c r="P11" s="8" t="inlineStr">
        <is>
          <t>MYR per USD</t>
        </is>
      </c>
      <c r="Q11" s="8" t="inlineStr">
        <is>
          <t>통계적 임계값</t>
        </is>
      </c>
      <c r="R11" s="8" t="inlineStr">
        <is>
          <t>C</t>
        </is>
      </c>
      <c r="S11" s="8" t="inlineStr">
        <is>
          <t>상</t>
        </is>
      </c>
      <c r="T11" s="8" t="inlineStr">
        <is>
          <t>ExchangeRate</t>
        </is>
      </c>
      <c r="U11" s="8" t="inlineStr">
        <is>
          <t>AFFECTS</t>
        </is>
      </c>
      <c r="V11" s="8" t="inlineStr">
        <is>
          <t>GH-README,GH-P101,GH-P104</t>
        </is>
      </c>
    </row>
    <row r="12" ht="42" customHeight="1">
      <c r="A12" s="8" t="inlineStr">
        <is>
          <t>TERM-011</t>
        </is>
      </c>
      <c r="B12" s="8" t="inlineStr">
        <is>
          <t>경제·무역</t>
        </is>
      </c>
      <c r="C12" s="8" t="inlineStr">
        <is>
          <t>Economy &amp; Trade</t>
        </is>
      </c>
      <c r="D12" s="8" t="inlineStr">
        <is>
          <t>외환</t>
        </is>
      </c>
      <c r="E12" s="8" t="inlineStr">
        <is>
          <t>Foreign Exchange</t>
        </is>
      </c>
      <c r="F12" s="8" t="inlineStr">
        <is>
          <t>결제시점</t>
        </is>
      </c>
      <c r="G12" s="8" t="inlineStr">
        <is>
          <t>T+2 FX Settlement Offset</t>
        </is>
      </c>
      <c r="H12" s="8" t="inlineStr">
        <is>
          <t>T+2 환율 결제 오프셋</t>
        </is>
      </c>
      <c r="I12" s="8" t="inlineStr">
        <is>
          <t>T+2 FX</t>
        </is>
      </c>
      <c r="J12" s="8" t="inlineStr">
        <is>
          <t>settlement lag</t>
        </is>
      </c>
      <c r="K12" s="8" t="inlineStr">
        <is>
          <t>BusinessRule</t>
        </is>
      </c>
      <c r="L12" s="8" t="inlineStr">
        <is>
          <t>CFR/CIF 계산 시 계약일과 실제 환율 결제일 차이를 반영하는 프로젝트 규칙이다.</t>
        </is>
      </c>
      <c r="M12" s="8" t="inlineStr">
        <is>
          <t>모든 CFR/CIF 원화 환산에서 적용하고 기준일을 기록한다.</t>
        </is>
      </c>
      <c r="N12" s="8" t="inlineStr">
        <is>
          <t>Korea Import Cost</t>
        </is>
      </c>
      <c r="O12" s="8" t="inlineStr">
        <is>
          <t>CONTEXT</t>
        </is>
      </c>
      <c r="P12" s="8" t="inlineStr">
        <is>
          <t>business days</t>
        </is>
      </c>
      <c r="Q12" s="8" t="inlineStr">
        <is>
          <t>필수 적용</t>
        </is>
      </c>
      <c r="R12" s="8" t="inlineStr">
        <is>
          <t>A</t>
        </is>
      </c>
      <c r="S12" s="8" t="inlineStr">
        <is>
          <t>중</t>
        </is>
      </c>
      <c r="T12" s="8" t="inlineStr">
        <is>
          <t>BusinessRule</t>
        </is>
      </c>
      <c r="U12" s="8" t="inlineStr">
        <is>
          <t>APPLIES_TO</t>
        </is>
      </c>
      <c r="V12" s="8" t="inlineStr">
        <is>
          <t>GH-README,GH-P101,GH-P104</t>
        </is>
      </c>
    </row>
    <row r="13" ht="42" customHeight="1">
      <c r="A13" s="8" t="inlineStr">
        <is>
          <t>TERM-012</t>
        </is>
      </c>
      <c r="B13" s="8" t="inlineStr">
        <is>
          <t>경제·무역</t>
        </is>
      </c>
      <c r="C13" s="8" t="inlineStr">
        <is>
          <t>Economy &amp; Trade</t>
        </is>
      </c>
      <c r="D13" s="8" t="inlineStr">
        <is>
          <t>국제무역</t>
        </is>
      </c>
      <c r="E13" s="8" t="inlineStr">
        <is>
          <t>International Trade</t>
        </is>
      </c>
      <c r="F13" s="8" t="inlineStr">
        <is>
          <t>교역량</t>
        </is>
      </c>
      <c r="G13" s="8" t="inlineStr">
        <is>
          <t>Import Volume</t>
        </is>
      </c>
      <c r="H13" s="8" t="inlineStr">
        <is>
          <t>수입량</t>
        </is>
      </c>
      <c r="I13" s="8" t="n"/>
      <c r="J13" s="8" t="inlineStr">
        <is>
          <t>imports; import quantity</t>
        </is>
      </c>
      <c r="K13" s="8" t="inlineStr">
        <is>
          <t>Metric</t>
        </is>
      </c>
      <c r="L13" s="8" t="inlineStr">
        <is>
          <t>특정 국가가 외국에서 들여온 품목의 물량이다.</t>
        </is>
      </c>
      <c r="M13" s="8" t="inlineStr">
        <is>
          <t>금액과 물량, 원산지와 도착지를 구분하며 단위를 정규화한다.</t>
        </is>
      </c>
      <c r="N13" s="8" t="inlineStr">
        <is>
          <t>Demand/Trade</t>
        </is>
      </c>
      <c r="O13" s="8" t="inlineStr">
        <is>
          <t>CONTEXT</t>
        </is>
      </c>
      <c r="P13" s="8" t="inlineStr">
        <is>
          <t>MT</t>
        </is>
      </c>
      <c r="Q13" s="8" t="inlineStr">
        <is>
          <t>문서별</t>
        </is>
      </c>
      <c r="R13" s="8" t="inlineStr">
        <is>
          <t>A</t>
        </is>
      </c>
      <c r="S13" s="8" t="inlineStr">
        <is>
          <t>중</t>
        </is>
      </c>
      <c r="T13" s="8" t="inlineStr">
        <is>
          <t>TradeMetric</t>
        </is>
      </c>
      <c r="U13" s="8" t="inlineStr">
        <is>
          <t>MEASURED_BY</t>
        </is>
      </c>
      <c r="V13" s="8" t="inlineStr">
        <is>
          <t>GH-README,GH-C04</t>
        </is>
      </c>
    </row>
    <row r="14" ht="42" customHeight="1">
      <c r="A14" s="8" t="inlineStr">
        <is>
          <t>TERM-013</t>
        </is>
      </c>
      <c r="B14" s="8" t="inlineStr">
        <is>
          <t>경제·무역</t>
        </is>
      </c>
      <c r="C14" s="8" t="inlineStr">
        <is>
          <t>Economy &amp; Trade</t>
        </is>
      </c>
      <c r="D14" s="8" t="inlineStr">
        <is>
          <t>국제무역</t>
        </is>
      </c>
      <c r="E14" s="8" t="inlineStr">
        <is>
          <t>International Trade</t>
        </is>
      </c>
      <c r="F14" s="8" t="inlineStr">
        <is>
          <t>교역량</t>
        </is>
      </c>
      <c r="G14" s="8" t="inlineStr">
        <is>
          <t>Export Volume</t>
        </is>
      </c>
      <c r="H14" s="8" t="inlineStr">
        <is>
          <t>수출량</t>
        </is>
      </c>
      <c r="I14" s="8" t="n"/>
      <c r="J14" s="8" t="inlineStr">
        <is>
          <t>exports; export quantity</t>
        </is>
      </c>
      <c r="K14" s="8" t="inlineStr">
        <is>
          <t>Metric</t>
        </is>
      </c>
      <c r="L14" s="8" t="inlineStr">
        <is>
          <t>특정 국가가 해외로 반출한 품목의 물량이다.</t>
        </is>
      </c>
      <c r="M14" s="8" t="inlineStr">
        <is>
          <t>생산량과 수출가능물량을 구분하고 재수출 여부를 확인한다.</t>
        </is>
      </c>
      <c r="N14" s="8" t="inlineStr">
        <is>
          <t>Supply/Trade</t>
        </is>
      </c>
      <c r="O14" s="8" t="inlineStr">
        <is>
          <t>DOWN_IF_UP</t>
        </is>
      </c>
      <c r="P14" s="8" t="inlineStr">
        <is>
          <t>MT</t>
        </is>
      </c>
      <c r="Q14" s="8" t="inlineStr">
        <is>
          <t>문서별</t>
        </is>
      </c>
      <c r="R14" s="8" t="inlineStr">
        <is>
          <t>A</t>
        </is>
      </c>
      <c r="S14" s="8" t="inlineStr">
        <is>
          <t>중</t>
        </is>
      </c>
      <c r="T14" s="8" t="inlineStr">
        <is>
          <t>TradeMetric</t>
        </is>
      </c>
      <c r="U14" s="8" t="inlineStr">
        <is>
          <t>MEASURED_BY</t>
        </is>
      </c>
      <c r="V14" s="8" t="inlineStr">
        <is>
          <t>GH-README,GH-C04</t>
        </is>
      </c>
    </row>
    <row r="15" ht="42" customHeight="1">
      <c r="A15" s="8" t="inlineStr">
        <is>
          <t>TERM-014</t>
        </is>
      </c>
      <c r="B15" s="8" t="inlineStr">
        <is>
          <t>경제·무역</t>
        </is>
      </c>
      <c r="C15" s="8" t="inlineStr">
        <is>
          <t>Economy &amp; Trade</t>
        </is>
      </c>
      <c r="D15" s="8" t="inlineStr">
        <is>
          <t>국제무역</t>
        </is>
      </c>
      <c r="E15" s="8" t="inlineStr">
        <is>
          <t>International Trade</t>
        </is>
      </c>
      <c r="F15" s="8" t="inlineStr">
        <is>
          <t>교역수지</t>
        </is>
      </c>
      <c r="G15" s="8" t="inlineStr">
        <is>
          <t>Trade Balance</t>
        </is>
      </c>
      <c r="H15" s="8" t="inlineStr">
        <is>
          <t>무역수지</t>
        </is>
      </c>
      <c r="I15" s="8" t="n"/>
      <c r="J15" s="8" t="inlineStr">
        <is>
          <t>net exports</t>
        </is>
      </c>
      <c r="K15" s="8" t="inlineStr">
        <is>
          <t>Metric</t>
        </is>
      </c>
      <c r="L15" s="8" t="inlineStr">
        <is>
          <t>수출액에서 수입액을 뺀 값이다.</t>
        </is>
      </c>
      <c r="M15" s="8" t="inlineStr">
        <is>
          <t>품목별 수급과 국가 전체 무역수지를 혼동하지 않는다.</t>
        </is>
      </c>
      <c r="N15" s="8" t="inlineStr">
        <is>
          <t>Trade</t>
        </is>
      </c>
      <c r="O15" s="8" t="inlineStr">
        <is>
          <t>CONTEXT</t>
        </is>
      </c>
      <c r="P15" s="8" t="inlineStr">
        <is>
          <t>currency</t>
        </is>
      </c>
      <c r="Q15" s="8" t="inlineStr">
        <is>
          <t>문서별</t>
        </is>
      </c>
      <c r="R15" s="8" t="inlineStr">
        <is>
          <t>C</t>
        </is>
      </c>
      <c r="S15" s="8" t="inlineStr">
        <is>
          <t>중</t>
        </is>
      </c>
      <c r="T15" s="8" t="inlineStr">
        <is>
          <t>TradeMetric</t>
        </is>
      </c>
      <c r="U15" s="8" t="inlineStr">
        <is>
          <t>MEASURED_BY</t>
        </is>
      </c>
      <c r="V15" s="8" t="inlineStr">
        <is>
          <t>GH-README,GH-C04</t>
        </is>
      </c>
    </row>
    <row r="16" ht="42" customHeight="1">
      <c r="A16" s="8" t="inlineStr">
        <is>
          <t>TERM-015</t>
        </is>
      </c>
      <c r="B16" s="8" t="inlineStr">
        <is>
          <t>경제·무역</t>
        </is>
      </c>
      <c r="C16" s="8" t="inlineStr">
        <is>
          <t>Economy &amp; Trade</t>
        </is>
      </c>
      <c r="D16" s="8" t="inlineStr">
        <is>
          <t>국제무역</t>
        </is>
      </c>
      <c r="E16" s="8" t="inlineStr">
        <is>
          <t>International Trade</t>
        </is>
      </c>
      <c r="F16" s="8" t="inlineStr">
        <is>
          <t>무역통계</t>
        </is>
      </c>
      <c r="G16" s="8" t="inlineStr">
        <is>
          <t>Global Agricultural Trade System</t>
        </is>
      </c>
      <c r="H16" s="8" t="inlineStr">
        <is>
          <t>USDA 농업무역통계 시스템</t>
        </is>
      </c>
      <c r="I16" s="8" t="inlineStr">
        <is>
          <t>GATS</t>
        </is>
      </c>
      <c r="J16" s="8" t="inlineStr">
        <is>
          <t>USDA GATS</t>
        </is>
      </c>
      <c r="K16" s="8" t="inlineStr">
        <is>
          <t>DataSource</t>
        </is>
      </c>
      <c r="L16" s="8" t="inlineStr">
        <is>
          <t>USDA의 농산물 수출입 통계 시스템이다.</t>
        </is>
      </c>
      <c r="M16" s="8" t="inlineStr">
        <is>
          <t>WASDE 전망치와 GATS 실적치를 구분한다.</t>
        </is>
      </c>
      <c r="N16" s="8" t="inlineStr">
        <is>
          <t>Trade</t>
        </is>
      </c>
      <c r="O16" s="8" t="inlineStr">
        <is>
          <t>CONTEXT</t>
        </is>
      </c>
      <c r="P16" s="8" t="inlineStr">
        <is>
          <t>various</t>
        </is>
      </c>
      <c r="Q16" s="8" t="inlineStr">
        <is>
          <t>월별/연도별</t>
        </is>
      </c>
      <c r="R16" s="8" t="inlineStr">
        <is>
          <t>B</t>
        </is>
      </c>
      <c r="S16" s="8" t="inlineStr">
        <is>
          <t>중</t>
        </is>
      </c>
      <c r="T16" s="8" t="inlineStr">
        <is>
          <t>DataSource</t>
        </is>
      </c>
      <c r="U16" s="8" t="inlineStr">
        <is>
          <t>PROVIDES</t>
        </is>
      </c>
      <c r="V16" s="8" t="inlineStr">
        <is>
          <t>GH-README,GH-C04</t>
        </is>
      </c>
    </row>
    <row r="17" ht="42" customHeight="1">
      <c r="A17" s="8" t="inlineStr">
        <is>
          <t>TERM-016</t>
        </is>
      </c>
      <c r="B17" s="8" t="inlineStr">
        <is>
          <t>농업·농기상</t>
        </is>
      </c>
      <c r="C17" s="8" t="inlineStr">
        <is>
          <t>Agriculture &amp; Agrometeorology</t>
        </is>
      </c>
      <c r="D17" s="8" t="inlineStr">
        <is>
          <t>기후지수</t>
        </is>
      </c>
      <c r="E17" s="8" t="inlineStr">
        <is>
          <t>Climate Indices</t>
        </is>
      </c>
      <c r="F17" s="8" t="inlineStr">
        <is>
          <t>대기해양</t>
        </is>
      </c>
      <c r="G17" s="8" t="inlineStr">
        <is>
          <t>El Niño–Southern Oscillation</t>
        </is>
      </c>
      <c r="H17" s="8" t="inlineStr">
        <is>
          <t>엘니뇨·남방진동</t>
        </is>
      </c>
      <c r="I17" s="8" t="inlineStr">
        <is>
          <t>ENSO</t>
        </is>
      </c>
      <c r="J17" s="8" t="inlineStr">
        <is>
          <t>El Nino Southern Oscillation</t>
        </is>
      </c>
      <c r="K17" s="8" t="inlineStr">
        <is>
          <t>ClimatePattern</t>
        </is>
      </c>
      <c r="L17" s="8" t="inlineStr">
        <is>
          <t>열대 태평양 해수면온도와 대기 순환의 결합 변동이다.</t>
        </is>
      </c>
      <c r="M17" s="8" t="inlineStr">
        <is>
          <t>단일 방향 가격 신호가 아니며 발생 지역·작기·강도와 연결한다.</t>
        </is>
      </c>
      <c r="N17" s="8" t="inlineStr">
        <is>
          <t>Yield</t>
        </is>
      </c>
      <c r="O17" s="8" t="inlineStr">
        <is>
          <t>CONTEXT</t>
        </is>
      </c>
      <c r="P17" s="8" t="inlineStr">
        <is>
          <t>phase/index</t>
        </is>
      </c>
      <c r="Q17" s="8" t="inlineStr">
        <is>
          <t>ONI 기준</t>
        </is>
      </c>
      <c r="R17" s="8" t="inlineStr">
        <is>
          <t>A</t>
        </is>
      </c>
      <c r="S17" s="8" t="inlineStr">
        <is>
          <t>상</t>
        </is>
      </c>
      <c r="T17" s="8" t="inlineStr">
        <is>
          <t>ClimatePattern</t>
        </is>
      </c>
      <c r="U17" s="8" t="inlineStr">
        <is>
          <t>AFFECTS</t>
        </is>
      </c>
      <c r="V17" s="8" t="inlineStr">
        <is>
          <t>GH-README,GH-P103</t>
        </is>
      </c>
    </row>
    <row r="18" ht="42" customHeight="1">
      <c r="A18" s="8" t="inlineStr">
        <is>
          <t>TERM-017</t>
        </is>
      </c>
      <c r="B18" s="8" t="inlineStr">
        <is>
          <t>농업·농기상</t>
        </is>
      </c>
      <c r="C18" s="8" t="inlineStr">
        <is>
          <t>Agriculture &amp; Agrometeorology</t>
        </is>
      </c>
      <c r="D18" s="8" t="inlineStr">
        <is>
          <t>기후지수</t>
        </is>
      </c>
      <c r="E18" s="8" t="inlineStr">
        <is>
          <t>Climate Indices</t>
        </is>
      </c>
      <c r="F18" s="8" t="inlineStr">
        <is>
          <t>대기해양</t>
        </is>
      </c>
      <c r="G18" s="8" t="inlineStr">
        <is>
          <t>Oceanic Niño Index</t>
        </is>
      </c>
      <c r="H18" s="8" t="inlineStr">
        <is>
          <t>해양니뇨지수</t>
        </is>
      </c>
      <c r="I18" s="8" t="inlineStr">
        <is>
          <t>ONI</t>
        </is>
      </c>
      <c r="J18" s="8" t="inlineStr">
        <is>
          <t>ENSO ONI</t>
        </is>
      </c>
      <c r="K18" s="8" t="inlineStr">
        <is>
          <t>Indicator</t>
        </is>
      </c>
      <c r="L18" s="8" t="inlineStr">
        <is>
          <t>ENSO 위상을 판정하는 3개월 이동 평균 해수면온도 편차 지표다.</t>
        </is>
      </c>
      <c r="M18" s="8" t="inlineStr">
        <is>
          <t>지속기간과 기준구역을 확인하고 단발 월 수치로 위상을 단정하지 않는다.</t>
        </is>
      </c>
      <c r="N18" s="8" t="inlineStr">
        <is>
          <t>Yield</t>
        </is>
      </c>
      <c r="O18" s="8" t="inlineStr">
        <is>
          <t>CONTEXT</t>
        </is>
      </c>
      <c r="P18" s="8" t="inlineStr">
        <is>
          <t>°C anomaly</t>
        </is>
      </c>
      <c r="Q18" s="8" t="inlineStr">
        <is>
          <t>≤-0.5 La Niña; ≥+0.5 El Niño</t>
        </is>
      </c>
      <c r="R18" s="8" t="inlineStr">
        <is>
          <t>A</t>
        </is>
      </c>
      <c r="S18" s="8" t="inlineStr">
        <is>
          <t>중</t>
        </is>
      </c>
      <c r="T18" s="8" t="inlineStr">
        <is>
          <t>ClimateIndicator</t>
        </is>
      </c>
      <c r="U18" s="8" t="inlineStr">
        <is>
          <t>MEASURED_BY</t>
        </is>
      </c>
      <c r="V18" s="8" t="inlineStr">
        <is>
          <t>GH-README,GH-P103</t>
        </is>
      </c>
    </row>
    <row r="19" ht="42" customHeight="1">
      <c r="A19" s="8" t="inlineStr">
        <is>
          <t>TERM-018</t>
        </is>
      </c>
      <c r="B19" s="8" t="inlineStr">
        <is>
          <t>농업·농기상</t>
        </is>
      </c>
      <c r="C19" s="8" t="inlineStr">
        <is>
          <t>Agriculture &amp; Agrometeorology</t>
        </is>
      </c>
      <c r="D19" s="8" t="inlineStr">
        <is>
          <t>기후지수</t>
        </is>
      </c>
      <c r="E19" s="8" t="inlineStr">
        <is>
          <t>Climate Indices</t>
        </is>
      </c>
      <c r="F19" s="8" t="inlineStr">
        <is>
          <t>ENSO 위상</t>
        </is>
      </c>
      <c r="G19" s="8" t="inlineStr">
        <is>
          <t>El Niño</t>
        </is>
      </c>
      <c r="H19" s="8" t="inlineStr">
        <is>
          <t>엘니뇨</t>
        </is>
      </c>
      <c r="I19" s="8" t="n"/>
      <c r="J19" s="8" t="inlineStr">
        <is>
          <t>warm phase</t>
        </is>
      </c>
      <c r="K19" s="8" t="inlineStr">
        <is>
          <t>ClimatePattern</t>
        </is>
      </c>
      <c r="L19" s="8" t="inlineStr">
        <is>
          <t>ENSO의 온난 위상이다.</t>
        </is>
      </c>
      <c r="M19" s="8" t="inlineStr">
        <is>
          <t>원산지별 강수·기온 영향이 다르므로 일반화하지 않는다.</t>
        </is>
      </c>
      <c r="N19" s="8" t="inlineStr">
        <is>
          <t>Yield</t>
        </is>
      </c>
      <c r="O19" s="8" t="inlineStr">
        <is>
          <t>CONTEXT</t>
        </is>
      </c>
      <c r="P19" s="8" t="inlineStr">
        <is>
          <t>phase</t>
        </is>
      </c>
      <c r="Q19" s="8" t="inlineStr">
        <is>
          <t>ONI ≥+0.5</t>
        </is>
      </c>
      <c r="R19" s="8" t="inlineStr">
        <is>
          <t>B</t>
        </is>
      </c>
      <c r="S19" s="8" t="inlineStr">
        <is>
          <t>상</t>
        </is>
      </c>
      <c r="T19" s="8" t="inlineStr">
        <is>
          <t>ClimatePattern</t>
        </is>
      </c>
      <c r="U19" s="8" t="inlineStr">
        <is>
          <t>AFFECTS</t>
        </is>
      </c>
      <c r="V19" s="8" t="inlineStr">
        <is>
          <t>GH-README,GH-P103</t>
        </is>
      </c>
    </row>
    <row r="20" ht="42" customHeight="1">
      <c r="A20" s="8" t="inlineStr">
        <is>
          <t>TERM-019</t>
        </is>
      </c>
      <c r="B20" s="8" t="inlineStr">
        <is>
          <t>농업·농기상</t>
        </is>
      </c>
      <c r="C20" s="8" t="inlineStr">
        <is>
          <t>Agriculture &amp; Agrometeorology</t>
        </is>
      </c>
      <c r="D20" s="8" t="inlineStr">
        <is>
          <t>기후지수</t>
        </is>
      </c>
      <c r="E20" s="8" t="inlineStr">
        <is>
          <t>Climate Indices</t>
        </is>
      </c>
      <c r="F20" s="8" t="inlineStr">
        <is>
          <t>ENSO 위상</t>
        </is>
      </c>
      <c r="G20" s="8" t="inlineStr">
        <is>
          <t>La Niña</t>
        </is>
      </c>
      <c r="H20" s="8" t="inlineStr">
        <is>
          <t>라니냐</t>
        </is>
      </c>
      <c r="I20" s="8" t="n"/>
      <c r="J20" s="8" t="inlineStr">
        <is>
          <t>cold phase; La Nina</t>
        </is>
      </c>
      <c r="K20" s="8" t="inlineStr">
        <is>
          <t>ClimatePattern</t>
        </is>
      </c>
      <c r="L20" s="8" t="inlineStr">
        <is>
          <t>ENSO의 한랭 위상으로 남미 대두 작황 위험과 자주 연결된다.</t>
        </is>
      </c>
      <c r="M20" s="8" t="inlineStr">
        <is>
          <t>프로젝트에서는 남미 수율 하방 가능성을 중점 감시하되 실제 강수 근거를 함께 요구한다.</t>
        </is>
      </c>
      <c r="N20" s="8" t="inlineStr">
        <is>
          <t>Yield</t>
        </is>
      </c>
      <c r="O20" s="8" t="inlineStr">
        <is>
          <t>UP_RISK</t>
        </is>
      </c>
      <c r="P20" s="8" t="inlineStr">
        <is>
          <t>phase</t>
        </is>
      </c>
      <c r="Q20" s="8" t="inlineStr">
        <is>
          <t>ONI ≤-0.5</t>
        </is>
      </c>
      <c r="R20" s="8" t="inlineStr">
        <is>
          <t>A</t>
        </is>
      </c>
      <c r="S20" s="8" t="inlineStr">
        <is>
          <t>중</t>
        </is>
      </c>
      <c r="T20" s="8" t="inlineStr">
        <is>
          <t>ClimatePattern</t>
        </is>
      </c>
      <c r="U20" s="8" t="inlineStr">
        <is>
          <t>AFFECTS</t>
        </is>
      </c>
      <c r="V20" s="8" t="inlineStr">
        <is>
          <t>GH-README,GH-P103</t>
        </is>
      </c>
    </row>
    <row r="21" ht="42" customHeight="1">
      <c r="A21" s="8" t="inlineStr">
        <is>
          <t>TERM-020</t>
        </is>
      </c>
      <c r="B21" s="8" t="inlineStr">
        <is>
          <t>농업·농기상</t>
        </is>
      </c>
      <c r="C21" s="8" t="inlineStr">
        <is>
          <t>Agriculture &amp; Agrometeorology</t>
        </is>
      </c>
      <c r="D21" s="8" t="inlineStr">
        <is>
          <t>기후지수</t>
        </is>
      </c>
      <c r="E21" s="8" t="inlineStr">
        <is>
          <t>Climate Indices</t>
        </is>
      </c>
      <c r="F21" s="8" t="inlineStr">
        <is>
          <t>가뭄지수</t>
        </is>
      </c>
      <c r="G21" s="8" t="inlineStr">
        <is>
          <t>Standardized Precipitation Index</t>
        </is>
      </c>
      <c r="H21" s="8" t="inlineStr">
        <is>
          <t>표준강수지수</t>
        </is>
      </c>
      <c r="I21" s="8" t="inlineStr">
        <is>
          <t>SPI</t>
        </is>
      </c>
      <c r="J21" s="8" t="inlineStr">
        <is>
          <t>drought index</t>
        </is>
      </c>
      <c r="K21" s="8" t="inlineStr">
        <is>
          <t>Indicator</t>
        </is>
      </c>
      <c r="L21" s="8" t="inlineStr">
        <is>
          <t>기간별 강수 부족·과잉을 표준화한 지수다.</t>
        </is>
      </c>
      <c r="M21" s="8" t="inlineStr">
        <is>
          <t>집계기간(예: 60일)을 반드시 저장한다.</t>
        </is>
      </c>
      <c r="N21" s="8" t="inlineStr">
        <is>
          <t>Yield</t>
        </is>
      </c>
      <c r="O21" s="8" t="inlineStr">
        <is>
          <t>UP_RISK</t>
        </is>
      </c>
      <c r="P21" s="8" t="inlineStr">
        <is>
          <t>z-score</t>
        </is>
      </c>
      <c r="Q21" s="8" t="inlineStr">
        <is>
          <t>SPI &lt;-1.5 for 60 days</t>
        </is>
      </c>
      <c r="R21" s="8" t="inlineStr">
        <is>
          <t>A</t>
        </is>
      </c>
      <c r="S21" s="8" t="inlineStr">
        <is>
          <t>중</t>
        </is>
      </c>
      <c r="T21" s="8" t="inlineStr">
        <is>
          <t>ClimateIndicator</t>
        </is>
      </c>
      <c r="U21" s="8" t="inlineStr">
        <is>
          <t>MEASURED_BY</t>
        </is>
      </c>
      <c r="V21" s="8" t="inlineStr">
        <is>
          <t>GH-README,GH-P103</t>
        </is>
      </c>
    </row>
    <row r="22" ht="42" customHeight="1">
      <c r="A22" s="8" t="inlineStr">
        <is>
          <t>TERM-021</t>
        </is>
      </c>
      <c r="B22" s="8" t="inlineStr">
        <is>
          <t>농업·농기상</t>
        </is>
      </c>
      <c r="C22" s="8" t="inlineStr">
        <is>
          <t>Agriculture &amp; Agrometeorology</t>
        </is>
      </c>
      <c r="D22" s="8" t="inlineStr">
        <is>
          <t>이상기상</t>
        </is>
      </c>
      <c r="E22" s="8" t="inlineStr">
        <is>
          <t>Weather Anomalies</t>
        </is>
      </c>
      <c r="F22" s="8" t="inlineStr">
        <is>
          <t>수분부족</t>
        </is>
      </c>
      <c r="G22" s="8" t="inlineStr">
        <is>
          <t>Precipitation Deficit</t>
        </is>
      </c>
      <c r="H22" s="8" t="inlineStr">
        <is>
          <t>강수 부족</t>
        </is>
      </c>
      <c r="I22" s="8" t="n"/>
      <c r="J22" s="8" t="inlineStr">
        <is>
          <t>rainfall deficit; precipitation anomaly</t>
        </is>
      </c>
      <c r="K22" s="8" t="inlineStr">
        <is>
          <t>WeatherEvent</t>
        </is>
      </c>
      <c r="L22" s="8" t="inlineStr">
        <is>
          <t>평년 대비 일정 기간의 누적 강수 부족이다.</t>
        </is>
      </c>
      <c r="M22" s="8" t="inlineStr">
        <is>
          <t>기간과 평년 기준을 함께 기록한다.</t>
        </is>
      </c>
      <c r="N22" s="8" t="inlineStr">
        <is>
          <t>Yield</t>
        </is>
      </c>
      <c r="O22" s="8" t="inlineStr">
        <is>
          <t>UP_RISK</t>
        </is>
      </c>
      <c r="P22" s="8" t="inlineStr">
        <is>
          <t>% below normal</t>
        </is>
      </c>
      <c r="Q22" s="8" t="inlineStr">
        <is>
          <t>Iowa 30-day &gt;40% below normal</t>
        </is>
      </c>
      <c r="R22" s="8" t="inlineStr">
        <is>
          <t>A</t>
        </is>
      </c>
      <c r="S22" s="8" t="inlineStr">
        <is>
          <t>중</t>
        </is>
      </c>
      <c r="T22" s="8" t="inlineStr">
        <is>
          <t>WeatherEvent</t>
        </is>
      </c>
      <c r="U22" s="8" t="inlineStr">
        <is>
          <t>AFFECTS</t>
        </is>
      </c>
      <c r="V22" s="8" t="inlineStr">
        <is>
          <t>GH-P103,GH-TEMPLATE</t>
        </is>
      </c>
    </row>
    <row r="23" ht="42" customHeight="1">
      <c r="A23" s="8" t="inlineStr">
        <is>
          <t>TERM-022</t>
        </is>
      </c>
      <c r="B23" s="8" t="inlineStr">
        <is>
          <t>농업·농기상</t>
        </is>
      </c>
      <c r="C23" s="8" t="inlineStr">
        <is>
          <t>Agriculture &amp; Agrometeorology</t>
        </is>
      </c>
      <c r="D23" s="8" t="inlineStr">
        <is>
          <t>이상기상</t>
        </is>
      </c>
      <c r="E23" s="8" t="inlineStr">
        <is>
          <t>Weather Anomalies</t>
        </is>
      </c>
      <c r="F23" s="8" t="inlineStr">
        <is>
          <t>고온</t>
        </is>
      </c>
      <c r="G23" s="8" t="inlineStr">
        <is>
          <t>Temperature Anomaly</t>
        </is>
      </c>
      <c r="H23" s="8" t="inlineStr">
        <is>
          <t>기온 편차</t>
        </is>
      </c>
      <c r="I23" s="8" t="n"/>
      <c r="J23" s="8" t="inlineStr">
        <is>
          <t>heat anomaly</t>
        </is>
      </c>
      <c r="K23" s="8" t="inlineStr">
        <is>
          <t>WeatherEvent</t>
        </is>
      </c>
      <c r="L23" s="8" t="inlineStr">
        <is>
          <t>평년 대비 기온의 편차다.</t>
        </is>
      </c>
      <c r="M23" s="8" t="inlineStr">
        <is>
          <t>평균·최고기온과 기준기간을 구분한다.</t>
        </is>
      </c>
      <c r="N23" s="8" t="inlineStr">
        <is>
          <t>Yield</t>
        </is>
      </c>
      <c r="O23" s="8" t="inlineStr">
        <is>
          <t>UP_RISK</t>
        </is>
      </c>
      <c r="P23" s="8" t="inlineStr">
        <is>
          <t>°C anomaly</t>
        </is>
      </c>
      <c r="Q23" s="8" t="inlineStr">
        <is>
          <t>pollination &gt;+2°C</t>
        </is>
      </c>
      <c r="R23" s="8" t="inlineStr">
        <is>
          <t>A</t>
        </is>
      </c>
      <c r="S23" s="8" t="inlineStr">
        <is>
          <t>중</t>
        </is>
      </c>
      <c r="T23" s="8" t="inlineStr">
        <is>
          <t>WeatherEvent</t>
        </is>
      </c>
      <c r="U23" s="8" t="inlineStr">
        <is>
          <t>AFFECTS</t>
        </is>
      </c>
      <c r="V23" s="8" t="inlineStr">
        <is>
          <t>GH-P103,GH-TEMPLATE</t>
        </is>
      </c>
    </row>
    <row r="24" ht="42" customHeight="1">
      <c r="A24" s="8" t="inlineStr">
        <is>
          <t>TERM-023</t>
        </is>
      </c>
      <c r="B24" s="8" t="inlineStr">
        <is>
          <t>농업·농기상</t>
        </is>
      </c>
      <c r="C24" s="8" t="inlineStr">
        <is>
          <t>Agriculture &amp; Agrometeorology</t>
        </is>
      </c>
      <c r="D24" s="8" t="inlineStr">
        <is>
          <t>이상기상</t>
        </is>
      </c>
      <c r="E24" s="8" t="inlineStr">
        <is>
          <t>Weather Anomalies</t>
        </is>
      </c>
      <c r="F24" s="8" t="inlineStr">
        <is>
          <t>고온</t>
        </is>
      </c>
      <c r="G24" s="8" t="inlineStr">
        <is>
          <t>Heatwave</t>
        </is>
      </c>
      <c r="H24" s="8" t="inlineStr">
        <is>
          <t>폭염</t>
        </is>
      </c>
      <c r="I24" s="8" t="n"/>
      <c r="J24" s="8" t="inlineStr">
        <is>
          <t>extreme heat</t>
        </is>
      </c>
      <c r="K24" s="8" t="inlineStr">
        <is>
          <t>WeatherEvent</t>
        </is>
      </c>
      <c r="L24" s="8" t="inlineStr">
        <is>
          <t>고온이 일정 기간 지속되는 극한기상 사건이다.</t>
        </is>
      </c>
      <c r="M24" s="8" t="inlineStr">
        <is>
          <t>온도와 지속일수, 생육단계를 함께 요구한다.</t>
        </is>
      </c>
      <c r="N24" s="8" t="inlineStr">
        <is>
          <t>Yield</t>
        </is>
      </c>
      <c r="O24" s="8" t="inlineStr">
        <is>
          <t>UP_RISK</t>
        </is>
      </c>
      <c r="P24" s="8" t="inlineStr">
        <is>
          <t>°C/days</t>
        </is>
      </c>
      <c r="Q24" s="8" t="inlineStr">
        <is>
          <t>Mato Grosso &gt;38°C for 5+ days</t>
        </is>
      </c>
      <c r="R24" s="8" t="inlineStr">
        <is>
          <t>A</t>
        </is>
      </c>
      <c r="S24" s="8" t="inlineStr">
        <is>
          <t>중</t>
        </is>
      </c>
      <c r="T24" s="8" t="inlineStr">
        <is>
          <t>WeatherEvent</t>
        </is>
      </c>
      <c r="U24" s="8" t="inlineStr">
        <is>
          <t>AFFECTS</t>
        </is>
      </c>
      <c r="V24" s="8" t="inlineStr">
        <is>
          <t>GH-P103,GH-TEMPLATE</t>
        </is>
      </c>
    </row>
    <row r="25" ht="42" customHeight="1">
      <c r="A25" s="8" t="inlineStr">
        <is>
          <t>TERM-024</t>
        </is>
      </c>
      <c r="B25" s="8" t="inlineStr">
        <is>
          <t>농업·농기상</t>
        </is>
      </c>
      <c r="C25" s="8" t="inlineStr">
        <is>
          <t>Agriculture &amp; Agrometeorology</t>
        </is>
      </c>
      <c r="D25" s="8" t="inlineStr">
        <is>
          <t>이상기상</t>
        </is>
      </c>
      <c r="E25" s="8" t="inlineStr">
        <is>
          <t>Weather Anomalies</t>
        </is>
      </c>
      <c r="F25" s="8" t="inlineStr">
        <is>
          <t>수분부족</t>
        </is>
      </c>
      <c r="G25" s="8" t="inlineStr">
        <is>
          <t>Drought</t>
        </is>
      </c>
      <c r="H25" s="8" t="inlineStr">
        <is>
          <t>가뭄</t>
        </is>
      </c>
      <c r="I25" s="8" t="n"/>
      <c r="J25" s="8" t="inlineStr">
        <is>
          <t>meteorological drought; agricultural drought</t>
        </is>
      </c>
      <c r="K25" s="8" t="inlineStr">
        <is>
          <t>WeatherEvent</t>
        </is>
      </c>
      <c r="L25" s="8" t="inlineStr">
        <is>
          <t>강수·토양수분 부족이 작물 생육을 제약하는 상태다.</t>
        </is>
      </c>
      <c r="M25" s="8" t="inlineStr">
        <is>
          <t>기상가뭄과 농업가뭄을 구분하고 지수·지역 근거를 요구한다.</t>
        </is>
      </c>
      <c r="N25" s="8" t="inlineStr">
        <is>
          <t>Yield</t>
        </is>
      </c>
      <c r="O25" s="8" t="inlineStr">
        <is>
          <t>UP_RISK</t>
        </is>
      </c>
      <c r="P25" s="8" t="inlineStr">
        <is>
          <t>category/index</t>
        </is>
      </c>
      <c r="Q25" s="8" t="inlineStr">
        <is>
          <t>SPI/soil moisture 기준</t>
        </is>
      </c>
      <c r="R25" s="8" t="inlineStr">
        <is>
          <t>A</t>
        </is>
      </c>
      <c r="S25" s="8" t="inlineStr">
        <is>
          <t>상</t>
        </is>
      </c>
      <c r="T25" s="8" t="inlineStr">
        <is>
          <t>WeatherEvent</t>
        </is>
      </c>
      <c r="U25" s="8" t="inlineStr">
        <is>
          <t>AFFECTS</t>
        </is>
      </c>
      <c r="V25" s="8" t="inlineStr">
        <is>
          <t>GH-P103,GH-TEMPLATE</t>
        </is>
      </c>
    </row>
    <row r="26" ht="42" customHeight="1">
      <c r="A26" s="8" t="inlineStr">
        <is>
          <t>TERM-025</t>
        </is>
      </c>
      <c r="B26" s="8" t="inlineStr">
        <is>
          <t>농업·농기상</t>
        </is>
      </c>
      <c r="C26" s="8" t="inlineStr">
        <is>
          <t>Agriculture &amp; Agrometeorology</t>
        </is>
      </c>
      <c r="D26" s="8" t="inlineStr">
        <is>
          <t>이상기상</t>
        </is>
      </c>
      <c r="E26" s="8" t="inlineStr">
        <is>
          <t>Weather Anomalies</t>
        </is>
      </c>
      <c r="F26" s="8" t="inlineStr">
        <is>
          <t>수분과잉</t>
        </is>
      </c>
      <c r="G26" s="8" t="inlineStr">
        <is>
          <t>Flood</t>
        </is>
      </c>
      <c r="H26" s="8" t="inlineStr">
        <is>
          <t>홍수</t>
        </is>
      </c>
      <c r="I26" s="8" t="n"/>
      <c r="J26" s="8" t="inlineStr">
        <is>
          <t>inundation; excess rainfall</t>
        </is>
      </c>
      <c r="K26" s="8" t="inlineStr">
        <is>
          <t>WeatherEvent</t>
        </is>
      </c>
      <c r="L26" s="8" t="inlineStr">
        <is>
          <t>침수 또는 과도한 강수로 파종·수확·물류를 방해하는 사건이다.</t>
        </is>
      </c>
      <c r="M26" s="8" t="inlineStr">
        <is>
          <t>작황 피해와 항만·내륙운송 피해를 분리한다.</t>
        </is>
      </c>
      <c r="N26" s="8" t="inlineStr">
        <is>
          <t>Yield/Logistics</t>
        </is>
      </c>
      <c r="O26" s="8" t="inlineStr">
        <is>
          <t>UP_RISK</t>
        </is>
      </c>
      <c r="P26" s="8" t="inlineStr">
        <is>
          <t>event</t>
        </is>
      </c>
      <c r="Q26" s="8" t="inlineStr">
        <is>
          <t>문서별</t>
        </is>
      </c>
      <c r="R26" s="8" t="inlineStr">
        <is>
          <t>B</t>
        </is>
      </c>
      <c r="S26" s="8" t="inlineStr">
        <is>
          <t>중</t>
        </is>
      </c>
      <c r="T26" s="8" t="inlineStr">
        <is>
          <t>WeatherEvent</t>
        </is>
      </c>
      <c r="U26" s="8" t="inlineStr">
        <is>
          <t>AFFECTS</t>
        </is>
      </c>
      <c r="V26" s="8" t="inlineStr">
        <is>
          <t>GH-P103,GH-TEMPLATE</t>
        </is>
      </c>
    </row>
    <row r="27" ht="42" customHeight="1">
      <c r="A27" s="8" t="inlineStr">
        <is>
          <t>TERM-026</t>
        </is>
      </c>
      <c r="B27" s="8" t="inlineStr">
        <is>
          <t>농업·농기상</t>
        </is>
      </c>
      <c r="C27" s="8" t="inlineStr">
        <is>
          <t>Agriculture &amp; Agrometeorology</t>
        </is>
      </c>
      <c r="D27" s="8" t="inlineStr">
        <is>
          <t>이상기상</t>
        </is>
      </c>
      <c r="E27" s="8" t="inlineStr">
        <is>
          <t>Weather Anomalies</t>
        </is>
      </c>
      <c r="F27" s="8" t="inlineStr">
        <is>
          <t>토양</t>
        </is>
      </c>
      <c r="G27" s="8" t="inlineStr">
        <is>
          <t>Soil Moisture Percentile</t>
        </is>
      </c>
      <c r="H27" s="8" t="inlineStr">
        <is>
          <t>토양수분 백분위</t>
        </is>
      </c>
      <c r="I27" s="8" t="n"/>
      <c r="J27" s="8" t="inlineStr">
        <is>
          <t>soil moisture</t>
        </is>
      </c>
      <c r="K27" s="8" t="inlineStr">
        <is>
          <t>Indicator</t>
        </is>
      </c>
      <c r="L27" s="8" t="inlineStr">
        <is>
          <t>과거 분포에서 현재 토양수분의 상대적 위치다.</t>
        </is>
      </c>
      <c r="M27" s="8" t="inlineStr">
        <is>
          <t>절대 수분함량과 백분위를 구분한다.</t>
        </is>
      </c>
      <c r="N27" s="8" t="inlineStr">
        <is>
          <t>Yield</t>
        </is>
      </c>
      <c r="O27" s="8" t="inlineStr">
        <is>
          <t>UP_RISK</t>
        </is>
      </c>
      <c r="P27" s="8" t="inlineStr">
        <is>
          <t>percentile</t>
        </is>
      </c>
      <c r="Q27" s="8" t="inlineStr">
        <is>
          <t>Córdoba &lt;25th percentile</t>
        </is>
      </c>
      <c r="R27" s="8" t="inlineStr">
        <is>
          <t>A</t>
        </is>
      </c>
      <c r="S27" s="8" t="inlineStr">
        <is>
          <t>중</t>
        </is>
      </c>
      <c r="T27" s="8" t="inlineStr">
        <is>
          <t>ClimateIndicator</t>
        </is>
      </c>
      <c r="U27" s="8" t="inlineStr">
        <is>
          <t>MEASURED_BY</t>
        </is>
      </c>
      <c r="V27" s="8" t="inlineStr">
        <is>
          <t>GH-P103,GH-TEMPLATE</t>
        </is>
      </c>
    </row>
    <row r="28" ht="42" customHeight="1">
      <c r="A28" s="8" t="inlineStr">
        <is>
          <t>TERM-027</t>
        </is>
      </c>
      <c r="B28" s="8" t="inlineStr">
        <is>
          <t>농업·농기상</t>
        </is>
      </c>
      <c r="C28" s="8" t="inlineStr">
        <is>
          <t>Agriculture &amp; Agrometeorology</t>
        </is>
      </c>
      <c r="D28" s="8" t="inlineStr">
        <is>
          <t>이상기상</t>
        </is>
      </c>
      <c r="E28" s="8" t="inlineStr">
        <is>
          <t>Weather Anomalies</t>
        </is>
      </c>
      <c r="F28" s="8" t="inlineStr">
        <is>
          <t>복합재해</t>
        </is>
      </c>
      <c r="G28" s="8" t="inlineStr">
        <is>
          <t>Extreme Weather Event</t>
        </is>
      </c>
      <c r="H28" s="8" t="inlineStr">
        <is>
          <t>극한기상 사건</t>
        </is>
      </c>
      <c r="I28" s="8" t="n"/>
      <c r="J28" s="8" t="inlineStr">
        <is>
          <t>climate shock</t>
        </is>
      </c>
      <c r="K28" s="8" t="inlineStr">
        <is>
          <t>EventType</t>
        </is>
      </c>
      <c r="L28" s="8" t="inlineStr">
        <is>
          <t>폭염·가뭄·홍수·태풍 등 정상범위를 크게 벗어난 사건의 상위 분류다.</t>
        </is>
      </c>
      <c r="M28" s="8" t="inlineStr">
        <is>
          <t>구체 사건 유형과 지리·기간을 반드시 하위 속성으로 기록한다.</t>
        </is>
      </c>
      <c r="N28" s="8" t="inlineStr">
        <is>
          <t>Supply/Logistics</t>
        </is>
      </c>
      <c r="O28" s="8" t="inlineStr">
        <is>
          <t>UP_RISK</t>
        </is>
      </c>
      <c r="P28" s="8" t="inlineStr">
        <is>
          <t>event</t>
        </is>
      </c>
      <c r="Q28" s="8" t="inlineStr">
        <is>
          <t>문서별</t>
        </is>
      </c>
      <c r="R28" s="8" t="inlineStr">
        <is>
          <t>A</t>
        </is>
      </c>
      <c r="S28" s="8" t="inlineStr">
        <is>
          <t>상</t>
        </is>
      </c>
      <c r="T28" s="8" t="inlineStr">
        <is>
          <t>EventType</t>
        </is>
      </c>
      <c r="U28" s="8" t="inlineStr">
        <is>
          <t>CLASSIFIES</t>
        </is>
      </c>
      <c r="V28" s="8" t="inlineStr">
        <is>
          <t>GH-P103,GH-TEMPLATE</t>
        </is>
      </c>
    </row>
    <row r="29" ht="42" customHeight="1">
      <c r="A29" s="8" t="inlineStr">
        <is>
          <t>TERM-028</t>
        </is>
      </c>
      <c r="B29" s="8" t="inlineStr">
        <is>
          <t>농업·농기상</t>
        </is>
      </c>
      <c r="C29" s="8" t="inlineStr">
        <is>
          <t>Agriculture &amp; Agrometeorology</t>
        </is>
      </c>
      <c r="D29" s="8" t="inlineStr">
        <is>
          <t>생육·생산</t>
        </is>
      </c>
      <c r="E29" s="8" t="inlineStr">
        <is>
          <t>Crop Growth &amp; Production</t>
        </is>
      </c>
      <c r="F29" s="8" t="inlineStr">
        <is>
          <t>생육단계</t>
        </is>
      </c>
      <c r="G29" s="8" t="inlineStr">
        <is>
          <t>Pollination Window</t>
        </is>
      </c>
      <c r="H29" s="8" t="inlineStr">
        <is>
          <t>수분기</t>
        </is>
      </c>
      <c r="I29" s="8" t="n"/>
      <c r="J29" s="8" t="inlineStr">
        <is>
          <t>flowering period</t>
        </is>
      </c>
      <c r="K29" s="8" t="inlineStr">
        <is>
          <t>CropStage</t>
        </is>
      </c>
      <c r="L29" s="8" t="inlineStr">
        <is>
          <t>수량이 고온·수분 스트레스에 특히 민감한 개화·수분 시기다.</t>
        </is>
      </c>
      <c r="M29" s="8" t="inlineStr">
        <is>
          <t>미국과 남미의 월이 다르므로 지역별 달력을 사용한다.</t>
        </is>
      </c>
      <c r="N29" s="8" t="inlineStr">
        <is>
          <t>Yield</t>
        </is>
      </c>
      <c r="O29" s="8" t="inlineStr">
        <is>
          <t>UP_RISK</t>
        </is>
      </c>
      <c r="P29" s="8" t="inlineStr">
        <is>
          <t>date range</t>
        </is>
      </c>
      <c r="Q29" s="8" t="inlineStr">
        <is>
          <t>US Jul-Aug; BR/AR Jan-Feb</t>
        </is>
      </c>
      <c r="R29" s="8" t="inlineStr">
        <is>
          <t>A</t>
        </is>
      </c>
      <c r="S29" s="8" t="inlineStr">
        <is>
          <t>상</t>
        </is>
      </c>
      <c r="T29" s="8" t="inlineStr">
        <is>
          <t>CropStage</t>
        </is>
      </c>
      <c r="U29" s="8" t="inlineStr">
        <is>
          <t>OCCURS_DURING</t>
        </is>
      </c>
      <c r="V29" s="8" t="inlineStr">
        <is>
          <t>GH-P103,GH-C04,GH-README</t>
        </is>
      </c>
    </row>
    <row r="30" ht="42" customHeight="1">
      <c r="A30" s="8" t="inlineStr">
        <is>
          <t>TERM-029</t>
        </is>
      </c>
      <c r="B30" s="8" t="inlineStr">
        <is>
          <t>농업·농기상</t>
        </is>
      </c>
      <c r="C30" s="8" t="inlineStr">
        <is>
          <t>Agriculture &amp; Agrometeorology</t>
        </is>
      </c>
      <c r="D30" s="8" t="inlineStr">
        <is>
          <t>생육·생산</t>
        </is>
      </c>
      <c r="E30" s="8" t="inlineStr">
        <is>
          <t>Crop Growth &amp; Production</t>
        </is>
      </c>
      <c r="F30" s="8" t="inlineStr">
        <is>
          <t>생산성</t>
        </is>
      </c>
      <c r="G30" s="8" t="inlineStr">
        <is>
          <t>Crop Yield</t>
        </is>
      </c>
      <c r="H30" s="8" t="inlineStr">
        <is>
          <t>작물 수율</t>
        </is>
      </c>
      <c r="I30" s="8" t="n"/>
      <c r="J30" s="8" t="inlineStr">
        <is>
          <t>yield per hectare; bushels per acre</t>
        </is>
      </c>
      <c r="K30" s="8" t="inlineStr">
        <is>
          <t>Metric</t>
        </is>
      </c>
      <c r="L30" s="8" t="inlineStr">
        <is>
          <t>단위면적당 수확량이다.</t>
        </is>
      </c>
      <c r="M30" s="8" t="inlineStr">
        <is>
          <t>총생산량과 구분하고 단위 변환 근거를 보존한다.</t>
        </is>
      </c>
      <c r="N30" s="8" t="inlineStr">
        <is>
          <t>Supply</t>
        </is>
      </c>
      <c r="O30" s="8" t="inlineStr">
        <is>
          <t>DOWN_IF_UP</t>
        </is>
      </c>
      <c r="P30" s="8" t="inlineStr">
        <is>
          <t>t/ha or bu/acre</t>
        </is>
      </c>
      <c r="Q30" s="8" t="inlineStr">
        <is>
          <t>문서별</t>
        </is>
      </c>
      <c r="R30" s="8" t="inlineStr">
        <is>
          <t>A</t>
        </is>
      </c>
      <c r="S30" s="8" t="inlineStr">
        <is>
          <t>상</t>
        </is>
      </c>
      <c r="T30" s="8" t="inlineStr">
        <is>
          <t>AgriculturalMetric</t>
        </is>
      </c>
      <c r="U30" s="8" t="inlineStr">
        <is>
          <t>MEASURED_BY</t>
        </is>
      </c>
      <c r="V30" s="8" t="inlineStr">
        <is>
          <t>GH-P103,GH-C04,GH-README</t>
        </is>
      </c>
    </row>
    <row r="31" ht="42" customHeight="1">
      <c r="A31" s="8" t="inlineStr">
        <is>
          <t>TERM-030</t>
        </is>
      </c>
      <c r="B31" s="8" t="inlineStr">
        <is>
          <t>농업·농기상</t>
        </is>
      </c>
      <c r="C31" s="8" t="inlineStr">
        <is>
          <t>Agriculture &amp; Agrometeorology</t>
        </is>
      </c>
      <c r="D31" s="8" t="inlineStr">
        <is>
          <t>생육·생산</t>
        </is>
      </c>
      <c r="E31" s="8" t="inlineStr">
        <is>
          <t>Crop Growth &amp; Production</t>
        </is>
      </c>
      <c r="F31" s="8" t="inlineStr">
        <is>
          <t>면적</t>
        </is>
      </c>
      <c r="G31" s="8" t="inlineStr">
        <is>
          <t>Planted Area</t>
        </is>
      </c>
      <c r="H31" s="8" t="inlineStr">
        <is>
          <t>파종면적</t>
        </is>
      </c>
      <c r="I31" s="8" t="n"/>
      <c r="J31" s="8" t="inlineStr">
        <is>
          <t>sown area</t>
        </is>
      </c>
      <c r="K31" s="8" t="inlineStr">
        <is>
          <t>Metric</t>
        </is>
      </c>
      <c r="L31" s="8" t="inlineStr">
        <is>
          <t>작물을 심은 전체 면적이다.</t>
        </is>
      </c>
      <c r="M31" s="8" t="inlineStr">
        <is>
          <t>수확면적과 구분한다.</t>
        </is>
      </c>
      <c r="N31" s="8" t="inlineStr">
        <is>
          <t>Supply</t>
        </is>
      </c>
      <c r="O31" s="8" t="inlineStr">
        <is>
          <t>DOWN_IF_UP</t>
        </is>
      </c>
      <c r="P31" s="8" t="inlineStr">
        <is>
          <t>ha/acres</t>
        </is>
      </c>
      <c r="Q31" s="8" t="inlineStr">
        <is>
          <t>문서별</t>
        </is>
      </c>
      <c r="R31" s="8" t="inlineStr">
        <is>
          <t>B</t>
        </is>
      </c>
      <c r="S31" s="8" t="inlineStr">
        <is>
          <t>중</t>
        </is>
      </c>
      <c r="T31" s="8" t="inlineStr">
        <is>
          <t>AgriculturalMetric</t>
        </is>
      </c>
      <c r="U31" s="8" t="inlineStr">
        <is>
          <t>MEASURED_BY</t>
        </is>
      </c>
      <c r="V31" s="8" t="inlineStr">
        <is>
          <t>GH-P103,GH-C04,GH-README</t>
        </is>
      </c>
    </row>
    <row r="32" ht="42" customHeight="1">
      <c r="A32" s="8" t="inlineStr">
        <is>
          <t>TERM-031</t>
        </is>
      </c>
      <c r="B32" s="8" t="inlineStr">
        <is>
          <t>농업·농기상</t>
        </is>
      </c>
      <c r="C32" s="8" t="inlineStr">
        <is>
          <t>Agriculture &amp; Agrometeorology</t>
        </is>
      </c>
      <c r="D32" s="8" t="inlineStr">
        <is>
          <t>생육·생산</t>
        </is>
      </c>
      <c r="E32" s="8" t="inlineStr">
        <is>
          <t>Crop Growth &amp; Production</t>
        </is>
      </c>
      <c r="F32" s="8" t="inlineStr">
        <is>
          <t>면적</t>
        </is>
      </c>
      <c r="G32" s="8" t="inlineStr">
        <is>
          <t>Harvested Area</t>
        </is>
      </c>
      <c r="H32" s="8" t="inlineStr">
        <is>
          <t>수확면적</t>
        </is>
      </c>
      <c r="I32" s="8" t="n"/>
      <c r="J32" s="8" t="inlineStr">
        <is>
          <t>area harvested</t>
        </is>
      </c>
      <c r="K32" s="8" t="inlineStr">
        <is>
          <t>Metric</t>
        </is>
      </c>
      <c r="L32" s="8" t="inlineStr">
        <is>
          <t>실제로 수확된 면적이다.</t>
        </is>
      </c>
      <c r="M32" s="8" t="inlineStr">
        <is>
          <t>파종면적보다 작을 수 있으며 피해면적을 암시할 수 있다.</t>
        </is>
      </c>
      <c r="N32" s="8" t="inlineStr">
        <is>
          <t>Supply</t>
        </is>
      </c>
      <c r="O32" s="8" t="inlineStr">
        <is>
          <t>DOWN_IF_UP</t>
        </is>
      </c>
      <c r="P32" s="8" t="inlineStr">
        <is>
          <t>ha/acres</t>
        </is>
      </c>
      <c r="Q32" s="8" t="inlineStr">
        <is>
          <t>문서별</t>
        </is>
      </c>
      <c r="R32" s="8" t="inlineStr">
        <is>
          <t>B</t>
        </is>
      </c>
      <c r="S32" s="8" t="inlineStr">
        <is>
          <t>중</t>
        </is>
      </c>
      <c r="T32" s="8" t="inlineStr">
        <is>
          <t>AgriculturalMetric</t>
        </is>
      </c>
      <c r="U32" s="8" t="inlineStr">
        <is>
          <t>MEASURED_BY</t>
        </is>
      </c>
      <c r="V32" s="8" t="inlineStr">
        <is>
          <t>GH-P103,GH-C04,GH-README</t>
        </is>
      </c>
    </row>
    <row r="33" ht="42" customHeight="1">
      <c r="A33" s="8" t="inlineStr">
        <is>
          <t>TERM-032</t>
        </is>
      </c>
      <c r="B33" s="8" t="inlineStr">
        <is>
          <t>농업·농기상</t>
        </is>
      </c>
      <c r="C33" s="8" t="inlineStr">
        <is>
          <t>Agriculture &amp; Agrometeorology</t>
        </is>
      </c>
      <c r="D33" s="8" t="inlineStr">
        <is>
          <t>생육·생산</t>
        </is>
      </c>
      <c r="E33" s="8" t="inlineStr">
        <is>
          <t>Crop Growth &amp; Production</t>
        </is>
      </c>
      <c r="F33" s="8" t="inlineStr">
        <is>
          <t>산출</t>
        </is>
      </c>
      <c r="G33" s="8" t="inlineStr">
        <is>
          <t>Production Volume</t>
        </is>
      </c>
      <c r="H33" s="8" t="inlineStr">
        <is>
          <t>생산량</t>
        </is>
      </c>
      <c r="I33" s="8" t="n"/>
      <c r="J33" s="8" t="inlineStr">
        <is>
          <t>output; crop production</t>
        </is>
      </c>
      <c r="K33" s="8" t="inlineStr">
        <is>
          <t>Metric</t>
        </is>
      </c>
      <c r="L33" s="8" t="inlineStr">
        <is>
          <t>특정 기간에 생산된 품목의 총물량이다.</t>
        </is>
      </c>
      <c r="M33" s="8" t="inlineStr">
        <is>
          <t>대두 생산과 대두유 생산을 구분한다.</t>
        </is>
      </c>
      <c r="N33" s="8" t="inlineStr">
        <is>
          <t>Supply</t>
        </is>
      </c>
      <c r="O33" s="8" t="inlineStr">
        <is>
          <t>DOWN_IF_UP</t>
        </is>
      </c>
      <c r="P33" s="8" t="inlineStr">
        <is>
          <t>MT</t>
        </is>
      </c>
      <c r="Q33" s="8" t="inlineStr">
        <is>
          <t>문서별</t>
        </is>
      </c>
      <c r="R33" s="8" t="inlineStr">
        <is>
          <t>A</t>
        </is>
      </c>
      <c r="S33" s="8" t="inlineStr">
        <is>
          <t>상</t>
        </is>
      </c>
      <c r="T33" s="8" t="inlineStr">
        <is>
          <t>SupplyMetric</t>
        </is>
      </c>
      <c r="U33" s="8" t="inlineStr">
        <is>
          <t>MEASURED_BY</t>
        </is>
      </c>
      <c r="V33" s="8" t="inlineStr">
        <is>
          <t>GH-P103,GH-C04,GH-README</t>
        </is>
      </c>
    </row>
    <row r="34" ht="42" customHeight="1">
      <c r="A34" s="8" t="inlineStr">
        <is>
          <t>TERM-033</t>
        </is>
      </c>
      <c r="B34" s="8" t="inlineStr">
        <is>
          <t>농업·농기상</t>
        </is>
      </c>
      <c r="C34" s="8" t="inlineStr">
        <is>
          <t>Agriculture &amp; Agrometeorology</t>
        </is>
      </c>
      <c r="D34" s="8" t="inlineStr">
        <is>
          <t>생육·생산</t>
        </is>
      </c>
      <c r="E34" s="8" t="inlineStr">
        <is>
          <t>Crop Growth &amp; Production</t>
        </is>
      </c>
      <c r="F34" s="8" t="inlineStr">
        <is>
          <t>가공</t>
        </is>
      </c>
      <c r="G34" s="8" t="inlineStr">
        <is>
          <t>Crushing Volume</t>
        </is>
      </c>
      <c r="H34" s="8" t="inlineStr">
        <is>
          <t>대두 크러싱 물량</t>
        </is>
      </c>
      <c r="I34" s="8" t="n"/>
      <c r="J34" s="8" t="inlineStr">
        <is>
          <t>soybean crush</t>
        </is>
      </c>
      <c r="K34" s="8" t="inlineStr">
        <is>
          <t>Metric</t>
        </is>
      </c>
      <c r="L34" s="8" t="inlineStr">
        <is>
          <t>착유를 위해 가공된 대두의 물량이다.</t>
        </is>
      </c>
      <c r="M34" s="8" t="inlineStr">
        <is>
          <t>대두유 산출량과 동일하지 않으며 수율·회수율이 필요하다.</t>
        </is>
      </c>
      <c r="N34" s="8" t="inlineStr">
        <is>
          <t>Supply</t>
        </is>
      </c>
      <c r="O34" s="8" t="inlineStr">
        <is>
          <t>DOWN_IF_UP</t>
        </is>
      </c>
      <c r="P34" s="8" t="inlineStr">
        <is>
          <t>MT</t>
        </is>
      </c>
      <c r="Q34" s="8" t="inlineStr">
        <is>
          <t>문서별</t>
        </is>
      </c>
      <c r="R34" s="8" t="inlineStr">
        <is>
          <t>A</t>
        </is>
      </c>
      <c r="S34" s="8" t="inlineStr">
        <is>
          <t>상</t>
        </is>
      </c>
      <c r="T34" s="8" t="inlineStr">
        <is>
          <t>ProcessingMetric</t>
        </is>
      </c>
      <c r="U34" s="8" t="inlineStr">
        <is>
          <t>MEASURED_BY</t>
        </is>
      </c>
      <c r="V34" s="8" t="inlineStr">
        <is>
          <t>GH-P103,GH-C04,GH-README</t>
        </is>
      </c>
    </row>
    <row r="35" ht="42" customHeight="1">
      <c r="A35" s="8" t="inlineStr">
        <is>
          <t>TERM-034</t>
        </is>
      </c>
      <c r="B35" s="8" t="inlineStr">
        <is>
          <t>농업·농기상</t>
        </is>
      </c>
      <c r="C35" s="8" t="inlineStr">
        <is>
          <t>Agriculture &amp; Agrometeorology</t>
        </is>
      </c>
      <c r="D35" s="8" t="inlineStr">
        <is>
          <t>생육·생산</t>
        </is>
      </c>
      <c r="E35" s="8" t="inlineStr">
        <is>
          <t>Crop Growth &amp; Production</t>
        </is>
      </c>
      <c r="F35" s="8" t="inlineStr">
        <is>
          <t>가공</t>
        </is>
      </c>
      <c r="G35" s="8" t="inlineStr">
        <is>
          <t>Crushing Rate</t>
        </is>
      </c>
      <c r="H35" s="8" t="inlineStr">
        <is>
          <t>크러싱 비율</t>
        </is>
      </c>
      <c r="I35" s="8" t="n"/>
      <c r="J35" s="8" t="inlineStr">
        <is>
          <t>crush rate</t>
        </is>
      </c>
      <c r="K35" s="8" t="inlineStr">
        <is>
          <t>Metric</t>
        </is>
      </c>
      <c r="L35" s="8" t="inlineStr">
        <is>
          <t>가용 대두 또는 설비 대비 실제 착유 가공 비율이다.</t>
        </is>
      </c>
      <c r="M35" s="8" t="inlineStr">
        <is>
          <t>분모 정의를 원문에서 확인한다.</t>
        </is>
      </c>
      <c r="N35" s="8" t="inlineStr">
        <is>
          <t>Supply</t>
        </is>
      </c>
      <c r="O35" s="8" t="inlineStr">
        <is>
          <t>DOWN_IF_UP</t>
        </is>
      </c>
      <c r="P35" s="8" t="inlineStr">
        <is>
          <t>%</t>
        </is>
      </c>
      <c r="Q35" s="8" t="inlineStr">
        <is>
          <t>문서별</t>
        </is>
      </c>
      <c r="R35" s="8" t="inlineStr">
        <is>
          <t>A</t>
        </is>
      </c>
      <c r="S35" s="8" t="inlineStr">
        <is>
          <t>상</t>
        </is>
      </c>
      <c r="T35" s="8" t="inlineStr">
        <is>
          <t>ProcessingMetric</t>
        </is>
      </c>
      <c r="U35" s="8" t="inlineStr">
        <is>
          <t>MEASURED_BY</t>
        </is>
      </c>
      <c r="V35" s="8" t="inlineStr">
        <is>
          <t>GH-P103,GH-C04,GH-README</t>
        </is>
      </c>
    </row>
    <row r="36" ht="42" customHeight="1">
      <c r="A36" s="8" t="inlineStr">
        <is>
          <t>TERM-035</t>
        </is>
      </c>
      <c r="B36" s="8" t="inlineStr">
        <is>
          <t>농업·농기상</t>
        </is>
      </c>
      <c r="C36" s="8" t="inlineStr">
        <is>
          <t>Agriculture &amp; Agrometeorology</t>
        </is>
      </c>
      <c r="D36" s="8" t="inlineStr">
        <is>
          <t>생육·생산</t>
        </is>
      </c>
      <c r="E36" s="8" t="inlineStr">
        <is>
          <t>Crop Growth &amp; Production</t>
        </is>
      </c>
      <c r="F36" s="8" t="inlineStr">
        <is>
          <t>재고</t>
        </is>
      </c>
      <c r="G36" s="8" t="inlineStr">
        <is>
          <t>Ending Stocks</t>
        </is>
      </c>
      <c r="H36" s="8" t="inlineStr">
        <is>
          <t>기말재고</t>
        </is>
      </c>
      <c r="I36" s="8" t="n"/>
      <c r="J36" s="8" t="inlineStr">
        <is>
          <t>carryout stocks</t>
        </is>
      </c>
      <c r="K36" s="8" t="inlineStr">
        <is>
          <t>Metric</t>
        </is>
      </c>
      <c r="L36" s="8" t="inlineStr">
        <is>
          <t>마케팅연도 말의 재고량이다.</t>
        </is>
      </c>
      <c r="M36" s="8" t="inlineStr">
        <is>
          <t>시작재고·총재고와 구분하고 마케팅연도를 명시한다.</t>
        </is>
      </c>
      <c r="N36" s="8" t="inlineStr">
        <is>
          <t>Supply</t>
        </is>
      </c>
      <c r="O36" s="8" t="inlineStr">
        <is>
          <t>DOWN_IF_UP</t>
        </is>
      </c>
      <c r="P36" s="8" t="inlineStr">
        <is>
          <t>MT</t>
        </is>
      </c>
      <c r="Q36" s="8" t="inlineStr">
        <is>
          <t>문서별</t>
        </is>
      </c>
      <c r="R36" s="8" t="inlineStr">
        <is>
          <t>A</t>
        </is>
      </c>
      <c r="S36" s="8" t="inlineStr">
        <is>
          <t>상</t>
        </is>
      </c>
      <c r="T36" s="8" t="inlineStr">
        <is>
          <t>StockMetric</t>
        </is>
      </c>
      <c r="U36" s="8" t="inlineStr">
        <is>
          <t>MEASURED_BY</t>
        </is>
      </c>
      <c r="V36" s="8" t="inlineStr">
        <is>
          <t>GH-P103,GH-C04,GH-README</t>
        </is>
      </c>
    </row>
    <row r="37" ht="42" customHeight="1">
      <c r="A37" s="8" t="inlineStr">
        <is>
          <t>TERM-036</t>
        </is>
      </c>
      <c r="B37" s="8" t="inlineStr">
        <is>
          <t>농업·농기상</t>
        </is>
      </c>
      <c r="C37" s="8" t="inlineStr">
        <is>
          <t>Agriculture &amp; Agrometeorology</t>
        </is>
      </c>
      <c r="D37" s="8" t="inlineStr">
        <is>
          <t>생육·생산</t>
        </is>
      </c>
      <c r="E37" s="8" t="inlineStr">
        <is>
          <t>Crop Growth &amp; Production</t>
        </is>
      </c>
      <c r="F37" s="8" t="inlineStr">
        <is>
          <t>재고</t>
        </is>
      </c>
      <c r="G37" s="8" t="inlineStr">
        <is>
          <t>Stock-to-Use Ratio</t>
        </is>
      </c>
      <c r="H37" s="8" t="inlineStr">
        <is>
          <t>재고율</t>
        </is>
      </c>
      <c r="I37" s="8" t="inlineStr">
        <is>
          <t>STU</t>
        </is>
      </c>
      <c r="J37" s="8" t="inlineStr">
        <is>
          <t>stocks-to-use</t>
        </is>
      </c>
      <c r="K37" s="8" t="inlineStr">
        <is>
          <t>Indicator</t>
        </is>
      </c>
      <c r="L37" s="8" t="inlineStr">
        <is>
          <t>기말재고를 연간 사용량으로 나눈 수급긴축 지표다.</t>
        </is>
      </c>
      <c r="M37" s="8" t="inlineStr">
        <is>
          <t>비율 하락은 일반적으로 가격 상방 압력이다.</t>
        </is>
      </c>
      <c r="N37" s="8" t="inlineStr">
        <is>
          <t>Price</t>
        </is>
      </c>
      <c r="O37" s="8" t="inlineStr">
        <is>
          <t>UP_IF_DOWN</t>
        </is>
      </c>
      <c r="P37" s="8" t="inlineStr">
        <is>
          <t>%</t>
        </is>
      </c>
      <c r="Q37" s="8" t="inlineStr">
        <is>
          <t>&lt;10% supply stress</t>
        </is>
      </c>
      <c r="R37" s="8" t="inlineStr">
        <is>
          <t>A</t>
        </is>
      </c>
      <c r="S37" s="8" t="inlineStr">
        <is>
          <t>중</t>
        </is>
      </c>
      <c r="T37" s="8" t="inlineStr">
        <is>
          <t>SupplyDemandIndicator</t>
        </is>
      </c>
      <c r="U37" s="8" t="inlineStr">
        <is>
          <t>MEASURED_BY</t>
        </is>
      </c>
      <c r="V37" s="8" t="inlineStr">
        <is>
          <t>GH-P103,GH-C04,GH-README</t>
        </is>
      </c>
    </row>
    <row r="38" ht="42" customHeight="1">
      <c r="A38" s="8" t="inlineStr">
        <is>
          <t>TERM-037</t>
        </is>
      </c>
      <c r="B38" s="8" t="inlineStr">
        <is>
          <t>농업·농기상</t>
        </is>
      </c>
      <c r="C38" s="8" t="inlineStr">
        <is>
          <t>Agriculture &amp; Agrometeorology</t>
        </is>
      </c>
      <c r="D38" s="8" t="inlineStr">
        <is>
          <t>생육·생산</t>
        </is>
      </c>
      <c r="E38" s="8" t="inlineStr">
        <is>
          <t>Crop Growth &amp; Production</t>
        </is>
      </c>
      <c r="F38" s="8" t="inlineStr">
        <is>
          <t>일정</t>
        </is>
      </c>
      <c r="G38" s="8" t="inlineStr">
        <is>
          <t>Harvest Delay</t>
        </is>
      </c>
      <c r="H38" s="8" t="inlineStr">
        <is>
          <t>수확 지연</t>
        </is>
      </c>
      <c r="I38" s="8" t="n"/>
      <c r="J38" s="8" t="inlineStr">
        <is>
          <t>late harvest</t>
        </is>
      </c>
      <c r="K38" s="8" t="inlineStr">
        <is>
          <t>Event</t>
        </is>
      </c>
      <c r="L38" s="8" t="inlineStr">
        <is>
          <t>기상·노동·물류로 수확 일정이 늦어지는 사건이다.</t>
        </is>
      </c>
      <c r="M38" s="8" t="inlineStr">
        <is>
          <t>총생산 감소와 출하 시점 지연을 구분한다.</t>
        </is>
      </c>
      <c r="N38" s="8" t="inlineStr">
        <is>
          <t>Supply/Lead Time</t>
        </is>
      </c>
      <c r="O38" s="8" t="inlineStr">
        <is>
          <t>UP_RISK</t>
        </is>
      </c>
      <c r="P38" s="8" t="inlineStr">
        <is>
          <t>days/weeks</t>
        </is>
      </c>
      <c r="Q38" s="8" t="inlineStr">
        <is>
          <t>문서별</t>
        </is>
      </c>
      <c r="R38" s="8" t="inlineStr">
        <is>
          <t>A</t>
        </is>
      </c>
      <c r="S38" s="8" t="inlineStr">
        <is>
          <t>중</t>
        </is>
      </c>
      <c r="T38" s="8" t="inlineStr">
        <is>
          <t>AgriculturalEvent</t>
        </is>
      </c>
      <c r="U38" s="8" t="inlineStr">
        <is>
          <t>AFFECTS</t>
        </is>
      </c>
      <c r="V38" s="8" t="inlineStr">
        <is>
          <t>GH-P103,GH-C04,GH-README</t>
        </is>
      </c>
    </row>
    <row r="39" ht="42" customHeight="1">
      <c r="A39" s="8" t="inlineStr">
        <is>
          <t>TERM-038</t>
        </is>
      </c>
      <c r="B39" s="8" t="inlineStr">
        <is>
          <t>농업·농기상</t>
        </is>
      </c>
      <c r="C39" s="8" t="inlineStr">
        <is>
          <t>Agriculture &amp; Agrometeorology</t>
        </is>
      </c>
      <c r="D39" s="8" t="inlineStr">
        <is>
          <t>생육·생산</t>
        </is>
      </c>
      <c r="E39" s="8" t="inlineStr">
        <is>
          <t>Crop Growth &amp; Production</t>
        </is>
      </c>
      <c r="F39" s="8" t="inlineStr">
        <is>
          <t>연도</t>
        </is>
      </c>
      <c r="G39" s="8" t="inlineStr">
        <is>
          <t>Marketing Year</t>
        </is>
      </c>
      <c r="H39" s="8" t="inlineStr">
        <is>
          <t>마케팅연도</t>
        </is>
      </c>
      <c r="I39" s="8" t="inlineStr">
        <is>
          <t>MY</t>
        </is>
      </c>
      <c r="J39" s="8" t="inlineStr">
        <is>
          <t>2024/25; crop marketing year</t>
        </is>
      </c>
      <c r="K39" s="8" t="inlineStr">
        <is>
          <t>TimePeriod</t>
        </is>
      </c>
      <c r="L39" s="8" t="inlineStr">
        <is>
          <t>생산·수급 통계가 적용되는 품목별 유통연도다.</t>
        </is>
      </c>
      <c r="M39" s="8" t="inlineStr">
        <is>
          <t>달력연도와 다르며 저장소 규칙의 시작일 변환은 출처별 검증이 필요하다.</t>
        </is>
      </c>
      <c r="N39" s="8" t="inlineStr">
        <is>
          <t>Time</t>
        </is>
      </c>
      <c r="O39" s="8" t="inlineStr">
        <is>
          <t>CONTEXT</t>
        </is>
      </c>
      <c r="P39" s="8" t="inlineStr">
        <is>
          <t>YYYY/YY</t>
        </is>
      </c>
      <c r="Q39" s="8" t="inlineStr">
        <is>
          <t>USDA 규칙</t>
        </is>
      </c>
      <c r="R39" s="8" t="inlineStr">
        <is>
          <t>A</t>
        </is>
      </c>
      <c r="S39" s="8" t="inlineStr">
        <is>
          <t>상</t>
        </is>
      </c>
      <c r="T39" s="8" t="inlineStr">
        <is>
          <t>TimePeriod</t>
        </is>
      </c>
      <c r="U39" s="8" t="inlineStr">
        <is>
          <t>VALID_DURING</t>
        </is>
      </c>
      <c r="V39" s="8" t="inlineStr">
        <is>
          <t>GH-P103,GH-C04,GH-README</t>
        </is>
      </c>
    </row>
    <row r="40" ht="42" customHeight="1">
      <c r="A40" s="8" t="inlineStr">
        <is>
          <t>TERM-039</t>
        </is>
      </c>
      <c r="B40" s="8" t="inlineStr">
        <is>
          <t>농업·농기상</t>
        </is>
      </c>
      <c r="C40" s="8" t="inlineStr">
        <is>
          <t>Agriculture &amp; Agrometeorology</t>
        </is>
      </c>
      <c r="D40" s="8" t="inlineStr">
        <is>
          <t>생육·생산</t>
        </is>
      </c>
      <c r="E40" s="8" t="inlineStr">
        <is>
          <t>Crop Growth &amp; Production</t>
        </is>
      </c>
      <c r="F40" s="8" t="inlineStr">
        <is>
          <t>자료원</t>
        </is>
      </c>
      <c r="G40" s="8" t="inlineStr">
        <is>
          <t>World Agricultural Supply and Demand Estimates</t>
        </is>
      </c>
      <c r="H40" s="8" t="inlineStr">
        <is>
          <t>세계 농산물 수급 전망</t>
        </is>
      </c>
      <c r="I40" s="8" t="inlineStr">
        <is>
          <t>WASDE</t>
        </is>
      </c>
      <c r="J40" s="8" t="inlineStr">
        <is>
          <t>USDA WASDE</t>
        </is>
      </c>
      <c r="K40" s="8" t="inlineStr">
        <is>
          <t>DataSource</t>
        </is>
      </c>
      <c r="L40" s="8" t="inlineStr">
        <is>
          <t>USDA가 발간하는 월간 세계 농산물 수급 전망이다.</t>
        </is>
      </c>
      <c r="M40" s="8" t="inlineStr">
        <is>
          <t>전망치와 사후 확정치를 구분하고 발표월·마케팅연도를 기록한다.</t>
        </is>
      </c>
      <c r="N40" s="8" t="inlineStr">
        <is>
          <t>Supply/Demand</t>
        </is>
      </c>
      <c r="O40" s="8" t="inlineStr">
        <is>
          <t>CONTEXT</t>
        </is>
      </c>
      <c r="P40" s="8" t="inlineStr">
        <is>
          <t>report</t>
        </is>
      </c>
      <c r="Q40" s="8" t="inlineStr">
        <is>
          <t>월간</t>
        </is>
      </c>
      <c r="R40" s="8" t="inlineStr">
        <is>
          <t>A</t>
        </is>
      </c>
      <c r="S40" s="8" t="inlineStr">
        <is>
          <t>중</t>
        </is>
      </c>
      <c r="T40" s="8" t="inlineStr">
        <is>
          <t>DataSource</t>
        </is>
      </c>
      <c r="U40" s="8" t="inlineStr">
        <is>
          <t>PROVIDES</t>
        </is>
      </c>
      <c r="V40" s="8" t="inlineStr">
        <is>
          <t>GH-P103,GH-C04,GH-README</t>
        </is>
      </c>
    </row>
    <row r="41" ht="42" customHeight="1">
      <c r="A41" s="8" t="inlineStr">
        <is>
          <t>TERM-040</t>
        </is>
      </c>
      <c r="B41" s="8" t="inlineStr">
        <is>
          <t>농업·농기상</t>
        </is>
      </c>
      <c r="C41" s="8" t="inlineStr">
        <is>
          <t>Agriculture &amp; Agrometeorology</t>
        </is>
      </c>
      <c r="D41" s="8" t="inlineStr">
        <is>
          <t>생육·생산</t>
        </is>
      </c>
      <c r="E41" s="8" t="inlineStr">
        <is>
          <t>Crop Growth &amp; Production</t>
        </is>
      </c>
      <c r="F41" s="8" t="inlineStr">
        <is>
          <t>전망변화</t>
        </is>
      </c>
      <c r="G41" s="8" t="inlineStr">
        <is>
          <t>Yield Revision</t>
        </is>
      </c>
      <c r="H41" s="8" t="inlineStr">
        <is>
          <t>수율 전망 수정</t>
        </is>
      </c>
      <c r="I41" s="8" t="n"/>
      <c r="J41" s="8" t="inlineStr">
        <is>
          <t>WASDE yield revision</t>
        </is>
      </c>
      <c r="K41" s="8" t="inlineStr">
        <is>
          <t>ForecastSignal</t>
        </is>
      </c>
      <c r="L41" s="8" t="inlineStr">
        <is>
          <t>이전 전망 대비 수율 예상치 변경이다.</t>
        </is>
      </c>
      <c r="M41" s="8" t="inlineStr">
        <is>
          <t>수준과 변화폭, 시장 컨센서스 대비 서프라이즈를 구분한다.</t>
        </is>
      </c>
      <c r="N41" s="8" t="inlineStr">
        <is>
          <t>Supply/Price</t>
        </is>
      </c>
      <c r="O41" s="8" t="inlineStr">
        <is>
          <t>CONTEXT</t>
        </is>
      </c>
      <c r="P41" s="8" t="inlineStr">
        <is>
          <t>% or unit</t>
        </is>
      </c>
      <c r="Q41" s="8" t="inlineStr">
        <is>
          <t>문서별</t>
        </is>
      </c>
      <c r="R41" s="8" t="inlineStr">
        <is>
          <t>A</t>
        </is>
      </c>
      <c r="S41" s="8" t="inlineStr">
        <is>
          <t>상</t>
        </is>
      </c>
      <c r="T41" s="8" t="inlineStr">
        <is>
          <t>ForecastSignal</t>
        </is>
      </c>
      <c r="U41" s="8" t="inlineStr">
        <is>
          <t>FORECASTS</t>
        </is>
      </c>
      <c r="V41" s="8" t="inlineStr">
        <is>
          <t>GH-P103,GH-C04,GH-README</t>
        </is>
      </c>
    </row>
    <row r="42" ht="42" customHeight="1">
      <c r="A42" s="8" t="inlineStr">
        <is>
          <t>TERM-041</t>
        </is>
      </c>
      <c r="B42" s="8" t="inlineStr">
        <is>
          <t>시장·가격·조달</t>
        </is>
      </c>
      <c r="C42" s="8" t="inlineStr">
        <is>
          <t>Market, Price &amp; Procurement</t>
        </is>
      </c>
      <c r="D42" s="8" t="inlineStr">
        <is>
          <t>품목·형태</t>
        </is>
      </c>
      <c r="E42" s="8" t="inlineStr">
        <is>
          <t>Commodity &amp; Form</t>
        </is>
      </c>
      <c r="F42" s="8" t="inlineStr">
        <is>
          <t>원물</t>
        </is>
      </c>
      <c r="G42" s="8" t="inlineStr">
        <is>
          <t>Soybean</t>
        </is>
      </c>
      <c r="H42" s="8" t="inlineStr">
        <is>
          <t>대두</t>
        </is>
      </c>
      <c r="I42" s="8" t="n"/>
      <c r="J42" s="8" t="inlineStr">
        <is>
          <t>soybeans; soy bean</t>
        </is>
      </c>
      <c r="K42" s="8" t="inlineStr">
        <is>
          <t>Commodity</t>
        </is>
      </c>
      <c r="L42" s="8" t="inlineStr">
        <is>
          <t>대두유의 원료가 되는 유지종자다.</t>
        </is>
      </c>
      <c r="M42" s="8" t="inlineStr">
        <is>
          <t>대두와 대두유를 동일 품목으로 집계하지 않는다.</t>
        </is>
      </c>
      <c r="N42" s="8" t="inlineStr">
        <is>
          <t>Upstream Supply</t>
        </is>
      </c>
      <c r="O42" s="8" t="inlineStr">
        <is>
          <t>CONTEXT</t>
        </is>
      </c>
      <c r="P42" s="8" t="inlineStr">
        <is>
          <t>MT</t>
        </is>
      </c>
      <c r="Q42" s="8" t="inlineStr">
        <is>
          <t>범위 확인</t>
        </is>
      </c>
      <c r="R42" s="8" t="inlineStr">
        <is>
          <t>A</t>
        </is>
      </c>
      <c r="S42" s="8" t="inlineStr">
        <is>
          <t>상</t>
        </is>
      </c>
      <c r="T42" s="8" t="inlineStr">
        <is>
          <t>Commodity</t>
        </is>
      </c>
      <c r="U42" s="8" t="inlineStr">
        <is>
          <t>PRODUCES</t>
        </is>
      </c>
      <c r="V42" s="8" t="inlineStr">
        <is>
          <t>GH-README,GH-C04,GH-P106</t>
        </is>
      </c>
    </row>
    <row r="43" ht="42" customHeight="1">
      <c r="A43" s="8" t="inlineStr">
        <is>
          <t>TERM-042</t>
        </is>
      </c>
      <c r="B43" s="8" t="inlineStr">
        <is>
          <t>시장·가격·조달</t>
        </is>
      </c>
      <c r="C43" s="8" t="inlineStr">
        <is>
          <t>Market, Price &amp; Procurement</t>
        </is>
      </c>
      <c r="D43" s="8" t="inlineStr">
        <is>
          <t>품목·형태</t>
        </is>
      </c>
      <c r="E43" s="8" t="inlineStr">
        <is>
          <t>Commodity &amp; Form</t>
        </is>
      </c>
      <c r="F43" s="8" t="inlineStr">
        <is>
          <t>식물성유지</t>
        </is>
      </c>
      <c r="G43" s="8" t="inlineStr">
        <is>
          <t>Soybean Oil</t>
        </is>
      </c>
      <c r="H43" s="8" t="inlineStr">
        <is>
          <t>대두유</t>
        </is>
      </c>
      <c r="I43" s="8" t="inlineStr">
        <is>
          <t>SBO</t>
        </is>
      </c>
      <c r="J43" s="8" t="inlineStr">
        <is>
          <t>soy oil; soya oil; 대두유</t>
        </is>
      </c>
      <c r="K43" s="8" t="inlineStr">
        <is>
          <t>Commodity</t>
        </is>
      </c>
      <c r="L43" s="8" t="inlineStr">
        <is>
          <t>프로젝트의 핵심 대상 품목으로 조유와 정제유를 포함한다.</t>
        </is>
      </c>
      <c r="M43" s="8" t="inlineStr">
        <is>
          <t>현재 프로젝트 범위는 대두유만이며 다른 원료로 자동 확장하지 않는다.</t>
        </is>
      </c>
      <c r="N43" s="8" t="inlineStr">
        <is>
          <t>Price/Supply/Demand</t>
        </is>
      </c>
      <c r="O43" s="8" t="inlineStr">
        <is>
          <t>CONTEXT</t>
        </is>
      </c>
      <c r="P43" s="8" t="inlineStr">
        <is>
          <t>MT or USD/MT</t>
        </is>
      </c>
      <c r="Q43" s="8" t="inlineStr">
        <is>
          <t>핵심 범위</t>
        </is>
      </c>
      <c r="R43" s="8" t="inlineStr">
        <is>
          <t>A</t>
        </is>
      </c>
      <c r="S43" s="8" t="inlineStr">
        <is>
          <t>상</t>
        </is>
      </c>
      <c r="T43" s="8" t="inlineStr">
        <is>
          <t>Commodity</t>
        </is>
      </c>
      <c r="U43" s="8" t="inlineStr">
        <is>
          <t>CLASSIFIED_AS</t>
        </is>
      </c>
      <c r="V43" s="8" t="inlineStr">
        <is>
          <t>GH-README,GH-C04,GH-P106</t>
        </is>
      </c>
    </row>
    <row r="44" ht="42" customHeight="1">
      <c r="A44" s="8" t="inlineStr">
        <is>
          <t>TERM-043</t>
        </is>
      </c>
      <c r="B44" s="8" t="inlineStr">
        <is>
          <t>시장·가격·조달</t>
        </is>
      </c>
      <c r="C44" s="8" t="inlineStr">
        <is>
          <t>Market, Price &amp; Procurement</t>
        </is>
      </c>
      <c r="D44" s="8" t="inlineStr">
        <is>
          <t>품목·형태</t>
        </is>
      </c>
      <c r="E44" s="8" t="inlineStr">
        <is>
          <t>Commodity &amp; Form</t>
        </is>
      </c>
      <c r="F44" s="8" t="inlineStr">
        <is>
          <t>제품형태</t>
        </is>
      </c>
      <c r="G44" s="8" t="inlineStr">
        <is>
          <t>Crude Soybean Oil</t>
        </is>
      </c>
      <c r="H44" s="8" t="inlineStr">
        <is>
          <t>대두유 조유</t>
        </is>
      </c>
      <c r="I44" s="8" t="inlineStr">
        <is>
          <t>CSBO</t>
        </is>
      </c>
      <c r="J44" s="8" t="inlineStr">
        <is>
          <t>crude SBO; crude soy oil</t>
        </is>
      </c>
      <c r="K44" s="8" t="inlineStr">
        <is>
          <t>CommodityForm</t>
        </is>
      </c>
      <c r="L44" s="8" t="inlineStr">
        <is>
          <t>정제 전 단계의 대두유다.</t>
        </is>
      </c>
      <c r="M44" s="8" t="inlineStr">
        <is>
          <t>정제유와 HS Code·가격·관세를 구분한다.</t>
        </is>
      </c>
      <c r="N44" s="8" t="inlineStr">
        <is>
          <t>Price/Supply</t>
        </is>
      </c>
      <c r="O44" s="8" t="inlineStr">
        <is>
          <t>CONTEXT</t>
        </is>
      </c>
      <c r="P44" s="8" t="inlineStr">
        <is>
          <t>MT or USD/MT</t>
        </is>
      </c>
      <c r="Q44" s="8" t="inlineStr">
        <is>
          <t>HS 150710 계열</t>
        </is>
      </c>
      <c r="R44" s="8" t="inlineStr">
        <is>
          <t>A</t>
        </is>
      </c>
      <c r="S44" s="8" t="inlineStr">
        <is>
          <t>상</t>
        </is>
      </c>
      <c r="T44" s="8" t="inlineStr">
        <is>
          <t>CommodityForm</t>
        </is>
      </c>
      <c r="U44" s="8" t="inlineStr">
        <is>
          <t>IS_FORM_OF</t>
        </is>
      </c>
      <c r="V44" s="8" t="inlineStr">
        <is>
          <t>GH-README,GH-C04,GH-P106</t>
        </is>
      </c>
    </row>
    <row r="45" ht="42" customHeight="1">
      <c r="A45" s="8" t="inlineStr">
        <is>
          <t>TERM-044</t>
        </is>
      </c>
      <c r="B45" s="8" t="inlineStr">
        <is>
          <t>시장·가격·조달</t>
        </is>
      </c>
      <c r="C45" s="8" t="inlineStr">
        <is>
          <t>Market, Price &amp; Procurement</t>
        </is>
      </c>
      <c r="D45" s="8" t="inlineStr">
        <is>
          <t>품목·형태</t>
        </is>
      </c>
      <c r="E45" s="8" t="inlineStr">
        <is>
          <t>Commodity &amp; Form</t>
        </is>
      </c>
      <c r="F45" s="8" t="inlineStr">
        <is>
          <t>제품형태</t>
        </is>
      </c>
      <c r="G45" s="8" t="inlineStr">
        <is>
          <t>Refined Soybean Oil</t>
        </is>
      </c>
      <c r="H45" s="8" t="inlineStr">
        <is>
          <t>정제 대두유</t>
        </is>
      </c>
      <c r="I45" s="8" t="inlineStr">
        <is>
          <t>RSBO</t>
        </is>
      </c>
      <c r="J45" s="8" t="inlineStr">
        <is>
          <t>refined SBO</t>
        </is>
      </c>
      <c r="K45" s="8" t="inlineStr">
        <is>
          <t>CommodityForm</t>
        </is>
      </c>
      <c r="L45" s="8" t="inlineStr">
        <is>
          <t>정제 공정을 거친 대두유다.</t>
        </is>
      </c>
      <c r="M45" s="8" t="inlineStr">
        <is>
          <t>조유와 혼합 집계하지 않고 베트남 등 2차 가공지 역할을 확인한다.</t>
        </is>
      </c>
      <c r="N45" s="8" t="inlineStr">
        <is>
          <t>Price/Supply</t>
        </is>
      </c>
      <c r="O45" s="8" t="inlineStr">
        <is>
          <t>CONTEXT</t>
        </is>
      </c>
      <c r="P45" s="8" t="inlineStr">
        <is>
          <t>MT or USD/MT</t>
        </is>
      </c>
      <c r="Q45" s="8" t="inlineStr">
        <is>
          <t>HS 150790 계열</t>
        </is>
      </c>
      <c r="R45" s="8" t="inlineStr">
        <is>
          <t>A</t>
        </is>
      </c>
      <c r="S45" s="8" t="inlineStr">
        <is>
          <t>상</t>
        </is>
      </c>
      <c r="T45" s="8" t="inlineStr">
        <is>
          <t>CommodityForm</t>
        </is>
      </c>
      <c r="U45" s="8" t="inlineStr">
        <is>
          <t>IS_FORM_OF</t>
        </is>
      </c>
      <c r="V45" s="8" t="inlineStr">
        <is>
          <t>GH-README,GH-C04,GH-P106</t>
        </is>
      </c>
    </row>
    <row r="46" ht="42" customHeight="1">
      <c r="A46" s="8" t="inlineStr">
        <is>
          <t>TERM-045</t>
        </is>
      </c>
      <c r="B46" s="8" t="inlineStr">
        <is>
          <t>시장·가격·조달</t>
        </is>
      </c>
      <c r="C46" s="8" t="inlineStr">
        <is>
          <t>Market, Price &amp; Procurement</t>
        </is>
      </c>
      <c r="D46" s="8" t="inlineStr">
        <is>
          <t>품목·형태</t>
        </is>
      </c>
      <c r="E46" s="8" t="inlineStr">
        <is>
          <t>Commodity &amp; Form</t>
        </is>
      </c>
      <c r="F46" s="8" t="inlineStr">
        <is>
          <t>제품형태</t>
        </is>
      </c>
      <c r="G46" s="8" t="inlineStr">
        <is>
          <t>Crude Degummed Soybean Oil</t>
        </is>
      </c>
      <c r="H46" s="8" t="inlineStr">
        <is>
          <t>탈검 대두유 조유</t>
        </is>
      </c>
      <c r="I46" s="8" t="inlineStr">
        <is>
          <t>CDSO</t>
        </is>
      </c>
      <c r="J46" s="8" t="inlineStr">
        <is>
          <t>degummed SBO; crude degummed soy oil</t>
        </is>
      </c>
      <c r="K46" s="8" t="inlineStr">
        <is>
          <t>CommodityForm</t>
        </is>
      </c>
      <c r="L46" s="8" t="inlineStr">
        <is>
          <t>검질을 제거한 대두유 조유의 상업적 형태다.</t>
        </is>
      </c>
      <c r="M46" s="8" t="inlineStr">
        <is>
          <t>crude와 refined 사이의 가공단계를 계약·규격 문맥에서 확인한다.</t>
        </is>
      </c>
      <c r="N46" s="8" t="inlineStr">
        <is>
          <t>Price/Quality</t>
        </is>
      </c>
      <c r="O46" s="8" t="inlineStr">
        <is>
          <t>CONTEXT</t>
        </is>
      </c>
      <c r="P46" s="8" t="inlineStr">
        <is>
          <t>MT or USD/MT</t>
        </is>
      </c>
      <c r="Q46" s="8" t="inlineStr">
        <is>
          <t>문서별</t>
        </is>
      </c>
      <c r="R46" s="8" t="inlineStr">
        <is>
          <t>B</t>
        </is>
      </c>
      <c r="S46" s="8" t="inlineStr">
        <is>
          <t>상</t>
        </is>
      </c>
      <c r="T46" s="8" t="inlineStr">
        <is>
          <t>CommodityForm</t>
        </is>
      </c>
      <c r="U46" s="8" t="inlineStr">
        <is>
          <t>IS_FORM_OF</t>
        </is>
      </c>
      <c r="V46" s="8" t="inlineStr">
        <is>
          <t>GH-README,GH-C04,GH-P106</t>
        </is>
      </c>
    </row>
    <row r="47" ht="42" customHeight="1">
      <c r="A47" s="8" t="inlineStr">
        <is>
          <t>TERM-046</t>
        </is>
      </c>
      <c r="B47" s="8" t="inlineStr">
        <is>
          <t>시장·가격·조달</t>
        </is>
      </c>
      <c r="C47" s="8" t="inlineStr">
        <is>
          <t>Market, Price &amp; Procurement</t>
        </is>
      </c>
      <c r="D47" s="8" t="inlineStr">
        <is>
          <t>품목·형태</t>
        </is>
      </c>
      <c r="E47" s="8" t="inlineStr">
        <is>
          <t>Commodity &amp; Form</t>
        </is>
      </c>
      <c r="F47" s="8" t="inlineStr">
        <is>
          <t>상위품목</t>
        </is>
      </c>
      <c r="G47" s="8" t="inlineStr">
        <is>
          <t>Vegetable Oil</t>
        </is>
      </c>
      <c r="H47" s="8" t="inlineStr">
        <is>
          <t>식물성 유지</t>
        </is>
      </c>
      <c r="I47" s="8" t="n"/>
      <c r="J47" s="8" t="inlineStr">
        <is>
          <t>edible oils; veg oil</t>
        </is>
      </c>
      <c r="K47" s="8" t="inlineStr">
        <is>
          <t>CommodityClass</t>
        </is>
      </c>
      <c r="L47" s="8" t="inlineStr">
        <is>
          <t>대두유·팜유·카놀라유·해바라기유 등을 포함하는 상위 품목군이다.</t>
        </is>
      </c>
      <c r="M47" s="8" t="inlineStr">
        <is>
          <t>식물성 유지 일반 뉴스는 대두유 연결 메커니즘이 있을 때만 포함한다.</t>
        </is>
      </c>
      <c r="N47" s="8" t="inlineStr">
        <is>
          <t>Substitution</t>
        </is>
      </c>
      <c r="O47" s="8" t="inlineStr">
        <is>
          <t>CONTEXT</t>
        </is>
      </c>
      <c r="P47" s="8" t="inlineStr">
        <is>
          <t>various</t>
        </is>
      </c>
      <c r="Q47" s="8" t="inlineStr">
        <is>
          <t>직접 연결 필요</t>
        </is>
      </c>
      <c r="R47" s="8" t="inlineStr">
        <is>
          <t>A</t>
        </is>
      </c>
      <c r="S47" s="8" t="inlineStr">
        <is>
          <t>상</t>
        </is>
      </c>
      <c r="T47" s="8" t="inlineStr">
        <is>
          <t>CommodityClass</t>
        </is>
      </c>
      <c r="U47" s="8" t="inlineStr">
        <is>
          <t>CLASSIFIES</t>
        </is>
      </c>
      <c r="V47" s="8" t="inlineStr">
        <is>
          <t>GH-README,GH-C04,GH-P106</t>
        </is>
      </c>
    </row>
    <row r="48" ht="42" customHeight="1">
      <c r="A48" s="8" t="inlineStr">
        <is>
          <t>TERM-047</t>
        </is>
      </c>
      <c r="B48" s="8" t="inlineStr">
        <is>
          <t>시장·가격·조달</t>
        </is>
      </c>
      <c r="C48" s="8" t="inlineStr">
        <is>
          <t>Market, Price &amp; Procurement</t>
        </is>
      </c>
      <c r="D48" s="8" t="inlineStr">
        <is>
          <t>품목·형태</t>
        </is>
      </c>
      <c r="E48" s="8" t="inlineStr">
        <is>
          <t>Commodity &amp; Form</t>
        </is>
      </c>
      <c r="F48" s="8" t="inlineStr">
        <is>
          <t>분류코드</t>
        </is>
      </c>
      <c r="G48" s="8" t="inlineStr">
        <is>
          <t>HS 1507</t>
        </is>
      </c>
      <c r="H48" s="8" t="inlineStr">
        <is>
          <t>대두유 HS 1507 계열</t>
        </is>
      </c>
      <c r="I48" s="8" t="inlineStr">
        <is>
          <t>HS1507</t>
        </is>
      </c>
      <c r="J48" s="8" t="inlineStr">
        <is>
          <t>Harmonized System 1507</t>
        </is>
      </c>
      <c r="K48" s="8" t="inlineStr">
        <is>
          <t>CommodityCode</t>
        </is>
      </c>
      <c r="L48" s="8" t="inlineStr">
        <is>
          <t>대두유와 그 분획물의 국제 통일상품분류 계열이다.</t>
        </is>
      </c>
      <c r="M48" s="8" t="inlineStr">
        <is>
          <t>국가별 세부 10자리 코드는 상이할 수 있어 관할국 코드를 확인한다.</t>
        </is>
      </c>
      <c r="N48" s="8" t="inlineStr">
        <is>
          <t>Trade</t>
        </is>
      </c>
      <c r="O48" s="8" t="inlineStr">
        <is>
          <t>CONTEXT</t>
        </is>
      </c>
      <c r="P48" s="8" t="inlineStr">
        <is>
          <t>code</t>
        </is>
      </c>
      <c r="Q48" s="8" t="inlineStr">
        <is>
          <t>whitelist 적용</t>
        </is>
      </c>
      <c r="R48" s="8" t="inlineStr">
        <is>
          <t>A</t>
        </is>
      </c>
      <c r="S48" s="8" t="inlineStr">
        <is>
          <t>상</t>
        </is>
      </c>
      <c r="T48" s="8" t="inlineStr">
        <is>
          <t>CommodityCode</t>
        </is>
      </c>
      <c r="U48" s="8" t="inlineStr">
        <is>
          <t>IDENTIFIES</t>
        </is>
      </c>
      <c r="V48" s="8" t="inlineStr">
        <is>
          <t>GH-README,GH-C04,GH-P106</t>
        </is>
      </c>
    </row>
    <row r="49" ht="42" customHeight="1">
      <c r="A49" s="8" t="inlineStr">
        <is>
          <t>TERM-048</t>
        </is>
      </c>
      <c r="B49" s="8" t="inlineStr">
        <is>
          <t>시장·가격·조달</t>
        </is>
      </c>
      <c r="C49" s="8" t="inlineStr">
        <is>
          <t>Market, Price &amp; Procurement</t>
        </is>
      </c>
      <c r="D49" s="8" t="inlineStr">
        <is>
          <t>품목·형태</t>
        </is>
      </c>
      <c r="E49" s="8" t="inlineStr">
        <is>
          <t>Commodity &amp; Form</t>
        </is>
      </c>
      <c r="F49" s="8" t="inlineStr">
        <is>
          <t>분류코드</t>
        </is>
      </c>
      <c r="G49" s="8" t="inlineStr">
        <is>
          <t>HS 1507101000</t>
        </is>
      </c>
      <c r="H49" s="8" t="inlineStr">
        <is>
          <t>조유 대두유 세번</t>
        </is>
      </c>
      <c r="I49" s="8" t="n"/>
      <c r="J49" s="8" t="inlineStr">
        <is>
          <t>crude soybean oil code</t>
        </is>
      </c>
      <c r="K49" s="8" t="inlineStr">
        <is>
          <t>CommodityCode</t>
        </is>
      </c>
      <c r="L49" s="8" t="inlineStr">
        <is>
          <t>저장소가 사용하는 조유 대두유 10자리 코드다.</t>
        </is>
      </c>
      <c r="M49" s="8" t="inlineStr">
        <is>
          <t>관세 관할과 적용연도를 확인한다.</t>
        </is>
      </c>
      <c r="N49" s="8" t="inlineStr">
        <is>
          <t>Trade</t>
        </is>
      </c>
      <c r="O49" s="8" t="inlineStr">
        <is>
          <t>CONTEXT</t>
        </is>
      </c>
      <c r="P49" s="8" t="inlineStr">
        <is>
          <t>code</t>
        </is>
      </c>
      <c r="Q49" s="8" t="inlineStr">
        <is>
          <t>C-04 whitelist</t>
        </is>
      </c>
      <c r="R49" s="8" t="inlineStr">
        <is>
          <t>A</t>
        </is>
      </c>
      <c r="S49" s="8" t="inlineStr">
        <is>
          <t>중</t>
        </is>
      </c>
      <c r="T49" s="8" t="inlineStr">
        <is>
          <t>CommodityCode</t>
        </is>
      </c>
      <c r="U49" s="8" t="inlineStr">
        <is>
          <t>IDENTIFIES</t>
        </is>
      </c>
      <c r="V49" s="8" t="inlineStr">
        <is>
          <t>GH-README,GH-C04,GH-P106</t>
        </is>
      </c>
    </row>
    <row r="50" ht="42" customHeight="1">
      <c r="A50" s="8" t="inlineStr">
        <is>
          <t>TERM-049</t>
        </is>
      </c>
      <c r="B50" s="8" t="inlineStr">
        <is>
          <t>시장·가격·조달</t>
        </is>
      </c>
      <c r="C50" s="8" t="inlineStr">
        <is>
          <t>Market, Price &amp; Procurement</t>
        </is>
      </c>
      <c r="D50" s="8" t="inlineStr">
        <is>
          <t>품목·형태</t>
        </is>
      </c>
      <c r="E50" s="8" t="inlineStr">
        <is>
          <t>Commodity &amp; Form</t>
        </is>
      </c>
      <c r="F50" s="8" t="inlineStr">
        <is>
          <t>분류코드</t>
        </is>
      </c>
      <c r="G50" s="8" t="inlineStr">
        <is>
          <t>HS 1507901010/1020</t>
        </is>
      </c>
      <c r="H50" s="8" t="inlineStr">
        <is>
          <t>정제 대두유 세번</t>
        </is>
      </c>
      <c r="I50" s="8" t="n"/>
      <c r="J50" s="8" t="inlineStr">
        <is>
          <t>refined soybean oil codes</t>
        </is>
      </c>
      <c r="K50" s="8" t="inlineStr">
        <is>
          <t>CommodityCode</t>
        </is>
      </c>
      <c r="L50" s="8" t="inlineStr">
        <is>
          <t>저장소가 사용하는 정제 대두유 세부 코드 집합이다.</t>
        </is>
      </c>
      <c r="M50" s="8" t="inlineStr">
        <is>
          <t>두 코드의 품목 세부 정의를 원문 관세표에서 확인한다.</t>
        </is>
      </c>
      <c r="N50" s="8" t="inlineStr">
        <is>
          <t>Trade</t>
        </is>
      </c>
      <c r="O50" s="8" t="inlineStr">
        <is>
          <t>CONTEXT</t>
        </is>
      </c>
      <c r="P50" s="8" t="inlineStr">
        <is>
          <t>code</t>
        </is>
      </c>
      <c r="Q50" s="8" t="inlineStr">
        <is>
          <t>C-04 whitelist</t>
        </is>
      </c>
      <c r="R50" s="8" t="inlineStr">
        <is>
          <t>A</t>
        </is>
      </c>
      <c r="S50" s="8" t="inlineStr">
        <is>
          <t>상</t>
        </is>
      </c>
      <c r="T50" s="8" t="inlineStr">
        <is>
          <t>CommodityCode</t>
        </is>
      </c>
      <c r="U50" s="8" t="inlineStr">
        <is>
          <t>IDENTIFIES</t>
        </is>
      </c>
      <c r="V50" s="8" t="inlineStr">
        <is>
          <t>GH-README,GH-C04,GH-P106</t>
        </is>
      </c>
    </row>
    <row r="51" ht="42" customHeight="1">
      <c r="A51" s="8" t="inlineStr">
        <is>
          <t>TERM-050</t>
        </is>
      </c>
      <c r="B51" s="8" t="inlineStr">
        <is>
          <t>시장·가격·조달</t>
        </is>
      </c>
      <c r="C51" s="8" t="inlineStr">
        <is>
          <t>Market, Price &amp; Procurement</t>
        </is>
      </c>
      <c r="D51" s="8" t="inlineStr">
        <is>
          <t>가격·스프레드</t>
        </is>
      </c>
      <c r="E51" s="8" t="inlineStr">
        <is>
          <t>Price &amp; Spread</t>
        </is>
      </c>
      <c r="F51" s="8" t="inlineStr">
        <is>
          <t>현물</t>
        </is>
      </c>
      <c r="G51" s="8" t="inlineStr">
        <is>
          <t>Spot Price</t>
        </is>
      </c>
      <c r="H51" s="8" t="inlineStr">
        <is>
          <t>현물가격</t>
        </is>
      </c>
      <c r="I51" s="8" t="n"/>
      <c r="J51" s="8" t="inlineStr">
        <is>
          <t>cash price; spot offer</t>
        </is>
      </c>
      <c r="K51" s="8" t="inlineStr">
        <is>
          <t>Metric</t>
        </is>
      </c>
      <c r="L51" s="8" t="inlineStr">
        <is>
          <t>즉시 또는 근접 인도의 시장가격이다.</t>
        </is>
      </c>
      <c r="M51" s="8" t="inlineStr">
        <is>
          <t>선물가격·계약가격·CFR/CIF 가격과 구분한다.</t>
        </is>
      </c>
      <c r="N51" s="8" t="inlineStr">
        <is>
          <t>Price</t>
        </is>
      </c>
      <c r="O51" s="8" t="inlineStr">
        <is>
          <t>CONTEXT</t>
        </is>
      </c>
      <c r="P51" s="8" t="inlineStr">
        <is>
          <t>USD/MT</t>
        </is>
      </c>
      <c r="Q51" s="8" t="inlineStr">
        <is>
          <t>문서별</t>
        </is>
      </c>
      <c r="R51" s="8" t="inlineStr">
        <is>
          <t>A</t>
        </is>
      </c>
      <c r="S51" s="8" t="inlineStr">
        <is>
          <t>상</t>
        </is>
      </c>
      <c r="T51" s="8" t="inlineStr">
        <is>
          <t>PriceMetric</t>
        </is>
      </c>
      <c r="U51" s="8" t="inlineStr">
        <is>
          <t>MEASURED_BY</t>
        </is>
      </c>
      <c r="V51" s="8" t="inlineStr">
        <is>
          <t>GH-README,GH-P101,GH-P104</t>
        </is>
      </c>
    </row>
    <row r="52" ht="42" customHeight="1">
      <c r="A52" s="8" t="inlineStr">
        <is>
          <t>TERM-051</t>
        </is>
      </c>
      <c r="B52" s="8" t="inlineStr">
        <is>
          <t>시장·가격·조달</t>
        </is>
      </c>
      <c r="C52" s="8" t="inlineStr">
        <is>
          <t>Market, Price &amp; Procurement</t>
        </is>
      </c>
      <c r="D52" s="8" t="inlineStr">
        <is>
          <t>가격·스프레드</t>
        </is>
      </c>
      <c r="E52" s="8" t="inlineStr">
        <is>
          <t>Price &amp; Spread</t>
        </is>
      </c>
      <c r="F52" s="8" t="inlineStr">
        <is>
          <t>선물</t>
        </is>
      </c>
      <c r="G52" s="8" t="inlineStr">
        <is>
          <t>Futures Price</t>
        </is>
      </c>
      <c r="H52" s="8" t="inlineStr">
        <is>
          <t>선물가격</t>
        </is>
      </c>
      <c r="I52" s="8" t="n"/>
      <c r="J52" s="8" t="inlineStr">
        <is>
          <t>CBOT soybean oil futures; BO=F</t>
        </is>
      </c>
      <c r="K52" s="8" t="inlineStr">
        <is>
          <t>Metric</t>
        </is>
      </c>
      <c r="L52" s="8" t="inlineStr">
        <is>
          <t>거래소의 미래 인도 표준계약 가격이다.</t>
        </is>
      </c>
      <c r="M52" s="8" t="inlineStr">
        <is>
          <t>실물 CFR 도착가격과 동일하지 않으며 베이시스·운임·환율이 필요하다.</t>
        </is>
      </c>
      <c r="N52" s="8" t="inlineStr">
        <is>
          <t>Price</t>
        </is>
      </c>
      <c r="O52" s="8" t="inlineStr">
        <is>
          <t>CONTEXT</t>
        </is>
      </c>
      <c r="P52" s="8" t="inlineStr">
        <is>
          <t>cents/lb or contract unit</t>
        </is>
      </c>
      <c r="Q52" s="8" t="inlineStr">
        <is>
          <t>문서별</t>
        </is>
      </c>
      <c r="R52" s="8" t="inlineStr">
        <is>
          <t>A</t>
        </is>
      </c>
      <c r="S52" s="8" t="inlineStr">
        <is>
          <t>상</t>
        </is>
      </c>
      <c r="T52" s="8" t="inlineStr">
        <is>
          <t>PriceMetric</t>
        </is>
      </c>
      <c r="U52" s="8" t="inlineStr">
        <is>
          <t>MEASURED_BY</t>
        </is>
      </c>
      <c r="V52" s="8" t="inlineStr">
        <is>
          <t>GH-README,GH-P101,GH-P104</t>
        </is>
      </c>
    </row>
    <row r="53" ht="42" customHeight="1">
      <c r="A53" s="8" t="inlineStr">
        <is>
          <t>TERM-052</t>
        </is>
      </c>
      <c r="B53" s="8" t="inlineStr">
        <is>
          <t>시장·가격·조달</t>
        </is>
      </c>
      <c r="C53" s="8" t="inlineStr">
        <is>
          <t>Market, Price &amp; Procurement</t>
        </is>
      </c>
      <c r="D53" s="8" t="inlineStr">
        <is>
          <t>가격·스프레드</t>
        </is>
      </c>
      <c r="E53" s="8" t="inlineStr">
        <is>
          <t>Price &amp; Spread</t>
        </is>
      </c>
      <c r="F53" s="8" t="inlineStr">
        <is>
          <t>예측구간</t>
        </is>
      </c>
      <c r="G53" s="8" t="inlineStr">
        <is>
          <t>Price Band</t>
        </is>
      </c>
      <c r="H53" s="8" t="inlineStr">
        <is>
          <t>가격밴드</t>
        </is>
      </c>
      <c r="I53" s="8" t="n"/>
      <c r="J53" s="8" t="inlineStr">
        <is>
          <t>forecast interval; upper/lower band</t>
        </is>
      </c>
      <c r="K53" s="8" t="inlineStr">
        <is>
          <t>ForecastMetric</t>
        </is>
      </c>
      <c r="L53" s="8" t="inlineStr">
        <is>
          <t>G2가 산출하는 상·하한을 포함한 확률적 가격 범위다.</t>
        </is>
      </c>
      <c r="M53" s="8" t="inlineStr">
        <is>
          <t>점예측과 구분하고 신뢰수준·기간을 기록한다.</t>
        </is>
      </c>
      <c r="N53" s="8" t="inlineStr">
        <is>
          <t>Price</t>
        </is>
      </c>
      <c r="O53" s="8" t="inlineStr">
        <is>
          <t>CONTEXT</t>
        </is>
      </c>
      <c r="P53" s="8" t="inlineStr">
        <is>
          <t>price range</t>
        </is>
      </c>
      <c r="Q53" s="8" t="inlineStr">
        <is>
          <t>confidence interval required</t>
        </is>
      </c>
      <c r="R53" s="8" t="inlineStr">
        <is>
          <t>A</t>
        </is>
      </c>
      <c r="S53" s="8" t="inlineStr">
        <is>
          <t>상</t>
        </is>
      </c>
      <c r="T53" s="8" t="inlineStr">
        <is>
          <t>ForecastMetric</t>
        </is>
      </c>
      <c r="U53" s="8" t="inlineStr">
        <is>
          <t>FORECASTS</t>
        </is>
      </c>
      <c r="V53" s="8" t="inlineStr">
        <is>
          <t>GH-README,GH-P101,GH-P104</t>
        </is>
      </c>
    </row>
    <row r="54" ht="42" customHeight="1">
      <c r="A54" s="8" t="inlineStr">
        <is>
          <t>TERM-053</t>
        </is>
      </c>
      <c r="B54" s="8" t="inlineStr">
        <is>
          <t>시장·가격·조달</t>
        </is>
      </c>
      <c r="C54" s="8" t="inlineStr">
        <is>
          <t>Market, Price &amp; Procurement</t>
        </is>
      </c>
      <c r="D54" s="8" t="inlineStr">
        <is>
          <t>가격·스프레드</t>
        </is>
      </c>
      <c r="E54" s="8" t="inlineStr">
        <is>
          <t>Price &amp; Spread</t>
        </is>
      </c>
      <c r="F54" s="8" t="inlineStr">
        <is>
          <t>상대가격</t>
        </is>
      </c>
      <c r="G54" s="8" t="inlineStr">
        <is>
          <t>CPO–SBO Spread</t>
        </is>
      </c>
      <c r="H54" s="8" t="inlineStr">
        <is>
          <t>팜유–대두유 스프레드</t>
        </is>
      </c>
      <c r="I54" s="8" t="inlineStr">
        <is>
          <t>CPO-SBO</t>
        </is>
      </c>
      <c r="J54" s="8" t="inlineStr">
        <is>
          <t>SBO premium over CPO</t>
        </is>
      </c>
      <c r="K54" s="8" t="inlineStr">
        <is>
          <t>Indicator</t>
        </is>
      </c>
      <c r="L54" s="8" t="inlineStr">
        <is>
          <t>대두유와 팜유의 상대가격 차이다.</t>
        </is>
      </c>
      <c r="M54" s="8" t="inlineStr">
        <is>
          <t>가격 방향과 기준(FOB/CIF)을 맞추고 절대차·비율을 구분한다.</t>
        </is>
      </c>
      <c r="N54" s="8" t="inlineStr">
        <is>
          <t>Substitution</t>
        </is>
      </c>
      <c r="O54" s="8" t="inlineStr">
        <is>
          <t>UP_RISK</t>
        </is>
      </c>
      <c r="P54" s="8" t="inlineStr">
        <is>
          <t>USD/MT or %</t>
        </is>
      </c>
      <c r="Q54" s="8" t="inlineStr">
        <is>
          <t>SBO premium &gt;15% over CPO CIF Korea</t>
        </is>
      </c>
      <c r="R54" s="8" t="inlineStr">
        <is>
          <t>A</t>
        </is>
      </c>
      <c r="S54" s="8" t="inlineStr">
        <is>
          <t>상</t>
        </is>
      </c>
      <c r="T54" s="8" t="inlineStr">
        <is>
          <t>SpreadIndicator</t>
        </is>
      </c>
      <c r="U54" s="8" t="inlineStr">
        <is>
          <t>AFFECTS</t>
        </is>
      </c>
      <c r="V54" s="8" t="inlineStr">
        <is>
          <t>GH-README,GH-P101,GH-P104</t>
        </is>
      </c>
    </row>
    <row r="55" ht="42" customHeight="1">
      <c r="A55" s="8" t="inlineStr">
        <is>
          <t>TERM-054</t>
        </is>
      </c>
      <c r="B55" s="8" t="inlineStr">
        <is>
          <t>시장·가격·조달</t>
        </is>
      </c>
      <c r="C55" s="8" t="inlineStr">
        <is>
          <t>Market, Price &amp; Procurement</t>
        </is>
      </c>
      <c r="D55" s="8" t="inlineStr">
        <is>
          <t>가격·스프레드</t>
        </is>
      </c>
      <c r="E55" s="8" t="inlineStr">
        <is>
          <t>Price &amp; Spread</t>
        </is>
      </c>
      <c r="F55" s="8" t="inlineStr">
        <is>
          <t>상대가격</t>
        </is>
      </c>
      <c r="G55" s="8" t="inlineStr">
        <is>
          <t>Brazil–US CFR Spread</t>
        </is>
      </c>
      <c r="H55" s="8" t="inlineStr">
        <is>
          <t>브라질–미국 CFR 스프레드</t>
        </is>
      </c>
      <c r="I55" s="8" t="n"/>
      <c r="J55" s="8" t="inlineStr">
        <is>
          <t>origin CFR spread</t>
        </is>
      </c>
      <c r="K55" s="8" t="inlineStr">
        <is>
          <t>Indicator</t>
        </is>
      </c>
      <c r="L55" s="8" t="inlineStr">
        <is>
          <t>브라질산과 미국산 대두유의 한국 도착 기준 가격 차이다.</t>
        </is>
      </c>
      <c r="M55" s="8" t="inlineStr">
        <is>
          <t>동일 품질·기간·통화·도착항 조건을 맞춘다.</t>
        </is>
      </c>
      <c r="N55" s="8" t="inlineStr">
        <is>
          <t>Origin Choice</t>
        </is>
      </c>
      <c r="O55" s="8" t="inlineStr">
        <is>
          <t>CONTEXT</t>
        </is>
      </c>
      <c r="P55" s="8" t="inlineStr">
        <is>
          <t>USD/MT</t>
        </is>
      </c>
      <c r="Q55" s="8" t="inlineStr">
        <is>
          <t>&gt;USD 20/MT</t>
        </is>
      </c>
      <c r="R55" s="8" t="inlineStr">
        <is>
          <t>A</t>
        </is>
      </c>
      <c r="S55" s="8" t="inlineStr">
        <is>
          <t>상</t>
        </is>
      </c>
      <c r="T55" s="8" t="inlineStr">
        <is>
          <t>SpreadIndicator</t>
        </is>
      </c>
      <c r="U55" s="8" t="inlineStr">
        <is>
          <t>AFFECTS</t>
        </is>
      </c>
      <c r="V55" s="8" t="inlineStr">
        <is>
          <t>GH-README,GH-P101,GH-P104</t>
        </is>
      </c>
    </row>
    <row r="56" ht="42" customHeight="1">
      <c r="A56" s="8" t="inlineStr">
        <is>
          <t>TERM-055</t>
        </is>
      </c>
      <c r="B56" s="8" t="inlineStr">
        <is>
          <t>시장·가격·조달</t>
        </is>
      </c>
      <c r="C56" s="8" t="inlineStr">
        <is>
          <t>Market, Price &amp; Procurement</t>
        </is>
      </c>
      <c r="D56" s="8" t="inlineStr">
        <is>
          <t>가격·스프레드</t>
        </is>
      </c>
      <c r="E56" s="8" t="inlineStr">
        <is>
          <t>Price &amp; Spread</t>
        </is>
      </c>
      <c r="F56" s="8" t="inlineStr">
        <is>
          <t>대체재</t>
        </is>
      </c>
      <c r="G56" s="8" t="inlineStr">
        <is>
          <t>Crude Palm Oil</t>
        </is>
      </c>
      <c r="H56" s="8" t="inlineStr">
        <is>
          <t>팜유 조유</t>
        </is>
      </c>
      <c r="I56" s="8" t="inlineStr">
        <is>
          <t>CPO</t>
        </is>
      </c>
      <c r="J56" s="8" t="inlineStr">
        <is>
          <t>palm oil</t>
        </is>
      </c>
      <c r="K56" s="8" t="inlineStr">
        <is>
          <t>Commodity</t>
        </is>
      </c>
      <c r="L56" s="8" t="inlineStr">
        <is>
          <t>대두유의 주요 가격·수요 대체재다.</t>
        </is>
      </c>
      <c r="M56" s="8" t="inlineStr">
        <is>
          <t>팜유 자체 뉴스는 대체수요 경로가 있을 때만 대두유 분석에 포함한다.</t>
        </is>
      </c>
      <c r="N56" s="8" t="inlineStr">
        <is>
          <t>Substitution</t>
        </is>
      </c>
      <c r="O56" s="8" t="inlineStr">
        <is>
          <t>DOWN_RISK</t>
        </is>
      </c>
      <c r="P56" s="8" t="inlineStr">
        <is>
          <t>MT or USD/MT</t>
        </is>
      </c>
      <c r="Q56" s="8" t="inlineStr">
        <is>
          <t>spread threshold</t>
        </is>
      </c>
      <c r="R56" s="8" t="inlineStr">
        <is>
          <t>A</t>
        </is>
      </c>
      <c r="S56" s="8" t="inlineStr">
        <is>
          <t>중</t>
        </is>
      </c>
      <c r="T56" s="8" t="inlineStr">
        <is>
          <t>Commodity</t>
        </is>
      </c>
      <c r="U56" s="8" t="inlineStr">
        <is>
          <t>SUBSTITUTES_FOR</t>
        </is>
      </c>
      <c r="V56" s="8" t="inlineStr">
        <is>
          <t>GH-README,GH-P101,GH-P104</t>
        </is>
      </c>
    </row>
    <row r="57" ht="42" customHeight="1">
      <c r="A57" s="8" t="inlineStr">
        <is>
          <t>TERM-056</t>
        </is>
      </c>
      <c r="B57" s="8" t="inlineStr">
        <is>
          <t>시장·가격·조달</t>
        </is>
      </c>
      <c r="C57" s="8" t="inlineStr">
        <is>
          <t>Market, Price &amp; Procurement</t>
        </is>
      </c>
      <c r="D57" s="8" t="inlineStr">
        <is>
          <t>가격·스프레드</t>
        </is>
      </c>
      <c r="E57" s="8" t="inlineStr">
        <is>
          <t>Price &amp; Spread</t>
        </is>
      </c>
      <c r="F57" s="8" t="inlineStr">
        <is>
          <t>대체재</t>
        </is>
      </c>
      <c r="G57" s="8" t="inlineStr">
        <is>
          <t>Canola Oil</t>
        </is>
      </c>
      <c r="H57" s="8" t="inlineStr">
        <is>
          <t>카놀라유</t>
        </is>
      </c>
      <c r="I57" s="8" t="n"/>
      <c r="J57" s="8" t="inlineStr">
        <is>
          <t>rapeseed oil</t>
        </is>
      </c>
      <c r="K57" s="8" t="inlineStr">
        <is>
          <t>Commodity</t>
        </is>
      </c>
      <c r="L57" s="8" t="inlineStr">
        <is>
          <t>대두유와 경쟁 가능한 식물성 유지 대체재다.</t>
        </is>
      </c>
      <c r="M57" s="8" t="inlineStr">
        <is>
          <t>카놀라유와 유채유의 지역별 명칭·품질을 확인한다.</t>
        </is>
      </c>
      <c r="N57" s="8" t="inlineStr">
        <is>
          <t>Substitution</t>
        </is>
      </c>
      <c r="O57" s="8" t="inlineStr">
        <is>
          <t>CONTEXT</t>
        </is>
      </c>
      <c r="P57" s="8" t="inlineStr">
        <is>
          <t>MT or USD/MT</t>
        </is>
      </c>
      <c r="Q57" s="8" t="inlineStr">
        <is>
          <t>SBO CFR &gt; Canola by USD 20/MT (A-167 부호 규약 — SBO가 비쌀 때 대체 압력)</t>
        </is>
      </c>
      <c r="R57" s="8" t="inlineStr">
        <is>
          <t>B</t>
        </is>
      </c>
      <c r="S57" s="8" t="inlineStr">
        <is>
          <t>중</t>
        </is>
      </c>
      <c r="T57" s="8" t="inlineStr">
        <is>
          <t>Commodity</t>
        </is>
      </c>
      <c r="U57" s="8" t="inlineStr">
        <is>
          <t>SUBSTITUTES_FOR</t>
        </is>
      </c>
      <c r="V57" s="8" t="inlineStr">
        <is>
          <t>GH-README,GH-P101,GH-P104</t>
        </is>
      </c>
    </row>
    <row r="58" ht="42" customHeight="1">
      <c r="A58" s="8" t="inlineStr">
        <is>
          <t>TERM-057</t>
        </is>
      </c>
      <c r="B58" s="8" t="inlineStr">
        <is>
          <t>시장·가격·조달</t>
        </is>
      </c>
      <c r="C58" s="8" t="inlineStr">
        <is>
          <t>Market, Price &amp; Procurement</t>
        </is>
      </c>
      <c r="D58" s="8" t="inlineStr">
        <is>
          <t>가격·스프레드</t>
        </is>
      </c>
      <c r="E58" s="8" t="inlineStr">
        <is>
          <t>Price &amp; Spread</t>
        </is>
      </c>
      <c r="F58" s="8" t="inlineStr">
        <is>
          <t>대체재</t>
        </is>
      </c>
      <c r="G58" s="8" t="inlineStr">
        <is>
          <t>Sunflower Oil</t>
        </is>
      </c>
      <c r="H58" s="8" t="inlineStr">
        <is>
          <t>해바라기유</t>
        </is>
      </c>
      <c r="I58" s="8" t="n"/>
      <c r="J58" s="8" t="inlineStr">
        <is>
          <t>sun oil</t>
        </is>
      </c>
      <c r="K58" s="8" t="inlineStr">
        <is>
          <t>Commodity</t>
        </is>
      </c>
      <c r="L58" s="8" t="inlineStr">
        <is>
          <t>흑해 수급·분쟁에 민감한 식물성 유지 대체재다.</t>
        </is>
      </c>
      <c r="M58" s="8" t="inlineStr">
        <is>
          <t>흑해 리스크가 대두유에 미치는 간접 대체수요 경로를 확인한다.</t>
        </is>
      </c>
      <c r="N58" s="8" t="inlineStr">
        <is>
          <t>Substitution</t>
        </is>
      </c>
      <c r="O58" s="8" t="inlineStr">
        <is>
          <t>UP_RISK</t>
        </is>
      </c>
      <c r="P58" s="8" t="inlineStr">
        <is>
          <t>MT or USD/MT</t>
        </is>
      </c>
      <c r="Q58" s="8" t="inlineStr">
        <is>
          <t>문서별</t>
        </is>
      </c>
      <c r="R58" s="8" t="inlineStr">
        <is>
          <t>B</t>
        </is>
      </c>
      <c r="S58" s="8" t="inlineStr">
        <is>
          <t>중</t>
        </is>
      </c>
      <c r="T58" s="8" t="inlineStr">
        <is>
          <t>Commodity</t>
        </is>
      </c>
      <c r="U58" s="8" t="inlineStr">
        <is>
          <t>SUBSTITUTES_FOR</t>
        </is>
      </c>
      <c r="V58" s="8" t="inlineStr">
        <is>
          <t>GH-README,GH-P101,GH-P104</t>
        </is>
      </c>
    </row>
    <row r="59" ht="42" customHeight="1">
      <c r="A59" s="8" t="inlineStr">
        <is>
          <t>TERM-058</t>
        </is>
      </c>
      <c r="B59" s="8" t="inlineStr">
        <is>
          <t>시장·가격·조달</t>
        </is>
      </c>
      <c r="C59" s="8" t="inlineStr">
        <is>
          <t>Market, Price &amp; Procurement</t>
        </is>
      </c>
      <c r="D59" s="8" t="inlineStr">
        <is>
          <t>레짐·의사결정</t>
        </is>
      </c>
      <c r="E59" s="8" t="inlineStr">
        <is>
          <t>Regime &amp; Decision</t>
        </is>
      </c>
      <c r="F59" s="8" t="inlineStr">
        <is>
          <t>가격레짐</t>
        </is>
      </c>
      <c r="G59" s="8" t="inlineStr">
        <is>
          <t>Bull Regime</t>
        </is>
      </c>
      <c r="H59" s="8" t="inlineStr">
        <is>
          <t>상승장</t>
        </is>
      </c>
      <c r="I59" s="8" t="inlineStr">
        <is>
          <t>Bull</t>
        </is>
      </c>
      <c r="J59" s="8" t="inlineStr">
        <is>
          <t>bullish; price-up regime</t>
        </is>
      </c>
      <c r="K59" s="8" t="inlineStr">
        <is>
          <t>MarketRegime</t>
        </is>
      </c>
      <c r="L59" s="8" t="inlineStr">
        <is>
          <t>대두유 가격이 지속 상승하는 시장 레짐이다.</t>
        </is>
      </c>
      <c r="M59" s="8" t="inlineStr">
        <is>
          <t>프로젝트의 sentiment +1도 가격 상방 기준이다. 공급 긍정과 혼동하지 않는다.</t>
        </is>
      </c>
      <c r="N59" s="8" t="inlineStr">
        <is>
          <t>Price</t>
        </is>
      </c>
      <c r="O59" s="8" t="inlineStr">
        <is>
          <t>UP</t>
        </is>
      </c>
      <c r="P59" s="8" t="inlineStr">
        <is>
          <t>label</t>
        </is>
      </c>
      <c r="Q59" s="8" t="inlineStr">
        <is>
          <t>모델 판정</t>
        </is>
      </c>
      <c r="R59" s="8" t="inlineStr">
        <is>
          <t>A</t>
        </is>
      </c>
      <c r="S59" s="8" t="inlineStr">
        <is>
          <t>상</t>
        </is>
      </c>
      <c r="T59" s="8" t="inlineStr">
        <is>
          <t>MarketRegime</t>
        </is>
      </c>
      <c r="U59" s="8" t="inlineStr">
        <is>
          <t>CLASSIFIES</t>
        </is>
      </c>
      <c r="V59" s="8" t="inlineStr">
        <is>
          <t>GH-README,GH-P105</t>
        </is>
      </c>
    </row>
    <row r="60" ht="42" customHeight="1">
      <c r="A60" s="8" t="inlineStr">
        <is>
          <t>TERM-059</t>
        </is>
      </c>
      <c r="B60" s="8" t="inlineStr">
        <is>
          <t>시장·가격·조달</t>
        </is>
      </c>
      <c r="C60" s="8" t="inlineStr">
        <is>
          <t>Market, Price &amp; Procurement</t>
        </is>
      </c>
      <c r="D60" s="8" t="inlineStr">
        <is>
          <t>레짐·의사결정</t>
        </is>
      </c>
      <c r="E60" s="8" t="inlineStr">
        <is>
          <t>Regime &amp; Decision</t>
        </is>
      </c>
      <c r="F60" s="8" t="inlineStr">
        <is>
          <t>가격레짐</t>
        </is>
      </c>
      <c r="G60" s="8" t="inlineStr">
        <is>
          <t>Bear Regime</t>
        </is>
      </c>
      <c r="H60" s="8" t="inlineStr">
        <is>
          <t>하락장</t>
        </is>
      </c>
      <c r="I60" s="8" t="inlineStr">
        <is>
          <t>Bear</t>
        </is>
      </c>
      <c r="J60" s="8" t="inlineStr">
        <is>
          <t>bearish; price-down regime</t>
        </is>
      </c>
      <c r="K60" s="8" t="inlineStr">
        <is>
          <t>MarketRegime</t>
        </is>
      </c>
      <c r="L60" s="8" t="inlineStr">
        <is>
          <t>대두유 가격이 지속 하락하는 시장 레짐이다.</t>
        </is>
      </c>
      <c r="M60" s="8" t="inlineStr">
        <is>
          <t>프로젝트에서는 Hold와 연결되며 공급 부족의 부정적 의미와 혼동하지 않는다.</t>
        </is>
      </c>
      <c r="N60" s="8" t="inlineStr">
        <is>
          <t>Price</t>
        </is>
      </c>
      <c r="O60" s="8" t="inlineStr">
        <is>
          <t>DOWN</t>
        </is>
      </c>
      <c r="P60" s="8" t="inlineStr">
        <is>
          <t>label</t>
        </is>
      </c>
      <c r="Q60" s="8" t="inlineStr">
        <is>
          <t>모델 판정</t>
        </is>
      </c>
      <c r="R60" s="8" t="inlineStr">
        <is>
          <t>A</t>
        </is>
      </c>
      <c r="S60" s="8" t="inlineStr">
        <is>
          <t>상</t>
        </is>
      </c>
      <c r="T60" s="8" t="inlineStr">
        <is>
          <t>MarketRegime</t>
        </is>
      </c>
      <c r="U60" s="8" t="inlineStr">
        <is>
          <t>CLASSIFIES</t>
        </is>
      </c>
      <c r="V60" s="8" t="inlineStr">
        <is>
          <t>GH-README,GH-P105</t>
        </is>
      </c>
    </row>
    <row r="61" ht="42" customHeight="1">
      <c r="A61" s="8" t="inlineStr">
        <is>
          <t>TERM-060</t>
        </is>
      </c>
      <c r="B61" s="8" t="inlineStr">
        <is>
          <t>시장·가격·조달</t>
        </is>
      </c>
      <c r="C61" s="8" t="inlineStr">
        <is>
          <t>Market, Price &amp; Procurement</t>
        </is>
      </c>
      <c r="D61" s="8" t="inlineStr">
        <is>
          <t>레짐·의사결정</t>
        </is>
      </c>
      <c r="E61" s="8" t="inlineStr">
        <is>
          <t>Regime &amp; Decision</t>
        </is>
      </c>
      <c r="F61" s="8" t="inlineStr">
        <is>
          <t>가격레짐</t>
        </is>
      </c>
      <c r="G61" s="8" t="inlineStr">
        <is>
          <t>Neutral Regime</t>
        </is>
      </c>
      <c r="H61" s="8" t="inlineStr">
        <is>
          <t>중립장</t>
        </is>
      </c>
      <c r="I61" s="8" t="inlineStr">
        <is>
          <t>Neutral</t>
        </is>
      </c>
      <c r="J61" s="8" t="inlineStr">
        <is>
          <t>mixed; balanced</t>
        </is>
      </c>
      <c r="K61" s="8" t="inlineStr">
        <is>
          <t>MarketRegime</t>
        </is>
      </c>
      <c r="L61" s="8" t="inlineStr">
        <is>
          <t>상·하방 신호가 균형이거나 방향성이 부족한 레짐이다.</t>
        </is>
      </c>
      <c r="M61" s="8" t="inlineStr">
        <is>
          <t>중립을 데이터 없음과 구분한다.</t>
        </is>
      </c>
      <c r="N61" s="8" t="inlineStr">
        <is>
          <t>Price</t>
        </is>
      </c>
      <c r="O61" s="8" t="inlineStr">
        <is>
          <t>FLAT</t>
        </is>
      </c>
      <c r="P61" s="8" t="inlineStr">
        <is>
          <t>label</t>
        </is>
      </c>
      <c r="Q61" s="8" t="inlineStr">
        <is>
          <t>모델 판정</t>
        </is>
      </c>
      <c r="R61" s="8" t="inlineStr">
        <is>
          <t>A</t>
        </is>
      </c>
      <c r="S61" s="8" t="inlineStr">
        <is>
          <t>중</t>
        </is>
      </c>
      <c r="T61" s="8" t="inlineStr">
        <is>
          <t>MarketRegime</t>
        </is>
      </c>
      <c r="U61" s="8" t="inlineStr">
        <is>
          <t>CLASSIFIES</t>
        </is>
      </c>
      <c r="V61" s="8" t="inlineStr">
        <is>
          <t>GH-README,GH-P105</t>
        </is>
      </c>
    </row>
    <row r="62" ht="42" customHeight="1">
      <c r="A62" s="8" t="inlineStr">
        <is>
          <t>TERM-061</t>
        </is>
      </c>
      <c r="B62" s="8" t="inlineStr">
        <is>
          <t>시장·가격·조달</t>
        </is>
      </c>
      <c r="C62" s="8" t="inlineStr">
        <is>
          <t>Market, Price &amp; Procurement</t>
        </is>
      </c>
      <c r="D62" s="8" t="inlineStr">
        <is>
          <t>레짐·의사결정</t>
        </is>
      </c>
      <c r="E62" s="8" t="inlineStr">
        <is>
          <t>Regime &amp; Decision</t>
        </is>
      </c>
      <c r="F62" s="8" t="inlineStr">
        <is>
          <t>조달태도</t>
        </is>
      </c>
      <c r="G62" s="8" t="inlineStr">
        <is>
          <t>Buy Recommendation</t>
        </is>
      </c>
      <c r="H62" s="8" t="inlineStr">
        <is>
          <t>매수 검토 신호</t>
        </is>
      </c>
      <c r="I62" s="8" t="inlineStr">
        <is>
          <t>Buy</t>
        </is>
      </c>
      <c r="J62" s="8" t="inlineStr">
        <is>
          <t>procurement buy signal</t>
        </is>
      </c>
      <c r="K62" s="8" t="inlineStr">
        <is>
          <t>DecisionSignal</t>
        </is>
      </c>
      <c r="L62" s="8" t="inlineStr">
        <is>
          <t>현재 가격에서 구매를 검토하도록 제시하는 정보성 신호다.</t>
        </is>
      </c>
      <c r="M62" s="8" t="inlineStr">
        <is>
          <t>자율 실행이 아니며 HITL 승인 전 확정 거래로 표현하지 않는다.</t>
        </is>
      </c>
      <c r="N62" s="8" t="inlineStr">
        <is>
          <t>Procurement</t>
        </is>
      </c>
      <c r="O62" s="8" t="inlineStr">
        <is>
          <t>CONTEXT</t>
        </is>
      </c>
      <c r="P62" s="8" t="inlineStr">
        <is>
          <t>label</t>
        </is>
      </c>
      <c r="Q62" s="8" t="inlineStr">
        <is>
          <t>human approval</t>
        </is>
      </c>
      <c r="R62" s="8" t="inlineStr">
        <is>
          <t>A</t>
        </is>
      </c>
      <c r="S62" s="8" t="inlineStr">
        <is>
          <t>상</t>
        </is>
      </c>
      <c r="T62" s="8" t="inlineStr">
        <is>
          <t>DecisionSignal</t>
        </is>
      </c>
      <c r="U62" s="8" t="inlineStr">
        <is>
          <t>RECOMMENDS</t>
        </is>
      </c>
      <c r="V62" s="8" t="inlineStr">
        <is>
          <t>GH-README,GH-P105</t>
        </is>
      </c>
    </row>
    <row r="63" ht="42" customHeight="1">
      <c r="A63" s="8" t="inlineStr">
        <is>
          <t>TERM-062</t>
        </is>
      </c>
      <c r="B63" s="8" t="inlineStr">
        <is>
          <t>시장·가격·조달</t>
        </is>
      </c>
      <c r="C63" s="8" t="inlineStr">
        <is>
          <t>Market, Price &amp; Procurement</t>
        </is>
      </c>
      <c r="D63" s="8" t="inlineStr">
        <is>
          <t>레짐·의사결정</t>
        </is>
      </c>
      <c r="E63" s="8" t="inlineStr">
        <is>
          <t>Regime &amp; Decision</t>
        </is>
      </c>
      <c r="F63" s="8" t="inlineStr">
        <is>
          <t>조달태도</t>
        </is>
      </c>
      <c r="G63" s="8" t="inlineStr">
        <is>
          <t>Hold Recommendation</t>
        </is>
      </c>
      <c r="H63" s="8" t="inlineStr">
        <is>
          <t>보류 신호</t>
        </is>
      </c>
      <c r="I63" s="8" t="inlineStr">
        <is>
          <t>Hold</t>
        </is>
      </c>
      <c r="J63" s="8" t="inlineStr">
        <is>
          <t>wait; delay purchase</t>
        </is>
      </c>
      <c r="K63" s="8" t="inlineStr">
        <is>
          <t>DecisionSignal</t>
        </is>
      </c>
      <c r="L63" s="8" t="inlineStr">
        <is>
          <t>가격 진입 개선을 기다리도록 구매를 보류하는 정보성 신호다.</t>
        </is>
      </c>
      <c r="M63" s="8" t="inlineStr">
        <is>
          <t>수요 소멸이 아니라 조달 시점 연기의 의미다.</t>
        </is>
      </c>
      <c r="N63" s="8" t="inlineStr">
        <is>
          <t>Procurement</t>
        </is>
      </c>
      <c r="O63" s="8" t="inlineStr">
        <is>
          <t>CONTEXT</t>
        </is>
      </c>
      <c r="P63" s="8" t="inlineStr">
        <is>
          <t>label</t>
        </is>
      </c>
      <c r="Q63" s="8" t="inlineStr">
        <is>
          <t>human approval</t>
        </is>
      </c>
      <c r="R63" s="8" t="inlineStr">
        <is>
          <t>A</t>
        </is>
      </c>
      <c r="S63" s="8" t="inlineStr">
        <is>
          <t>상</t>
        </is>
      </c>
      <c r="T63" s="8" t="inlineStr">
        <is>
          <t>DecisionSignal</t>
        </is>
      </c>
      <c r="U63" s="8" t="inlineStr">
        <is>
          <t>RECOMMENDS</t>
        </is>
      </c>
      <c r="V63" s="8" t="inlineStr">
        <is>
          <t>GH-README,GH-P105</t>
        </is>
      </c>
    </row>
    <row r="64" ht="42" customHeight="1">
      <c r="A64" s="8" t="inlineStr">
        <is>
          <t>TERM-063</t>
        </is>
      </c>
      <c r="B64" s="8" t="inlineStr">
        <is>
          <t>에너지·바이오연료</t>
        </is>
      </c>
      <c r="C64" s="8" t="inlineStr">
        <is>
          <t>Energy &amp; Biofuel</t>
        </is>
      </c>
      <c r="D64" s="8" t="inlineStr">
        <is>
          <t>에너지 가격</t>
        </is>
      </c>
      <c r="E64" s="8" t="inlineStr">
        <is>
          <t>Energy Prices</t>
        </is>
      </c>
      <c r="F64" s="8" t="inlineStr">
        <is>
          <t>원유</t>
        </is>
      </c>
      <c r="G64" s="8" t="inlineStr">
        <is>
          <t>West Texas Intermediate</t>
        </is>
      </c>
      <c r="H64" s="8" t="inlineStr">
        <is>
          <t>서부텍사스산 원유</t>
        </is>
      </c>
      <c r="I64" s="8" t="inlineStr">
        <is>
          <t>WTI</t>
        </is>
      </c>
      <c r="J64" s="8" t="inlineStr">
        <is>
          <t>WTI crude</t>
        </is>
      </c>
      <c r="K64" s="8" t="inlineStr">
        <is>
          <t>Commodity/Indicator</t>
        </is>
      </c>
      <c r="L64" s="8" t="inlineStr">
        <is>
          <t>미국 기준 원유가격으로 바이오연료 경제성과 생산비의 외생 변수다.</t>
        </is>
      </c>
      <c r="M64" s="8" t="inlineStr">
        <is>
          <t>대두유 직접 가격이 아니며 바이오연료 수요·에너지 비용 경로를 확인한다.</t>
        </is>
      </c>
      <c r="N64" s="8" t="inlineStr">
        <is>
          <t>Biofuel Demand/Cost</t>
        </is>
      </c>
      <c r="O64" s="8" t="inlineStr">
        <is>
          <t>UP_RISK</t>
        </is>
      </c>
      <c r="P64" s="8" t="inlineStr">
        <is>
          <t>USD/bbl</t>
        </is>
      </c>
      <c r="Q64" s="8" t="inlineStr">
        <is>
          <t>문서별</t>
        </is>
      </c>
      <c r="R64" s="8" t="inlineStr">
        <is>
          <t>B</t>
        </is>
      </c>
      <c r="S64" s="8" t="inlineStr">
        <is>
          <t>중</t>
        </is>
      </c>
      <c r="T64" s="8" t="inlineStr">
        <is>
          <t>EnergyCommodity</t>
        </is>
      </c>
      <c r="U64" s="8" t="inlineStr">
        <is>
          <t>AFFECTS</t>
        </is>
      </c>
      <c r="V64" s="8" t="inlineStr">
        <is>
          <t>GH-README,GH-P101</t>
        </is>
      </c>
    </row>
    <row r="65" ht="42" customHeight="1">
      <c r="A65" s="8" t="inlineStr">
        <is>
          <t>TERM-064</t>
        </is>
      </c>
      <c r="B65" s="8" t="inlineStr">
        <is>
          <t>에너지·바이오연료</t>
        </is>
      </c>
      <c r="C65" s="8" t="inlineStr">
        <is>
          <t>Energy &amp; Biofuel</t>
        </is>
      </c>
      <c r="D65" s="8" t="inlineStr">
        <is>
          <t>에너지 가격</t>
        </is>
      </c>
      <c r="E65" s="8" t="inlineStr">
        <is>
          <t>Energy Prices</t>
        </is>
      </c>
      <c r="F65" s="8" t="inlineStr">
        <is>
          <t>원유</t>
        </is>
      </c>
      <c r="G65" s="8" t="inlineStr">
        <is>
          <t>Brent Crude</t>
        </is>
      </c>
      <c r="H65" s="8" t="inlineStr">
        <is>
          <t>브렌트유</t>
        </is>
      </c>
      <c r="I65" s="8" t="inlineStr">
        <is>
          <t>Brent</t>
        </is>
      </c>
      <c r="J65" s="8" t="inlineStr">
        <is>
          <t>Brent crude oil</t>
        </is>
      </c>
      <c r="K65" s="8" t="inlineStr">
        <is>
          <t>Commodity/Indicator</t>
        </is>
      </c>
      <c r="L65" s="8" t="inlineStr">
        <is>
          <t>글로벌 기준 원유가격이다.</t>
        </is>
      </c>
      <c r="M65" s="8" t="inlineStr">
        <is>
          <t>WTI와 혼합하지 말고 계약월·현물/선물을 구분한다.</t>
        </is>
      </c>
      <c r="N65" s="8" t="inlineStr">
        <is>
          <t>Biofuel Demand/Cost</t>
        </is>
      </c>
      <c r="O65" s="8" t="inlineStr">
        <is>
          <t>UP_RISK</t>
        </is>
      </c>
      <c r="P65" s="8" t="inlineStr">
        <is>
          <t>USD/bbl</t>
        </is>
      </c>
      <c r="Q65" s="8" t="inlineStr">
        <is>
          <t>문서별</t>
        </is>
      </c>
      <c r="R65" s="8" t="inlineStr">
        <is>
          <t>B</t>
        </is>
      </c>
      <c r="S65" s="8" t="inlineStr">
        <is>
          <t>중</t>
        </is>
      </c>
      <c r="T65" s="8" t="inlineStr">
        <is>
          <t>EnergyCommodity</t>
        </is>
      </c>
      <c r="U65" s="8" t="inlineStr">
        <is>
          <t>AFFECTS</t>
        </is>
      </c>
      <c r="V65" s="8" t="inlineStr">
        <is>
          <t>GH-README,GH-P101</t>
        </is>
      </c>
    </row>
    <row r="66" ht="42" customHeight="1">
      <c r="A66" s="8" t="inlineStr">
        <is>
          <t>TERM-065</t>
        </is>
      </c>
      <c r="B66" s="8" t="inlineStr">
        <is>
          <t>에너지·바이오연료</t>
        </is>
      </c>
      <c r="C66" s="8" t="inlineStr">
        <is>
          <t>Energy &amp; Biofuel</t>
        </is>
      </c>
      <c r="D66" s="8" t="inlineStr">
        <is>
          <t>에너지 가격</t>
        </is>
      </c>
      <c r="E66" s="8" t="inlineStr">
        <is>
          <t>Energy Prices</t>
        </is>
      </c>
      <c r="F66" s="8" t="inlineStr">
        <is>
          <t>산업원료</t>
        </is>
      </c>
      <c r="G66" s="8" t="inlineStr">
        <is>
          <t>Biodiesel Feedstock</t>
        </is>
      </c>
      <c r="H66" s="8" t="inlineStr">
        <is>
          <t>바이오디젤 원료</t>
        </is>
      </c>
      <c r="I66" s="8" t="n"/>
      <c r="J66" s="8" t="inlineStr">
        <is>
          <t>biofuel feedstock; industrial vegetable oil</t>
        </is>
      </c>
      <c r="K66" s="8" t="inlineStr">
        <is>
          <t>CommodityRole</t>
        </is>
      </c>
      <c r="L66" s="8" t="inlineStr">
        <is>
          <t>바이오디젤 생산에 투입되는 유지 원료 역할이다.</t>
        </is>
      </c>
      <c r="M66" s="8" t="inlineStr">
        <is>
          <t>식용 수요와 산업용 수요를 분리한다.</t>
        </is>
      </c>
      <c r="N66" s="8" t="inlineStr">
        <is>
          <t>Demand</t>
        </is>
      </c>
      <c r="O66" s="8" t="inlineStr">
        <is>
          <t>UP</t>
        </is>
      </c>
      <c r="P66" s="8" t="inlineStr">
        <is>
          <t>MT</t>
        </is>
      </c>
      <c r="Q66" s="8" t="inlineStr">
        <is>
          <t>문서별</t>
        </is>
      </c>
      <c r="R66" s="8" t="inlineStr">
        <is>
          <t>A</t>
        </is>
      </c>
      <c r="S66" s="8" t="inlineStr">
        <is>
          <t>상</t>
        </is>
      </c>
      <c r="T66" s="8" t="inlineStr">
        <is>
          <t>CommodityRole</t>
        </is>
      </c>
      <c r="U66" s="8" t="inlineStr">
        <is>
          <t>USED_AS</t>
        </is>
      </c>
      <c r="V66" s="8" t="inlineStr">
        <is>
          <t>GH-README,GH-P101</t>
        </is>
      </c>
    </row>
    <row r="67" ht="42" customHeight="1">
      <c r="A67" s="8" t="inlineStr">
        <is>
          <t>TERM-066</t>
        </is>
      </c>
      <c r="B67" s="8" t="inlineStr">
        <is>
          <t>에너지·바이오연료</t>
        </is>
      </c>
      <c r="C67" s="8" t="inlineStr">
        <is>
          <t>Energy &amp; Biofuel</t>
        </is>
      </c>
      <c r="D67" s="8" t="inlineStr">
        <is>
          <t>바이오연료 정책</t>
        </is>
      </c>
      <c r="E67" s="8" t="inlineStr">
        <is>
          <t>Biofuel Policy</t>
        </is>
      </c>
      <c r="F67" s="8" t="inlineStr">
        <is>
          <t>미국정책</t>
        </is>
      </c>
      <c r="G67" s="8" t="inlineStr">
        <is>
          <t>Renewable Fuel Standard</t>
        </is>
      </c>
      <c r="H67" s="8" t="inlineStr">
        <is>
          <t>미국 재생연료 의무제</t>
        </is>
      </c>
      <c r="I67" s="8" t="inlineStr">
        <is>
          <t>RFS</t>
        </is>
      </c>
      <c r="J67" s="8" t="inlineStr">
        <is>
          <t>EPA RFS</t>
        </is>
      </c>
      <c r="K67" s="8" t="inlineStr">
        <is>
          <t>Policy</t>
        </is>
      </c>
      <c r="L67" s="8" t="inlineStr">
        <is>
          <t>미국에서 운송연료의 재생연료 사용을 의무화하는 정책 체계다.</t>
        </is>
      </c>
      <c r="M67" s="8" t="inlineStr">
        <is>
          <t>정책 발표·최종 규칙·의무량 적용연도를 구분한다.</t>
        </is>
      </c>
      <c r="N67" s="8" t="inlineStr">
        <is>
          <t>Industrial Demand</t>
        </is>
      </c>
      <c r="O67" s="8" t="inlineStr">
        <is>
          <t>UP</t>
        </is>
      </c>
      <c r="P67" s="8" t="inlineStr">
        <is>
          <t>policy</t>
        </is>
      </c>
      <c r="Q67" s="8" t="inlineStr">
        <is>
          <t>문서별</t>
        </is>
      </c>
      <c r="R67" s="8" t="inlineStr">
        <is>
          <t>A</t>
        </is>
      </c>
      <c r="S67" s="8" t="inlineStr">
        <is>
          <t>상</t>
        </is>
      </c>
      <c r="T67" s="8" t="inlineStr">
        <is>
          <t>BiofuelPolicy</t>
        </is>
      </c>
      <c r="U67" s="8" t="inlineStr">
        <is>
          <t>REGULATES</t>
        </is>
      </c>
      <c r="V67" s="8" t="inlineStr">
        <is>
          <t>GH-README,GH-P105</t>
        </is>
      </c>
    </row>
    <row r="68" ht="42" customHeight="1">
      <c r="A68" s="8" t="inlineStr">
        <is>
          <t>TERM-067</t>
        </is>
      </c>
      <c r="B68" s="8" t="inlineStr">
        <is>
          <t>에너지·바이오연료</t>
        </is>
      </c>
      <c r="C68" s="8" t="inlineStr">
        <is>
          <t>Energy &amp; Biofuel</t>
        </is>
      </c>
      <c r="D68" s="8" t="inlineStr">
        <is>
          <t>바이오연료 정책</t>
        </is>
      </c>
      <c r="E68" s="8" t="inlineStr">
        <is>
          <t>Biofuel Policy</t>
        </is>
      </c>
      <c r="F68" s="8" t="inlineStr">
        <is>
          <t>미국정책</t>
        </is>
      </c>
      <c r="G68" s="8" t="inlineStr">
        <is>
          <t>Renewable Volume Obligation</t>
        </is>
      </c>
      <c r="H68" s="8" t="inlineStr">
        <is>
          <t>재생연료 의무량</t>
        </is>
      </c>
      <c r="I68" s="8" t="inlineStr">
        <is>
          <t>RVO</t>
        </is>
      </c>
      <c r="J68" s="8" t="inlineStr">
        <is>
          <t>RVOs</t>
        </is>
      </c>
      <c r="K68" s="8" t="inlineStr">
        <is>
          <t>PolicyMetric</t>
        </is>
      </c>
      <c r="L68" s="8" t="inlineStr">
        <is>
          <t>RFS 아래에서 설정되는 연도별 재생연료 의무 물량이다.</t>
        </is>
      </c>
      <c r="M68" s="8" t="inlineStr">
        <is>
          <t>제안치와 최종치를 구분하고 카테고리를 확인한다.</t>
        </is>
      </c>
      <c r="N68" s="8" t="inlineStr">
        <is>
          <t>Industrial Demand</t>
        </is>
      </c>
      <c r="O68" s="8" t="inlineStr">
        <is>
          <t>UP</t>
        </is>
      </c>
      <c r="P68" s="8" t="inlineStr">
        <is>
          <t>volume/%</t>
        </is>
      </c>
      <c r="Q68" s="8" t="inlineStr">
        <is>
          <t>문서별</t>
        </is>
      </c>
      <c r="R68" s="8" t="inlineStr">
        <is>
          <t>A</t>
        </is>
      </c>
      <c r="S68" s="8" t="inlineStr">
        <is>
          <t>상</t>
        </is>
      </c>
      <c r="T68" s="8" t="inlineStr">
        <is>
          <t>PolicyMetric</t>
        </is>
      </c>
      <c r="U68" s="8" t="inlineStr">
        <is>
          <t>MEASURED_BY</t>
        </is>
      </c>
      <c r="V68" s="8" t="inlineStr">
        <is>
          <t>GH-README,GH-P105</t>
        </is>
      </c>
    </row>
    <row r="69" ht="42" customHeight="1">
      <c r="A69" s="8" t="inlineStr">
        <is>
          <t>TERM-068</t>
        </is>
      </c>
      <c r="B69" s="8" t="inlineStr">
        <is>
          <t>에너지·바이오연료</t>
        </is>
      </c>
      <c r="C69" s="8" t="inlineStr">
        <is>
          <t>Energy &amp; Biofuel</t>
        </is>
      </c>
      <c r="D69" s="8" t="inlineStr">
        <is>
          <t>바이오연료 정책</t>
        </is>
      </c>
      <c r="E69" s="8" t="inlineStr">
        <is>
          <t>Biofuel Policy</t>
        </is>
      </c>
      <c r="F69" s="8" t="inlineStr">
        <is>
          <t>혼합의무</t>
        </is>
      </c>
      <c r="G69" s="8" t="inlineStr">
        <is>
          <t>Biodiesel Blend Mandate</t>
        </is>
      </c>
      <c r="H69" s="8" t="inlineStr">
        <is>
          <t>바이오디젤 혼합의무</t>
        </is>
      </c>
      <c r="I69" s="8" t="n"/>
      <c r="J69" s="8" t="inlineStr">
        <is>
          <t>biofuel blending mandate</t>
        </is>
      </c>
      <c r="K69" s="8" t="inlineStr">
        <is>
          <t>Policy</t>
        </is>
      </c>
      <c r="L69" s="8" t="inlineStr">
        <is>
          <t>경유 등에 바이오디젤을 일정 비율 혼합하도록 요구하는 정책이다.</t>
        </is>
      </c>
      <c r="M69" s="8" t="inlineStr">
        <is>
          <t>표기 Bxx의 기준·시행일·적용지역을 함께 저장한다.</t>
        </is>
      </c>
      <c r="N69" s="8" t="inlineStr">
        <is>
          <t>Industrial Demand</t>
        </is>
      </c>
      <c r="O69" s="8" t="inlineStr">
        <is>
          <t>UP</t>
        </is>
      </c>
      <c r="P69" s="8" t="inlineStr">
        <is>
          <t>%</t>
        </is>
      </c>
      <c r="Q69" s="8" t="inlineStr">
        <is>
          <t>문서별</t>
        </is>
      </c>
      <c r="R69" s="8" t="inlineStr">
        <is>
          <t>A</t>
        </is>
      </c>
      <c r="S69" s="8" t="inlineStr">
        <is>
          <t>상</t>
        </is>
      </c>
      <c r="T69" s="8" t="inlineStr">
        <is>
          <t>BiofuelPolicy</t>
        </is>
      </c>
      <c r="U69" s="8" t="inlineStr">
        <is>
          <t>REGULATES</t>
        </is>
      </c>
      <c r="V69" s="8" t="inlineStr">
        <is>
          <t>GH-README,GH-P105</t>
        </is>
      </c>
    </row>
    <row r="70" ht="42" customHeight="1">
      <c r="A70" s="8" t="inlineStr">
        <is>
          <t>TERM-069</t>
        </is>
      </c>
      <c r="B70" s="8" t="inlineStr">
        <is>
          <t>에너지·바이오연료</t>
        </is>
      </c>
      <c r="C70" s="8" t="inlineStr">
        <is>
          <t>Energy &amp; Biofuel</t>
        </is>
      </c>
      <c r="D70" s="8" t="inlineStr">
        <is>
          <t>바이오연료 정책</t>
        </is>
      </c>
      <c r="E70" s="8" t="inlineStr">
        <is>
          <t>Biofuel Policy</t>
        </is>
      </c>
      <c r="F70" s="8" t="inlineStr">
        <is>
          <t>혼합의무</t>
        </is>
      </c>
      <c r="G70" s="8" t="inlineStr">
        <is>
          <t>B20</t>
        </is>
      </c>
      <c r="H70" s="8" t="inlineStr">
        <is>
          <t>바이오디젤 20% 혼합</t>
        </is>
      </c>
      <c r="I70" s="8" t="inlineStr">
        <is>
          <t>B20</t>
        </is>
      </c>
      <c r="J70" s="8" t="inlineStr">
        <is>
          <t>20 percent blend</t>
        </is>
      </c>
      <c r="K70" s="8" t="inlineStr">
        <is>
          <t>PolicyLevel</t>
        </is>
      </c>
      <c r="L70" s="8" t="inlineStr">
        <is>
          <t>연료 중 바이오디젤 혼합 목표 또는 의무 비율 20%를 뜻한다.</t>
        </is>
      </c>
      <c r="M70" s="8" t="inlineStr">
        <is>
          <t>실제 시행과 목표를 구분한다.</t>
        </is>
      </c>
      <c r="N70" s="8" t="inlineStr">
        <is>
          <t>Industrial Demand</t>
        </is>
      </c>
      <c r="O70" s="8" t="inlineStr">
        <is>
          <t>UP</t>
        </is>
      </c>
      <c r="P70" s="8" t="inlineStr">
        <is>
          <t>20%</t>
        </is>
      </c>
      <c r="Q70" s="8" t="inlineStr">
        <is>
          <t>jurisdiction-specific</t>
        </is>
      </c>
      <c r="R70" s="8" t="inlineStr">
        <is>
          <t>B</t>
        </is>
      </c>
      <c r="S70" s="8" t="inlineStr">
        <is>
          <t>중</t>
        </is>
      </c>
      <c r="T70" s="8" t="inlineStr">
        <is>
          <t>PolicyLevel</t>
        </is>
      </c>
      <c r="U70" s="8" t="inlineStr">
        <is>
          <t>IS_LEVEL_OF</t>
        </is>
      </c>
      <c r="V70" s="8" t="inlineStr">
        <is>
          <t>GH-README,GH-P105</t>
        </is>
      </c>
    </row>
    <row r="71" ht="42" customHeight="1">
      <c r="A71" s="8" t="inlineStr">
        <is>
          <t>TERM-070</t>
        </is>
      </c>
      <c r="B71" s="8" t="inlineStr">
        <is>
          <t>에너지·바이오연료</t>
        </is>
      </c>
      <c r="C71" s="8" t="inlineStr">
        <is>
          <t>Energy &amp; Biofuel</t>
        </is>
      </c>
      <c r="D71" s="8" t="inlineStr">
        <is>
          <t>바이오연료 정책</t>
        </is>
      </c>
      <c r="E71" s="8" t="inlineStr">
        <is>
          <t>Biofuel Policy</t>
        </is>
      </c>
      <c r="F71" s="8" t="inlineStr">
        <is>
          <t>혼합의무</t>
        </is>
      </c>
      <c r="G71" s="8" t="inlineStr">
        <is>
          <t>B35</t>
        </is>
      </c>
      <c r="H71" s="8" t="inlineStr">
        <is>
          <t>바이오디젤 35% 혼합</t>
        </is>
      </c>
      <c r="I71" s="8" t="inlineStr">
        <is>
          <t>B35</t>
        </is>
      </c>
      <c r="J71" s="8" t="inlineStr">
        <is>
          <t>35 percent blend</t>
        </is>
      </c>
      <c r="K71" s="8" t="inlineStr">
        <is>
          <t>PolicyLevel</t>
        </is>
      </c>
      <c r="L71" s="8" t="inlineStr">
        <is>
          <t>혼합 목표 또는 의무 비율 35%다.</t>
        </is>
      </c>
      <c r="M71" s="8" t="inlineStr">
        <is>
          <t>인도네시아 등 관할과 시행시점을 명시한다.</t>
        </is>
      </c>
      <c r="N71" s="8" t="inlineStr">
        <is>
          <t>Industrial Demand</t>
        </is>
      </c>
      <c r="O71" s="8" t="inlineStr">
        <is>
          <t>UP</t>
        </is>
      </c>
      <c r="P71" s="8" t="inlineStr">
        <is>
          <t>35%</t>
        </is>
      </c>
      <c r="Q71" s="8" t="inlineStr">
        <is>
          <t>jurisdiction-specific</t>
        </is>
      </c>
      <c r="R71" s="8" t="inlineStr">
        <is>
          <t>B</t>
        </is>
      </c>
      <c r="S71" s="8" t="inlineStr">
        <is>
          <t>중</t>
        </is>
      </c>
      <c r="T71" s="8" t="inlineStr">
        <is>
          <t>PolicyLevel</t>
        </is>
      </c>
      <c r="U71" s="8" t="inlineStr">
        <is>
          <t>IS_LEVEL_OF</t>
        </is>
      </c>
      <c r="V71" s="8" t="inlineStr">
        <is>
          <t>GH-README,GH-P105</t>
        </is>
      </c>
    </row>
    <row r="72" ht="42" customHeight="1">
      <c r="A72" s="8" t="inlineStr">
        <is>
          <t>TERM-071</t>
        </is>
      </c>
      <c r="B72" s="8" t="inlineStr">
        <is>
          <t>에너지·바이오연료</t>
        </is>
      </c>
      <c r="C72" s="8" t="inlineStr">
        <is>
          <t>Energy &amp; Biofuel</t>
        </is>
      </c>
      <c r="D72" s="8" t="inlineStr">
        <is>
          <t>바이오연료 정책</t>
        </is>
      </c>
      <c r="E72" s="8" t="inlineStr">
        <is>
          <t>Biofuel Policy</t>
        </is>
      </c>
      <c r="F72" s="8" t="inlineStr">
        <is>
          <t>혼합의무</t>
        </is>
      </c>
      <c r="G72" s="8" t="inlineStr">
        <is>
          <t>B40</t>
        </is>
      </c>
      <c r="H72" s="8" t="inlineStr">
        <is>
          <t>바이오디젤 40% 혼합</t>
        </is>
      </c>
      <c r="I72" s="8" t="inlineStr">
        <is>
          <t>B40</t>
        </is>
      </c>
      <c r="J72" s="8" t="inlineStr">
        <is>
          <t>40 percent blend</t>
        </is>
      </c>
      <c r="K72" s="8" t="inlineStr">
        <is>
          <t>PolicyLevel</t>
        </is>
      </c>
      <c r="L72" s="8" t="inlineStr">
        <is>
          <t>혼합 목표 또는 의무 비율 40%다.</t>
        </is>
      </c>
      <c r="M72" s="8" t="inlineStr">
        <is>
          <t>원료가 팜유인지 대두유인지 직접 수요와 대체효과를 구분한다.</t>
        </is>
      </c>
      <c r="N72" s="8" t="inlineStr">
        <is>
          <t>Industrial Demand</t>
        </is>
      </c>
      <c r="O72" s="8" t="inlineStr">
        <is>
          <t>UP_RISK</t>
        </is>
      </c>
      <c r="P72" s="8" t="inlineStr">
        <is>
          <t>40%</t>
        </is>
      </c>
      <c r="Q72" s="8" t="inlineStr">
        <is>
          <t>jurisdiction-specific</t>
        </is>
      </c>
      <c r="R72" s="8" t="inlineStr">
        <is>
          <t>A</t>
        </is>
      </c>
      <c r="S72" s="8" t="inlineStr">
        <is>
          <t>상</t>
        </is>
      </c>
      <c r="T72" s="8" t="inlineStr">
        <is>
          <t>PolicyLevel</t>
        </is>
      </c>
      <c r="U72" s="8" t="inlineStr">
        <is>
          <t>IS_LEVEL_OF</t>
        </is>
      </c>
      <c r="V72" s="8" t="inlineStr">
        <is>
          <t>GH-README,GH-P105</t>
        </is>
      </c>
    </row>
    <row r="73" ht="42" customHeight="1">
      <c r="A73" s="8" t="inlineStr">
        <is>
          <t>TERM-072</t>
        </is>
      </c>
      <c r="B73" s="8" t="inlineStr">
        <is>
          <t>에너지·바이오연료</t>
        </is>
      </c>
      <c r="C73" s="8" t="inlineStr">
        <is>
          <t>Energy &amp; Biofuel</t>
        </is>
      </c>
      <c r="D73" s="8" t="inlineStr">
        <is>
          <t>바이오연료 정책</t>
        </is>
      </c>
      <c r="E73" s="8" t="inlineStr">
        <is>
          <t>Biofuel Policy</t>
        </is>
      </c>
      <c r="F73" s="8" t="inlineStr">
        <is>
          <t>혼합의무</t>
        </is>
      </c>
      <c r="G73" s="8" t="inlineStr">
        <is>
          <t>B50</t>
        </is>
      </c>
      <c r="H73" s="8" t="inlineStr">
        <is>
          <t>바이오디젤 50% 혼합</t>
        </is>
      </c>
      <c r="I73" s="8" t="inlineStr">
        <is>
          <t>B50</t>
        </is>
      </c>
      <c r="J73" s="8" t="inlineStr">
        <is>
          <t>50 percent blend</t>
        </is>
      </c>
      <c r="K73" s="8" t="inlineStr">
        <is>
          <t>PolicyLevel</t>
        </is>
      </c>
      <c r="L73" s="8" t="inlineStr">
        <is>
          <t>혼합 목표 또는 의무 비율 50%다.</t>
        </is>
      </c>
      <c r="M73" s="8" t="inlineStr">
        <is>
          <t>저장소에서 일정과 대두유 수요 영향이 TBD로 표시되므로 확정 사실로 쓰지 않는다.</t>
        </is>
      </c>
      <c r="N73" s="8" t="inlineStr">
        <is>
          <t>Industrial Demand</t>
        </is>
      </c>
      <c r="O73" s="8" t="inlineStr">
        <is>
          <t>UP_RISK</t>
        </is>
      </c>
      <c r="P73" s="8" t="inlineStr">
        <is>
          <t>50%</t>
        </is>
      </c>
      <c r="Q73" s="8" t="inlineStr">
        <is>
          <t>timeline TBD</t>
        </is>
      </c>
      <c r="R73" s="8" t="inlineStr">
        <is>
          <t>A</t>
        </is>
      </c>
      <c r="S73" s="8" t="inlineStr">
        <is>
          <t>상</t>
        </is>
      </c>
      <c r="T73" s="8" t="inlineStr">
        <is>
          <t>PolicyLevel</t>
        </is>
      </c>
      <c r="U73" s="8" t="inlineStr">
        <is>
          <t>IS_LEVEL_OF</t>
        </is>
      </c>
      <c r="V73" s="8" t="inlineStr">
        <is>
          <t>GH-README,GH-P105</t>
        </is>
      </c>
    </row>
    <row r="74" ht="42" customHeight="1">
      <c r="A74" s="8" t="inlineStr">
        <is>
          <t>TERM-073</t>
        </is>
      </c>
      <c r="B74" s="8" t="inlineStr">
        <is>
          <t>지정학·안보</t>
        </is>
      </c>
      <c r="C74" s="8" t="inlineStr">
        <is>
          <t>Geopolitics &amp; Security</t>
        </is>
      </c>
      <c r="D74" s="8" t="inlineStr">
        <is>
          <t>리스크 지수</t>
        </is>
      </c>
      <c r="E74" s="8" t="inlineStr">
        <is>
          <t>Risk Indices</t>
        </is>
      </c>
      <c r="F74" s="8" t="inlineStr">
        <is>
          <t>지정학지수</t>
        </is>
      </c>
      <c r="G74" s="8" t="inlineStr">
        <is>
          <t>Geopolitical Risk Index</t>
        </is>
      </c>
      <c r="H74" s="8" t="inlineStr">
        <is>
          <t>지정학적 위험지수</t>
        </is>
      </c>
      <c r="I74" s="8" t="inlineStr">
        <is>
          <t>GPR</t>
        </is>
      </c>
      <c r="J74" s="8" t="inlineStr">
        <is>
          <t>GPR Index</t>
        </is>
      </c>
      <c r="K74" s="8" t="inlineStr">
        <is>
          <t>Indicator</t>
        </is>
      </c>
      <c r="L74" s="8" t="inlineStr">
        <is>
          <t>전쟁·긴장 관련 텍스트 빈도를 이용한 지정학 위험 지수다.</t>
        </is>
      </c>
      <c r="M74" s="8" t="inlineStr">
        <is>
          <t>원지수(기준 약 100)와 0~1 정규화 값을 혼동하지 않는다.</t>
        </is>
      </c>
      <c r="N74" s="8" t="inlineStr">
        <is>
          <t>Risk Premium/Logistics</t>
        </is>
      </c>
      <c r="O74" s="8" t="inlineStr">
        <is>
          <t>UP_RISK</t>
        </is>
      </c>
      <c r="P74" s="8" t="inlineStr">
        <is>
          <t>index</t>
        </is>
      </c>
      <c r="Q74" s="8" t="inlineStr">
        <is>
          <t>raw ≥200; normalized threshold 별도</t>
        </is>
      </c>
      <c r="R74" s="8" t="inlineStr">
        <is>
          <t>A</t>
        </is>
      </c>
      <c r="S74" s="8" t="inlineStr">
        <is>
          <t>상</t>
        </is>
      </c>
      <c r="T74" s="8" t="inlineStr">
        <is>
          <t>RiskIndicator</t>
        </is>
      </c>
      <c r="U74" s="8" t="inlineStr">
        <is>
          <t>MEASURED_BY</t>
        </is>
      </c>
      <c r="V74" s="8" t="inlineStr">
        <is>
          <t>GH-P102,GH-P103</t>
        </is>
      </c>
    </row>
    <row r="75" ht="42" customHeight="1">
      <c r="A75" s="8" t="inlineStr">
        <is>
          <t>TERM-074</t>
        </is>
      </c>
      <c r="B75" s="8" t="inlineStr">
        <is>
          <t>지정학·안보</t>
        </is>
      </c>
      <c r="C75" s="8" t="inlineStr">
        <is>
          <t>Geopolitics &amp; Security</t>
        </is>
      </c>
      <c r="D75" s="8" t="inlineStr">
        <is>
          <t>리스크 지수</t>
        </is>
      </c>
      <c r="E75" s="8" t="inlineStr">
        <is>
          <t>Risk Indices</t>
        </is>
      </c>
      <c r="F75" s="8" t="inlineStr">
        <is>
          <t>정책불확실성</t>
        </is>
      </c>
      <c r="G75" s="8" t="inlineStr">
        <is>
          <t>Economic Policy Uncertainty Index</t>
        </is>
      </c>
      <c r="H75" s="8" t="inlineStr">
        <is>
          <t>경제정책 불확실성지수</t>
        </is>
      </c>
      <c r="I75" s="8" t="inlineStr">
        <is>
          <t>EPU</t>
        </is>
      </c>
      <c r="J75" s="8" t="inlineStr">
        <is>
          <t>EPU Index</t>
        </is>
      </c>
      <c r="K75" s="8" t="inlineStr">
        <is>
          <t>Indicator</t>
        </is>
      </c>
      <c r="L75" s="8" t="inlineStr">
        <is>
          <t>신문 텍스트 등을 기반으로 경제정책 불확실성을 측정하는 지수다.</t>
        </is>
      </c>
      <c r="M75" s="8" t="inlineStr">
        <is>
          <t>지수 원천·국가·기준값을 기록한다.</t>
        </is>
      </c>
      <c r="N75" s="8" t="inlineStr">
        <is>
          <t>Risk Premium</t>
        </is>
      </c>
      <c r="O75" s="8" t="inlineStr">
        <is>
          <t>UP_RISK</t>
        </is>
      </c>
      <c r="P75" s="8" t="inlineStr">
        <is>
          <t>index</t>
        </is>
      </c>
      <c r="Q75" s="8" t="inlineStr">
        <is>
          <t>&gt;300</t>
        </is>
      </c>
      <c r="R75" s="8" t="inlineStr">
        <is>
          <t>B</t>
        </is>
      </c>
      <c r="S75" s="8" t="inlineStr">
        <is>
          <t>중</t>
        </is>
      </c>
      <c r="T75" s="8" t="inlineStr">
        <is>
          <t>RiskIndicator</t>
        </is>
      </c>
      <c r="U75" s="8" t="inlineStr">
        <is>
          <t>MEASURED_BY</t>
        </is>
      </c>
      <c r="V75" s="8" t="inlineStr">
        <is>
          <t>GH-P102,GH-P103</t>
        </is>
      </c>
    </row>
    <row r="76" ht="42" customHeight="1">
      <c r="A76" s="8" t="inlineStr">
        <is>
          <t>TERM-075</t>
        </is>
      </c>
      <c r="B76" s="8" t="inlineStr">
        <is>
          <t>지정학·안보</t>
        </is>
      </c>
      <c r="C76" s="8" t="inlineStr">
        <is>
          <t>Geopolitics &amp; Security</t>
        </is>
      </c>
      <c r="D76" s="8" t="inlineStr">
        <is>
          <t>리스크 지수</t>
        </is>
      </c>
      <c r="E76" s="8" t="inlineStr">
        <is>
          <t>Risk Indices</t>
        </is>
      </c>
      <c r="F76" s="8" t="inlineStr">
        <is>
          <t>복합리스크</t>
        </is>
      </c>
      <c r="G76" s="8" t="inlineStr">
        <is>
          <t>Compound Event</t>
        </is>
      </c>
      <c r="H76" s="8" t="inlineStr">
        <is>
          <t>복합 사건</t>
        </is>
      </c>
      <c r="I76" s="8" t="n"/>
      <c r="J76" s="8" t="inlineStr">
        <is>
          <t>compound shock</t>
        </is>
      </c>
      <c r="K76" s="8" t="inlineStr">
        <is>
          <t>EventType</t>
        </is>
      </c>
      <c r="L76" s="8" t="inlineStr">
        <is>
          <t>기후와 지정학 등 둘 이상의 충격이 동시에 또는 연쇄적으로 발생하는 사건이다.</t>
        </is>
      </c>
      <c r="M76" s="8" t="inlineStr">
        <is>
          <t>각 구성 사건과 중복 집계를 분리하고 상호작용 근거를 요구한다.</t>
        </is>
      </c>
      <c r="N76" s="8" t="inlineStr">
        <is>
          <t>Supply/Logistics</t>
        </is>
      </c>
      <c r="O76" s="8" t="inlineStr">
        <is>
          <t>UP_RISK</t>
        </is>
      </c>
      <c r="P76" s="8" t="inlineStr">
        <is>
          <t>event</t>
        </is>
      </c>
      <c r="Q76" s="8" t="inlineStr">
        <is>
          <t>문서별</t>
        </is>
      </c>
      <c r="R76" s="8" t="inlineStr">
        <is>
          <t>A</t>
        </is>
      </c>
      <c r="S76" s="8" t="inlineStr">
        <is>
          <t>상</t>
        </is>
      </c>
      <c r="T76" s="8" t="inlineStr">
        <is>
          <t>EventType</t>
        </is>
      </c>
      <c r="U76" s="8" t="inlineStr">
        <is>
          <t>COMPOSED_OF</t>
        </is>
      </c>
      <c r="V76" s="8" t="inlineStr">
        <is>
          <t>GH-P102,GH-P103</t>
        </is>
      </c>
    </row>
    <row r="77" ht="42" customHeight="1">
      <c r="A77" s="8" t="inlineStr">
        <is>
          <t>TERM-076</t>
        </is>
      </c>
      <c r="B77" s="8" t="inlineStr">
        <is>
          <t>지정학·안보</t>
        </is>
      </c>
      <c r="C77" s="8" t="inlineStr">
        <is>
          <t>Geopolitics &amp; Security</t>
        </is>
      </c>
      <c r="D77" s="8" t="inlineStr">
        <is>
          <t>리스크 지수</t>
        </is>
      </c>
      <c r="E77" s="8" t="inlineStr">
        <is>
          <t>Risk Indices</t>
        </is>
      </c>
      <c r="F77" s="8" t="inlineStr">
        <is>
          <t>전염</t>
        </is>
      </c>
      <c r="G77" s="8" t="inlineStr">
        <is>
          <t>Risk Contagion</t>
        </is>
      </c>
      <c r="H77" s="8" t="inlineStr">
        <is>
          <t>리스크 전이</t>
        </is>
      </c>
      <c r="I77" s="8" t="n"/>
      <c r="J77" s="8" t="inlineStr">
        <is>
          <t>risk propagation</t>
        </is>
      </c>
      <c r="K77" s="8" t="inlineStr">
        <is>
          <t>Mechanism</t>
        </is>
      </c>
      <c r="L77" s="8" t="inlineStr">
        <is>
          <t>한 국가·경로·품목의 충격이 연결망을 통해 다른 시장으로 전파되는 메커니즘이다.</t>
        </is>
      </c>
      <c r="M77" s="8" t="inlineStr">
        <is>
          <t>상관관계가 아닌 연결 경로를 명시한다.</t>
        </is>
      </c>
      <c r="N77" s="8" t="inlineStr">
        <is>
          <t>Systemic Risk</t>
        </is>
      </c>
      <c r="O77" s="8" t="inlineStr">
        <is>
          <t>UP_RISK</t>
        </is>
      </c>
      <c r="P77" s="8" t="inlineStr">
        <is>
          <t>path</t>
        </is>
      </c>
      <c r="Q77" s="8" t="inlineStr">
        <is>
          <t>문서별</t>
        </is>
      </c>
      <c r="R77" s="8" t="inlineStr">
        <is>
          <t>B</t>
        </is>
      </c>
      <c r="S77" s="8" t="inlineStr">
        <is>
          <t>상</t>
        </is>
      </c>
      <c r="T77" s="8" t="inlineStr">
        <is>
          <t>MarketMechanism</t>
        </is>
      </c>
      <c r="U77" s="8" t="inlineStr">
        <is>
          <t>PROPAGATES_TO</t>
        </is>
      </c>
      <c r="V77" s="8" t="inlineStr">
        <is>
          <t>GH-P102,GH-P103</t>
        </is>
      </c>
    </row>
    <row r="78" ht="42" customHeight="1">
      <c r="A78" s="8" t="inlineStr">
        <is>
          <t>TERM-077</t>
        </is>
      </c>
      <c r="B78" s="8" t="inlineStr">
        <is>
          <t>지정학·안보</t>
        </is>
      </c>
      <c r="C78" s="8" t="inlineStr">
        <is>
          <t>Geopolitics &amp; Security</t>
        </is>
      </c>
      <c r="D78" s="8" t="inlineStr">
        <is>
          <t>분쟁·제재</t>
        </is>
      </c>
      <c r="E78" s="8" t="inlineStr">
        <is>
          <t>Conflict &amp; Sanctions</t>
        </is>
      </c>
      <c r="F78" s="8" t="inlineStr">
        <is>
          <t>무력분쟁</t>
        </is>
      </c>
      <c r="G78" s="8" t="inlineStr">
        <is>
          <t>Geopolitical Conflict</t>
        </is>
      </c>
      <c r="H78" s="8" t="inlineStr">
        <is>
          <t>지정학적 분쟁</t>
        </is>
      </c>
      <c r="I78" s="8" t="n"/>
      <c r="J78" s="8" t="inlineStr">
        <is>
          <t>war; armed conflict</t>
        </is>
      </c>
      <c r="K78" s="8" t="inlineStr">
        <is>
          <t>EventType</t>
        </is>
      </c>
      <c r="L78" s="8" t="inlineStr">
        <is>
          <t>국가·비국가 행위자 간 군사·안보 충돌이다.</t>
        </is>
      </c>
      <c r="M78" s="8" t="inlineStr">
        <is>
          <t>사건명·행위자·지역·시작일을 구체화한다.</t>
        </is>
      </c>
      <c r="N78" s="8" t="inlineStr">
        <is>
          <t>Logistics/Trade</t>
        </is>
      </c>
      <c r="O78" s="8" t="inlineStr">
        <is>
          <t>UP_RISK</t>
        </is>
      </c>
      <c r="P78" s="8" t="inlineStr">
        <is>
          <t>event</t>
        </is>
      </c>
      <c r="Q78" s="8" t="inlineStr">
        <is>
          <t>문서별</t>
        </is>
      </c>
      <c r="R78" s="8" t="inlineStr">
        <is>
          <t>A</t>
        </is>
      </c>
      <c r="S78" s="8" t="inlineStr">
        <is>
          <t>상</t>
        </is>
      </c>
      <c r="T78" s="8" t="inlineStr">
        <is>
          <t>GeopoliticalEvent</t>
        </is>
      </c>
      <c r="U78" s="8" t="inlineStr">
        <is>
          <t>AFFECTS</t>
        </is>
      </c>
      <c r="V78" s="8" t="inlineStr">
        <is>
          <t>GH-README,GH-P102</t>
        </is>
      </c>
    </row>
    <row r="79" ht="42" customHeight="1">
      <c r="A79" s="8" t="inlineStr">
        <is>
          <t>TERM-078</t>
        </is>
      </c>
      <c r="B79" s="8" t="inlineStr">
        <is>
          <t>지정학·안보</t>
        </is>
      </c>
      <c r="C79" s="8" t="inlineStr">
        <is>
          <t>Geopolitics &amp; Security</t>
        </is>
      </c>
      <c r="D79" s="8" t="inlineStr">
        <is>
          <t>분쟁·제재</t>
        </is>
      </c>
      <c r="E79" s="8" t="inlineStr">
        <is>
          <t>Conflict &amp; Sanctions</t>
        </is>
      </c>
      <c r="F79" s="8" t="inlineStr">
        <is>
          <t>경제제재</t>
        </is>
      </c>
      <c r="G79" s="8" t="inlineStr">
        <is>
          <t>Economic Sanction</t>
        </is>
      </c>
      <c r="H79" s="8" t="inlineStr">
        <is>
          <t>경제제재</t>
        </is>
      </c>
      <c r="I79" s="8" t="n"/>
      <c r="J79" s="8" t="inlineStr">
        <is>
          <t>trade sanction; financial sanction</t>
        </is>
      </c>
      <c r="K79" s="8" t="inlineStr">
        <is>
          <t>PolicyEvent</t>
        </is>
      </c>
      <c r="L79" s="8" t="inlineStr">
        <is>
          <t>특정 국가·기관·품목의 거래·금융을 제한하는 조치다.</t>
        </is>
      </c>
      <c r="M79" s="8" t="inlineStr">
        <is>
          <t>발표와 발효, 1차·2차 제재, 품목 범위를 구분한다.</t>
        </is>
      </c>
      <c r="N79" s="8" t="inlineStr">
        <is>
          <t>Trade/Logistics</t>
        </is>
      </c>
      <c r="O79" s="8" t="inlineStr">
        <is>
          <t>UP_RISK</t>
        </is>
      </c>
      <c r="P79" s="8" t="inlineStr">
        <is>
          <t>policy</t>
        </is>
      </c>
      <c r="Q79" s="8" t="inlineStr">
        <is>
          <t>문서별</t>
        </is>
      </c>
      <c r="R79" s="8" t="inlineStr">
        <is>
          <t>A</t>
        </is>
      </c>
      <c r="S79" s="8" t="inlineStr">
        <is>
          <t>상</t>
        </is>
      </c>
      <c r="T79" s="8" t="inlineStr">
        <is>
          <t>PolicyEvent</t>
        </is>
      </c>
      <c r="U79" s="8" t="inlineStr">
        <is>
          <t>RESTRICTS</t>
        </is>
      </c>
      <c r="V79" s="8" t="inlineStr">
        <is>
          <t>GH-README,GH-P102</t>
        </is>
      </c>
    </row>
    <row r="80" ht="42" customHeight="1">
      <c r="A80" s="8" t="inlineStr">
        <is>
          <t>TERM-079</t>
        </is>
      </c>
      <c r="B80" s="8" t="inlineStr">
        <is>
          <t>지정학·안보</t>
        </is>
      </c>
      <c r="C80" s="8" t="inlineStr">
        <is>
          <t>Geopolitics &amp; Security</t>
        </is>
      </c>
      <c r="D80" s="8" t="inlineStr">
        <is>
          <t>분쟁·제재</t>
        </is>
      </c>
      <c r="E80" s="8" t="inlineStr">
        <is>
          <t>Conflict &amp; Sanctions</t>
        </is>
      </c>
      <c r="F80" s="8" t="inlineStr">
        <is>
          <t>무역갈등</t>
        </is>
      </c>
      <c r="G80" s="8" t="inlineStr">
        <is>
          <t>Trade War</t>
        </is>
      </c>
      <c r="H80" s="8" t="inlineStr">
        <is>
          <t>무역전쟁</t>
        </is>
      </c>
      <c r="I80" s="8" t="n"/>
      <c r="J80" s="8" t="inlineStr">
        <is>
          <t>trade tensions</t>
        </is>
      </c>
      <c r="K80" s="8" t="inlineStr">
        <is>
          <t>EventType</t>
        </is>
      </c>
      <c r="L80" s="8" t="inlineStr">
        <is>
          <t>상호 관세·규제 보복이 반복되는 국가 간 무역갈등이다.</t>
        </is>
      </c>
      <c r="M80" s="8" t="inlineStr">
        <is>
          <t>단일 관세 발표와 장기적 갈등 레짐을 구분한다.</t>
        </is>
      </c>
      <c r="N80" s="8" t="inlineStr">
        <is>
          <t>Trade/Demand</t>
        </is>
      </c>
      <c r="O80" s="8" t="inlineStr">
        <is>
          <t>CONTEXT</t>
        </is>
      </c>
      <c r="P80" s="8" t="inlineStr">
        <is>
          <t>event</t>
        </is>
      </c>
      <c r="Q80" s="8" t="inlineStr">
        <is>
          <t>문서별</t>
        </is>
      </c>
      <c r="R80" s="8" t="inlineStr">
        <is>
          <t>A</t>
        </is>
      </c>
      <c r="S80" s="8" t="inlineStr">
        <is>
          <t>중</t>
        </is>
      </c>
      <c r="T80" s="8" t="inlineStr">
        <is>
          <t>GeopoliticalEvent</t>
        </is>
      </c>
      <c r="U80" s="8" t="inlineStr">
        <is>
          <t>AFFECTS</t>
        </is>
      </c>
      <c r="V80" s="8" t="inlineStr">
        <is>
          <t>GH-README,GH-P102</t>
        </is>
      </c>
    </row>
    <row r="81" ht="42" customHeight="1">
      <c r="A81" s="8" t="inlineStr">
        <is>
          <t>TERM-080</t>
        </is>
      </c>
      <c r="B81" s="8" t="inlineStr">
        <is>
          <t>지정학·안보</t>
        </is>
      </c>
      <c r="C81" s="8" t="inlineStr">
        <is>
          <t>Geopolitics &amp; Security</t>
        </is>
      </c>
      <c r="D81" s="8" t="inlineStr">
        <is>
          <t>분쟁·제재</t>
        </is>
      </c>
      <c r="E81" s="8" t="inlineStr">
        <is>
          <t>Conflict &amp; Sanctions</t>
        </is>
      </c>
      <c r="F81" s="8" t="inlineStr">
        <is>
          <t>정치</t>
        </is>
      </c>
      <c r="G81" s="8" t="inlineStr">
        <is>
          <t>Political Instability</t>
        </is>
      </c>
      <c r="H81" s="8" t="inlineStr">
        <is>
          <t>정치불안</t>
        </is>
      </c>
      <c r="I81" s="8" t="n"/>
      <c r="J81" s="8" t="inlineStr">
        <is>
          <t>government instability; unrest</t>
        </is>
      </c>
      <c r="K81" s="8" t="inlineStr">
        <is>
          <t>EventType</t>
        </is>
      </c>
      <c r="L81" s="8" t="inlineStr">
        <is>
          <t>정부 기능·정책 지속성·사회질서의 불안정 상태다.</t>
        </is>
      </c>
      <c r="M81" s="8" t="inlineStr">
        <is>
          <t>정량 지표가 없으면 방향과 신뢰도를 낮춘다.</t>
        </is>
      </c>
      <c r="N81" s="8" t="inlineStr">
        <is>
          <t>Supply/Trade</t>
        </is>
      </c>
      <c r="O81" s="8" t="inlineStr">
        <is>
          <t>UP_RISK</t>
        </is>
      </c>
      <c r="P81" s="8" t="inlineStr">
        <is>
          <t>event/index</t>
        </is>
      </c>
      <c r="Q81" s="8" t="inlineStr">
        <is>
          <t>문서별</t>
        </is>
      </c>
      <c r="R81" s="8" t="inlineStr">
        <is>
          <t>B</t>
        </is>
      </c>
      <c r="S81" s="8" t="inlineStr">
        <is>
          <t>상</t>
        </is>
      </c>
      <c r="T81" s="8" t="inlineStr">
        <is>
          <t>GeopoliticalEvent</t>
        </is>
      </c>
      <c r="U81" s="8" t="inlineStr">
        <is>
          <t>AFFECTS</t>
        </is>
      </c>
      <c r="V81" s="8" t="inlineStr">
        <is>
          <t>GH-README,GH-P102</t>
        </is>
      </c>
    </row>
    <row r="82" ht="42" customHeight="1">
      <c r="A82" s="8" t="inlineStr">
        <is>
          <t>TERM-081</t>
        </is>
      </c>
      <c r="B82" s="8" t="inlineStr">
        <is>
          <t>지정학·안보</t>
        </is>
      </c>
      <c r="C82" s="8" t="inlineStr">
        <is>
          <t>Geopolitics &amp; Security</t>
        </is>
      </c>
      <c r="D82" s="8" t="inlineStr">
        <is>
          <t>핵심 경로 위험</t>
        </is>
      </c>
      <c r="E82" s="8" t="inlineStr">
        <is>
          <t>Chokepoint Risk</t>
        </is>
      </c>
      <c r="F82" s="8" t="inlineStr">
        <is>
          <t>해협</t>
        </is>
      </c>
      <c r="G82" s="8" t="inlineStr">
        <is>
          <t>Strait of Hormuz</t>
        </is>
      </c>
      <c r="H82" s="8" t="inlineStr">
        <is>
          <t>호르무즈 해협</t>
        </is>
      </c>
      <c r="I82" s="8" t="n"/>
      <c r="J82" s="8" t="inlineStr">
        <is>
          <t>Hormuz Strait</t>
        </is>
      </c>
      <c r="K82" s="8" t="inlineStr">
        <is>
          <t>Chokepoint</t>
        </is>
      </c>
      <c r="L82" s="8" t="inlineStr">
        <is>
          <t>중동 원유·해상운송의 핵심 해협으로 분쟁 시 보험료·우회·운임 위험이 커진다.</t>
        </is>
      </c>
      <c r="M82" s="8" t="inlineStr">
        <is>
          <t>대두유 직항 여부보다 글로벌 선박·에너지 비용 전이 경로를 확인한다.</t>
        </is>
      </c>
      <c r="N82" s="8" t="inlineStr">
        <is>
          <t>Freight/Energy</t>
        </is>
      </c>
      <c r="O82" s="8" t="inlineStr">
        <is>
          <t>UP_RISK</t>
        </is>
      </c>
      <c r="P82" s="8" t="inlineStr">
        <is>
          <t>location</t>
        </is>
      </c>
      <c r="Q82" s="8" t="inlineStr">
        <is>
          <t>AWRP &gt;3x baseline</t>
        </is>
      </c>
      <c r="R82" s="8" t="inlineStr">
        <is>
          <t>A</t>
        </is>
      </c>
      <c r="S82" s="8" t="inlineStr">
        <is>
          <t>상</t>
        </is>
      </c>
      <c r="T82" s="8" t="inlineStr">
        <is>
          <t>Chokepoint</t>
        </is>
      </c>
      <c r="U82" s="8" t="inlineStr">
        <is>
          <t>ROUTED_VIA</t>
        </is>
      </c>
      <c r="V82" s="8" t="inlineStr">
        <is>
          <t>GH-README,GH-P102,GH-P104</t>
        </is>
      </c>
    </row>
    <row r="83" ht="42" customHeight="1">
      <c r="A83" s="8" t="inlineStr">
        <is>
          <t>TERM-082</t>
        </is>
      </c>
      <c r="B83" s="8" t="inlineStr">
        <is>
          <t>지정학·안보</t>
        </is>
      </c>
      <c r="C83" s="8" t="inlineStr">
        <is>
          <t>Geopolitics &amp; Security</t>
        </is>
      </c>
      <c r="D83" s="8" t="inlineStr">
        <is>
          <t>핵심 경로 위험</t>
        </is>
      </c>
      <c r="E83" s="8" t="inlineStr">
        <is>
          <t>Chokepoint Risk</t>
        </is>
      </c>
      <c r="F83" s="8" t="inlineStr">
        <is>
          <t>해역</t>
        </is>
      </c>
      <c r="G83" s="8" t="inlineStr">
        <is>
          <t>Black Sea</t>
        </is>
      </c>
      <c r="H83" s="8" t="inlineStr">
        <is>
          <t>흑해</t>
        </is>
      </c>
      <c r="I83" s="8" t="n"/>
      <c r="J83" s="8" t="inlineStr">
        <is>
          <t>Black Sea corridor</t>
        </is>
      </c>
      <c r="K83" s="8" t="inlineStr">
        <is>
          <t>Region/Route</t>
        </is>
      </c>
      <c r="L83" s="8" t="inlineStr">
        <is>
          <t>곡물·해바라기유 교역과 전쟁위험이 집중되는 해역이다.</t>
        </is>
      </c>
      <c r="M83" s="8" t="inlineStr">
        <is>
          <t>대두유에는 대체재·운임 경로로 연결되는 경우가 많다.</t>
        </is>
      </c>
      <c r="N83" s="8" t="inlineStr">
        <is>
          <t>Substitution/Logistics</t>
        </is>
      </c>
      <c r="O83" s="8" t="inlineStr">
        <is>
          <t>UP_RISK</t>
        </is>
      </c>
      <c r="P83" s="8" t="inlineStr">
        <is>
          <t>location</t>
        </is>
      </c>
      <c r="Q83" s="8" t="inlineStr">
        <is>
          <t>war-risk &gt;5x baseline</t>
        </is>
      </c>
      <c r="R83" s="8" t="inlineStr">
        <is>
          <t>A</t>
        </is>
      </c>
      <c r="S83" s="8" t="inlineStr">
        <is>
          <t>상</t>
        </is>
      </c>
      <c r="T83" s="8" t="inlineStr">
        <is>
          <t>TradeRegion</t>
        </is>
      </c>
      <c r="U83" s="8" t="inlineStr">
        <is>
          <t>ROUTED_VIA</t>
        </is>
      </c>
      <c r="V83" s="8" t="inlineStr">
        <is>
          <t>GH-README,GH-P102,GH-P104</t>
        </is>
      </c>
    </row>
    <row r="84" ht="42" customHeight="1">
      <c r="A84" s="8" t="inlineStr">
        <is>
          <t>TERM-083</t>
        </is>
      </c>
      <c r="B84" s="8" t="inlineStr">
        <is>
          <t>지정학·안보</t>
        </is>
      </c>
      <c r="C84" s="8" t="inlineStr">
        <is>
          <t>Geopolitics &amp; Security</t>
        </is>
      </c>
      <c r="D84" s="8" t="inlineStr">
        <is>
          <t>핵심 경로 위험</t>
        </is>
      </c>
      <c r="E84" s="8" t="inlineStr">
        <is>
          <t>Chokepoint Risk</t>
        </is>
      </c>
      <c r="F84" s="8" t="inlineStr">
        <is>
          <t>운하</t>
        </is>
      </c>
      <c r="G84" s="8" t="inlineStr">
        <is>
          <t>Panama Canal</t>
        </is>
      </c>
      <c r="H84" s="8" t="inlineStr">
        <is>
          <t>파나마 운하</t>
        </is>
      </c>
      <c r="I84" s="8" t="n"/>
      <c r="J84" s="8" t="inlineStr">
        <is>
          <t>Panama Canal delays</t>
        </is>
      </c>
      <c r="K84" s="8" t="inlineStr">
        <is>
          <t>Chokepoint</t>
        </is>
      </c>
      <c r="L84" s="8" t="inlineStr">
        <is>
          <t>미주 항로의 핵심 운하로 수위·대기시간이 항로 효율에 영향을 준다.</t>
        </is>
      </c>
      <c r="M84" s="8" t="inlineStr">
        <is>
          <t>가뭄 사건과 운하 대기시간을 별도 엔터티로 연결한다.</t>
        </is>
      </c>
      <c r="N84" s="8" t="inlineStr">
        <is>
          <t>Lead Time/Freight</t>
        </is>
      </c>
      <c r="O84" s="8" t="inlineStr">
        <is>
          <t>UP_RISK</t>
        </is>
      </c>
      <c r="P84" s="8" t="inlineStr">
        <is>
          <t>location</t>
        </is>
      </c>
      <c r="Q84" s="8" t="inlineStr">
        <is>
          <t>wait-time evidence</t>
        </is>
      </c>
      <c r="R84" s="8" t="inlineStr">
        <is>
          <t>B</t>
        </is>
      </c>
      <c r="S84" s="8" t="inlineStr">
        <is>
          <t>중</t>
        </is>
      </c>
      <c r="T84" s="8" t="inlineStr">
        <is>
          <t>Chokepoint</t>
        </is>
      </c>
      <c r="U84" s="8" t="inlineStr">
        <is>
          <t>ROUTED_VIA</t>
        </is>
      </c>
      <c r="V84" s="8" t="inlineStr">
        <is>
          <t>GH-README,GH-P102,GH-P104</t>
        </is>
      </c>
    </row>
    <row r="85" ht="42" customHeight="1">
      <c r="A85" s="8" t="inlineStr">
        <is>
          <t>TERM-084</t>
        </is>
      </c>
      <c r="B85" s="8" t="inlineStr">
        <is>
          <t>지정학·안보</t>
        </is>
      </c>
      <c r="C85" s="8" t="inlineStr">
        <is>
          <t>Geopolitics &amp; Security</t>
        </is>
      </c>
      <c r="D85" s="8" t="inlineStr">
        <is>
          <t>핵심 경로 위험</t>
        </is>
      </c>
      <c r="E85" s="8" t="inlineStr">
        <is>
          <t>Chokepoint Risk</t>
        </is>
      </c>
      <c r="F85" s="8" t="inlineStr">
        <is>
          <t>선박행동</t>
        </is>
      </c>
      <c r="G85" s="8" t="inlineStr">
        <is>
          <t>AIS Vessel Traffic Anomaly</t>
        </is>
      </c>
      <c r="H85" s="8" t="inlineStr">
        <is>
          <t>AIS 선박통행 이상</t>
        </is>
      </c>
      <c r="I85" s="8" t="inlineStr">
        <is>
          <t>AIS</t>
        </is>
      </c>
      <c r="J85" s="8" t="inlineStr">
        <is>
          <t>vessel traffic anomaly</t>
        </is>
      </c>
      <c r="K85" s="8" t="inlineStr">
        <is>
          <t>Indicator</t>
        </is>
      </c>
      <c r="L85" s="8" t="inlineStr">
        <is>
          <t>자동식별시스템 기준 선박 통행량이 평소와 크게 달라진 상태다.</t>
        </is>
      </c>
      <c r="M85" s="8" t="inlineStr">
        <is>
          <t>수신 누락과 실제 통행 감소를 구분한다.</t>
        </is>
      </c>
      <c r="N85" s="8" t="inlineStr">
        <is>
          <t>Logistics</t>
        </is>
      </c>
      <c r="O85" s="8" t="inlineStr">
        <is>
          <t>UP_RISK</t>
        </is>
      </c>
      <c r="P85" s="8" t="inlineStr">
        <is>
          <t>% of 30-day average</t>
        </is>
      </c>
      <c r="Q85" s="8" t="inlineStr">
        <is>
          <t>&lt;60% of 30-day avg</t>
        </is>
      </c>
      <c r="R85" s="8" t="inlineStr">
        <is>
          <t>A</t>
        </is>
      </c>
      <c r="S85" s="8" t="inlineStr">
        <is>
          <t>상</t>
        </is>
      </c>
      <c r="T85" s="8" t="inlineStr">
        <is>
          <t>LogisticsIndicator</t>
        </is>
      </c>
      <c r="U85" s="8" t="inlineStr">
        <is>
          <t>MEASURED_BY</t>
        </is>
      </c>
      <c r="V85" s="8" t="inlineStr">
        <is>
          <t>GH-README,GH-P102,GH-P104</t>
        </is>
      </c>
    </row>
    <row r="86" ht="42" customHeight="1">
      <c r="A86" s="8" t="inlineStr">
        <is>
          <t>TERM-085</t>
        </is>
      </c>
      <c r="B86" s="8" t="inlineStr">
        <is>
          <t>물류·공급망</t>
        </is>
      </c>
      <c r="C86" s="8" t="inlineStr">
        <is>
          <t>Logistics &amp; Supply Chain</t>
        </is>
      </c>
      <c r="D86" s="8" t="inlineStr">
        <is>
          <t>운임지수</t>
        </is>
      </c>
      <c r="E86" s="8" t="inlineStr">
        <is>
          <t>Freight Indices</t>
        </is>
      </c>
      <c r="F86" s="8" t="inlineStr">
        <is>
          <t>벌크운임</t>
        </is>
      </c>
      <c r="G86" s="8" t="inlineStr">
        <is>
          <t>Baltic Dry Index</t>
        </is>
      </c>
      <c r="H86" s="8" t="inlineStr">
        <is>
          <t>발틱운임지수</t>
        </is>
      </c>
      <c r="I86" s="8" t="inlineStr">
        <is>
          <t>BDI</t>
        </is>
      </c>
      <c r="J86" s="8" t="inlineStr">
        <is>
          <t>Baltic Dry</t>
        </is>
      </c>
      <c r="K86" s="8" t="inlineStr">
        <is>
          <t>Indicator</t>
        </is>
      </c>
      <c r="L86" s="8" t="inlineStr">
        <is>
          <t>건화물 벌크선 운임 수준을 나타내는 지수다.</t>
        </is>
      </c>
      <c r="M86" s="8" t="inlineStr">
        <is>
          <t>대두유 액체화물의 직접 운임이 아니라 글로벌 해운비용 대용치임을 명시한다. 2026-09-13 데이터 정정 - TE 수동본 2023-01-03 이후 구간 재척도(구 계열 오류, 승인자 확인) — 정정 전 산출물의 z·레짐은 재산출 없이 인용하지 않는다. ⋅ 측정 주석: vintage 2026-09-13 · 정정 범위 2023-01-03~2026-09-09 · 영국 공휴일(4/3·4/6·5/4) 무발표 정상 · 정오표 docs/research_desk/2026-09/bdi_series_correction_errata_2026_09_13.md</t>
        </is>
      </c>
      <c r="N86" s="8" t="inlineStr">
        <is>
          <t>Freight</t>
        </is>
      </c>
      <c r="O86" s="8" t="inlineStr">
        <is>
          <t>UP</t>
        </is>
      </c>
      <c r="P86" s="8" t="inlineStr">
        <is>
          <t>index</t>
        </is>
      </c>
      <c r="Q86" s="8" t="inlineStr">
        <is>
          <t>&gt;2σ above 90-day mean (정정본 계열 vintage 2026-09-13 기준 재산출)</t>
        </is>
      </c>
      <c r="R86" s="8" t="inlineStr">
        <is>
          <t>A</t>
        </is>
      </c>
      <c r="S86" s="8" t="inlineStr">
        <is>
          <t>상</t>
        </is>
      </c>
      <c r="T86" s="8" t="inlineStr">
        <is>
          <t>LogisticsIndicator</t>
        </is>
      </c>
      <c r="U86" s="8" t="inlineStr">
        <is>
          <t>MEASURED_BY</t>
        </is>
      </c>
      <c r="V86" s="8" t="inlineStr">
        <is>
          <t>GH-README,GH-P104</t>
        </is>
      </c>
    </row>
    <row r="87" ht="42" customHeight="1">
      <c r="A87" s="8" t="inlineStr">
        <is>
          <t>TERM-086</t>
        </is>
      </c>
      <c r="B87" s="8" t="inlineStr">
        <is>
          <t>물류·공급망</t>
        </is>
      </c>
      <c r="C87" s="8" t="inlineStr">
        <is>
          <t>Logistics &amp; Supply Chain</t>
        </is>
      </c>
      <c r="D87" s="8" t="inlineStr">
        <is>
          <t>운임지수</t>
        </is>
      </c>
      <c r="E87" s="8" t="inlineStr">
        <is>
          <t>Freight Indices</t>
        </is>
      </c>
      <c r="F87" s="8" t="inlineStr">
        <is>
          <t>컨테이너운임</t>
        </is>
      </c>
      <c r="G87" s="8" t="inlineStr">
        <is>
          <t>Shanghai Containerized Freight Index</t>
        </is>
      </c>
      <c r="H87" s="8" t="inlineStr">
        <is>
          <t>상하이컨테이너운임지수</t>
        </is>
      </c>
      <c r="I87" s="8" t="inlineStr">
        <is>
          <t>SCFI</t>
        </is>
      </c>
      <c r="J87" s="8" t="inlineStr">
        <is>
          <t>Shanghai freight index</t>
        </is>
      </c>
      <c r="K87" s="8" t="inlineStr">
        <is>
          <t>Indicator</t>
        </is>
      </c>
      <c r="L87" s="8" t="inlineStr">
        <is>
          <t>상하이발 주요 항로의 컨테이너 운임지수다.</t>
        </is>
      </c>
      <c r="M87" s="8" t="inlineStr">
        <is>
          <t>벌크·탱커 운임과 동일시하지 않고 간접 물류 스트레스 지표로 사용한다.</t>
        </is>
      </c>
      <c r="N87" s="8" t="inlineStr">
        <is>
          <t>Freight</t>
        </is>
      </c>
      <c r="O87" s="8" t="inlineStr">
        <is>
          <t>UP</t>
        </is>
      </c>
      <c r="P87" s="8" t="inlineStr">
        <is>
          <t>index</t>
        </is>
      </c>
      <c r="Q87" s="8" t="inlineStr">
        <is>
          <t>&gt;2σ above 90-day mean</t>
        </is>
      </c>
      <c r="R87" s="8" t="inlineStr">
        <is>
          <t>A</t>
        </is>
      </c>
      <c r="S87" s="8" t="inlineStr">
        <is>
          <t>상</t>
        </is>
      </c>
      <c r="T87" s="8" t="inlineStr">
        <is>
          <t>LogisticsIndicator</t>
        </is>
      </c>
      <c r="U87" s="8" t="inlineStr">
        <is>
          <t>MEASURED_BY</t>
        </is>
      </c>
      <c r="V87" s="8" t="inlineStr">
        <is>
          <t>GH-README,GH-P104</t>
        </is>
      </c>
    </row>
    <row r="88" ht="42" customHeight="1">
      <c r="A88" s="8" t="inlineStr">
        <is>
          <t>TERM-087</t>
        </is>
      </c>
      <c r="B88" s="8" t="inlineStr">
        <is>
          <t>물류·공급망</t>
        </is>
      </c>
      <c r="C88" s="8" t="inlineStr">
        <is>
          <t>Logistics &amp; Supply Chain</t>
        </is>
      </c>
      <c r="D88" s="8" t="inlineStr">
        <is>
          <t>운임지수</t>
        </is>
      </c>
      <c r="E88" s="8" t="inlineStr">
        <is>
          <t>Freight Indices</t>
        </is>
      </c>
      <c r="F88" s="8" t="inlineStr">
        <is>
          <t>비용</t>
        </is>
      </c>
      <c r="G88" s="8" t="inlineStr">
        <is>
          <t>Freight Rate</t>
        </is>
      </c>
      <c r="H88" s="8" t="inlineStr">
        <is>
          <t>운임</t>
        </is>
      </c>
      <c r="I88" s="8" t="n"/>
      <c r="J88" s="8" t="inlineStr">
        <is>
          <t>ocean freight; shipping cost</t>
        </is>
      </c>
      <c r="K88" s="8" t="inlineStr">
        <is>
          <t>Metric</t>
        </is>
      </c>
      <c r="L88" s="8" t="inlineStr">
        <is>
          <t>화물을 운송하는 데 부과되는 비용이다.</t>
        </is>
      </c>
      <c r="M88" s="8" t="inlineStr">
        <is>
          <t>운송수단·항로·단위·계약기준을 기록한다.</t>
        </is>
      </c>
      <c r="N88" s="8" t="inlineStr">
        <is>
          <t>Delivered Price</t>
        </is>
      </c>
      <c r="O88" s="8" t="inlineStr">
        <is>
          <t>UP</t>
        </is>
      </c>
      <c r="P88" s="8" t="inlineStr">
        <is>
          <t>USD/MT or USD/container</t>
        </is>
      </c>
      <c r="Q88" s="8" t="inlineStr">
        <is>
          <t>문서별</t>
        </is>
      </c>
      <c r="R88" s="8" t="inlineStr">
        <is>
          <t>A</t>
        </is>
      </c>
      <c r="S88" s="8" t="inlineStr">
        <is>
          <t>상</t>
        </is>
      </c>
      <c r="T88" s="8" t="inlineStr">
        <is>
          <t>LogisticsMetric</t>
        </is>
      </c>
      <c r="U88" s="8" t="inlineStr">
        <is>
          <t>MEASURED_BY</t>
        </is>
      </c>
      <c r="V88" s="8" t="inlineStr">
        <is>
          <t>GH-README,GH-P104</t>
        </is>
      </c>
    </row>
    <row r="89" ht="42" customHeight="1">
      <c r="A89" s="8" t="inlineStr">
        <is>
          <t>TERM-088</t>
        </is>
      </c>
      <c r="B89" s="8" t="inlineStr">
        <is>
          <t>물류·공급망</t>
        </is>
      </c>
      <c r="C89" s="8" t="inlineStr">
        <is>
          <t>Logistics &amp; Supply Chain</t>
        </is>
      </c>
      <c r="D89" s="8" t="inlineStr">
        <is>
          <t>운임지수</t>
        </is>
      </c>
      <c r="E89" s="8" t="inlineStr">
        <is>
          <t>Freight Indices</t>
        </is>
      </c>
      <c r="F89" s="8" t="inlineStr">
        <is>
          <t>보험</t>
        </is>
      </c>
      <c r="G89" s="8" t="inlineStr">
        <is>
          <t>War-Risk Insurance Premium</t>
        </is>
      </c>
      <c r="H89" s="8" t="inlineStr">
        <is>
          <t>전쟁위험 보험료</t>
        </is>
      </c>
      <c r="I89" s="8" t="inlineStr">
        <is>
          <t>AWRP</t>
        </is>
      </c>
      <c r="J89" s="8" t="inlineStr">
        <is>
          <t>additional war risk premium</t>
        </is>
      </c>
      <c r="K89" s="8" t="inlineStr">
        <is>
          <t>Metric</t>
        </is>
      </c>
      <c r="L89" s="8" t="inlineStr">
        <is>
          <t>분쟁지역 운항 시 추가되는 보험료다.</t>
        </is>
      </c>
      <c r="M89" s="8" t="inlineStr">
        <is>
          <t>배수와 절대 보험료를 구분하고 baseline을 기록한다.</t>
        </is>
      </c>
      <c r="N89" s="8" t="inlineStr">
        <is>
          <t>Delivered Price</t>
        </is>
      </c>
      <c r="O89" s="8" t="inlineStr">
        <is>
          <t>UP</t>
        </is>
      </c>
      <c r="P89" s="8" t="inlineStr">
        <is>
          <t>rate or multiple</t>
        </is>
      </c>
      <c r="Q89" s="8" t="inlineStr">
        <is>
          <t>Hormuz &gt;3x; Black Sea &gt;5x</t>
        </is>
      </c>
      <c r="R89" s="8" t="inlineStr">
        <is>
          <t>A</t>
        </is>
      </c>
      <c r="S89" s="8" t="inlineStr">
        <is>
          <t>상</t>
        </is>
      </c>
      <c r="T89" s="8" t="inlineStr">
        <is>
          <t>InsuranceMetric</t>
        </is>
      </c>
      <c r="U89" s="8" t="inlineStr">
        <is>
          <t>MEASURED_BY</t>
        </is>
      </c>
      <c r="V89" s="8" t="inlineStr">
        <is>
          <t>GH-README,GH-P104</t>
        </is>
      </c>
    </row>
    <row r="90" ht="42" customHeight="1">
      <c r="A90" s="8" t="inlineStr">
        <is>
          <t>TERM-089</t>
        </is>
      </c>
      <c r="B90" s="8" t="inlineStr">
        <is>
          <t>물류·공급망</t>
        </is>
      </c>
      <c r="C90" s="8" t="inlineStr">
        <is>
          <t>Logistics &amp; Supply Chain</t>
        </is>
      </c>
      <c r="D90" s="8" t="inlineStr">
        <is>
          <t>항만·운송</t>
        </is>
      </c>
      <c r="E90" s="8" t="inlineStr">
        <is>
          <t>Port &amp; Transport</t>
        </is>
      </c>
      <c r="F90" s="8" t="inlineStr">
        <is>
          <t>혼잡</t>
        </is>
      </c>
      <c r="G90" s="8" t="inlineStr">
        <is>
          <t>Port Congestion</t>
        </is>
      </c>
      <c r="H90" s="8" t="inlineStr">
        <is>
          <t>항만 혼잡</t>
        </is>
      </c>
      <c r="I90" s="8" t="n"/>
      <c r="J90" s="8" t="inlineStr">
        <is>
          <t>terminal congestion</t>
        </is>
      </c>
      <c r="K90" s="8" t="inlineStr">
        <is>
          <t>Event/Condition</t>
        </is>
      </c>
      <c r="L90" s="8" t="inlineStr">
        <is>
          <t>항만 처리능력 대비 선박·화물 적체가 발생한 상태다.</t>
        </is>
      </c>
      <c r="M90" s="8" t="inlineStr">
        <is>
          <t>혼잡 지표·대기일·처리량을 구분한다.</t>
        </is>
      </c>
      <c r="N90" s="8" t="inlineStr">
        <is>
          <t>Lead Time/Freight</t>
        </is>
      </c>
      <c r="O90" s="8" t="inlineStr">
        <is>
          <t>UP</t>
        </is>
      </c>
      <c r="P90" s="8" t="inlineStr">
        <is>
          <t>days/index</t>
        </is>
      </c>
      <c r="Q90" s="8" t="inlineStr">
        <is>
          <t>문서별</t>
        </is>
      </c>
      <c r="R90" s="8" t="inlineStr">
        <is>
          <t>A</t>
        </is>
      </c>
      <c r="S90" s="8" t="inlineStr">
        <is>
          <t>중</t>
        </is>
      </c>
      <c r="T90" s="8" t="inlineStr">
        <is>
          <t>LogisticsEvent</t>
        </is>
      </c>
      <c r="U90" s="8" t="inlineStr">
        <is>
          <t>AFFECTS</t>
        </is>
      </c>
      <c r="V90" s="8" t="inlineStr">
        <is>
          <t>GH-P104,GH-P105</t>
        </is>
      </c>
    </row>
    <row r="91" ht="42" customHeight="1">
      <c r="A91" s="8" t="inlineStr">
        <is>
          <t>TERM-090</t>
        </is>
      </c>
      <c r="B91" s="8" t="inlineStr">
        <is>
          <t>물류·공급망</t>
        </is>
      </c>
      <c r="C91" s="8" t="inlineStr">
        <is>
          <t>Logistics &amp; Supply Chain</t>
        </is>
      </c>
      <c r="D91" s="8" t="inlineStr">
        <is>
          <t>항만·운송</t>
        </is>
      </c>
      <c r="E91" s="8" t="inlineStr">
        <is>
          <t>Port &amp; Transport</t>
        </is>
      </c>
      <c r="F91" s="8" t="inlineStr">
        <is>
          <t>노동</t>
        </is>
      </c>
      <c r="G91" s="8" t="inlineStr">
        <is>
          <t>Port Strike</t>
        </is>
      </c>
      <c r="H91" s="8" t="inlineStr">
        <is>
          <t>항만 파업</t>
        </is>
      </c>
      <c r="I91" s="8" t="n"/>
      <c r="J91" s="8" t="inlineStr">
        <is>
          <t>dockworker strike</t>
        </is>
      </c>
      <c r="K91" s="8" t="inlineStr">
        <is>
          <t>Event</t>
        </is>
      </c>
      <c r="L91" s="8" t="inlineStr">
        <is>
          <t>항만 노동중단으로 선적·하역이 지연되는 사건이다.</t>
        </is>
      </c>
      <c r="M91" s="8" t="inlineStr">
        <is>
          <t>예고·실행·종료와 영향 항만을 구분한다.</t>
        </is>
      </c>
      <c r="N91" s="8" t="inlineStr">
        <is>
          <t>Lead Time/Supply</t>
        </is>
      </c>
      <c r="O91" s="8" t="inlineStr">
        <is>
          <t>UP_RISK</t>
        </is>
      </c>
      <c r="P91" s="8" t="inlineStr">
        <is>
          <t>event/days</t>
        </is>
      </c>
      <c r="Q91" s="8" t="inlineStr">
        <is>
          <t>문서별</t>
        </is>
      </c>
      <c r="R91" s="8" t="inlineStr">
        <is>
          <t>A</t>
        </is>
      </c>
      <c r="S91" s="8" t="inlineStr">
        <is>
          <t>중</t>
        </is>
      </c>
      <c r="T91" s="8" t="inlineStr">
        <is>
          <t>LaborEvent</t>
        </is>
      </c>
      <c r="U91" s="8" t="inlineStr">
        <is>
          <t>AFFECTS</t>
        </is>
      </c>
      <c r="V91" s="8" t="inlineStr">
        <is>
          <t>GH-P104,GH-P105</t>
        </is>
      </c>
    </row>
    <row r="92" ht="42" customHeight="1">
      <c r="A92" s="8" t="inlineStr">
        <is>
          <t>TERM-091</t>
        </is>
      </c>
      <c r="B92" s="8" t="inlineStr">
        <is>
          <t>물류·공급망</t>
        </is>
      </c>
      <c r="C92" s="8" t="inlineStr">
        <is>
          <t>Logistics &amp; Supply Chain</t>
        </is>
      </c>
      <c r="D92" s="8" t="inlineStr">
        <is>
          <t>항만·운송</t>
        </is>
      </c>
      <c r="E92" s="8" t="inlineStr">
        <is>
          <t>Port &amp; Transport</t>
        </is>
      </c>
      <c r="F92" s="8" t="inlineStr">
        <is>
          <t>대기</t>
        </is>
      </c>
      <c r="G92" s="8" t="inlineStr">
        <is>
          <t>Chokepoint Wait Time</t>
        </is>
      </c>
      <c r="H92" s="8" t="inlineStr">
        <is>
          <t>병목구간 대기시간</t>
        </is>
      </c>
      <c r="I92" s="8" t="n"/>
      <c r="J92" s="8" t="inlineStr">
        <is>
          <t>queue time; transit wait</t>
        </is>
      </c>
      <c r="K92" s="8" t="inlineStr">
        <is>
          <t>Metric</t>
        </is>
      </c>
      <c r="L92" s="8" t="inlineStr">
        <is>
          <t>해협·운하·항만에서 통과 전 대기하는 평균 시간이다.</t>
        </is>
      </c>
      <c r="M92" s="8" t="inlineStr">
        <is>
          <t>예상과 실적, 평균과 최대를 구분한다.</t>
        </is>
      </c>
      <c r="N92" s="8" t="inlineStr">
        <is>
          <t>Lead Time</t>
        </is>
      </c>
      <c r="O92" s="8" t="inlineStr">
        <is>
          <t>UP</t>
        </is>
      </c>
      <c r="P92" s="8" t="inlineStr">
        <is>
          <t>days</t>
        </is>
      </c>
      <c r="Q92" s="8" t="inlineStr">
        <is>
          <t>&gt;5 days average</t>
        </is>
      </c>
      <c r="R92" s="8" t="inlineStr">
        <is>
          <t>A</t>
        </is>
      </c>
      <c r="S92" s="8" t="inlineStr">
        <is>
          <t>중</t>
        </is>
      </c>
      <c r="T92" s="8" t="inlineStr">
        <is>
          <t>LogisticsMetric</t>
        </is>
      </c>
      <c r="U92" s="8" t="inlineStr">
        <is>
          <t>MEASURED_BY</t>
        </is>
      </c>
      <c r="V92" s="8" t="inlineStr">
        <is>
          <t>GH-P104,GH-P105</t>
        </is>
      </c>
    </row>
    <row r="93" ht="42" customHeight="1">
      <c r="A93" s="8" t="inlineStr">
        <is>
          <t>TERM-092</t>
        </is>
      </c>
      <c r="B93" s="8" t="inlineStr">
        <is>
          <t>물류·공급망</t>
        </is>
      </c>
      <c r="C93" s="8" t="inlineStr">
        <is>
          <t>Logistics &amp; Supply Chain</t>
        </is>
      </c>
      <c r="D93" s="8" t="inlineStr">
        <is>
          <t>항만·운송</t>
        </is>
      </c>
      <c r="E93" s="8" t="inlineStr">
        <is>
          <t>Port &amp; Transport</t>
        </is>
      </c>
      <c r="F93" s="8" t="inlineStr">
        <is>
          <t>우회</t>
        </is>
      </c>
      <c r="G93" s="8" t="inlineStr">
        <is>
          <t>Route Diversion</t>
        </is>
      </c>
      <c r="H93" s="8" t="inlineStr">
        <is>
          <t>항로 우회</t>
        </is>
      </c>
      <c r="I93" s="8" t="n"/>
      <c r="J93" s="8" t="inlineStr">
        <is>
          <t>rerouting; detour</t>
        </is>
      </c>
      <c r="K93" s="8" t="inlineStr">
        <is>
          <t>Event/Decision</t>
        </is>
      </c>
      <c r="L93" s="8" t="inlineStr">
        <is>
          <t>위험·봉쇄·혼잡을 피하기 위해 기존 항로를 변경하는 행위다.</t>
        </is>
      </c>
      <c r="M93" s="8" t="inlineStr">
        <is>
          <t>추가 거리·일수·비용을 가능한 경우 정량화한다.</t>
        </is>
      </c>
      <c r="N93" s="8" t="inlineStr">
        <is>
          <t>Lead Time/Freight</t>
        </is>
      </c>
      <c r="O93" s="8" t="inlineStr">
        <is>
          <t>UP</t>
        </is>
      </c>
      <c r="P93" s="8" t="inlineStr">
        <is>
          <t>days/nautical miles</t>
        </is>
      </c>
      <c r="Q93" s="8" t="inlineStr">
        <is>
          <t>문서별</t>
        </is>
      </c>
      <c r="R93" s="8" t="inlineStr">
        <is>
          <t>A</t>
        </is>
      </c>
      <c r="S93" s="8" t="inlineStr">
        <is>
          <t>중</t>
        </is>
      </c>
      <c r="T93" s="8" t="inlineStr">
        <is>
          <t>LogisticsEvent</t>
        </is>
      </c>
      <c r="U93" s="8" t="inlineStr">
        <is>
          <t>ROUTED_VIA</t>
        </is>
      </c>
      <c r="V93" s="8" t="inlineStr">
        <is>
          <t>GH-P104,GH-P105</t>
        </is>
      </c>
    </row>
    <row r="94" ht="42" customHeight="1">
      <c r="A94" s="8" t="inlineStr">
        <is>
          <t>TERM-093</t>
        </is>
      </c>
      <c r="B94" s="8" t="inlineStr">
        <is>
          <t>물류·공급망</t>
        </is>
      </c>
      <c r="C94" s="8" t="inlineStr">
        <is>
          <t>Logistics &amp; Supply Chain</t>
        </is>
      </c>
      <c r="D94" s="8" t="inlineStr">
        <is>
          <t>항만·운송</t>
        </is>
      </c>
      <c r="E94" s="8" t="inlineStr">
        <is>
          <t>Port &amp; Transport</t>
        </is>
      </c>
      <c r="F94" s="8" t="inlineStr">
        <is>
          <t>선복</t>
        </is>
      </c>
      <c r="G94" s="8" t="inlineStr">
        <is>
          <t>Shipping Capacity</t>
        </is>
      </c>
      <c r="H94" s="8" t="inlineStr">
        <is>
          <t>선복량</t>
        </is>
      </c>
      <c r="I94" s="8" t="n"/>
      <c r="J94" s="8" t="inlineStr">
        <is>
          <t>vessel capacity; available slots</t>
        </is>
      </c>
      <c r="K94" s="8" t="inlineStr">
        <is>
          <t>Metric</t>
        </is>
      </c>
      <c r="L94" s="8" t="inlineStr">
        <is>
          <t>시장에 제공되는 운송 가능 용량이다.</t>
        </is>
      </c>
      <c r="M94" s="8" t="inlineStr">
        <is>
          <t>선박 수와 적재능력, 컨테이너 슬롯을 구분한다.</t>
        </is>
      </c>
      <c r="N94" s="8" t="inlineStr">
        <is>
          <t>Freight</t>
        </is>
      </c>
      <c r="O94" s="8" t="inlineStr">
        <is>
          <t>DOWN_IF_UP</t>
        </is>
      </c>
      <c r="P94" s="8" t="inlineStr">
        <is>
          <t>DWT/TEU</t>
        </is>
      </c>
      <c r="Q94" s="8" t="inlineStr">
        <is>
          <t>문서별</t>
        </is>
      </c>
      <c r="R94" s="8" t="inlineStr">
        <is>
          <t>B</t>
        </is>
      </c>
      <c r="S94" s="8" t="inlineStr">
        <is>
          <t>상</t>
        </is>
      </c>
      <c r="T94" s="8" t="inlineStr">
        <is>
          <t>LogisticsMetric</t>
        </is>
      </c>
      <c r="U94" s="8" t="inlineStr">
        <is>
          <t>MEASURED_BY</t>
        </is>
      </c>
      <c r="V94" s="8" t="inlineStr">
        <is>
          <t>GH-P104,GH-P105</t>
        </is>
      </c>
    </row>
    <row r="95" ht="42" customHeight="1">
      <c r="A95" s="8" t="inlineStr">
        <is>
          <t>TERM-094</t>
        </is>
      </c>
      <c r="B95" s="8" t="inlineStr">
        <is>
          <t>물류·공급망</t>
        </is>
      </c>
      <c r="C95" s="8" t="inlineStr">
        <is>
          <t>Logistics &amp; Supply Chain</t>
        </is>
      </c>
      <c r="D95" s="8" t="inlineStr">
        <is>
          <t>항만·운송</t>
        </is>
      </c>
      <c r="E95" s="8" t="inlineStr">
        <is>
          <t>Port &amp; Transport</t>
        </is>
      </c>
      <c r="F95" s="8" t="inlineStr">
        <is>
          <t>검사</t>
        </is>
      </c>
      <c r="G95" s="8" t="inlineStr">
        <is>
          <t>Weekly Export Inspections</t>
        </is>
      </c>
      <c r="H95" s="8" t="inlineStr">
        <is>
          <t>주간 수출검사</t>
        </is>
      </c>
      <c r="I95" s="8" t="n"/>
      <c r="J95" s="8" t="inlineStr">
        <is>
          <t>USDA export inspections</t>
        </is>
      </c>
      <c r="K95" s="8" t="inlineStr">
        <is>
          <t>Metric/DataSource</t>
        </is>
      </c>
      <c r="L95" s="8" t="inlineStr">
        <is>
          <t>선적 전 검사를 통과한 농산물 수출 물량 지표다.</t>
        </is>
      </c>
      <c r="M95" s="8" t="inlineStr">
        <is>
          <t>판매계약·실제 선적·수출통관과 구분한다.</t>
        </is>
      </c>
      <c r="N95" s="8" t="inlineStr">
        <is>
          <t>Export Flow</t>
        </is>
      </c>
      <c r="O95" s="8" t="inlineStr">
        <is>
          <t>CONTEXT</t>
        </is>
      </c>
      <c r="P95" s="8" t="inlineStr">
        <is>
          <t>MT</t>
        </is>
      </c>
      <c r="Q95" s="8" t="inlineStr">
        <is>
          <t>weekly</t>
        </is>
      </c>
      <c r="R95" s="8" t="inlineStr">
        <is>
          <t>B</t>
        </is>
      </c>
      <c r="S95" s="8" t="inlineStr">
        <is>
          <t>상</t>
        </is>
      </c>
      <c r="T95" s="8" t="inlineStr">
        <is>
          <t>TradeMetric</t>
        </is>
      </c>
      <c r="U95" s="8" t="inlineStr">
        <is>
          <t>MEASURED_BY</t>
        </is>
      </c>
      <c r="V95" s="8" t="inlineStr">
        <is>
          <t>GH-P104,GH-P105</t>
        </is>
      </c>
    </row>
    <row r="96" ht="42" customHeight="1">
      <c r="A96" s="8" t="inlineStr">
        <is>
          <t>TERM-095</t>
        </is>
      </c>
      <c r="B96" s="8" t="inlineStr">
        <is>
          <t>물류·공급망</t>
        </is>
      </c>
      <c r="C96" s="8" t="inlineStr">
        <is>
          <t>Logistics &amp; Supply Chain</t>
        </is>
      </c>
      <c r="D96" s="8" t="inlineStr">
        <is>
          <t>계약·리드타임</t>
        </is>
      </c>
      <c r="E96" s="8" t="inlineStr">
        <is>
          <t>Contract &amp; Lead Time</t>
        </is>
      </c>
      <c r="F96" s="8" t="inlineStr">
        <is>
          <t>인코텀즈</t>
        </is>
      </c>
      <c r="G96" s="8" t="inlineStr">
        <is>
          <t>Free on Board</t>
        </is>
      </c>
      <c r="H96" s="8" t="inlineStr">
        <is>
          <t>본선인도조건</t>
        </is>
      </c>
      <c r="I96" s="8" t="inlineStr">
        <is>
          <t>FOB</t>
        </is>
      </c>
      <c r="J96" s="8" t="inlineStr">
        <is>
          <t>free on board</t>
        </is>
      </c>
      <c r="K96" s="8" t="inlineStr">
        <is>
          <t>TradeTerm</t>
        </is>
      </c>
      <c r="L96" s="8" t="inlineStr">
        <is>
          <t>매도인이 선적항 본선 적재까지 비용·책임을 부담하는 조건이다.</t>
        </is>
      </c>
      <c r="M96" s="8" t="inlineStr">
        <is>
          <t>CFR/CIF와 운임·보험 포함 범위를 구분한다.</t>
        </is>
      </c>
      <c r="N96" s="8" t="inlineStr">
        <is>
          <t>Price Basis</t>
        </is>
      </c>
      <c r="O96" s="8" t="inlineStr">
        <is>
          <t>CONTEXT</t>
        </is>
      </c>
      <c r="P96" s="8" t="inlineStr">
        <is>
          <t>Incoterm</t>
        </is>
      </c>
      <c r="Q96" s="8" t="inlineStr">
        <is>
          <t>계약별</t>
        </is>
      </c>
      <c r="R96" s="8" t="inlineStr">
        <is>
          <t>A</t>
        </is>
      </c>
      <c r="S96" s="8" t="inlineStr">
        <is>
          <t>상</t>
        </is>
      </c>
      <c r="T96" s="8" t="inlineStr">
        <is>
          <t>TradeTerm</t>
        </is>
      </c>
      <c r="U96" s="8" t="inlineStr">
        <is>
          <t>APPLIES_TO</t>
        </is>
      </c>
      <c r="V96" s="8" t="inlineStr">
        <is>
          <t>GH-README,GH-P104</t>
        </is>
      </c>
    </row>
    <row r="97" ht="42" customHeight="1">
      <c r="A97" s="8" t="inlineStr">
        <is>
          <t>TERM-096</t>
        </is>
      </c>
      <c r="B97" s="8" t="inlineStr">
        <is>
          <t>물류·공급망</t>
        </is>
      </c>
      <c r="C97" s="8" t="inlineStr">
        <is>
          <t>Logistics &amp; Supply Chain</t>
        </is>
      </c>
      <c r="D97" s="8" t="inlineStr">
        <is>
          <t>계약·리드타임</t>
        </is>
      </c>
      <c r="E97" s="8" t="inlineStr">
        <is>
          <t>Contract &amp; Lead Time</t>
        </is>
      </c>
      <c r="F97" s="8" t="inlineStr">
        <is>
          <t>인코텀즈</t>
        </is>
      </c>
      <c r="G97" s="8" t="inlineStr">
        <is>
          <t>Cost and Freight</t>
        </is>
      </c>
      <c r="H97" s="8" t="inlineStr">
        <is>
          <t>운임포함조건</t>
        </is>
      </c>
      <c r="I97" s="8" t="inlineStr">
        <is>
          <t>CFR</t>
        </is>
      </c>
      <c r="J97" s="8" t="inlineStr">
        <is>
          <t>C&amp;F; cost freight</t>
        </is>
      </c>
      <c r="K97" s="8" t="inlineStr">
        <is>
          <t>TradeTerm</t>
        </is>
      </c>
      <c r="L97" s="8" t="inlineStr">
        <is>
          <t>매도인이 목적항까지 비용과 운임을 부담하지만 위험은 선적 시 이전되는 조건이다.</t>
        </is>
      </c>
      <c r="M97" s="8" t="inlineStr">
        <is>
          <t>README의 프로젝트 기본 계약조건이며 위험 이전과 비용 부담을 혼동하지 않는다.</t>
        </is>
      </c>
      <c r="N97" s="8" t="inlineStr">
        <is>
          <t>Delivered Price</t>
        </is>
      </c>
      <c r="O97" s="8" t="inlineStr">
        <is>
          <t>CONTEXT</t>
        </is>
      </c>
      <c r="P97" s="8" t="inlineStr">
        <is>
          <t>Incoterm</t>
        </is>
      </c>
      <c r="Q97" s="8" t="inlineStr">
        <is>
          <t>project default</t>
        </is>
      </c>
      <c r="R97" s="8" t="inlineStr">
        <is>
          <t>A</t>
        </is>
      </c>
      <c r="S97" s="8" t="inlineStr">
        <is>
          <t>상</t>
        </is>
      </c>
      <c r="T97" s="8" t="inlineStr">
        <is>
          <t>TradeTerm</t>
        </is>
      </c>
      <c r="U97" s="8" t="inlineStr">
        <is>
          <t>APPLIES_TO</t>
        </is>
      </c>
      <c r="V97" s="8" t="inlineStr">
        <is>
          <t>GH-README,GH-P104</t>
        </is>
      </c>
    </row>
    <row r="98" ht="42" customHeight="1">
      <c r="A98" s="8" t="inlineStr">
        <is>
          <t>TERM-097</t>
        </is>
      </c>
      <c r="B98" s="8" t="inlineStr">
        <is>
          <t>물류·공급망</t>
        </is>
      </c>
      <c r="C98" s="8" t="inlineStr">
        <is>
          <t>Logistics &amp; Supply Chain</t>
        </is>
      </c>
      <c r="D98" s="8" t="inlineStr">
        <is>
          <t>계약·리드타임</t>
        </is>
      </c>
      <c r="E98" s="8" t="inlineStr">
        <is>
          <t>Contract &amp; Lead Time</t>
        </is>
      </c>
      <c r="F98" s="8" t="inlineStr">
        <is>
          <t>인코텀즈</t>
        </is>
      </c>
      <c r="G98" s="8" t="inlineStr">
        <is>
          <t>Cost, Insurance and Freight</t>
        </is>
      </c>
      <c r="H98" s="8" t="inlineStr">
        <is>
          <t>운임·보험료 포함조건</t>
        </is>
      </c>
      <c r="I98" s="8" t="inlineStr">
        <is>
          <t>CIF</t>
        </is>
      </c>
      <c r="J98" s="8" t="inlineStr">
        <is>
          <t>cost insurance freight</t>
        </is>
      </c>
      <c r="K98" s="8" t="inlineStr">
        <is>
          <t>TradeTerm</t>
        </is>
      </c>
      <c r="L98" s="8" t="inlineStr">
        <is>
          <t>매도인이 목적항까지 비용·보험·운임을 부담하는 조건이다.</t>
        </is>
      </c>
      <c r="M98" s="8" t="inlineStr">
        <is>
          <t>CFR과 달리 보험이 포함되지만 위험 이전 시점은 별도 확인한다.</t>
        </is>
      </c>
      <c r="N98" s="8" t="inlineStr">
        <is>
          <t>Delivered Price</t>
        </is>
      </c>
      <c r="O98" s="8" t="inlineStr">
        <is>
          <t>CONTEXT</t>
        </is>
      </c>
      <c r="P98" s="8" t="inlineStr">
        <is>
          <t>Incoterm</t>
        </is>
      </c>
      <c r="Q98" s="8" t="inlineStr">
        <is>
          <t>계약별</t>
        </is>
      </c>
      <c r="R98" s="8" t="inlineStr">
        <is>
          <t>A</t>
        </is>
      </c>
      <c r="S98" s="8" t="inlineStr">
        <is>
          <t>상</t>
        </is>
      </c>
      <c r="T98" s="8" t="inlineStr">
        <is>
          <t>TradeTerm</t>
        </is>
      </c>
      <c r="U98" s="8" t="inlineStr">
        <is>
          <t>APPLIES_TO</t>
        </is>
      </c>
      <c r="V98" s="8" t="inlineStr">
        <is>
          <t>GH-README,GH-P104</t>
        </is>
      </c>
    </row>
    <row r="99" ht="42" customHeight="1">
      <c r="A99" s="8" t="inlineStr">
        <is>
          <t>TERM-098</t>
        </is>
      </c>
      <c r="B99" s="8" t="inlineStr">
        <is>
          <t>물류·공급망</t>
        </is>
      </c>
      <c r="C99" s="8" t="inlineStr">
        <is>
          <t>Logistics &amp; Supply Chain</t>
        </is>
      </c>
      <c r="D99" s="8" t="inlineStr">
        <is>
          <t>계약·리드타임</t>
        </is>
      </c>
      <c r="E99" s="8" t="inlineStr">
        <is>
          <t>Contract &amp; Lead Time</t>
        </is>
      </c>
      <c r="F99" s="8" t="inlineStr">
        <is>
          <t>기간</t>
        </is>
      </c>
      <c r="G99" s="8" t="inlineStr">
        <is>
          <t>End-to-End Lead Time</t>
        </is>
      </c>
      <c r="H99" s="8" t="inlineStr">
        <is>
          <t>총 조달 리드타임</t>
        </is>
      </c>
      <c r="I99" s="8" t="n"/>
      <c r="J99" s="8" t="inlineStr">
        <is>
          <t>order-to-arrival lead time</t>
        </is>
      </c>
      <c r="K99" s="8" t="inlineStr">
        <is>
          <t>Metric</t>
        </is>
      </c>
      <c r="L99" s="8" t="inlineStr">
        <is>
          <t>발주부터 선적·통관·입고까지의 전체 기간이다.</t>
        </is>
      </c>
      <c r="M99" s="8" t="inlineStr">
        <is>
          <t>README의 약 3개월과 해상운송 40~50일을 동일 값으로 보지 않는다.</t>
        </is>
      </c>
      <c r="N99" s="8" t="inlineStr">
        <is>
          <t>Procurement Risk</t>
        </is>
      </c>
      <c r="O99" s="8" t="inlineStr">
        <is>
          <t>UP_RISK</t>
        </is>
      </c>
      <c r="P99" s="8" t="inlineStr">
        <is>
          <t>days</t>
        </is>
      </c>
      <c r="Q99" s="8" t="inlineStr">
        <is>
          <t>~3 months project typical</t>
        </is>
      </c>
      <c r="R99" s="8" t="inlineStr">
        <is>
          <t>A</t>
        </is>
      </c>
      <c r="S99" s="8" t="inlineStr">
        <is>
          <t>상</t>
        </is>
      </c>
      <c r="T99" s="8" t="inlineStr">
        <is>
          <t>LeadTimeMetric</t>
        </is>
      </c>
      <c r="U99" s="8" t="inlineStr">
        <is>
          <t>MEASURED_BY</t>
        </is>
      </c>
      <c r="V99" s="8" t="inlineStr">
        <is>
          <t>GH-README,GH-P104</t>
        </is>
      </c>
    </row>
    <row r="100" ht="42" customHeight="1">
      <c r="A100" s="8" t="inlineStr">
        <is>
          <t>TERM-099</t>
        </is>
      </c>
      <c r="B100" s="8" t="inlineStr">
        <is>
          <t>물류·공급망</t>
        </is>
      </c>
      <c r="C100" s="8" t="inlineStr">
        <is>
          <t>Logistics &amp; Supply Chain</t>
        </is>
      </c>
      <c r="D100" s="8" t="inlineStr">
        <is>
          <t>계약·리드타임</t>
        </is>
      </c>
      <c r="E100" s="8" t="inlineStr">
        <is>
          <t>Contract &amp; Lead Time</t>
        </is>
      </c>
      <c r="F100" s="8" t="inlineStr">
        <is>
          <t>기간</t>
        </is>
      </c>
      <c r="G100" s="8" t="inlineStr">
        <is>
          <t>Ocean Transit Time</t>
        </is>
      </c>
      <c r="H100" s="8" t="inlineStr">
        <is>
          <t>해상운송기간</t>
        </is>
      </c>
      <c r="I100" s="8" t="n"/>
      <c r="J100" s="8" t="inlineStr">
        <is>
          <t>sailing time</t>
        </is>
      </c>
      <c r="K100" s="8" t="inlineStr">
        <is>
          <t>Metric</t>
        </is>
      </c>
      <c r="L100" s="8" t="inlineStr">
        <is>
          <t>선적항 출항부터 목적항 도착까지의 해상 구간 기간이다.</t>
        </is>
      </c>
      <c r="M100" s="8" t="inlineStr">
        <is>
          <t>총 조달 리드타임에서 주문·통관 구간을 제외한다.</t>
        </is>
      </c>
      <c r="N100" s="8" t="inlineStr">
        <is>
          <t>Lead Time</t>
        </is>
      </c>
      <c r="O100" s="8" t="inlineStr">
        <is>
          <t>CONTEXT</t>
        </is>
      </c>
      <c r="P100" s="8" t="inlineStr">
        <is>
          <t>days</t>
        </is>
      </c>
      <c r="Q100" s="8" t="inlineStr">
        <is>
          <t>US Gulf 45-50; BR/AR 40-45</t>
        </is>
      </c>
      <c r="R100" s="8" t="inlineStr">
        <is>
          <t>A</t>
        </is>
      </c>
      <c r="S100" s="8" t="inlineStr">
        <is>
          <t>상</t>
        </is>
      </c>
      <c r="T100" s="8" t="inlineStr">
        <is>
          <t>LeadTimeMetric</t>
        </is>
      </c>
      <c r="U100" s="8" t="inlineStr">
        <is>
          <t>MEASURED_BY</t>
        </is>
      </c>
      <c r="V100" s="8" t="inlineStr">
        <is>
          <t>GH-README,GH-P104</t>
        </is>
      </c>
    </row>
    <row r="101" ht="42" customHeight="1">
      <c r="A101" s="8" t="inlineStr">
        <is>
          <t>TERM-100</t>
        </is>
      </c>
      <c r="B101" s="8" t="inlineStr">
        <is>
          <t>물류·공급망</t>
        </is>
      </c>
      <c r="C101" s="8" t="inlineStr">
        <is>
          <t>Logistics &amp; Supply Chain</t>
        </is>
      </c>
      <c r="D101" s="8" t="inlineStr">
        <is>
          <t>계약·리드타임</t>
        </is>
      </c>
      <c r="E101" s="8" t="inlineStr">
        <is>
          <t>Contract &amp; Lead Time</t>
        </is>
      </c>
      <c r="F101" s="8" t="inlineStr">
        <is>
          <t>항만</t>
        </is>
      </c>
      <c r="G101" s="8" t="inlineStr">
        <is>
          <t>US Gulf</t>
        </is>
      </c>
      <c r="H101" s="8" t="inlineStr">
        <is>
          <t>미국 걸프항</t>
        </is>
      </c>
      <c r="I101" s="8" t="n"/>
      <c r="J101" s="8" t="inlineStr">
        <is>
          <t>US Gulf ports</t>
        </is>
      </c>
      <c r="K101" s="8" t="inlineStr">
        <is>
          <t>PortRegion</t>
        </is>
      </c>
      <c r="L101" s="8" t="inlineStr">
        <is>
          <t>미국산 대두유의 대표 원산지 항만권역이다.</t>
        </is>
      </c>
      <c r="M101" s="8" t="inlineStr">
        <is>
          <t>개별 항만과 권역을 구분한다.</t>
        </is>
      </c>
      <c r="N101" s="8" t="inlineStr">
        <is>
          <t>Route</t>
        </is>
      </c>
      <c r="O101" s="8" t="inlineStr">
        <is>
          <t>CONTEXT</t>
        </is>
      </c>
      <c r="P101" s="8" t="inlineStr">
        <is>
          <t>location</t>
        </is>
      </c>
      <c r="Q101" s="8" t="inlineStr">
        <is>
          <t>45-50 day ocean lead</t>
        </is>
      </c>
      <c r="R101" s="8" t="inlineStr">
        <is>
          <t>B</t>
        </is>
      </c>
      <c r="S101" s="8" t="inlineStr">
        <is>
          <t>중</t>
        </is>
      </c>
      <c r="T101" s="8" t="inlineStr">
        <is>
          <t>PortRegion</t>
        </is>
      </c>
      <c r="U101" s="8" t="inlineStr">
        <is>
          <t>ORIGIN_OF</t>
        </is>
      </c>
      <c r="V101" s="8" t="inlineStr">
        <is>
          <t>GH-README,GH-P104</t>
        </is>
      </c>
    </row>
    <row r="102" ht="42" customHeight="1">
      <c r="A102" s="8" t="inlineStr">
        <is>
          <t>TERM-101</t>
        </is>
      </c>
      <c r="B102" s="8" t="inlineStr">
        <is>
          <t>물류·공급망</t>
        </is>
      </c>
      <c r="C102" s="8" t="inlineStr">
        <is>
          <t>Logistics &amp; Supply Chain</t>
        </is>
      </c>
      <c r="D102" s="8" t="inlineStr">
        <is>
          <t>계약·리드타임</t>
        </is>
      </c>
      <c r="E102" s="8" t="inlineStr">
        <is>
          <t>Contract &amp; Lead Time</t>
        </is>
      </c>
      <c r="F102" s="8" t="inlineStr">
        <is>
          <t>항만</t>
        </is>
      </c>
      <c r="G102" s="8" t="inlineStr">
        <is>
          <t>Santos/Paranaguá</t>
        </is>
      </c>
      <c r="H102" s="8" t="inlineStr">
        <is>
          <t>산투스·파라나과 항</t>
        </is>
      </c>
      <c r="I102" s="8" t="n"/>
      <c r="J102" s="8" t="inlineStr">
        <is>
          <t>Brazil export ports</t>
        </is>
      </c>
      <c r="K102" s="8" t="inlineStr">
        <is>
          <t>Port</t>
        </is>
      </c>
      <c r="L102" s="8" t="inlineStr">
        <is>
          <t>브라질 주요 농산물 수출항이다.</t>
        </is>
      </c>
      <c r="M102" s="8" t="inlineStr">
        <is>
          <t>두 항만을 하나로 합치지 않고 혼잡·운임을 별도 기록할 수 있게 한다.</t>
        </is>
      </c>
      <c r="N102" s="8" t="inlineStr">
        <is>
          <t>Route</t>
        </is>
      </c>
      <c r="O102" s="8" t="inlineStr">
        <is>
          <t>CONTEXT</t>
        </is>
      </c>
      <c r="P102" s="8" t="inlineStr">
        <is>
          <t>location</t>
        </is>
      </c>
      <c r="Q102" s="8" t="inlineStr">
        <is>
          <t>40-45 day ocean lead</t>
        </is>
      </c>
      <c r="R102" s="8" t="inlineStr">
        <is>
          <t>B</t>
        </is>
      </c>
      <c r="S102" s="8" t="inlineStr">
        <is>
          <t>중</t>
        </is>
      </c>
      <c r="T102" s="8" t="inlineStr">
        <is>
          <t>Port</t>
        </is>
      </c>
      <c r="U102" s="8" t="inlineStr">
        <is>
          <t>ORIGIN_OF</t>
        </is>
      </c>
      <c r="V102" s="8" t="inlineStr">
        <is>
          <t>GH-README,GH-P104</t>
        </is>
      </c>
    </row>
    <row r="103" ht="42" customHeight="1">
      <c r="A103" s="8" t="inlineStr">
        <is>
          <t>TERM-102</t>
        </is>
      </c>
      <c r="B103" s="8" t="inlineStr">
        <is>
          <t>물류·공급망</t>
        </is>
      </c>
      <c r="C103" s="8" t="inlineStr">
        <is>
          <t>Logistics &amp; Supply Chain</t>
        </is>
      </c>
      <c r="D103" s="8" t="inlineStr">
        <is>
          <t>계약·리드타임</t>
        </is>
      </c>
      <c r="E103" s="8" t="inlineStr">
        <is>
          <t>Contract &amp; Lead Time</t>
        </is>
      </c>
      <c r="F103" s="8" t="inlineStr">
        <is>
          <t>항만</t>
        </is>
      </c>
      <c r="G103" s="8" t="inlineStr">
        <is>
          <t>Rosario</t>
        </is>
      </c>
      <c r="H103" s="8" t="inlineStr">
        <is>
          <t>로사리오 항만권</t>
        </is>
      </c>
      <c r="I103" s="8" t="n"/>
      <c r="J103" s="8" t="inlineStr">
        <is>
          <t>Argentina Rosario hub</t>
        </is>
      </c>
      <c r="K103" s="8" t="inlineStr">
        <is>
          <t>PortRegion</t>
        </is>
      </c>
      <c r="L103" s="8" t="inlineStr">
        <is>
          <t>아르헨티나 대두 가공·수출 중심 항만권역이다.</t>
        </is>
      </c>
      <c r="M103" s="8" t="inlineStr">
        <is>
          <t>도시·항만권·개별 터미널을 구분한다.</t>
        </is>
      </c>
      <c r="N103" s="8" t="inlineStr">
        <is>
          <t>Route</t>
        </is>
      </c>
      <c r="O103" s="8" t="inlineStr">
        <is>
          <t>CONTEXT</t>
        </is>
      </c>
      <c r="P103" s="8" t="inlineStr">
        <is>
          <t>location</t>
        </is>
      </c>
      <c r="Q103" s="8" t="inlineStr">
        <is>
          <t>40-45 day ocean lead</t>
        </is>
      </c>
      <c r="R103" s="8" t="inlineStr">
        <is>
          <t>B</t>
        </is>
      </c>
      <c r="S103" s="8" t="inlineStr">
        <is>
          <t>중</t>
        </is>
      </c>
      <c r="T103" s="8" t="inlineStr">
        <is>
          <t>PortRegion</t>
        </is>
      </c>
      <c r="U103" s="8" t="inlineStr">
        <is>
          <t>ORIGIN_OF</t>
        </is>
      </c>
      <c r="V103" s="8" t="inlineStr">
        <is>
          <t>GH-README,GH-P104</t>
        </is>
      </c>
    </row>
    <row r="104" ht="42" customHeight="1">
      <c r="A104" s="8" t="inlineStr">
        <is>
          <t>TERM-103</t>
        </is>
      </c>
      <c r="B104" s="8" t="inlineStr">
        <is>
          <t>외교·정책·규제</t>
        </is>
      </c>
      <c r="C104" s="8" t="inlineStr">
        <is>
          <t>Diplomacy, Policy &amp; Regulation</t>
        </is>
      </c>
      <c r="D104" s="8" t="inlineStr">
        <is>
          <t>무역정책 수단</t>
        </is>
      </c>
      <c r="E104" s="8" t="inlineStr">
        <is>
          <t>Trade Policy Instruments</t>
        </is>
      </c>
      <c r="F104" s="8" t="inlineStr">
        <is>
          <t>관세</t>
        </is>
      </c>
      <c r="G104" s="8" t="inlineStr">
        <is>
          <t>Import Tariff</t>
        </is>
      </c>
      <c r="H104" s="8" t="inlineStr">
        <is>
          <t>수입관세</t>
        </is>
      </c>
      <c r="I104" s="8" t="n"/>
      <c r="J104" s="8" t="inlineStr">
        <is>
          <t>import duty; customs duty</t>
        </is>
      </c>
      <c r="K104" s="8" t="inlineStr">
        <is>
          <t>PolicyInstrument</t>
        </is>
      </c>
      <c r="L104" s="8" t="inlineStr">
        <is>
          <t>수입품에 부과하는 세금이다.</t>
        </is>
      </c>
      <c r="M104" s="8" t="inlineStr">
        <is>
          <t>세율 인상은 수입국 내 가격 상방일 수 있으나 수출국 가격에는 반대효과가 가능하다.</t>
        </is>
      </c>
      <c r="N104" s="8" t="inlineStr">
        <is>
          <t>Trade/Price</t>
        </is>
      </c>
      <c r="O104" s="8" t="inlineStr">
        <is>
          <t>CONTEXT</t>
        </is>
      </c>
      <c r="P104" s="8" t="inlineStr">
        <is>
          <t>% or currency/unit</t>
        </is>
      </c>
      <c r="Q104" s="8" t="inlineStr">
        <is>
          <t>문서별</t>
        </is>
      </c>
      <c r="R104" s="8" t="inlineStr">
        <is>
          <t>A</t>
        </is>
      </c>
      <c r="S104" s="8" t="inlineStr">
        <is>
          <t>상</t>
        </is>
      </c>
      <c r="T104" s="8" t="inlineStr">
        <is>
          <t>PolicyInstrument</t>
        </is>
      </c>
      <c r="U104" s="8" t="inlineStr">
        <is>
          <t>REGULATES</t>
        </is>
      </c>
      <c r="V104" s="8" t="inlineStr">
        <is>
          <t>GH-P102,GH-P105,GH-TEMPLATE</t>
        </is>
      </c>
    </row>
    <row r="105" ht="42" customHeight="1">
      <c r="A105" s="8" t="inlineStr">
        <is>
          <t>TERM-104</t>
        </is>
      </c>
      <c r="B105" s="8" t="inlineStr">
        <is>
          <t>외교·정책·규제</t>
        </is>
      </c>
      <c r="C105" s="8" t="inlineStr">
        <is>
          <t>Diplomacy, Policy &amp; Regulation</t>
        </is>
      </c>
      <c r="D105" s="8" t="inlineStr">
        <is>
          <t>무역정책 수단</t>
        </is>
      </c>
      <c r="E105" s="8" t="inlineStr">
        <is>
          <t>Trade Policy Instruments</t>
        </is>
      </c>
      <c r="F105" s="8" t="inlineStr">
        <is>
          <t>수출세</t>
        </is>
      </c>
      <c r="G105" s="8" t="inlineStr">
        <is>
          <t>Export Tax</t>
        </is>
      </c>
      <c r="H105" s="8" t="inlineStr">
        <is>
          <t>수출세</t>
        </is>
      </c>
      <c r="I105" s="8" t="n"/>
      <c r="J105" s="8" t="inlineStr">
        <is>
          <t>export duty; retenciones</t>
        </is>
      </c>
      <c r="K105" s="8" t="inlineStr">
        <is>
          <t>PolicyInstrument</t>
        </is>
      </c>
      <c r="L105" s="8" t="inlineStr">
        <is>
          <t>수출 시 부과되어 수출가능물량·국내외 가격차에 영향을 주는 세금이다.</t>
        </is>
      </c>
      <c r="M105" s="8" t="inlineStr">
        <is>
          <t>세율 상승은 국제 공급 축소를 통해 가격 상방 가능성이 있으나 생산자 가격은 하방일 수 있다.</t>
        </is>
      </c>
      <c r="N105" s="8" t="inlineStr">
        <is>
          <t>Export Supply/Price</t>
        </is>
      </c>
      <c r="O105" s="8" t="inlineStr">
        <is>
          <t>UP_RISK</t>
        </is>
      </c>
      <c r="P105" s="8" t="inlineStr">
        <is>
          <t>%</t>
        </is>
      </c>
      <c r="Q105" s="8" t="inlineStr">
        <is>
          <t>문서별</t>
        </is>
      </c>
      <c r="R105" s="8" t="inlineStr">
        <is>
          <t>A</t>
        </is>
      </c>
      <c r="S105" s="8" t="inlineStr">
        <is>
          <t>상</t>
        </is>
      </c>
      <c r="T105" s="8" t="inlineStr">
        <is>
          <t>PolicyInstrument</t>
        </is>
      </c>
      <c r="U105" s="8" t="inlineStr">
        <is>
          <t>REGULATES</t>
        </is>
      </c>
      <c r="V105" s="8" t="inlineStr">
        <is>
          <t>GH-P102,GH-P105,GH-TEMPLATE</t>
        </is>
      </c>
    </row>
    <row r="106" ht="42" customHeight="1">
      <c r="A106" s="8" t="inlineStr">
        <is>
          <t>TERM-105</t>
        </is>
      </c>
      <c r="B106" s="8" t="inlineStr">
        <is>
          <t>외교·정책·규제</t>
        </is>
      </c>
      <c r="C106" s="8" t="inlineStr">
        <is>
          <t>Diplomacy, Policy &amp; Regulation</t>
        </is>
      </c>
      <c r="D106" s="8" t="inlineStr">
        <is>
          <t>무역정책 수단</t>
        </is>
      </c>
      <c r="E106" s="8" t="inlineStr">
        <is>
          <t>Trade Policy Instruments</t>
        </is>
      </c>
      <c r="F106" s="8" t="inlineStr">
        <is>
          <t>수출세</t>
        </is>
      </c>
      <c r="G106" s="8" t="inlineStr">
        <is>
          <t>Retenciones</t>
        </is>
      </c>
      <c r="H106" s="8" t="inlineStr">
        <is>
          <t>아르헨티나 수출세</t>
        </is>
      </c>
      <c r="I106" s="8" t="n"/>
      <c r="J106" s="8" t="inlineStr">
        <is>
          <t>Argentine export duties</t>
        </is>
      </c>
      <c r="K106" s="8" t="inlineStr">
        <is>
          <t>PolicyInstrument</t>
        </is>
      </c>
      <c r="L106" s="8" t="inlineStr">
        <is>
          <t>아르헨티나 농산물·유지류에 적용되는 수출세의 현지 정책 용어다.</t>
        </is>
      </c>
      <c r="M106" s="8" t="inlineStr">
        <is>
          <t>일반 세금이 아닌 품목별 수출세율과 적용일을 확인한다.</t>
        </is>
      </c>
      <c r="N106" s="8" t="inlineStr">
        <is>
          <t>Export Supply/Price</t>
        </is>
      </c>
      <c r="O106" s="8" t="inlineStr">
        <is>
          <t>UP_RISK</t>
        </is>
      </c>
      <c r="P106" s="8" t="inlineStr">
        <is>
          <t>%</t>
        </is>
      </c>
      <c r="Q106" s="8" t="inlineStr">
        <is>
          <t>문서별</t>
        </is>
      </c>
      <c r="R106" s="8" t="inlineStr">
        <is>
          <t>A</t>
        </is>
      </c>
      <c r="S106" s="8" t="inlineStr">
        <is>
          <t>상</t>
        </is>
      </c>
      <c r="T106" s="8" t="inlineStr">
        <is>
          <t>PolicyInstrument</t>
        </is>
      </c>
      <c r="U106" s="8" t="inlineStr">
        <is>
          <t>REGULATES</t>
        </is>
      </c>
      <c r="V106" s="8" t="inlineStr">
        <is>
          <t>GH-P102,GH-P105,GH-TEMPLATE</t>
        </is>
      </c>
    </row>
    <row r="107" ht="42" customHeight="1">
      <c r="A107" s="8" t="inlineStr">
        <is>
          <t>TERM-106</t>
        </is>
      </c>
      <c r="B107" s="8" t="inlineStr">
        <is>
          <t>외교·정책·규제</t>
        </is>
      </c>
      <c r="C107" s="8" t="inlineStr">
        <is>
          <t>Diplomacy, Policy &amp; Regulation</t>
        </is>
      </c>
      <c r="D107" s="8" t="inlineStr">
        <is>
          <t>무역정책 수단</t>
        </is>
      </c>
      <c r="E107" s="8" t="inlineStr">
        <is>
          <t>Trade Policy Instruments</t>
        </is>
      </c>
      <c r="F107" s="8" t="inlineStr">
        <is>
          <t>수량규제</t>
        </is>
      </c>
      <c r="G107" s="8" t="inlineStr">
        <is>
          <t>Import Quota</t>
        </is>
      </c>
      <c r="H107" s="8" t="inlineStr">
        <is>
          <t>수입쿼터</t>
        </is>
      </c>
      <c r="I107" s="8" t="n"/>
      <c r="J107" s="8" t="inlineStr">
        <is>
          <t>tariff-rate quota; import cap</t>
        </is>
      </c>
      <c r="K107" s="8" t="inlineStr">
        <is>
          <t>PolicyInstrument</t>
        </is>
      </c>
      <c r="L107" s="8" t="inlineStr">
        <is>
          <t>수입 가능한 물량을 제한하거나 구간별 관세를 적용하는 제도다.</t>
        </is>
      </c>
      <c r="M107" s="8" t="inlineStr">
        <is>
          <t>절대 쿼터와 TRQ를 구분한다.</t>
        </is>
      </c>
      <c r="N107" s="8" t="inlineStr">
        <is>
          <t>Import Demand</t>
        </is>
      </c>
      <c r="O107" s="8" t="inlineStr">
        <is>
          <t>CONTEXT</t>
        </is>
      </c>
      <c r="P107" s="8" t="inlineStr">
        <is>
          <t>MT/%</t>
        </is>
      </c>
      <c r="Q107" s="8" t="inlineStr">
        <is>
          <t>문서별</t>
        </is>
      </c>
      <c r="R107" s="8" t="inlineStr">
        <is>
          <t>A</t>
        </is>
      </c>
      <c r="S107" s="8" t="inlineStr">
        <is>
          <t>상</t>
        </is>
      </c>
      <c r="T107" s="8" t="inlineStr">
        <is>
          <t>PolicyInstrument</t>
        </is>
      </c>
      <c r="U107" s="8" t="inlineStr">
        <is>
          <t>RESTRICTS</t>
        </is>
      </c>
      <c r="V107" s="8" t="inlineStr">
        <is>
          <t>GH-P102,GH-P105,GH-TEMPLATE</t>
        </is>
      </c>
    </row>
    <row r="108" ht="42" customHeight="1">
      <c r="A108" s="8" t="inlineStr">
        <is>
          <t>TERM-107</t>
        </is>
      </c>
      <c r="B108" s="8" t="inlineStr">
        <is>
          <t>외교·정책·규제</t>
        </is>
      </c>
      <c r="C108" s="8" t="inlineStr">
        <is>
          <t>Diplomacy, Policy &amp; Regulation</t>
        </is>
      </c>
      <c r="D108" s="8" t="inlineStr">
        <is>
          <t>무역정책 수단</t>
        </is>
      </c>
      <c r="E108" s="8" t="inlineStr">
        <is>
          <t>Trade Policy Instruments</t>
        </is>
      </c>
      <c r="F108" s="8" t="inlineStr">
        <is>
          <t>수량규제</t>
        </is>
      </c>
      <c r="G108" s="8" t="inlineStr">
        <is>
          <t>Export Ban</t>
        </is>
      </c>
      <c r="H108" s="8" t="inlineStr">
        <is>
          <t>수출금지</t>
        </is>
      </c>
      <c r="I108" s="8" t="n"/>
      <c r="J108" s="8" t="inlineStr">
        <is>
          <t>export prohibition</t>
        </is>
      </c>
      <c r="K108" s="8" t="inlineStr">
        <is>
          <t>PolicyInstrument</t>
        </is>
      </c>
      <c r="L108" s="8" t="inlineStr">
        <is>
          <t>특정 품목의 수출을 전면 또는 부분 금지하는 조치다.</t>
        </is>
      </c>
      <c r="M108" s="8" t="inlineStr">
        <is>
          <t>일시·부분·허가제 예외를 확인한다.</t>
        </is>
      </c>
      <c r="N108" s="8" t="inlineStr">
        <is>
          <t>Export Supply</t>
        </is>
      </c>
      <c r="O108" s="8" t="inlineStr">
        <is>
          <t>UP</t>
        </is>
      </c>
      <c r="P108" s="8" t="inlineStr">
        <is>
          <t>policy</t>
        </is>
      </c>
      <c r="Q108" s="8" t="inlineStr">
        <is>
          <t>문서별</t>
        </is>
      </c>
      <c r="R108" s="8" t="inlineStr">
        <is>
          <t>A</t>
        </is>
      </c>
      <c r="S108" s="8" t="inlineStr">
        <is>
          <t>상</t>
        </is>
      </c>
      <c r="T108" s="8" t="inlineStr">
        <is>
          <t>PolicyInstrument</t>
        </is>
      </c>
      <c r="U108" s="8" t="inlineStr">
        <is>
          <t>RESTRICTS</t>
        </is>
      </c>
      <c r="V108" s="8" t="inlineStr">
        <is>
          <t>GH-P102,GH-P105,GH-TEMPLATE</t>
        </is>
      </c>
    </row>
    <row r="109" ht="42" customHeight="1">
      <c r="A109" s="8" t="inlineStr">
        <is>
          <t>TERM-108</t>
        </is>
      </c>
      <c r="B109" s="8" t="inlineStr">
        <is>
          <t>외교·정책·규제</t>
        </is>
      </c>
      <c r="C109" s="8" t="inlineStr">
        <is>
          <t>Diplomacy, Policy &amp; Regulation</t>
        </is>
      </c>
      <c r="D109" s="8" t="inlineStr">
        <is>
          <t>무역정책 수단</t>
        </is>
      </c>
      <c r="E109" s="8" t="inlineStr">
        <is>
          <t>Trade Policy Instruments</t>
        </is>
      </c>
      <c r="F109" s="8" t="inlineStr">
        <is>
          <t>지원</t>
        </is>
      </c>
      <c r="G109" s="8" t="inlineStr">
        <is>
          <t>Subsidy</t>
        </is>
      </c>
      <c r="H109" s="8" t="inlineStr">
        <is>
          <t>보조금</t>
        </is>
      </c>
      <c r="I109" s="8" t="n"/>
      <c r="J109" s="8" t="inlineStr">
        <is>
          <t>producer support; tax credit</t>
        </is>
      </c>
      <c r="K109" s="8" t="inlineStr">
        <is>
          <t>PolicyInstrument</t>
        </is>
      </c>
      <c r="L109" s="8" t="inlineStr">
        <is>
          <t>생산·소비·수출 비용을 정부가 지원하는 제도다.</t>
        </is>
      </c>
      <c r="M109" s="8" t="inlineStr">
        <is>
          <t>수혜자와 지급 기준에 따라 공급·수요 효과가 달라진다.</t>
        </is>
      </c>
      <c r="N109" s="8" t="inlineStr">
        <is>
          <t>Supply/Demand</t>
        </is>
      </c>
      <c r="O109" s="8" t="inlineStr">
        <is>
          <t>CONTEXT</t>
        </is>
      </c>
      <c r="P109" s="8" t="inlineStr">
        <is>
          <t>currency/%</t>
        </is>
      </c>
      <c r="Q109" s="8" t="inlineStr">
        <is>
          <t>문서별</t>
        </is>
      </c>
      <c r="R109" s="8" t="inlineStr">
        <is>
          <t>B</t>
        </is>
      </c>
      <c r="S109" s="8" t="inlineStr">
        <is>
          <t>상</t>
        </is>
      </c>
      <c r="T109" s="8" t="inlineStr">
        <is>
          <t>PolicyInstrument</t>
        </is>
      </c>
      <c r="U109" s="8" t="inlineStr">
        <is>
          <t>SUPPORTS</t>
        </is>
      </c>
      <c r="V109" s="8" t="inlineStr">
        <is>
          <t>GH-P102,GH-P105,GH-TEMPLATE</t>
        </is>
      </c>
    </row>
    <row r="110" ht="42" customHeight="1">
      <c r="A110" s="8" t="inlineStr">
        <is>
          <t>TERM-109</t>
        </is>
      </c>
      <c r="B110" s="8" t="inlineStr">
        <is>
          <t>외교·정책·규제</t>
        </is>
      </c>
      <c r="C110" s="8" t="inlineStr">
        <is>
          <t>Diplomacy, Policy &amp; Regulation</t>
        </is>
      </c>
      <c r="D110" s="8" t="inlineStr">
        <is>
          <t>무역정책 수단</t>
        </is>
      </c>
      <c r="E110" s="8" t="inlineStr">
        <is>
          <t>Trade Policy Instruments</t>
        </is>
      </c>
      <c r="F110" s="8" t="inlineStr">
        <is>
          <t>보복</t>
        </is>
      </c>
      <c r="G110" s="8" t="inlineStr">
        <is>
          <t>Retaliatory Tariff</t>
        </is>
      </c>
      <c r="H110" s="8" t="inlineStr">
        <is>
          <t>보복관세</t>
        </is>
      </c>
      <c r="I110" s="8" t="n"/>
      <c r="J110" s="8" t="inlineStr">
        <is>
          <t>counter-tariff</t>
        </is>
      </c>
      <c r="K110" s="8" t="inlineStr">
        <is>
          <t>PolicyInstrument</t>
        </is>
      </c>
      <c r="L110" s="8" t="inlineStr">
        <is>
          <t>상대국 조치에 대응하여 부과하는 관세다.</t>
        </is>
      </c>
      <c r="M110" s="8" t="inlineStr">
        <is>
          <t>최초 관세와 보복조치를 별도 이벤트로 연결한다.</t>
        </is>
      </c>
      <c r="N110" s="8" t="inlineStr">
        <is>
          <t>Trade</t>
        </is>
      </c>
      <c r="O110" s="8" t="inlineStr">
        <is>
          <t>CONTEXT</t>
        </is>
      </c>
      <c r="P110" s="8" t="inlineStr">
        <is>
          <t>%</t>
        </is>
      </c>
      <c r="Q110" s="8" t="inlineStr">
        <is>
          <t>문서별</t>
        </is>
      </c>
      <c r="R110" s="8" t="inlineStr">
        <is>
          <t>A</t>
        </is>
      </c>
      <c r="S110" s="8" t="inlineStr">
        <is>
          <t>중</t>
        </is>
      </c>
      <c r="T110" s="8" t="inlineStr">
        <is>
          <t>PolicyInstrument</t>
        </is>
      </c>
      <c r="U110" s="8" t="inlineStr">
        <is>
          <t>RESPONDS_TO</t>
        </is>
      </c>
      <c r="V110" s="8" t="inlineStr">
        <is>
          <t>GH-P102,GH-P105,GH-TEMPLATE</t>
        </is>
      </c>
    </row>
    <row r="111" ht="42" customHeight="1">
      <c r="A111" s="8" t="inlineStr">
        <is>
          <t>TERM-110</t>
        </is>
      </c>
      <c r="B111" s="8" t="inlineStr">
        <is>
          <t>외교·정책·규제</t>
        </is>
      </c>
      <c r="C111" s="8" t="inlineStr">
        <is>
          <t>Diplomacy, Policy &amp; Regulation</t>
        </is>
      </c>
      <c r="D111" s="8" t="inlineStr">
        <is>
          <t>무역정책 수단</t>
        </is>
      </c>
      <c r="E111" s="8" t="inlineStr">
        <is>
          <t>Trade Policy Instruments</t>
        </is>
      </c>
      <c r="F111" s="8" t="inlineStr">
        <is>
          <t>예외</t>
        </is>
      </c>
      <c r="G111" s="8" t="inlineStr">
        <is>
          <t>Agricultural Exemption</t>
        </is>
      </c>
      <c r="H111" s="8" t="inlineStr">
        <is>
          <t>농산물 관세 예외</t>
        </is>
      </c>
      <c r="I111" s="8" t="n"/>
      <c r="J111" s="8" t="inlineStr">
        <is>
          <t>tariff exemption; waiver</t>
        </is>
      </c>
      <c r="K111" s="8" t="inlineStr">
        <is>
          <t>PolicyInstrument</t>
        </is>
      </c>
      <c r="L111" s="8" t="inlineStr">
        <is>
          <t>특정 농산물·국가·기간에 관세 적용을 면제하는 조치다.</t>
        </is>
      </c>
      <c r="M111" s="8" t="inlineStr">
        <is>
          <t>권고·제안·발효된 예외를 구분한다.</t>
        </is>
      </c>
      <c r="N111" s="8" t="inlineStr">
        <is>
          <t>Trade</t>
        </is>
      </c>
      <c r="O111" s="8" t="inlineStr">
        <is>
          <t>DOWN_RISK</t>
        </is>
      </c>
      <c r="P111" s="8" t="inlineStr">
        <is>
          <t>policy</t>
        </is>
      </c>
      <c r="Q111" s="8" t="inlineStr">
        <is>
          <t>문서별</t>
        </is>
      </c>
      <c r="R111" s="8" t="inlineStr">
        <is>
          <t>B</t>
        </is>
      </c>
      <c r="S111" s="8" t="inlineStr">
        <is>
          <t>상</t>
        </is>
      </c>
      <c r="T111" s="8" t="inlineStr">
        <is>
          <t>PolicyInstrument</t>
        </is>
      </c>
      <c r="U111" s="8" t="inlineStr">
        <is>
          <t>EXEMPTS</t>
        </is>
      </c>
      <c r="V111" s="8" t="inlineStr">
        <is>
          <t>GH-P102,GH-P105,GH-TEMPLATE</t>
        </is>
      </c>
    </row>
    <row r="112" ht="42" customHeight="1">
      <c r="A112" s="8" t="inlineStr">
        <is>
          <t>TERM-111</t>
        </is>
      </c>
      <c r="B112" s="8" t="inlineStr">
        <is>
          <t>외교·정책·규제</t>
        </is>
      </c>
      <c r="C112" s="8" t="inlineStr">
        <is>
          <t>Diplomacy, Policy &amp; Regulation</t>
        </is>
      </c>
      <c r="D112" s="8" t="inlineStr">
        <is>
          <t>규정·정책상태</t>
        </is>
      </c>
      <c r="E112" s="8" t="inlineStr">
        <is>
          <t>Regulation &amp; Policy State</t>
        </is>
      </c>
      <c r="F112" s="8" t="inlineStr">
        <is>
          <t>법령</t>
        </is>
      </c>
      <c r="G112" s="8" t="inlineStr">
        <is>
          <t>Decree</t>
        </is>
      </c>
      <c r="H112" s="8" t="inlineStr">
        <is>
          <t>시행령·법령</t>
        </is>
      </c>
      <c r="I112" s="8" t="n"/>
      <c r="J112" s="8" t="inlineStr">
        <is>
          <t>government decree</t>
        </is>
      </c>
      <c r="K112" s="8" t="inlineStr">
        <is>
          <t>PolicyDocument</t>
        </is>
      </c>
      <c r="L112" s="8" t="inlineStr">
        <is>
          <t>정부가 공표한 법적·행정적 규정 문서다.</t>
        </is>
      </c>
      <c r="M112" s="8" t="inlineStr">
        <is>
          <t>문서번호·공표일·발효일·개정상태를 별도 필드로 저장한다.</t>
        </is>
      </c>
      <c r="N112" s="8" t="inlineStr">
        <is>
          <t>Policy</t>
        </is>
      </c>
      <c r="O112" s="8" t="inlineStr">
        <is>
          <t>CONTEXT</t>
        </is>
      </c>
      <c r="P112" s="8" t="inlineStr">
        <is>
          <t>document</t>
        </is>
      </c>
      <c r="Q112" s="8" t="inlineStr">
        <is>
          <t>문서별</t>
        </is>
      </c>
      <c r="R112" s="8" t="inlineStr">
        <is>
          <t>B</t>
        </is>
      </c>
      <c r="S112" s="8" t="inlineStr">
        <is>
          <t>상</t>
        </is>
      </c>
      <c r="T112" s="8" t="inlineStr">
        <is>
          <t>PolicyDocument</t>
        </is>
      </c>
      <c r="U112" s="8" t="inlineStr">
        <is>
          <t>ESTABLISHES</t>
        </is>
      </c>
      <c r="V112" s="8" t="inlineStr">
        <is>
          <t>GH-README,GH-P102,GH-P104,GH-P105</t>
        </is>
      </c>
    </row>
    <row r="113" ht="42" customHeight="1">
      <c r="A113" s="8" t="inlineStr">
        <is>
          <t>TERM-112</t>
        </is>
      </c>
      <c r="B113" s="8" t="inlineStr">
        <is>
          <t>외교·정책·규제</t>
        </is>
      </c>
      <c r="C113" s="8" t="inlineStr">
        <is>
          <t>Diplomacy, Policy &amp; Regulation</t>
        </is>
      </c>
      <c r="D113" s="8" t="inlineStr">
        <is>
          <t>규정·정책상태</t>
        </is>
      </c>
      <c r="E113" s="8" t="inlineStr">
        <is>
          <t>Regulation &amp; Policy State</t>
        </is>
      </c>
      <c r="F113" s="8" t="inlineStr">
        <is>
          <t>정책변화</t>
        </is>
      </c>
      <c r="G113" s="8" t="inlineStr">
        <is>
          <t>Policy Pivot</t>
        </is>
      </c>
      <c r="H113" s="8" t="inlineStr">
        <is>
          <t>정책 전환</t>
        </is>
      </c>
      <c r="I113" s="8" t="n"/>
      <c r="J113" s="8" t="inlineStr">
        <is>
          <t>policy shift; reversal</t>
        </is>
      </c>
      <c r="K113" s="8" t="inlineStr">
        <is>
          <t>PolicyEvent</t>
        </is>
      </c>
      <c r="L113" s="8" t="inlineStr">
        <is>
          <t>기존 정책 방향이 유의하게 변경되는 사건이다.</t>
        </is>
      </c>
      <c r="M113" s="8" t="inlineStr">
        <is>
          <t>발언·제안과 실제 법적 변경을 구분한다.</t>
        </is>
      </c>
      <c r="N113" s="8" t="inlineStr">
        <is>
          <t>Supply/Demand/Trade</t>
        </is>
      </c>
      <c r="O113" s="8" t="inlineStr">
        <is>
          <t>CONTEXT</t>
        </is>
      </c>
      <c r="P113" s="8" t="inlineStr">
        <is>
          <t>event</t>
        </is>
      </c>
      <c r="Q113" s="8" t="inlineStr">
        <is>
          <t>문서별</t>
        </is>
      </c>
      <c r="R113" s="8" t="inlineStr">
        <is>
          <t>A</t>
        </is>
      </c>
      <c r="S113" s="8" t="inlineStr">
        <is>
          <t>상</t>
        </is>
      </c>
      <c r="T113" s="8" t="inlineStr">
        <is>
          <t>PolicyEvent</t>
        </is>
      </c>
      <c r="U113" s="8" t="inlineStr">
        <is>
          <t>CHANGES</t>
        </is>
      </c>
      <c r="V113" s="8" t="inlineStr">
        <is>
          <t>GH-README,GH-P102,GH-P104,GH-P105</t>
        </is>
      </c>
    </row>
    <row r="114" ht="42" customHeight="1">
      <c r="A114" s="8" t="inlineStr">
        <is>
          <t>TERM-113</t>
        </is>
      </c>
      <c r="B114" s="8" t="inlineStr">
        <is>
          <t>외교·정책·규제</t>
        </is>
      </c>
      <c r="C114" s="8" t="inlineStr">
        <is>
          <t>Diplomacy, Policy &amp; Regulation</t>
        </is>
      </c>
      <c r="D114" s="8" t="inlineStr">
        <is>
          <t>규정·정책상태</t>
        </is>
      </c>
      <c r="E114" s="8" t="inlineStr">
        <is>
          <t>Regulation &amp; Policy State</t>
        </is>
      </c>
      <c r="F114" s="8" t="inlineStr">
        <is>
          <t>정책상태</t>
        </is>
      </c>
      <c r="G114" s="8" t="inlineStr">
        <is>
          <t>Policy Flag</t>
        </is>
      </c>
      <c r="H114" s="8" t="inlineStr">
        <is>
          <t>정책 이벤트 플래그</t>
        </is>
      </c>
      <c r="I114" s="8" t="n"/>
      <c r="J114" s="8" t="inlineStr">
        <is>
          <t>policy event indicator</t>
        </is>
      </c>
      <c r="K114" s="8" t="inlineStr">
        <is>
          <t>Feature</t>
        </is>
      </c>
      <c r="L114" s="8" t="inlineStr">
        <is>
          <t>정책 사건의 존재 여부를 0/1로 표현한 모델 입력값이다.</t>
        </is>
      </c>
      <c r="M114" s="8" t="inlineStr">
        <is>
          <t>사건의 강도·방향과 별개이며 근거문장을 요구한다.</t>
        </is>
      </c>
      <c r="N114" s="8" t="inlineStr">
        <is>
          <t>Model Feature</t>
        </is>
      </c>
      <c r="O114" s="8" t="inlineStr">
        <is>
          <t>CONTEXT</t>
        </is>
      </c>
      <c r="P114" s="8" t="inlineStr">
        <is>
          <t>0/1</t>
        </is>
      </c>
      <c r="Q114" s="8" t="inlineStr">
        <is>
          <t>P1-05 schema</t>
        </is>
      </c>
      <c r="R114" s="8" t="inlineStr">
        <is>
          <t>A</t>
        </is>
      </c>
      <c r="S114" s="8" t="inlineStr">
        <is>
          <t>상</t>
        </is>
      </c>
      <c r="T114" s="8" t="inlineStr">
        <is>
          <t>ModelFeature</t>
        </is>
      </c>
      <c r="U114" s="8" t="inlineStr">
        <is>
          <t>DERIVED_FROM</t>
        </is>
      </c>
      <c r="V114" s="8" t="inlineStr">
        <is>
          <t>GH-README,GH-P102,GH-P104,GH-P105</t>
        </is>
      </c>
    </row>
    <row r="115" ht="42" customHeight="1">
      <c r="A115" s="8" t="inlineStr">
        <is>
          <t>TERM-114</t>
        </is>
      </c>
      <c r="B115" s="8" t="inlineStr">
        <is>
          <t>외교·정책·규제</t>
        </is>
      </c>
      <c r="C115" s="8" t="inlineStr">
        <is>
          <t>Diplomacy, Policy &amp; Regulation</t>
        </is>
      </c>
      <c r="D115" s="8" t="inlineStr">
        <is>
          <t>규정·정책상태</t>
        </is>
      </c>
      <c r="E115" s="8" t="inlineStr">
        <is>
          <t>Regulation &amp; Policy State</t>
        </is>
      </c>
      <c r="F115" s="8" t="inlineStr">
        <is>
          <t>효력</t>
        </is>
      </c>
      <c r="G115" s="8" t="inlineStr">
        <is>
          <t>Effective Date</t>
        </is>
      </c>
      <c r="H115" s="8" t="inlineStr">
        <is>
          <t>정책 발효일</t>
        </is>
      </c>
      <c r="I115" s="8" t="n"/>
      <c r="J115" s="8" t="inlineStr">
        <is>
          <t>implementation date</t>
        </is>
      </c>
      <c r="K115" s="8" t="inlineStr">
        <is>
          <t>DateAttribute</t>
        </is>
      </c>
      <c r="L115" s="8" t="inlineStr">
        <is>
          <t>정책이 법적·실무적으로 적용되기 시작하는 날짜다.</t>
        </is>
      </c>
      <c r="M115" s="8" t="inlineStr">
        <is>
          <t>발표일·공표일과 분리한다.</t>
        </is>
      </c>
      <c r="N115" s="8" t="inlineStr">
        <is>
          <t>Time</t>
        </is>
      </c>
      <c r="O115" s="8" t="inlineStr">
        <is>
          <t>CONTEXT</t>
        </is>
      </c>
      <c r="P115" s="8" t="inlineStr">
        <is>
          <t>date</t>
        </is>
      </c>
      <c r="Q115" s="8" t="inlineStr">
        <is>
          <t>필수</t>
        </is>
      </c>
      <c r="R115" s="8" t="inlineStr">
        <is>
          <t>A</t>
        </is>
      </c>
      <c r="S115" s="8" t="inlineStr">
        <is>
          <t>상</t>
        </is>
      </c>
      <c r="T115" s="8" t="inlineStr">
        <is>
          <t>TemporalAttribute</t>
        </is>
      </c>
      <c r="U115" s="8" t="inlineStr">
        <is>
          <t>VALID_FROM</t>
        </is>
      </c>
      <c r="V115" s="8" t="inlineStr">
        <is>
          <t>GH-README,GH-P102,GH-P104,GH-P105</t>
        </is>
      </c>
    </row>
    <row r="116" ht="42" customHeight="1">
      <c r="A116" s="8" t="inlineStr">
        <is>
          <t>TERM-115</t>
        </is>
      </c>
      <c r="B116" s="8" t="inlineStr">
        <is>
          <t>외교·정책·규제</t>
        </is>
      </c>
      <c r="C116" s="8" t="inlineStr">
        <is>
          <t>Diplomacy, Policy &amp; Regulation</t>
        </is>
      </c>
      <c r="D116" s="8" t="inlineStr">
        <is>
          <t>규정·정책상태</t>
        </is>
      </c>
      <c r="E116" s="8" t="inlineStr">
        <is>
          <t>Regulation &amp; Policy State</t>
        </is>
      </c>
      <c r="F116" s="8" t="inlineStr">
        <is>
          <t>환경규제</t>
        </is>
      </c>
      <c r="G116" s="8" t="inlineStr">
        <is>
          <t>EU Deforestation Regulation</t>
        </is>
      </c>
      <c r="H116" s="8" t="inlineStr">
        <is>
          <t>EU 산림전용 방지 규정</t>
        </is>
      </c>
      <c r="I116" s="8" t="inlineStr">
        <is>
          <t>EUDR</t>
        </is>
      </c>
      <c r="J116" s="8" t="inlineStr">
        <is>
          <t>EU deforestation-free regulation</t>
        </is>
      </c>
      <c r="K116" s="8" t="inlineStr">
        <is>
          <t>Regulation</t>
        </is>
      </c>
      <c r="L116" s="8" t="inlineStr">
        <is>
          <t>산림전용과 관련된 상품의 추적성·실사 요건을 부과하는 EU 규정이다.</t>
        </is>
      </c>
      <c r="M116" s="8" t="inlineStr">
        <is>
          <t>브라질 원산지 공급자 추적성 영향을 별도 평가하고 적용일을 확인한다.</t>
        </is>
      </c>
      <c r="N116" s="8" t="inlineStr">
        <is>
          <t>Compliance/Supply</t>
        </is>
      </c>
      <c r="O116" s="8" t="inlineStr">
        <is>
          <t>UP_RISK</t>
        </is>
      </c>
      <c r="P116" s="8" t="inlineStr">
        <is>
          <t>regulation</t>
        </is>
      </c>
      <c r="Q116" s="8" t="inlineStr">
        <is>
          <t>assessment pending</t>
        </is>
      </c>
      <c r="R116" s="8" t="inlineStr">
        <is>
          <t>B</t>
        </is>
      </c>
      <c r="S116" s="8" t="inlineStr">
        <is>
          <t>상</t>
        </is>
      </c>
      <c r="T116" s="8" t="inlineStr">
        <is>
          <t>Regulation</t>
        </is>
      </c>
      <c r="U116" s="8" t="inlineStr">
        <is>
          <t>REGULATES</t>
        </is>
      </c>
      <c r="V116" s="8" t="inlineStr">
        <is>
          <t>GH-README,GH-P102,GH-P104,GH-P105</t>
        </is>
      </c>
    </row>
    <row r="117" ht="42" customHeight="1">
      <c r="A117" s="8" t="inlineStr">
        <is>
          <t>TERM-116</t>
        </is>
      </c>
      <c r="B117" s="8" t="inlineStr">
        <is>
          <t>외교·정책·규제</t>
        </is>
      </c>
      <c r="C117" s="8" t="inlineStr">
        <is>
          <t>Diplomacy, Policy &amp; Regulation</t>
        </is>
      </c>
      <c r="D117" s="8" t="inlineStr">
        <is>
          <t>규정·정책상태</t>
        </is>
      </c>
      <c r="E117" s="8" t="inlineStr">
        <is>
          <t>Regulation &amp; Policy State</t>
        </is>
      </c>
      <c r="F117" s="8" t="inlineStr">
        <is>
          <t>비축</t>
        </is>
      </c>
      <c r="G117" s="8" t="inlineStr">
        <is>
          <t>Strategic Grain Reserve</t>
        </is>
      </c>
      <c r="H117" s="8" t="inlineStr">
        <is>
          <t>곡물 전략비축</t>
        </is>
      </c>
      <c r="I117" s="8" t="n"/>
      <c r="J117" s="8" t="inlineStr">
        <is>
          <t>government reserve policy</t>
        </is>
      </c>
      <c r="K117" s="8" t="inlineStr">
        <is>
          <t>Policy</t>
        </is>
      </c>
      <c r="L117" s="8" t="inlineStr">
        <is>
          <t>정부가 식량안보를 위해 곡물·원료 재고를 보유·방출하는 정책이다.</t>
        </is>
      </c>
      <c r="M117" s="8" t="inlineStr">
        <is>
          <t>비축 매입은 수요, 방출은 공급 효과로 분리한다.</t>
        </is>
      </c>
      <c r="N117" s="8" t="inlineStr">
        <is>
          <t>Supply/Demand</t>
        </is>
      </c>
      <c r="O117" s="8" t="inlineStr">
        <is>
          <t>CONTEXT</t>
        </is>
      </c>
      <c r="P117" s="8" t="inlineStr">
        <is>
          <t>MT</t>
        </is>
      </c>
      <c r="Q117" s="8" t="inlineStr">
        <is>
          <t>문서별</t>
        </is>
      </c>
      <c r="R117" s="8" t="inlineStr">
        <is>
          <t>B</t>
        </is>
      </c>
      <c r="S117" s="8" t="inlineStr">
        <is>
          <t>상</t>
        </is>
      </c>
      <c r="T117" s="8" t="inlineStr">
        <is>
          <t>Policy</t>
        </is>
      </c>
      <c r="U117" s="8" t="inlineStr">
        <is>
          <t>AFFECTS</t>
        </is>
      </c>
      <c r="V117" s="8" t="inlineStr">
        <is>
          <t>GH-README,GH-P102,GH-P104,GH-P105</t>
        </is>
      </c>
    </row>
    <row r="118" ht="42" customHeight="1">
      <c r="A118" s="8" t="inlineStr">
        <is>
          <t>TERM-117</t>
        </is>
      </c>
      <c r="B118" s="8" t="inlineStr">
        <is>
          <t>데이터·시맨틱·품질</t>
        </is>
      </c>
      <c r="C118" s="8" t="inlineStr">
        <is>
          <t>Data, Semantics &amp; Quality</t>
        </is>
      </c>
      <c r="D118" s="8" t="inlineStr">
        <is>
          <t>문서·근거</t>
        </is>
      </c>
      <c r="E118" s="8" t="inlineStr">
        <is>
          <t>Document &amp; Evidence</t>
        </is>
      </c>
      <c r="F118" s="8" t="inlineStr">
        <is>
          <t>문서</t>
        </is>
      </c>
      <c r="G118" s="8" t="inlineStr">
        <is>
          <t>Source Document</t>
        </is>
      </c>
      <c r="H118" s="8" t="inlineStr">
        <is>
          <t>원천문서</t>
        </is>
      </c>
      <c r="I118" s="8" t="n"/>
      <c r="J118" s="8" t="inlineStr">
        <is>
          <t>report; PDF; bulletin</t>
        </is>
      </c>
      <c r="K118" s="8" t="inlineStr">
        <is>
          <t>Document</t>
        </is>
      </c>
      <c r="L118" s="8" t="inlineStr">
        <is>
          <t>추출·분석의 원본이 되는 식별 가능한 파일 또는 보고서다.</t>
        </is>
      </c>
      <c r="M118" s="8" t="inlineStr">
        <is>
          <t>제목·발행기관·발행일·해시·URL을 보존한다.</t>
        </is>
      </c>
      <c r="N118" s="8" t="inlineStr">
        <is>
          <t>Provenance</t>
        </is>
      </c>
      <c r="O118" s="8" t="inlineStr">
        <is>
          <t>CONTEXT</t>
        </is>
      </c>
      <c r="P118" s="8" t="inlineStr">
        <is>
          <t>document</t>
        </is>
      </c>
      <c r="Q118" s="8" t="inlineStr">
        <is>
          <t>필수</t>
        </is>
      </c>
      <c r="R118" s="8" t="inlineStr">
        <is>
          <t>A</t>
        </is>
      </c>
      <c r="S118" s="8" t="inlineStr">
        <is>
          <t>중</t>
        </is>
      </c>
      <c r="T118" s="8" t="inlineStr">
        <is>
          <t>SourceDocument</t>
        </is>
      </c>
      <c r="U118" s="8" t="inlineStr">
        <is>
          <t>PROVIDES</t>
        </is>
      </c>
      <c r="V118" s="8" t="inlineStr">
        <is>
          <t>GH-C04,GH-P105,GH-P106,GH-TEMPLATE</t>
        </is>
      </c>
    </row>
    <row r="119" ht="42" customHeight="1">
      <c r="A119" s="8" t="inlineStr">
        <is>
          <t>TERM-118</t>
        </is>
      </c>
      <c r="B119" s="8" t="inlineStr">
        <is>
          <t>데이터·시맨틱·품질</t>
        </is>
      </c>
      <c r="C119" s="8" t="inlineStr">
        <is>
          <t>Data, Semantics &amp; Quality</t>
        </is>
      </c>
      <c r="D119" s="8" t="inlineStr">
        <is>
          <t>문서·근거</t>
        </is>
      </c>
      <c r="E119" s="8" t="inlineStr">
        <is>
          <t>Document &amp; Evidence</t>
        </is>
      </c>
      <c r="F119" s="8" t="inlineStr">
        <is>
          <t>구조단위</t>
        </is>
      </c>
      <c r="G119" s="8" t="inlineStr">
        <is>
          <t>Document Chunk</t>
        </is>
      </c>
      <c r="H119" s="8" t="inlineStr">
        <is>
          <t>문서 청크</t>
        </is>
      </c>
      <c r="I119" s="8" t="n"/>
      <c r="J119" s="8" t="inlineStr">
        <is>
          <t>layout block; text chunk</t>
        </is>
      </c>
      <c r="K119" s="8" t="inlineStr">
        <is>
          <t>DocumentPart</t>
        </is>
      </c>
      <c r="L119" s="8" t="inlineStr">
        <is>
          <t>레이아웃과 의미 경계를 보존한 문서의 처리 단위다.</t>
        </is>
      </c>
      <c r="M119" s="8" t="inlineStr">
        <is>
          <t>임의 글자수 분할보다 표·정책절·요약절 구조를 우선한다.</t>
        </is>
      </c>
      <c r="N119" s="8" t="inlineStr">
        <is>
          <t>Extraction</t>
        </is>
      </c>
      <c r="O119" s="8" t="inlineStr">
        <is>
          <t>CONTEXT</t>
        </is>
      </c>
      <c r="P119" s="8" t="inlineStr">
        <is>
          <t>text</t>
        </is>
      </c>
      <c r="Q119" s="8" t="inlineStr">
        <is>
          <t>page required</t>
        </is>
      </c>
      <c r="R119" s="8" t="inlineStr">
        <is>
          <t>A</t>
        </is>
      </c>
      <c r="S119" s="8" t="inlineStr">
        <is>
          <t>상</t>
        </is>
      </c>
      <c r="T119" s="8" t="inlineStr">
        <is>
          <t>DocumentChunk</t>
        </is>
      </c>
      <c r="U119" s="8" t="inlineStr">
        <is>
          <t>PART_OF</t>
        </is>
      </c>
      <c r="V119" s="8" t="inlineStr">
        <is>
          <t>GH-C04,GH-P105,GH-P106,GH-TEMPLATE</t>
        </is>
      </c>
    </row>
    <row r="120" ht="42" customHeight="1">
      <c r="A120" s="8" t="inlineStr">
        <is>
          <t>TERM-119</t>
        </is>
      </c>
      <c r="B120" s="8" t="inlineStr">
        <is>
          <t>데이터·시맨틱·품질</t>
        </is>
      </c>
      <c r="C120" s="8" t="inlineStr">
        <is>
          <t>Data, Semantics &amp; Quality</t>
        </is>
      </c>
      <c r="D120" s="8" t="inlineStr">
        <is>
          <t>문서·근거</t>
        </is>
      </c>
      <c r="E120" s="8" t="inlineStr">
        <is>
          <t>Document &amp; Evidence</t>
        </is>
      </c>
      <c r="F120" s="8" t="inlineStr">
        <is>
          <t>근거</t>
        </is>
      </c>
      <c r="G120" s="8" t="inlineStr">
        <is>
          <t>Evidence Snippet</t>
        </is>
      </c>
      <c r="H120" s="8" t="inlineStr">
        <is>
          <t>근거 발췌문</t>
        </is>
      </c>
      <c r="I120" s="8" t="n"/>
      <c r="J120" s="8" t="inlineStr">
        <is>
          <t>evidence_text; exact quote</t>
        </is>
      </c>
      <c r="K120" s="8" t="inlineStr">
        <is>
          <t>Evidence</t>
        </is>
      </c>
      <c r="L120" s="8" t="inlineStr">
        <is>
          <t>주장·점수·관계를 직접 뒷받침하는 최소한의 원문 구절이다.</t>
        </is>
      </c>
      <c r="M120" s="8" t="inlineStr">
        <is>
          <t>요약문이 아니라 원문 그대로 저장하고 페이지를 연결한다.</t>
        </is>
      </c>
      <c r="N120" s="8" t="inlineStr">
        <is>
          <t>Audit</t>
        </is>
      </c>
      <c r="O120" s="8" t="inlineStr">
        <is>
          <t>CONTEXT</t>
        </is>
      </c>
      <c r="P120" s="8" t="inlineStr">
        <is>
          <t>text</t>
        </is>
      </c>
      <c r="Q120" s="8" t="inlineStr">
        <is>
          <t>모든 핵심 주장 필수</t>
        </is>
      </c>
      <c r="R120" s="8" t="inlineStr">
        <is>
          <t>A</t>
        </is>
      </c>
      <c r="S120" s="8" t="inlineStr">
        <is>
          <t>상</t>
        </is>
      </c>
      <c r="T120" s="8" t="inlineStr">
        <is>
          <t>EvidenceSpan</t>
        </is>
      </c>
      <c r="U120" s="8" t="inlineStr">
        <is>
          <t>SUPPORTED_BY</t>
        </is>
      </c>
      <c r="V120" s="8" t="inlineStr">
        <is>
          <t>GH-C04,GH-P105,GH-P106,GH-TEMPLATE</t>
        </is>
      </c>
    </row>
    <row r="121" ht="42" customHeight="1">
      <c r="A121" s="8" t="inlineStr">
        <is>
          <t>TERM-120</t>
        </is>
      </c>
      <c r="B121" s="8" t="inlineStr">
        <is>
          <t>데이터·시맨틱·품질</t>
        </is>
      </c>
      <c r="C121" s="8" t="inlineStr">
        <is>
          <t>Data, Semantics &amp; Quality</t>
        </is>
      </c>
      <c r="D121" s="8" t="inlineStr">
        <is>
          <t>문서·근거</t>
        </is>
      </c>
      <c r="E121" s="8" t="inlineStr">
        <is>
          <t>Document &amp; Evidence</t>
        </is>
      </c>
      <c r="F121" s="8" t="inlineStr">
        <is>
          <t>위치</t>
        </is>
      </c>
      <c r="G121" s="8" t="inlineStr">
        <is>
          <t>Page Reference</t>
        </is>
      </c>
      <c r="H121" s="8" t="inlineStr">
        <is>
          <t>페이지 참조</t>
        </is>
      </c>
      <c r="I121" s="8" t="n"/>
      <c r="J121" s="8" t="inlineStr">
        <is>
          <t>page_number; p.</t>
        </is>
      </c>
      <c r="K121" s="8" t="inlineStr">
        <is>
          <t>ProvenanceAttribute</t>
        </is>
      </c>
      <c r="L121" s="8" t="inlineStr">
        <is>
          <t>근거가 위치한 PDF 페이지 식별자다.</t>
        </is>
      </c>
      <c r="M121" s="8" t="inlineStr">
        <is>
          <t>인쇄 페이지와 파일 페이지가 다르면 둘 다 보존한다.</t>
        </is>
      </c>
      <c r="N121" s="8" t="inlineStr">
        <is>
          <t>Audit</t>
        </is>
      </c>
      <c r="O121" s="8" t="inlineStr">
        <is>
          <t>CONTEXT</t>
        </is>
      </c>
      <c r="P121" s="8" t="inlineStr">
        <is>
          <t>integer/string</t>
        </is>
      </c>
      <c r="Q121" s="8" t="inlineStr">
        <is>
          <t>필수</t>
        </is>
      </c>
      <c r="R121" s="8" t="inlineStr">
        <is>
          <t>A</t>
        </is>
      </c>
      <c r="S121" s="8" t="inlineStr">
        <is>
          <t>상</t>
        </is>
      </c>
      <c r="T121" s="8" t="inlineStr">
        <is>
          <t>PageReference</t>
        </is>
      </c>
      <c r="U121" s="8" t="inlineStr">
        <is>
          <t>LOCATED_AT</t>
        </is>
      </c>
      <c r="V121" s="8" t="inlineStr">
        <is>
          <t>GH-C04,GH-P105,GH-P106,GH-TEMPLATE</t>
        </is>
      </c>
    </row>
    <row r="122" ht="42" customHeight="1">
      <c r="A122" s="8" t="inlineStr">
        <is>
          <t>TERM-121</t>
        </is>
      </c>
      <c r="B122" s="8" t="inlineStr">
        <is>
          <t>데이터·시맨틱·품질</t>
        </is>
      </c>
      <c r="C122" s="8" t="inlineStr">
        <is>
          <t>Data, Semantics &amp; Quality</t>
        </is>
      </c>
      <c r="D122" s="8" t="inlineStr">
        <is>
          <t>문서·근거</t>
        </is>
      </c>
      <c r="E122" s="8" t="inlineStr">
        <is>
          <t>Document &amp; Evidence</t>
        </is>
      </c>
      <c r="F122" s="8" t="inlineStr">
        <is>
          <t>위치</t>
        </is>
      </c>
      <c r="G122" s="8" t="inlineStr">
        <is>
          <t>Bounding Box</t>
        </is>
      </c>
      <c r="H122" s="8" t="inlineStr">
        <is>
          <t>경계상자</t>
        </is>
      </c>
      <c r="I122" s="8" t="inlineStr">
        <is>
          <t>BBox</t>
        </is>
      </c>
      <c r="J122" s="8" t="inlineStr">
        <is>
          <t>coordinates; layout bbox</t>
        </is>
      </c>
      <c r="K122" s="8" t="inlineStr">
        <is>
          <t>ProvenanceAttribute</t>
        </is>
      </c>
      <c r="L122" s="8" t="inlineStr">
        <is>
          <t>페이지 내 근거 영역의 좌표다.</t>
        </is>
      </c>
      <c r="M122" s="8" t="inlineStr">
        <is>
          <t>좌표계·페이지 크기·단위를 함께 관리한다.</t>
        </is>
      </c>
      <c r="N122" s="8" t="inlineStr">
        <is>
          <t>Audit</t>
        </is>
      </c>
      <c r="O122" s="8" t="inlineStr">
        <is>
          <t>CONTEXT</t>
        </is>
      </c>
      <c r="P122" s="8" t="inlineStr">
        <is>
          <t>[x1,y1,x2,y2]</t>
        </is>
      </c>
      <c r="Q122" s="8" t="inlineStr">
        <is>
          <t>C-04 필수</t>
        </is>
      </c>
      <c r="R122" s="8" t="inlineStr">
        <is>
          <t>B</t>
        </is>
      </c>
      <c r="S122" s="8" t="inlineStr">
        <is>
          <t>상</t>
        </is>
      </c>
      <c r="T122" s="8" t="inlineStr">
        <is>
          <t>BoundingBox</t>
        </is>
      </c>
      <c r="U122" s="8" t="inlineStr">
        <is>
          <t>LOCATED_AT</t>
        </is>
      </c>
      <c r="V122" s="8" t="inlineStr">
        <is>
          <t>GH-C04,GH-P105,GH-P106,GH-TEMPLATE</t>
        </is>
      </c>
    </row>
    <row r="123" ht="42" customHeight="1">
      <c r="A123" s="8" t="inlineStr">
        <is>
          <t>TERM-122</t>
        </is>
      </c>
      <c r="B123" s="8" t="inlineStr">
        <is>
          <t>데이터·시맨틱·품질</t>
        </is>
      </c>
      <c r="C123" s="8" t="inlineStr">
        <is>
          <t>Data, Semantics &amp; Quality</t>
        </is>
      </c>
      <c r="D123" s="8" t="inlineStr">
        <is>
          <t>문서·근거</t>
        </is>
      </c>
      <c r="E123" s="8" t="inlineStr">
        <is>
          <t>Document &amp; Evidence</t>
        </is>
      </c>
      <c r="F123" s="8" t="inlineStr">
        <is>
          <t>추적성</t>
        </is>
      </c>
      <c r="G123" s="8" t="inlineStr">
        <is>
          <t>Provenance</t>
        </is>
      </c>
      <c r="H123" s="8" t="inlineStr">
        <is>
          <t>출처 추적정보</t>
        </is>
      </c>
      <c r="I123" s="8" t="n"/>
      <c r="J123" s="8" t="inlineStr">
        <is>
          <t>lineage; source attribution</t>
        </is>
      </c>
      <c r="K123" s="8" t="inlineStr">
        <is>
          <t>Metadata</t>
        </is>
      </c>
      <c r="L123" s="8" t="inlineStr">
        <is>
          <t>데이터·주장·관계가 어떤 문서·위치·실행에서 생성되었는지 나타내는 계보 정보다.</t>
        </is>
      </c>
      <c r="M123" s="8" t="inlineStr">
        <is>
          <t>엔터티·별칭·인과관계 모두 문서 ID·페이지·원문을 보존한다.</t>
        </is>
      </c>
      <c r="N123" s="8" t="inlineStr">
        <is>
          <t>Audit</t>
        </is>
      </c>
      <c r="O123" s="8" t="inlineStr">
        <is>
          <t>CONTEXT</t>
        </is>
      </c>
      <c r="P123" s="8" t="inlineStr">
        <is>
          <t>metadata</t>
        </is>
      </c>
      <c r="Q123" s="8" t="inlineStr">
        <is>
          <t>필수</t>
        </is>
      </c>
      <c r="R123" s="8" t="inlineStr">
        <is>
          <t>A</t>
        </is>
      </c>
      <c r="S123" s="8" t="inlineStr">
        <is>
          <t>상</t>
        </is>
      </c>
      <c r="T123" s="8" t="inlineStr">
        <is>
          <t>ProvenanceRecord</t>
        </is>
      </c>
      <c r="U123" s="8" t="inlineStr">
        <is>
          <t>DERIVED_FROM</t>
        </is>
      </c>
      <c r="V123" s="8" t="inlineStr">
        <is>
          <t>GH-C04,GH-P105,GH-P106,GH-TEMPLATE</t>
        </is>
      </c>
    </row>
    <row r="124" ht="42" customHeight="1">
      <c r="A124" s="8" t="inlineStr">
        <is>
          <t>TERM-123</t>
        </is>
      </c>
      <c r="B124" s="8" t="inlineStr">
        <is>
          <t>데이터·시맨틱·품질</t>
        </is>
      </c>
      <c r="C124" s="8" t="inlineStr">
        <is>
          <t>Data, Semantics &amp; Quality</t>
        </is>
      </c>
      <c r="D124" s="8" t="inlineStr">
        <is>
          <t>시맨틱 정규화</t>
        </is>
      </c>
      <c r="E124" s="8" t="inlineStr">
        <is>
          <t>Semantic Normalization</t>
        </is>
      </c>
      <c r="F124" s="8" t="inlineStr">
        <is>
          <t>표준개념</t>
        </is>
      </c>
      <c r="G124" s="8" t="inlineStr">
        <is>
          <t>Canonical Entity</t>
        </is>
      </c>
      <c r="H124" s="8" t="inlineStr">
        <is>
          <t>표준 엔터티</t>
        </is>
      </c>
      <c r="I124" s="8" t="n"/>
      <c r="J124" s="8" t="inlineStr">
        <is>
          <t>canonical concept</t>
        </is>
      </c>
      <c r="K124" s="8" t="inlineStr">
        <is>
          <t>SemanticEntity</t>
        </is>
      </c>
      <c r="L124" s="8" t="inlineStr">
        <is>
          <t>여러 언어·표기의 용어가 매핑되는 단일 표준 개념이다.</t>
        </is>
      </c>
      <c r="M124" s="8" t="inlineStr">
        <is>
          <t>엔터티 ID는 불변으로 두고 이름 변경은 버전 이력으로 관리한다.</t>
        </is>
      </c>
      <c r="N124" s="8" t="inlineStr">
        <is>
          <t>Semantic Layer</t>
        </is>
      </c>
      <c r="O124" s="8" t="inlineStr">
        <is>
          <t>CONTEXT</t>
        </is>
      </c>
      <c r="P124" s="8" t="inlineStr">
        <is>
          <t>entity</t>
        </is>
      </c>
      <c r="Q124" s="8" t="inlineStr">
        <is>
          <t>필수</t>
        </is>
      </c>
      <c r="R124" s="8" t="inlineStr">
        <is>
          <t>A</t>
        </is>
      </c>
      <c r="S124" s="8" t="inlineStr">
        <is>
          <t>상</t>
        </is>
      </c>
      <c r="T124" s="8" t="inlineStr">
        <is>
          <t>CanonicalEntity</t>
        </is>
      </c>
      <c r="U124" s="8" t="inlineStr">
        <is>
          <t>MENTION_OF</t>
        </is>
      </c>
      <c r="V124" s="8" t="inlineStr">
        <is>
          <t>GH-P106,GH-ESA,CS-BREWSTER23,CS-KIOUKIS25</t>
        </is>
      </c>
    </row>
    <row r="125" ht="42" customHeight="1">
      <c r="A125" s="8" t="inlineStr">
        <is>
          <t>TERM-124</t>
        </is>
      </c>
      <c r="B125" s="8" t="inlineStr">
        <is>
          <t>데이터·시맨틱·품질</t>
        </is>
      </c>
      <c r="C125" s="8" t="inlineStr">
        <is>
          <t>Data, Semantics &amp; Quality</t>
        </is>
      </c>
      <c r="D125" s="8" t="inlineStr">
        <is>
          <t>시맨틱 정규화</t>
        </is>
      </c>
      <c r="E125" s="8" t="inlineStr">
        <is>
          <t>Semantic Normalization</t>
        </is>
      </c>
      <c r="F125" s="8" t="inlineStr">
        <is>
          <t>표기변형</t>
        </is>
      </c>
      <c r="G125" s="8" t="inlineStr">
        <is>
          <t>Entity Alias</t>
        </is>
      </c>
      <c r="H125" s="8" t="inlineStr">
        <is>
          <t>엔터티 별칭</t>
        </is>
      </c>
      <c r="I125" s="8" t="n"/>
      <c r="J125" s="8" t="inlineStr">
        <is>
          <t>synonym; alternative label</t>
        </is>
      </c>
      <c r="K125" s="8" t="inlineStr">
        <is>
          <t>SemanticLabel</t>
        </is>
      </c>
      <c r="L125" s="8" t="inlineStr">
        <is>
          <t>표준 엔터티를 지칭하는 언어별·지역별·상업적 변형이다.</t>
        </is>
      </c>
      <c r="M125" s="8" t="inlineStr">
        <is>
          <t>언어·대소문자·유효기간·출처를 함께 저장한다.</t>
        </is>
      </c>
      <c r="N125" s="8" t="inlineStr">
        <is>
          <t>Semantic Layer</t>
        </is>
      </c>
      <c r="O125" s="8" t="inlineStr">
        <is>
          <t>CONTEXT</t>
        </is>
      </c>
      <c r="P125" s="8" t="inlineStr">
        <is>
          <t>text</t>
        </is>
      </c>
      <c r="Q125" s="8" t="inlineStr">
        <is>
          <t>검증 필요</t>
        </is>
      </c>
      <c r="R125" s="8" t="inlineStr">
        <is>
          <t>A</t>
        </is>
      </c>
      <c r="S125" s="8" t="inlineStr">
        <is>
          <t>상</t>
        </is>
      </c>
      <c r="T125" s="8" t="inlineStr">
        <is>
          <t>EntityAlias</t>
        </is>
      </c>
      <c r="U125" s="8" t="inlineStr">
        <is>
          <t>ALIAS_OF</t>
        </is>
      </c>
      <c r="V125" s="8" t="inlineStr">
        <is>
          <t>GH-P106,GH-ESA,CS-BREWSTER23,CS-KIOUKIS25</t>
        </is>
      </c>
    </row>
    <row r="126" ht="42" customHeight="1">
      <c r="A126" s="8" t="inlineStr">
        <is>
          <t>TERM-125</t>
        </is>
      </c>
      <c r="B126" s="8" t="inlineStr">
        <is>
          <t>데이터·시맨틱·품질</t>
        </is>
      </c>
      <c r="C126" s="8" t="inlineStr">
        <is>
          <t>Data, Semantics &amp; Quality</t>
        </is>
      </c>
      <c r="D126" s="8" t="inlineStr">
        <is>
          <t>시맨틱 정규화</t>
        </is>
      </c>
      <c r="E126" s="8" t="inlineStr">
        <is>
          <t>Semantic Normalization</t>
        </is>
      </c>
      <c r="F126" s="8" t="inlineStr">
        <is>
          <t>원문표현</t>
        </is>
      </c>
      <c r="G126" s="8" t="inlineStr">
        <is>
          <t>Entity Mention</t>
        </is>
      </c>
      <c r="H126" s="8" t="inlineStr">
        <is>
          <t>엔터티 언급</t>
        </is>
      </c>
      <c r="I126" s="8" t="n"/>
      <c r="J126" s="8" t="inlineStr">
        <is>
          <t>surface form; mention</t>
        </is>
      </c>
      <c r="K126" s="8" t="inlineStr">
        <is>
          <t>TextAnnotation</t>
        </is>
      </c>
      <c r="L126" s="8" t="inlineStr">
        <is>
          <t>특정 근거 구절에 실제 나타난 문자열과 위치다.</t>
        </is>
      </c>
      <c r="M126" s="8" t="inlineStr">
        <is>
          <t>별칭 사전 항목과 개별 문서 언급을 구분한다.</t>
        </is>
      </c>
      <c r="N126" s="8" t="inlineStr">
        <is>
          <t>Extraction</t>
        </is>
      </c>
      <c r="O126" s="8" t="inlineStr">
        <is>
          <t>CONTEXT</t>
        </is>
      </c>
      <c r="P126" s="8" t="inlineStr">
        <is>
          <t>text span</t>
        </is>
      </c>
      <c r="Q126" s="8" t="inlineStr">
        <is>
          <t>offset/page required</t>
        </is>
      </c>
      <c r="R126" s="8" t="inlineStr">
        <is>
          <t>A</t>
        </is>
      </c>
      <c r="S126" s="8" t="inlineStr">
        <is>
          <t>상</t>
        </is>
      </c>
      <c r="T126" s="8" t="inlineStr">
        <is>
          <t>EntityMention</t>
        </is>
      </c>
      <c r="U126" s="8" t="inlineStr">
        <is>
          <t>MENTION_OF</t>
        </is>
      </c>
      <c r="V126" s="8" t="inlineStr">
        <is>
          <t>GH-P106,GH-ESA,CS-BREWSTER23,CS-KIOUKIS25</t>
        </is>
      </c>
    </row>
    <row r="127" ht="42" customHeight="1">
      <c r="A127" s="8" t="inlineStr">
        <is>
          <t>TERM-126</t>
        </is>
      </c>
      <c r="B127" s="8" t="inlineStr">
        <is>
          <t>데이터·시맨틱·품질</t>
        </is>
      </c>
      <c r="C127" s="8" t="inlineStr">
        <is>
          <t>Data, Semantics &amp; Quality</t>
        </is>
      </c>
      <c r="D127" s="8" t="inlineStr">
        <is>
          <t>시맨틱 정규화</t>
        </is>
      </c>
      <c r="E127" s="8" t="inlineStr">
        <is>
          <t>Semantic Normalization</t>
        </is>
      </c>
      <c r="F127" s="8" t="inlineStr">
        <is>
          <t>통합계층</t>
        </is>
      </c>
      <c r="G127" s="8" t="inlineStr">
        <is>
          <t>Semantic Layer</t>
        </is>
      </c>
      <c r="H127" s="8" t="inlineStr">
        <is>
          <t>시맨틱 레이어</t>
        </is>
      </c>
      <c r="I127" s="8" t="n"/>
      <c r="J127" s="8" t="inlineStr">
        <is>
          <t>business semantic layer</t>
        </is>
      </c>
      <c r="K127" s="8" t="inlineStr">
        <is>
          <t>ArchitectureLayer</t>
        </is>
      </c>
      <c r="L127" s="8" t="inlineStr">
        <is>
          <t>원천 표현을 표준 엔터티·지표·단위·관계로 변환해 분석과 질의에 제공하는 계층이다.</t>
        </is>
      </c>
      <c r="M127" s="8" t="inlineStr">
        <is>
          <t>온톨로지 규칙과 지식그래프 사실을 모두 사용하지만 둘과 동일하지 않다.</t>
        </is>
      </c>
      <c r="N127" s="8" t="inlineStr">
        <is>
          <t>Architecture</t>
        </is>
      </c>
      <c r="O127" s="8" t="inlineStr">
        <is>
          <t>CONTEXT</t>
        </is>
      </c>
      <c r="P127" s="8" t="inlineStr">
        <is>
          <t>layer</t>
        </is>
      </c>
      <c r="Q127" s="8" t="inlineStr">
        <is>
          <t>MVP</t>
        </is>
      </c>
      <c r="R127" s="8" t="inlineStr">
        <is>
          <t>A</t>
        </is>
      </c>
      <c r="S127" s="8" t="inlineStr">
        <is>
          <t>상</t>
        </is>
      </c>
      <c r="T127" s="8" t="inlineStr">
        <is>
          <t>SemanticLayer</t>
        </is>
      </c>
      <c r="U127" s="8" t="inlineStr">
        <is>
          <t>NORMALIZES</t>
        </is>
      </c>
      <c r="V127" s="8" t="inlineStr">
        <is>
          <t>GH-P106,GH-ESA,CS-BREWSTER23,CS-KIOUKIS25</t>
        </is>
      </c>
    </row>
    <row r="128" ht="42" customHeight="1">
      <c r="A128" s="8" t="inlineStr">
        <is>
          <t>TERM-127</t>
        </is>
      </c>
      <c r="B128" s="8" t="inlineStr">
        <is>
          <t>데이터·시맨틱·품질</t>
        </is>
      </c>
      <c r="C128" s="8" t="inlineStr">
        <is>
          <t>Data, Semantics &amp; Quality</t>
        </is>
      </c>
      <c r="D128" s="8" t="inlineStr">
        <is>
          <t>시맨틱 정규화</t>
        </is>
      </c>
      <c r="E128" s="8" t="inlineStr">
        <is>
          <t>Semantic Normalization</t>
        </is>
      </c>
      <c r="F128" s="8" t="inlineStr">
        <is>
          <t>규칙모델</t>
        </is>
      </c>
      <c r="G128" s="8" t="inlineStr">
        <is>
          <t>Ontology</t>
        </is>
      </c>
      <c r="H128" s="8" t="inlineStr">
        <is>
          <t>온톨로지</t>
        </is>
      </c>
      <c r="I128" s="8" t="n"/>
      <c r="J128" s="8" t="inlineStr">
        <is>
          <t>domain ontology</t>
        </is>
      </c>
      <c r="K128" s="8" t="inlineStr">
        <is>
          <t>KnowledgeModel</t>
        </is>
      </c>
      <c r="L128" s="8" t="inlineStr">
        <is>
          <t>클래스·속성·관계·제약조건을 정의하는 재사용 가능한 구조 규칙이다.</t>
        </is>
      </c>
      <c r="M128" s="8" t="inlineStr">
        <is>
          <t>실제 사건·수치 인스턴스 집합인 지식그래프와 구분한다.</t>
        </is>
      </c>
      <c r="N128" s="8" t="inlineStr">
        <is>
          <t>Knowledge Model</t>
        </is>
      </c>
      <c r="O128" s="8" t="inlineStr">
        <is>
          <t>CONTEXT</t>
        </is>
      </c>
      <c r="P128" s="8" t="inlineStr">
        <is>
          <t>schema</t>
        </is>
      </c>
      <c r="Q128" s="8" t="inlineStr">
        <is>
          <t>DAG constraint</t>
        </is>
      </c>
      <c r="R128" s="8" t="inlineStr">
        <is>
          <t>A</t>
        </is>
      </c>
      <c r="S128" s="8" t="inlineStr">
        <is>
          <t>상</t>
        </is>
      </c>
      <c r="T128" s="8" t="inlineStr">
        <is>
          <t>Ontology</t>
        </is>
      </c>
      <c r="U128" s="8" t="inlineStr">
        <is>
          <t>GOVERNS</t>
        </is>
      </c>
      <c r="V128" s="8" t="inlineStr">
        <is>
          <t>GH-P106,GH-ESA,CS-BREWSTER23,CS-KIOUKIS25</t>
        </is>
      </c>
    </row>
    <row r="129" ht="42" customHeight="1">
      <c r="A129" s="8" t="inlineStr">
        <is>
          <t>TERM-128</t>
        </is>
      </c>
      <c r="B129" s="8" t="inlineStr">
        <is>
          <t>데이터·시맨틱·품질</t>
        </is>
      </c>
      <c r="C129" s="8" t="inlineStr">
        <is>
          <t>Data, Semantics &amp; Quality</t>
        </is>
      </c>
      <c r="D129" s="8" t="inlineStr">
        <is>
          <t>시맨틱 정규화</t>
        </is>
      </c>
      <c r="E129" s="8" t="inlineStr">
        <is>
          <t>Semantic Normalization</t>
        </is>
      </c>
      <c r="F129" s="8" t="inlineStr">
        <is>
          <t>사실그래프</t>
        </is>
      </c>
      <c r="G129" s="8" t="inlineStr">
        <is>
          <t>Knowledge Graph</t>
        </is>
      </c>
      <c r="H129" s="8" t="inlineStr">
        <is>
          <t>지식그래프</t>
        </is>
      </c>
      <c r="I129" s="8" t="inlineStr">
        <is>
          <t>KG</t>
        </is>
      </c>
      <c r="J129" s="8" t="inlineStr">
        <is>
          <t>semantic graph</t>
        </is>
      </c>
      <c r="K129" s="8" t="inlineStr">
        <is>
          <t>KnowledgeStore</t>
        </is>
      </c>
      <c r="L129" s="8" t="inlineStr">
        <is>
          <t>온톨로지에 따라 구체 국가·사건·품목·수치를 노드와 관계로 실체화한 그래프다.</t>
        </is>
      </c>
      <c r="M129" s="8" t="inlineStr">
        <is>
          <t>온톨로지와 동일어로 사용하지 않는다.</t>
        </is>
      </c>
      <c r="N129" s="8" t="inlineStr">
        <is>
          <t>Knowledge Store</t>
        </is>
      </c>
      <c r="O129" s="8" t="inlineStr">
        <is>
          <t>CONTEXT</t>
        </is>
      </c>
      <c r="P129" s="8" t="inlineStr">
        <is>
          <t>graph</t>
        </is>
      </c>
      <c r="Q129" s="8" t="inlineStr">
        <is>
          <t>validated facts only</t>
        </is>
      </c>
      <c r="R129" s="8" t="inlineStr">
        <is>
          <t>A</t>
        </is>
      </c>
      <c r="S129" s="8" t="inlineStr">
        <is>
          <t>상</t>
        </is>
      </c>
      <c r="T129" s="8" t="inlineStr">
        <is>
          <t>KnowledgeGraph</t>
        </is>
      </c>
      <c r="U129" s="8" t="inlineStr">
        <is>
          <t>INSTANTIATES</t>
        </is>
      </c>
      <c r="V129" s="8" t="inlineStr">
        <is>
          <t>GH-P106,GH-ESA,CS-BREWSTER23,CS-KIOUKIS25</t>
        </is>
      </c>
    </row>
    <row r="130" ht="42" customHeight="1">
      <c r="A130" s="8" t="inlineStr">
        <is>
          <t>TERM-129</t>
        </is>
      </c>
      <c r="B130" s="8" t="inlineStr">
        <is>
          <t>데이터·시맨틱·품질</t>
        </is>
      </c>
      <c r="C130" s="8" t="inlineStr">
        <is>
          <t>Data, Semantics &amp; Quality</t>
        </is>
      </c>
      <c r="D130" s="8" t="inlineStr">
        <is>
          <t>시맨틱 정규화</t>
        </is>
      </c>
      <c r="E130" s="8" t="inlineStr">
        <is>
          <t>Semantic Normalization</t>
        </is>
      </c>
      <c r="F130" s="8" t="inlineStr">
        <is>
          <t>점진설계</t>
        </is>
      </c>
      <c r="G130" s="8" t="inlineStr">
        <is>
          <t>Minimum Viable Ontology</t>
        </is>
      </c>
      <c r="H130" s="8" t="inlineStr">
        <is>
          <t>최소 실행 온톨로지</t>
        </is>
      </c>
      <c r="I130" s="8" t="inlineStr">
        <is>
          <t>MVO</t>
        </is>
      </c>
      <c r="J130" s="8" t="inlineStr">
        <is>
          <t>minimum viable semantic model</t>
        </is>
      </c>
      <c r="K130" s="8" t="inlineStr">
        <is>
          <t>DesignPrinciple</t>
        </is>
      </c>
      <c r="L130" s="8" t="inlineStr">
        <is>
          <t>대두유 단일 파이프라인의 핵심 질의를 지원하는 최소 클래스·관계로 시작하는 원칙이다.</t>
        </is>
      </c>
      <c r="M130" s="8" t="inlineStr">
        <is>
          <t>전수 도메인을 한 번에 설계하지 않고 competency question을 기준으로 확장한다.</t>
        </is>
      </c>
      <c r="N130" s="8" t="inlineStr">
        <is>
          <t>Architecture</t>
        </is>
      </c>
      <c r="O130" s="8" t="inlineStr">
        <is>
          <t>CONTEXT</t>
        </is>
      </c>
      <c r="P130" s="8" t="inlineStr">
        <is>
          <t>principle</t>
        </is>
      </c>
      <c r="Q130" s="8" t="inlineStr">
        <is>
          <t>MVP</t>
        </is>
      </c>
      <c r="R130" s="8" t="inlineStr">
        <is>
          <t>A</t>
        </is>
      </c>
      <c r="S130" s="8" t="inlineStr">
        <is>
          <t>중</t>
        </is>
      </c>
      <c r="T130" s="8" t="inlineStr">
        <is>
          <t>DesignPrinciple</t>
        </is>
      </c>
      <c r="U130" s="8" t="inlineStr">
        <is>
          <t>GOVERNS</t>
        </is>
      </c>
      <c r="V130" s="8" t="inlineStr">
        <is>
          <t>GH-P106,GH-ESA,CS-BREWSTER23,CS-KIOUKIS25</t>
        </is>
      </c>
    </row>
    <row r="131" ht="42" customHeight="1">
      <c r="A131" s="8" t="inlineStr">
        <is>
          <t>TERM-130</t>
        </is>
      </c>
      <c r="B131" s="8" t="inlineStr">
        <is>
          <t>데이터·시맨틱·품질</t>
        </is>
      </c>
      <c r="C131" s="8" t="inlineStr">
        <is>
          <t>Data, Semantics &amp; Quality</t>
        </is>
      </c>
      <c r="D131" s="8" t="inlineStr">
        <is>
          <t>시맨틱 정규화</t>
        </is>
      </c>
      <c r="E131" s="8" t="inlineStr">
        <is>
          <t>Semantic Normalization</t>
        </is>
      </c>
      <c r="F131" s="8" t="inlineStr">
        <is>
          <t>단위표준</t>
        </is>
      </c>
      <c r="G131" s="8" t="inlineStr">
        <is>
          <t>QUDT</t>
        </is>
      </c>
      <c r="H131" s="8" t="inlineStr">
        <is>
          <t>수량·단위 온톨로지</t>
        </is>
      </c>
      <c r="I131" s="8" t="inlineStr">
        <is>
          <t>QUDT</t>
        </is>
      </c>
      <c r="J131" s="8" t="inlineStr">
        <is>
          <t>Quantities Units Dimensions and Data Types</t>
        </is>
      </c>
      <c r="K131" s="8" t="inlineStr">
        <is>
          <t>Standard</t>
        </is>
      </c>
      <c r="L131" s="8" t="inlineStr">
        <is>
          <t>수량종류와 단위를 표준 URI로 표현하는 체계다.</t>
        </is>
      </c>
      <c r="M131" s="8" t="inlineStr">
        <is>
          <t>원문 단위와 정규화 단위, 환산계수를 함께 보존한다.</t>
        </is>
      </c>
      <c r="N131" s="8" t="inlineStr">
        <is>
          <t>Measurement</t>
        </is>
      </c>
      <c r="O131" s="8" t="inlineStr">
        <is>
          <t>CONTEXT</t>
        </is>
      </c>
      <c r="P131" s="8" t="inlineStr">
        <is>
          <t>URI</t>
        </is>
      </c>
      <c r="Q131" s="8" t="inlineStr">
        <is>
          <t>필수 권장</t>
        </is>
      </c>
      <c r="R131" s="8" t="inlineStr">
        <is>
          <t>A</t>
        </is>
      </c>
      <c r="S131" s="8" t="inlineStr">
        <is>
          <t>상</t>
        </is>
      </c>
      <c r="T131" s="8" t="inlineStr">
        <is>
          <t>SemanticStandard</t>
        </is>
      </c>
      <c r="U131" s="8" t="inlineStr">
        <is>
          <t>STANDARDIZES</t>
        </is>
      </c>
      <c r="V131" s="8" t="inlineStr">
        <is>
          <t>GH-P106,GH-ESA,CS-BREWSTER23,CS-KIOUKIS25</t>
        </is>
      </c>
    </row>
    <row r="132" ht="42" customHeight="1">
      <c r="A132" s="8" t="inlineStr">
        <is>
          <t>TERM-131</t>
        </is>
      </c>
      <c r="B132" s="8" t="inlineStr">
        <is>
          <t>데이터·시맨틱·품질</t>
        </is>
      </c>
      <c r="C132" s="8" t="inlineStr">
        <is>
          <t>Data, Semantics &amp; Quality</t>
        </is>
      </c>
      <c r="D132" s="8" t="inlineStr">
        <is>
          <t>시맨틱 정규화</t>
        </is>
      </c>
      <c r="E132" s="8" t="inlineStr">
        <is>
          <t>Semantic Normalization</t>
        </is>
      </c>
      <c r="F132" s="8" t="inlineStr">
        <is>
          <t>연결데이터</t>
        </is>
      </c>
      <c r="G132" s="8" t="inlineStr">
        <is>
          <t>JSON-LD</t>
        </is>
      </c>
      <c r="H132" s="8" t="inlineStr">
        <is>
          <t>JSON 연결데이터</t>
        </is>
      </c>
      <c r="I132" s="8" t="inlineStr">
        <is>
          <t>JSON-LD</t>
        </is>
      </c>
      <c r="J132" s="8" t="inlineStr">
        <is>
          <t>JSON for Linked Data</t>
        </is>
      </c>
      <c r="K132" s="8" t="inlineStr">
        <is>
          <t>Serialization</t>
        </is>
      </c>
      <c r="L132" s="8" t="inlineStr">
        <is>
          <t>JSON 문서에 의미론적 컨텍스트와 URI를 부여하는 직렬화 형식이다.</t>
        </is>
      </c>
      <c r="M132" s="8" t="inlineStr">
        <is>
          <t>운영 JSON과 그래프 교환용 JSON-LD를 구분한다.</t>
        </is>
      </c>
      <c r="N132" s="8" t="inlineStr">
        <is>
          <t>Interoperability</t>
        </is>
      </c>
      <c r="O132" s="8" t="inlineStr">
        <is>
          <t>CONTEXT</t>
        </is>
      </c>
      <c r="P132" s="8" t="inlineStr">
        <is>
          <t>format</t>
        </is>
      </c>
      <c r="Q132" s="8" t="inlineStr">
        <is>
          <t>선택</t>
        </is>
      </c>
      <c r="R132" s="8" t="inlineStr">
        <is>
          <t>B</t>
        </is>
      </c>
      <c r="S132" s="8" t="inlineStr">
        <is>
          <t>상</t>
        </is>
      </c>
      <c r="T132" s="8" t="inlineStr">
        <is>
          <t>SerializationFormat</t>
        </is>
      </c>
      <c r="U132" s="8" t="inlineStr">
        <is>
          <t>SERIALIZES</t>
        </is>
      </c>
      <c r="V132" s="8" t="inlineStr">
        <is>
          <t>GH-P106,GH-ESA,CS-BREWSTER23,CS-KIOUKIS25</t>
        </is>
      </c>
    </row>
    <row r="133" ht="42" customHeight="1">
      <c r="A133" s="8" t="inlineStr">
        <is>
          <t>TERM-132</t>
        </is>
      </c>
      <c r="B133" s="8" t="inlineStr">
        <is>
          <t>데이터·시맨틱·품질</t>
        </is>
      </c>
      <c r="C133" s="8" t="inlineStr">
        <is>
          <t>Data, Semantics &amp; Quality</t>
        </is>
      </c>
      <c r="D133" s="8" t="inlineStr">
        <is>
          <t>인과·감성</t>
        </is>
      </c>
      <c r="E133" s="8" t="inlineStr">
        <is>
          <t>Causality &amp; Sentiment</t>
        </is>
      </c>
      <c r="F133" s="8" t="inlineStr">
        <is>
          <t>인과역할</t>
        </is>
      </c>
      <c r="G133" s="8" t="inlineStr">
        <is>
          <t>Cause</t>
        </is>
      </c>
      <c r="H133" s="8" t="inlineStr">
        <is>
          <t>원인</t>
        </is>
      </c>
      <c r="I133" s="8" t="n"/>
      <c r="J133" s="8" t="inlineStr">
        <is>
          <t>external driver</t>
        </is>
      </c>
      <c r="K133" s="8" t="inlineStr">
        <is>
          <t>CausalRole</t>
        </is>
      </c>
      <c r="L133" s="8" t="inlineStr">
        <is>
          <t>기후·정책·지정학 등 외생적 사건 또는 변화다.</t>
        </is>
      </c>
      <c r="M133" s="8" t="inlineStr">
        <is>
          <t>가격과 직접 연결하지 않고 시장 메커니즘을 거친다.</t>
        </is>
      </c>
      <c r="N133" s="8" t="inlineStr">
        <is>
          <t>Causal Graph</t>
        </is>
      </c>
      <c r="O133" s="8" t="inlineStr">
        <is>
          <t>CONTEXT</t>
        </is>
      </c>
      <c r="P133" s="8" t="inlineStr">
        <is>
          <t>node role</t>
        </is>
      </c>
      <c r="Q133" s="8" t="inlineStr">
        <is>
          <t>direct-to-price prohibited</t>
        </is>
      </c>
      <c r="R133" s="8" t="inlineStr">
        <is>
          <t>A</t>
        </is>
      </c>
      <c r="S133" s="8" t="inlineStr">
        <is>
          <t>상</t>
        </is>
      </c>
      <c r="T133" s="8" t="inlineStr">
        <is>
          <t>CauseNode</t>
        </is>
      </c>
      <c r="U133" s="8" t="inlineStr">
        <is>
          <t>CAUSES_MECHANISM</t>
        </is>
      </c>
      <c r="V133" s="8" t="inlineStr">
        <is>
          <t>GH-P105,GH-P106,GH-ESA,CS-WYREMBEK24</t>
        </is>
      </c>
    </row>
    <row r="134" ht="42" customHeight="1">
      <c r="A134" s="8" t="inlineStr">
        <is>
          <t>TERM-133</t>
        </is>
      </c>
      <c r="B134" s="8" t="inlineStr">
        <is>
          <t>데이터·시맨틱·품질</t>
        </is>
      </c>
      <c r="C134" s="8" t="inlineStr">
        <is>
          <t>Data, Semantics &amp; Quality</t>
        </is>
      </c>
      <c r="D134" s="8" t="inlineStr">
        <is>
          <t>인과·감성</t>
        </is>
      </c>
      <c r="E134" s="8" t="inlineStr">
        <is>
          <t>Causality &amp; Sentiment</t>
        </is>
      </c>
      <c r="F134" s="8" t="inlineStr">
        <is>
          <t>인과역할</t>
        </is>
      </c>
      <c r="G134" s="8" t="inlineStr">
        <is>
          <t>Market Mechanism</t>
        </is>
      </c>
      <c r="H134" s="8" t="inlineStr">
        <is>
          <t>시장 메커니즘</t>
        </is>
      </c>
      <c r="I134" s="8" t="n"/>
      <c r="J134" s="8" t="inlineStr">
        <is>
          <t>intermediate mechanism</t>
        </is>
      </c>
      <c r="K134" s="8" t="inlineStr">
        <is>
          <t>CausalRole</t>
        </is>
      </c>
      <c r="L134" s="8" t="inlineStr">
        <is>
          <t>원인이 수율·생산·재고·교역·운임·수요를 변화시키는 중간 경로다.</t>
        </is>
      </c>
      <c r="M134" s="8" t="inlineStr">
        <is>
          <t>물리·경제적 전달경로를 명시하며 추상어만 사용하지 않는다.</t>
        </is>
      </c>
      <c r="N134" s="8" t="inlineStr">
        <is>
          <t>Causal Graph</t>
        </is>
      </c>
      <c r="O134" s="8" t="inlineStr">
        <is>
          <t>CONTEXT</t>
        </is>
      </c>
      <c r="P134" s="8" t="inlineStr">
        <is>
          <t>node role</t>
        </is>
      </c>
      <c r="Q134" s="8" t="inlineStr">
        <is>
          <t>required</t>
        </is>
      </c>
      <c r="R134" s="8" t="inlineStr">
        <is>
          <t>A</t>
        </is>
      </c>
      <c r="S134" s="8" t="inlineStr">
        <is>
          <t>상</t>
        </is>
      </c>
      <c r="T134" s="8" t="inlineStr">
        <is>
          <t>MechanismNode</t>
        </is>
      </c>
      <c r="U134" s="8" t="inlineStr">
        <is>
          <t>MECHANISM_AFFECTS_OUTCOME</t>
        </is>
      </c>
      <c r="V134" s="8" t="inlineStr">
        <is>
          <t>GH-P105,GH-P106,GH-ESA,CS-WYREMBEK24</t>
        </is>
      </c>
    </row>
    <row r="135" ht="42" customHeight="1">
      <c r="A135" s="8" t="inlineStr">
        <is>
          <t>TERM-134</t>
        </is>
      </c>
      <c r="B135" s="8" t="inlineStr">
        <is>
          <t>데이터·시맨틱·품질</t>
        </is>
      </c>
      <c r="C135" s="8" t="inlineStr">
        <is>
          <t>Data, Semantics &amp; Quality</t>
        </is>
      </c>
      <c r="D135" s="8" t="inlineStr">
        <is>
          <t>인과·감성</t>
        </is>
      </c>
      <c r="E135" s="8" t="inlineStr">
        <is>
          <t>Causality &amp; Sentiment</t>
        </is>
      </c>
      <c r="F135" s="8" t="inlineStr">
        <is>
          <t>인과역할</t>
        </is>
      </c>
      <c r="G135" s="8" t="inlineStr">
        <is>
          <t>Outcome</t>
        </is>
      </c>
      <c r="H135" s="8" t="inlineStr">
        <is>
          <t>결과</t>
        </is>
      </c>
      <c r="I135" s="8" t="n"/>
      <c r="J135" s="8" t="inlineStr">
        <is>
          <t>price impact; supply-demand outcome</t>
        </is>
      </c>
      <c r="K135" s="8" t="inlineStr">
        <is>
          <t>CausalRole</t>
        </is>
      </c>
      <c r="L135" s="8" t="inlineStr">
        <is>
          <t>인과경로의 최종 관측 또는 전망 대상이다.</t>
        </is>
      </c>
      <c r="M135" s="8" t="inlineStr">
        <is>
          <t>가격·공급·수요 중 어떤 대상인지 명시한다.</t>
        </is>
      </c>
      <c r="N135" s="8" t="inlineStr">
        <is>
          <t>Causal Graph</t>
        </is>
      </c>
      <c r="O135" s="8" t="inlineStr">
        <is>
          <t>CONTEXT</t>
        </is>
      </c>
      <c r="P135" s="8" t="inlineStr">
        <is>
          <t>node role</t>
        </is>
      </c>
      <c r="Q135" s="8" t="inlineStr">
        <is>
          <t>required</t>
        </is>
      </c>
      <c r="R135" s="8" t="inlineStr">
        <is>
          <t>A</t>
        </is>
      </c>
      <c r="S135" s="8" t="inlineStr">
        <is>
          <t>상</t>
        </is>
      </c>
      <c r="T135" s="8" t="inlineStr">
        <is>
          <t>OutcomeNode</t>
        </is>
      </c>
      <c r="U135" s="8" t="inlineStr">
        <is>
          <t>RESULTS_IN</t>
        </is>
      </c>
      <c r="V135" s="8" t="inlineStr">
        <is>
          <t>GH-P105,GH-P106,GH-ESA,CS-WYREMBEK24</t>
        </is>
      </c>
    </row>
    <row r="136" ht="42" customHeight="1">
      <c r="A136" s="8" t="inlineStr">
        <is>
          <t>TERM-135</t>
        </is>
      </c>
      <c r="B136" s="8" t="inlineStr">
        <is>
          <t>데이터·시맨틱·품질</t>
        </is>
      </c>
      <c r="C136" s="8" t="inlineStr">
        <is>
          <t>Data, Semantics &amp; Quality</t>
        </is>
      </c>
      <c r="D136" s="8" t="inlineStr">
        <is>
          <t>인과·감성</t>
        </is>
      </c>
      <c r="E136" s="8" t="inlineStr">
        <is>
          <t>Causality &amp; Sentiment</t>
        </is>
      </c>
      <c r="F136" s="8" t="inlineStr">
        <is>
          <t>인과기록</t>
        </is>
      </c>
      <c r="G136" s="8" t="inlineStr">
        <is>
          <t>Causal Claim</t>
        </is>
      </c>
      <c r="H136" s="8" t="inlineStr">
        <is>
          <t>인과 주장</t>
        </is>
      </c>
      <c r="I136" s="8" t="n"/>
      <c r="J136" s="8" t="inlineStr">
        <is>
          <t>cause-mechanism-outcome claim</t>
        </is>
      </c>
      <c r="K136" s="8" t="inlineStr">
        <is>
          <t>Claim</t>
        </is>
      </c>
      <c r="L136" s="8" t="inlineStr">
        <is>
          <t>근거 구절이 지지하는 원인·메커니즘·결과의 하나의 검증 가능 주장이다.</t>
        </is>
      </c>
      <c r="M136" s="8" t="inlineStr">
        <is>
          <t>문서 명시와 분석자 추론을 구분하고 신뢰도·근거를 저장한다.</t>
        </is>
      </c>
      <c r="N136" s="8" t="inlineStr">
        <is>
          <t>Causal Graph</t>
        </is>
      </c>
      <c r="O136" s="8" t="inlineStr">
        <is>
          <t>CONTEXT</t>
        </is>
      </c>
      <c r="P136" s="8" t="inlineStr">
        <is>
          <t>record</t>
        </is>
      </c>
      <c r="Q136" s="8" t="inlineStr">
        <is>
          <t>evidence required</t>
        </is>
      </c>
      <c r="R136" s="8" t="inlineStr">
        <is>
          <t>A</t>
        </is>
      </c>
      <c r="S136" s="8" t="inlineStr">
        <is>
          <t>상</t>
        </is>
      </c>
      <c r="T136" s="8" t="inlineStr">
        <is>
          <t>CausalClaim</t>
        </is>
      </c>
      <c r="U136" s="8" t="inlineStr">
        <is>
          <t>SUPPORTED_BY</t>
        </is>
      </c>
      <c r="V136" s="8" t="inlineStr">
        <is>
          <t>GH-P105,GH-P106,GH-ESA,CS-WYREMBEK24</t>
        </is>
      </c>
    </row>
    <row r="137" ht="42" customHeight="1">
      <c r="A137" s="8" t="inlineStr">
        <is>
          <t>TERM-136</t>
        </is>
      </c>
      <c r="B137" s="8" t="inlineStr">
        <is>
          <t>데이터·시맨틱·품질</t>
        </is>
      </c>
      <c r="C137" s="8" t="inlineStr">
        <is>
          <t>Data, Semantics &amp; Quality</t>
        </is>
      </c>
      <c r="D137" s="8" t="inlineStr">
        <is>
          <t>인과·감성</t>
        </is>
      </c>
      <c r="E137" s="8" t="inlineStr">
        <is>
          <t>Causality &amp; Sentiment</t>
        </is>
      </c>
      <c r="F137" s="8" t="inlineStr">
        <is>
          <t>관계</t>
        </is>
      </c>
      <c r="G137" s="8" t="inlineStr">
        <is>
          <t>Causal Edge</t>
        </is>
      </c>
      <c r="H137" s="8" t="inlineStr">
        <is>
          <t>인과 엣지</t>
        </is>
      </c>
      <c r="I137" s="8" t="n"/>
      <c r="J137" s="8" t="inlineStr">
        <is>
          <t>directed causal relation</t>
        </is>
      </c>
      <c r="K137" s="8" t="inlineStr">
        <is>
          <t>Relation</t>
        </is>
      </c>
      <c r="L137" s="8" t="inlineStr">
        <is>
          <t>인과 그래프에서 두 노드 사이의 방향성 관계다.</t>
        </is>
      </c>
      <c r="M137" s="8" t="inlineStr">
        <is>
          <t>Cause→Price 직접 엣지는 금지하고 DAG 순환 여부를 검증한다.</t>
        </is>
      </c>
      <c r="N137" s="8" t="inlineStr">
        <is>
          <t>Causal Graph</t>
        </is>
      </c>
      <c r="O137" s="8" t="inlineStr">
        <is>
          <t>CONTEXT</t>
        </is>
      </c>
      <c r="P137" s="8" t="inlineStr">
        <is>
          <t>edge</t>
        </is>
      </c>
      <c r="Q137" s="8" t="inlineStr">
        <is>
          <t>DAG only</t>
        </is>
      </c>
      <c r="R137" s="8" t="inlineStr">
        <is>
          <t>A</t>
        </is>
      </c>
      <c r="S137" s="8" t="inlineStr">
        <is>
          <t>상</t>
        </is>
      </c>
      <c r="T137" s="8" t="inlineStr">
        <is>
          <t>CausalEdge</t>
        </is>
      </c>
      <c r="U137" s="8" t="inlineStr">
        <is>
          <t>CONNECTS</t>
        </is>
      </c>
      <c r="V137" s="8" t="inlineStr">
        <is>
          <t>GH-P105,GH-P106,GH-ESA,CS-WYREMBEK24</t>
        </is>
      </c>
    </row>
    <row r="138" ht="42" customHeight="1">
      <c r="A138" s="8" t="inlineStr">
        <is>
          <t>TERM-137</t>
        </is>
      </c>
      <c r="B138" s="8" t="inlineStr">
        <is>
          <t>데이터·시맨틱·품질</t>
        </is>
      </c>
      <c r="C138" s="8" t="inlineStr">
        <is>
          <t>Data, Semantics &amp; Quality</t>
        </is>
      </c>
      <c r="D138" s="8" t="inlineStr">
        <is>
          <t>인과·감성</t>
        </is>
      </c>
      <c r="E138" s="8" t="inlineStr">
        <is>
          <t>Causality &amp; Sentiment</t>
        </is>
      </c>
      <c r="F138" s="8" t="inlineStr">
        <is>
          <t>분석단위</t>
        </is>
      </c>
      <c r="G138" s="8" t="inlineStr">
        <is>
          <t>Aspect</t>
        </is>
      </c>
      <c r="H138" s="8" t="inlineStr">
        <is>
          <t>관점·속성 단위</t>
        </is>
      </c>
      <c r="I138" s="8" t="n"/>
      <c r="J138" s="8" t="inlineStr">
        <is>
          <t>sentiment aspect; domain aspect</t>
        </is>
      </c>
      <c r="K138" s="8" t="inlineStr">
        <is>
          <t>SemanticCategory</t>
        </is>
      </c>
      <c r="L138" s="8" t="inlineStr">
        <is>
          <t>Tax·Tariff·Mandate·Logistics처럼 감성·영향을 분리 평가하는 대상 차원이다.</t>
        </is>
      </c>
      <c r="M138" s="8" t="inlineStr">
        <is>
          <t>문서 전체 감성 대신 aspect별 방향을 기록한다.</t>
        </is>
      </c>
      <c r="N138" s="8" t="inlineStr">
        <is>
          <t>Sentiment</t>
        </is>
      </c>
      <c r="O138" s="8" t="inlineStr">
        <is>
          <t>CONTEXT</t>
        </is>
      </c>
      <c r="P138" s="8" t="inlineStr">
        <is>
          <t>category</t>
        </is>
      </c>
      <c r="Q138" s="8" t="inlineStr">
        <is>
          <t>tracked list</t>
        </is>
      </c>
      <c r="R138" s="8" t="inlineStr">
        <is>
          <t>A</t>
        </is>
      </c>
      <c r="S138" s="8" t="inlineStr">
        <is>
          <t>상</t>
        </is>
      </c>
      <c r="T138" s="8" t="inlineStr">
        <is>
          <t>Aspect</t>
        </is>
      </c>
      <c r="U138" s="8" t="inlineStr">
        <is>
          <t>CLASSIFIES</t>
        </is>
      </c>
      <c r="V138" s="8" t="inlineStr">
        <is>
          <t>GH-P105,GH-P106,GH-ESA,CS-WYREMBEK24</t>
        </is>
      </c>
    </row>
    <row r="139" ht="42" customHeight="1">
      <c r="A139" s="8" t="inlineStr">
        <is>
          <t>TERM-138</t>
        </is>
      </c>
      <c r="B139" s="8" t="inlineStr">
        <is>
          <t>데이터·시맨틱·품질</t>
        </is>
      </c>
      <c r="C139" s="8" t="inlineStr">
        <is>
          <t>Data, Semantics &amp; Quality</t>
        </is>
      </c>
      <c r="D139" s="8" t="inlineStr">
        <is>
          <t>인과·감성</t>
        </is>
      </c>
      <c r="E139" s="8" t="inlineStr">
        <is>
          <t>Causality &amp; Sentiment</t>
        </is>
      </c>
      <c r="F139" s="8" t="inlineStr">
        <is>
          <t>방법</t>
        </is>
      </c>
      <c r="G139" s="8" t="inlineStr">
        <is>
          <t>Aspect-Based Sentiment Analysis</t>
        </is>
      </c>
      <c r="H139" s="8" t="inlineStr">
        <is>
          <t>관점 기반 감성분석</t>
        </is>
      </c>
      <c r="I139" s="8" t="inlineStr">
        <is>
          <t>ABSA</t>
        </is>
      </c>
      <c r="J139" s="8" t="inlineStr">
        <is>
          <t>aspect sentiment</t>
        </is>
      </c>
      <c r="K139" s="8" t="inlineStr">
        <is>
          <t>Method</t>
        </is>
      </c>
      <c r="L139" s="8" t="inlineStr">
        <is>
          <t>문서에서 대상 관점별 극성과 강도를 추출하는 방법이다.</t>
        </is>
      </c>
      <c r="M139" s="8" t="inlineStr">
        <is>
          <t>같은 문서의 상충 신호를 평균해 중립으로 지우지 않는다.</t>
        </is>
      </c>
      <c r="N139" s="8" t="inlineStr">
        <is>
          <t>Sentiment</t>
        </is>
      </c>
      <c r="O139" s="8" t="inlineStr">
        <is>
          <t>CONTEXT</t>
        </is>
      </c>
      <c r="P139" s="8" t="inlineStr">
        <is>
          <t>method</t>
        </is>
      </c>
      <c r="Q139" s="8" t="inlineStr">
        <is>
          <t>P1-05 pipeline</t>
        </is>
      </c>
      <c r="R139" s="8" t="inlineStr">
        <is>
          <t>A</t>
        </is>
      </c>
      <c r="S139" s="8" t="inlineStr">
        <is>
          <t>상</t>
        </is>
      </c>
      <c r="T139" s="8" t="inlineStr">
        <is>
          <t>AnalysisMethod</t>
        </is>
      </c>
      <c r="U139" s="8" t="inlineStr">
        <is>
          <t>GENERATES</t>
        </is>
      </c>
      <c r="V139" s="8" t="inlineStr">
        <is>
          <t>GH-P105,GH-P106,GH-ESA,CS-WYREMBEK24</t>
        </is>
      </c>
    </row>
    <row r="140" ht="42" customHeight="1">
      <c r="A140" s="8" t="inlineStr">
        <is>
          <t>TERM-139</t>
        </is>
      </c>
      <c r="B140" s="8" t="inlineStr">
        <is>
          <t>데이터·시맨틱·품질</t>
        </is>
      </c>
      <c r="C140" s="8" t="inlineStr">
        <is>
          <t>Data, Semantics &amp; Quality</t>
        </is>
      </c>
      <c r="D140" s="8" t="inlineStr">
        <is>
          <t>인과·감성</t>
        </is>
      </c>
      <c r="E140" s="8" t="inlineStr">
        <is>
          <t>Causality &amp; Sentiment</t>
        </is>
      </c>
      <c r="F140" s="8" t="inlineStr">
        <is>
          <t>점수</t>
        </is>
      </c>
      <c r="G140" s="8" t="inlineStr">
        <is>
          <t>Sentiment Score</t>
        </is>
      </c>
      <c r="H140" s="8" t="inlineStr">
        <is>
          <t>가격방향 감성점수</t>
        </is>
      </c>
      <c r="I140" s="8" t="inlineStr">
        <is>
          <t>S</t>
        </is>
      </c>
      <c r="J140" s="8" t="inlineStr">
        <is>
          <t>polarity score</t>
        </is>
      </c>
      <c r="K140" s="8" t="inlineStr">
        <is>
          <t>Metric</t>
        </is>
      </c>
      <c r="L140" s="8" t="inlineStr">
        <is>
          <t>P1-05가 aspect별 대두유 가격 방향과 강도를 -1~+1로 나타낸 값이다.</t>
        </is>
      </c>
      <c r="M140" s="8" t="inlineStr">
        <is>
          <t>+1은 가격 상방, -1은 가격 하방이다. 공급에 대한 긍정/부정과 다르다.</t>
        </is>
      </c>
      <c r="N140" s="8" t="inlineStr">
        <is>
          <t>Price</t>
        </is>
      </c>
      <c r="O140" s="8" t="inlineStr">
        <is>
          <t>CONTEXT</t>
        </is>
      </c>
      <c r="P140" s="8" t="inlineStr">
        <is>
          <t>[-1,1]</t>
        </is>
      </c>
      <c r="Q140" s="8" t="inlineStr">
        <is>
          <t>clamp required</t>
        </is>
      </c>
      <c r="R140" s="8" t="inlineStr">
        <is>
          <t>A</t>
        </is>
      </c>
      <c r="S140" s="8" t="inlineStr">
        <is>
          <t>상</t>
        </is>
      </c>
      <c r="T140" s="8" t="inlineStr">
        <is>
          <t>SentimentMetric</t>
        </is>
      </c>
      <c r="U140" s="8" t="inlineStr">
        <is>
          <t>MEASURED_BY</t>
        </is>
      </c>
      <c r="V140" s="8" t="inlineStr">
        <is>
          <t>GH-P105,GH-P106,GH-ESA,CS-WYREMBEK24</t>
        </is>
      </c>
    </row>
    <row r="141" ht="42" customHeight="1">
      <c r="A141" s="8" t="inlineStr">
        <is>
          <t>TERM-140</t>
        </is>
      </c>
      <c r="B141" s="8" t="inlineStr">
        <is>
          <t>데이터·시맨틱·품질</t>
        </is>
      </c>
      <c r="C141" s="8" t="inlineStr">
        <is>
          <t>Data, Semantics &amp; Quality</t>
        </is>
      </c>
      <c r="D141" s="8" t="inlineStr">
        <is>
          <t>인과·감성</t>
        </is>
      </c>
      <c r="E141" s="8" t="inlineStr">
        <is>
          <t>Causality &amp; Sentiment</t>
        </is>
      </c>
      <c r="F141" s="8" t="inlineStr">
        <is>
          <t>점수</t>
        </is>
      </c>
      <c r="G141" s="8" t="inlineStr">
        <is>
          <t>Confidence Score</t>
        </is>
      </c>
      <c r="H141" s="8" t="inlineStr">
        <is>
          <t>신뢰도 점수</t>
        </is>
      </c>
      <c r="I141" s="8" t="inlineStr">
        <is>
          <t>C</t>
        </is>
      </c>
      <c r="J141" s="8" t="inlineStr">
        <is>
          <t>confidence</t>
        </is>
      </c>
      <c r="K141" s="8" t="inlineStr">
        <is>
          <t>Metric</t>
        </is>
      </c>
      <c r="L141" s="8" t="inlineStr">
        <is>
          <t>출처 신뢰도·명시성·시의성을 종합한 0~1 점수다.</t>
        </is>
      </c>
      <c r="M141" s="8" t="inlineStr">
        <is>
          <t>모델 확률과 동일하다고 가정하지 않고 산정 기준을 버전 관리한다.</t>
        </is>
      </c>
      <c r="N141" s="8" t="inlineStr">
        <is>
          <t>Quality</t>
        </is>
      </c>
      <c r="O141" s="8" t="inlineStr">
        <is>
          <t>CONTEXT</t>
        </is>
      </c>
      <c r="P141" s="8" t="inlineStr">
        <is>
          <t>[0,1]</t>
        </is>
      </c>
      <c r="Q141" s="8" t="inlineStr">
        <is>
          <t>required</t>
        </is>
      </c>
      <c r="R141" s="8" t="inlineStr">
        <is>
          <t>A</t>
        </is>
      </c>
      <c r="S141" s="8" t="inlineStr">
        <is>
          <t>상</t>
        </is>
      </c>
      <c r="T141" s="8" t="inlineStr">
        <is>
          <t>ConfidenceMetric</t>
        </is>
      </c>
      <c r="U141" s="8" t="inlineStr">
        <is>
          <t>MEASURED_BY</t>
        </is>
      </c>
      <c r="V141" s="8" t="inlineStr">
        <is>
          <t>GH-P105,GH-P106,GH-ESA,CS-WYREMBEK24</t>
        </is>
      </c>
    </row>
    <row r="142" ht="42" customHeight="1">
      <c r="A142" s="8" t="inlineStr">
        <is>
          <t>TERM-141</t>
        </is>
      </c>
      <c r="B142" s="8" t="inlineStr">
        <is>
          <t>데이터·시맨틱·품질</t>
        </is>
      </c>
      <c r="C142" s="8" t="inlineStr">
        <is>
          <t>Data, Semantics &amp; Quality</t>
        </is>
      </c>
      <c r="D142" s="8" t="inlineStr">
        <is>
          <t>추출·검증</t>
        </is>
      </c>
      <c r="E142" s="8" t="inlineStr">
        <is>
          <t>Extraction &amp; Validation</t>
        </is>
      </c>
      <c r="F142" s="8" t="inlineStr">
        <is>
          <t>구조화</t>
        </is>
      </c>
      <c r="G142" s="8" t="inlineStr">
        <is>
          <t>Structured Outputs</t>
        </is>
      </c>
      <c r="H142" s="8" t="inlineStr">
        <is>
          <t>구조화 출력</t>
        </is>
      </c>
      <c r="I142" s="8" t="n"/>
      <c r="J142" s="8" t="inlineStr">
        <is>
          <t>schema-constrained output</t>
        </is>
      </c>
      <c r="K142" s="8" t="inlineStr">
        <is>
          <t>Capability</t>
        </is>
      </c>
      <c r="L142" s="8" t="inlineStr">
        <is>
          <t>모델 출력을 정의된 JSON Schema에 맞도록 제한하는 방식이다.</t>
        </is>
      </c>
      <c r="M142" s="8" t="inlineStr">
        <is>
          <t>스키마 적합성은 의미 정확성을 보장하지 않으므로 별도 eval과 근거 검증이 필요하다.</t>
        </is>
      </c>
      <c r="N142" s="8" t="inlineStr">
        <is>
          <t>Extraction</t>
        </is>
      </c>
      <c r="O142" s="8" t="inlineStr">
        <is>
          <t>CONTEXT</t>
        </is>
      </c>
      <c r="P142" s="8" t="inlineStr">
        <is>
          <t>JSON</t>
        </is>
      </c>
      <c r="Q142" s="8" t="inlineStr">
        <is>
          <t>schema required</t>
        </is>
      </c>
      <c r="R142" s="8" t="inlineStr">
        <is>
          <t>A</t>
        </is>
      </c>
      <c r="S142" s="8" t="inlineStr">
        <is>
          <t>상</t>
        </is>
      </c>
      <c r="T142" s="8" t="inlineStr">
        <is>
          <t>ExtractionCapability</t>
        </is>
      </c>
      <c r="U142" s="8" t="inlineStr">
        <is>
          <t>CONFORMS_TO</t>
        </is>
      </c>
      <c r="V142" s="8" t="inlineStr">
        <is>
          <t>GH-C04,GH-C08,OA-SO,OA-EVAL</t>
        </is>
      </c>
    </row>
    <row r="143" ht="42" customHeight="1">
      <c r="A143" s="8" t="inlineStr">
        <is>
          <t>TERM-142</t>
        </is>
      </c>
      <c r="B143" s="8" t="inlineStr">
        <is>
          <t>데이터·시맨틱·품질</t>
        </is>
      </c>
      <c r="C143" s="8" t="inlineStr">
        <is>
          <t>Data, Semantics &amp; Quality</t>
        </is>
      </c>
      <c r="D143" s="8" t="inlineStr">
        <is>
          <t>추출·검증</t>
        </is>
      </c>
      <c r="E143" s="8" t="inlineStr">
        <is>
          <t>Extraction &amp; Validation</t>
        </is>
      </c>
      <c r="F143" s="8" t="inlineStr">
        <is>
          <t>스키마</t>
        </is>
      </c>
      <c r="G143" s="8" t="inlineStr">
        <is>
          <t>JSON Schema</t>
        </is>
      </c>
      <c r="H143" s="8" t="inlineStr">
        <is>
          <t>JSON 스키마</t>
        </is>
      </c>
      <c r="I143" s="8" t="n"/>
      <c r="J143" s="8" t="inlineStr">
        <is>
          <t>structured output schema</t>
        </is>
      </c>
      <c r="K143" s="8" t="inlineStr">
        <is>
          <t>Standard</t>
        </is>
      </c>
      <c r="L143" s="8" t="inlineStr">
        <is>
          <t>필드·자료형·필수값·열거형 제약을 정의하는 스키마다.</t>
        </is>
      </c>
      <c r="M143" s="8" t="inlineStr">
        <is>
          <t>버전과 required/enum 범위를 고정하고 변경 시 schema drift를 기록한다.</t>
        </is>
      </c>
      <c r="N143" s="8" t="inlineStr">
        <is>
          <t>Validation</t>
        </is>
      </c>
      <c r="O143" s="8" t="inlineStr">
        <is>
          <t>CONTEXT</t>
        </is>
      </c>
      <c r="P143" s="8" t="inlineStr">
        <is>
          <t>schema</t>
        </is>
      </c>
      <c r="Q143" s="8" t="inlineStr">
        <is>
          <t>versioned</t>
        </is>
      </c>
      <c r="R143" s="8" t="inlineStr">
        <is>
          <t>A</t>
        </is>
      </c>
      <c r="S143" s="8" t="inlineStr">
        <is>
          <t>상</t>
        </is>
      </c>
      <c r="T143" s="8" t="inlineStr">
        <is>
          <t>Schema</t>
        </is>
      </c>
      <c r="U143" s="8" t="inlineStr">
        <is>
          <t>VALIDATES</t>
        </is>
      </c>
      <c r="V143" s="8" t="inlineStr">
        <is>
          <t>GH-C04,GH-C08,OA-SO,OA-EVAL</t>
        </is>
      </c>
    </row>
    <row r="144" ht="42" customHeight="1">
      <c r="A144" s="8" t="inlineStr">
        <is>
          <t>TERM-143</t>
        </is>
      </c>
      <c r="B144" s="8" t="inlineStr">
        <is>
          <t>데이터·시맨틱·품질</t>
        </is>
      </c>
      <c r="C144" s="8" t="inlineStr">
        <is>
          <t>Data, Semantics &amp; Quality</t>
        </is>
      </c>
      <c r="D144" s="8" t="inlineStr">
        <is>
          <t>추출·검증</t>
        </is>
      </c>
      <c r="E144" s="8" t="inlineStr">
        <is>
          <t>Extraction &amp; Validation</t>
        </is>
      </c>
      <c r="F144" s="8" t="inlineStr">
        <is>
          <t>평가</t>
        </is>
      </c>
      <c r="G144" s="8" t="inlineStr">
        <is>
          <t>Evaluation</t>
        </is>
      </c>
      <c r="H144" s="8" t="inlineStr">
        <is>
          <t>평가</t>
        </is>
      </c>
      <c r="I144" s="8" t="inlineStr">
        <is>
          <t>Eval</t>
        </is>
      </c>
      <c r="J144" s="8" t="inlineStr">
        <is>
          <t>model eval; extraction eval</t>
        </is>
      </c>
      <c r="K144" s="8" t="inlineStr">
        <is>
          <t>QualityProcess</t>
        </is>
      </c>
      <c r="L144" s="8" t="inlineStr">
        <is>
          <t>대표 테스트 데이터와 판정 기준으로 추출·분류 성능을 검증하는 절차다.</t>
        </is>
      </c>
      <c r="M144" s="8" t="inlineStr">
        <is>
          <t>스키마 유효성 외에 엔터티·관계·방향·근거 페이지 정확도를 인간 정답과 비교한다.</t>
        </is>
      </c>
      <c r="N144" s="8" t="inlineStr">
        <is>
          <t>Quality</t>
        </is>
      </c>
      <c r="O144" s="8" t="inlineStr">
        <is>
          <t>CONTEXT</t>
        </is>
      </c>
      <c r="P144" s="8" t="inlineStr">
        <is>
          <t>score</t>
        </is>
      </c>
      <c r="Q144" s="8" t="inlineStr">
        <is>
          <t>representative test set</t>
        </is>
      </c>
      <c r="R144" s="8" t="inlineStr">
        <is>
          <t>A</t>
        </is>
      </c>
      <c r="S144" s="8" t="inlineStr">
        <is>
          <t>중</t>
        </is>
      </c>
      <c r="T144" s="8" t="inlineStr">
        <is>
          <t>Evaluation</t>
        </is>
      </c>
      <c r="U144" s="8" t="inlineStr">
        <is>
          <t>VALIDATES</t>
        </is>
      </c>
      <c r="V144" s="8" t="inlineStr">
        <is>
          <t>GH-C04,GH-C08,OA-SO,OA-EVAL</t>
        </is>
      </c>
    </row>
    <row r="145" ht="42" customHeight="1">
      <c r="A145" s="8" t="inlineStr">
        <is>
          <t>TERM-144</t>
        </is>
      </c>
      <c r="B145" s="8" t="inlineStr">
        <is>
          <t>데이터·시맨틱·품질</t>
        </is>
      </c>
      <c r="C145" s="8" t="inlineStr">
        <is>
          <t>Data, Semantics &amp; Quality</t>
        </is>
      </c>
      <c r="D145" s="8" t="inlineStr">
        <is>
          <t>추출·검증</t>
        </is>
      </c>
      <c r="E145" s="8" t="inlineStr">
        <is>
          <t>Extraction &amp; Validation</t>
        </is>
      </c>
      <c r="F145" s="8" t="inlineStr">
        <is>
          <t>정답</t>
        </is>
      </c>
      <c r="G145" s="8" t="inlineStr">
        <is>
          <t>Ground Truth</t>
        </is>
      </c>
      <c r="H145" s="8" t="inlineStr">
        <is>
          <t>정답 라벨</t>
        </is>
      </c>
      <c r="I145" s="8" t="n"/>
      <c r="J145" s="8" t="inlineStr">
        <is>
          <t>human-labeled reference</t>
        </is>
      </c>
      <c r="K145" s="8" t="inlineStr">
        <is>
          <t>QualityArtifact</t>
        </is>
      </c>
      <c r="L145" s="8" t="inlineStr">
        <is>
          <t>평가에서 모델 출력과 비교하는 인간 검증 기준이다.</t>
        </is>
      </c>
      <c r="M145" s="8" t="inlineStr">
        <is>
          <t>문서·페이지·판정자·버전을 보존한다.</t>
        </is>
      </c>
      <c r="N145" s="8" t="inlineStr">
        <is>
          <t>Quality</t>
        </is>
      </c>
      <c r="O145" s="8" t="inlineStr">
        <is>
          <t>CONTEXT</t>
        </is>
      </c>
      <c r="P145" s="8" t="inlineStr">
        <is>
          <t>label</t>
        </is>
      </c>
      <c r="Q145" s="8" t="inlineStr">
        <is>
          <t>required for eval</t>
        </is>
      </c>
      <c r="R145" s="8" t="inlineStr">
        <is>
          <t>A</t>
        </is>
      </c>
      <c r="S145" s="8" t="inlineStr">
        <is>
          <t>중</t>
        </is>
      </c>
      <c r="T145" s="8" t="inlineStr">
        <is>
          <t>GroundTruth</t>
        </is>
      </c>
      <c r="U145" s="8" t="inlineStr">
        <is>
          <t>VALIDATES</t>
        </is>
      </c>
      <c r="V145" s="8" t="inlineStr">
        <is>
          <t>GH-C04,GH-C08,OA-SO,OA-EVAL</t>
        </is>
      </c>
    </row>
    <row r="146" ht="42" customHeight="1">
      <c r="A146" s="8" t="inlineStr">
        <is>
          <t>TERM-145</t>
        </is>
      </c>
      <c r="B146" s="8" t="inlineStr">
        <is>
          <t>데이터·시맨틱·품질</t>
        </is>
      </c>
      <c r="C146" s="8" t="inlineStr">
        <is>
          <t>Data, Semantics &amp; Quality</t>
        </is>
      </c>
      <c r="D146" s="8" t="inlineStr">
        <is>
          <t>추출·검증</t>
        </is>
      </c>
      <c r="E146" s="8" t="inlineStr">
        <is>
          <t>Extraction &amp; Validation</t>
        </is>
      </c>
      <c r="F146" s="8" t="inlineStr">
        <is>
          <t>추출품질</t>
        </is>
      </c>
      <c r="G146" s="8" t="inlineStr">
        <is>
          <t>Extraction Confidence</t>
        </is>
      </c>
      <c r="H146" s="8" t="inlineStr">
        <is>
          <t>추출 신뢰도</t>
        </is>
      </c>
      <c r="I146" s="8" t="n"/>
      <c r="J146" s="8" t="inlineStr">
        <is>
          <t>OCR confidence; table confidence</t>
        </is>
      </c>
      <c r="K146" s="8" t="inlineStr">
        <is>
          <t>Metric</t>
        </is>
      </c>
      <c r="L146" s="8" t="inlineStr">
        <is>
          <t>텍스트·표·레이아웃 추출의 기술적 신뢰도다.</t>
        </is>
      </c>
      <c r="M146" s="8" t="inlineStr">
        <is>
          <t>의미 해석 신뢰도와 구분한다.</t>
        </is>
      </c>
      <c r="N146" s="8" t="inlineStr">
        <is>
          <t>Extraction</t>
        </is>
      </c>
      <c r="O146" s="8" t="inlineStr">
        <is>
          <t>CONTEXT</t>
        </is>
      </c>
      <c r="P146" s="8" t="inlineStr">
        <is>
          <t>[0,1]</t>
        </is>
      </c>
      <c r="Q146" s="8" t="inlineStr">
        <is>
          <t>table &lt;0.85 fallback</t>
        </is>
      </c>
      <c r="R146" s="8" t="inlineStr">
        <is>
          <t>A</t>
        </is>
      </c>
      <c r="S146" s="8" t="inlineStr">
        <is>
          <t>상</t>
        </is>
      </c>
      <c r="T146" s="8" t="inlineStr">
        <is>
          <t>ConfidenceMetric</t>
        </is>
      </c>
      <c r="U146" s="8" t="inlineStr">
        <is>
          <t>MEASURED_BY</t>
        </is>
      </c>
      <c r="V146" s="8" t="inlineStr">
        <is>
          <t>GH-C04,GH-C08,OA-SO,OA-EVAL</t>
        </is>
      </c>
    </row>
    <row r="147" ht="42" customHeight="1">
      <c r="A147" s="8" t="inlineStr">
        <is>
          <t>TERM-146</t>
        </is>
      </c>
      <c r="B147" s="8" t="inlineStr">
        <is>
          <t>데이터·시맨틱·품질</t>
        </is>
      </c>
      <c r="C147" s="8" t="inlineStr">
        <is>
          <t>Data, Semantics &amp; Quality</t>
        </is>
      </c>
      <c r="D147" s="8" t="inlineStr">
        <is>
          <t>추출·검증</t>
        </is>
      </c>
      <c r="E147" s="8" t="inlineStr">
        <is>
          <t>Extraction &amp; Validation</t>
        </is>
      </c>
      <c r="F147" s="8" t="inlineStr">
        <is>
          <t>데이터품질</t>
        </is>
      </c>
      <c r="G147" s="8" t="inlineStr">
        <is>
          <t>Data Quality Score</t>
        </is>
      </c>
      <c r="H147" s="8" t="inlineStr">
        <is>
          <t>데이터 품질점수</t>
        </is>
      </c>
      <c r="I147" s="8" t="inlineStr">
        <is>
          <t>DQ Score</t>
        </is>
      </c>
      <c r="J147" s="8" t="inlineStr">
        <is>
          <t>DQSOps score</t>
        </is>
      </c>
      <c r="K147" s="8" t="inlineStr">
        <is>
          <t>Metric</t>
        </is>
      </c>
      <c r="L147" s="8" t="inlineStr">
        <is>
          <t>정확성·완전성·일관성·시의성·왜도를 가중합한 품질점수다.</t>
        </is>
      </c>
      <c r="M147" s="8" t="inlineStr">
        <is>
          <t>추출 의미 정확도와 동일하지 않으며 차원별 점수를 함께 본다.</t>
        </is>
      </c>
      <c r="N147" s="8" t="inlineStr">
        <is>
          <t>Quality</t>
        </is>
      </c>
      <c r="O147" s="8" t="inlineStr">
        <is>
          <t>CONTEXT</t>
        </is>
      </c>
      <c r="P147" s="8" t="inlineStr">
        <is>
          <t>[0,1]</t>
        </is>
      </c>
      <c r="Q147" s="8" t="inlineStr">
        <is>
          <t>PASS ≥0.70; WARNING 0.50-0.69; REJECT &lt;0.50</t>
        </is>
      </c>
      <c r="R147" s="8" t="inlineStr">
        <is>
          <t>A</t>
        </is>
      </c>
      <c r="S147" s="8" t="inlineStr">
        <is>
          <t>중</t>
        </is>
      </c>
      <c r="T147" s="8" t="inlineStr">
        <is>
          <t>QualityMetric</t>
        </is>
      </c>
      <c r="U147" s="8" t="inlineStr">
        <is>
          <t>MEASURED_BY</t>
        </is>
      </c>
      <c r="V147" s="8" t="inlineStr">
        <is>
          <t>GH-C04,GH-C08,OA-SO,OA-EVAL</t>
        </is>
      </c>
    </row>
    <row r="148" ht="42" customHeight="1">
      <c r="A148" s="8" t="inlineStr">
        <is>
          <t>TERM-147</t>
        </is>
      </c>
      <c r="B148" s="8" t="inlineStr">
        <is>
          <t>데이터·시맨틱·품질</t>
        </is>
      </c>
      <c r="C148" s="8" t="inlineStr">
        <is>
          <t>Data, Semantics &amp; Quality</t>
        </is>
      </c>
      <c r="D148" s="8" t="inlineStr">
        <is>
          <t>추출·검증</t>
        </is>
      </c>
      <c r="E148" s="8" t="inlineStr">
        <is>
          <t>Extraction &amp; Validation</t>
        </is>
      </c>
      <c r="F148" s="8" t="inlineStr">
        <is>
          <t>스키마오류</t>
        </is>
      </c>
      <c r="G148" s="8" t="inlineStr">
        <is>
          <t>Schema Drift</t>
        </is>
      </c>
      <c r="H148" s="8" t="inlineStr">
        <is>
          <t>스키마 드리프트</t>
        </is>
      </c>
      <c r="I148" s="8" t="n"/>
      <c r="J148" s="8" t="inlineStr">
        <is>
          <t>missing/renamed/type-changed field</t>
        </is>
      </c>
      <c r="K148" s="8" t="inlineStr">
        <is>
          <t>QualityAlert</t>
        </is>
      </c>
      <c r="L148" s="8" t="inlineStr">
        <is>
          <t>필수 필드·자료형·이름이 기준 스키마와 달라진 상태다.</t>
        </is>
      </c>
      <c r="M148" s="8" t="inlineStr">
        <is>
          <t>자동 보정하지 않고 적재를 차단하거나 경고한다.</t>
        </is>
      </c>
      <c r="N148" s="8" t="inlineStr">
        <is>
          <t>Quality</t>
        </is>
      </c>
      <c r="O148" s="8" t="inlineStr">
        <is>
          <t>CONTEXT</t>
        </is>
      </c>
      <c r="P148" s="8" t="inlineStr">
        <is>
          <t>alert</t>
        </is>
      </c>
      <c r="Q148" s="8" t="inlineStr">
        <is>
          <t>block on required-field breach</t>
        </is>
      </c>
      <c r="R148" s="8" t="inlineStr">
        <is>
          <t>A</t>
        </is>
      </c>
      <c r="S148" s="8" t="inlineStr">
        <is>
          <t>중</t>
        </is>
      </c>
      <c r="T148" s="8" t="inlineStr">
        <is>
          <t>QualityAlert</t>
        </is>
      </c>
      <c r="U148" s="8" t="inlineStr">
        <is>
          <t>DETECTS</t>
        </is>
      </c>
      <c r="V148" s="8" t="inlineStr">
        <is>
          <t>GH-C04,GH-C08,OA-SO,OA-EVAL</t>
        </is>
      </c>
    </row>
    <row r="149" ht="42" customHeight="1">
      <c r="A149" s="8" t="inlineStr">
        <is>
          <t>TERM-148</t>
        </is>
      </c>
      <c r="B149" s="8" t="inlineStr">
        <is>
          <t>데이터·시맨틱·품질</t>
        </is>
      </c>
      <c r="C149" s="8" t="inlineStr">
        <is>
          <t>Data, Semantics &amp; Quality</t>
        </is>
      </c>
      <c r="D149" s="8" t="inlineStr">
        <is>
          <t>추출·검증</t>
        </is>
      </c>
      <c r="E149" s="8" t="inlineStr">
        <is>
          <t>Extraction &amp; Validation</t>
        </is>
      </c>
      <c r="F149" s="8" t="inlineStr">
        <is>
          <t>시의성</t>
        </is>
      </c>
      <c r="G149" s="8" t="inlineStr">
        <is>
          <t>Stale Data</t>
        </is>
      </c>
      <c r="H149" s="8" t="inlineStr">
        <is>
          <t>오래된 데이터</t>
        </is>
      </c>
      <c r="I149" s="8" t="inlineStr">
        <is>
          <t>STALE</t>
        </is>
      </c>
      <c r="J149" s="8" t="inlineStr">
        <is>
          <t>freshness breach</t>
        </is>
      </c>
      <c r="K149" s="8" t="inlineStr">
        <is>
          <t>QualityAlert</t>
        </is>
      </c>
      <c r="L149" s="8" t="inlineStr">
        <is>
          <t>수집 시점이 허용 지연을 초과한 데이터다.</t>
        </is>
      </c>
      <c r="M149" s="8" t="inlineStr">
        <is>
          <t>발행일과 수집일을 구분하고 최신값처럼 사용하지 않는다.</t>
        </is>
      </c>
      <c r="N149" s="8" t="inlineStr">
        <is>
          <t>Quality</t>
        </is>
      </c>
      <c r="O149" s="8" t="inlineStr">
        <is>
          <t>CONTEXT</t>
        </is>
      </c>
      <c r="P149" s="8" t="inlineStr">
        <is>
          <t>business days</t>
        </is>
      </c>
      <c r="Q149" s="8" t="inlineStr">
        <is>
          <t>&gt;5 business days</t>
        </is>
      </c>
      <c r="R149" s="8" t="inlineStr">
        <is>
          <t>A</t>
        </is>
      </c>
      <c r="S149" s="8" t="inlineStr">
        <is>
          <t>중</t>
        </is>
      </c>
      <c r="T149" s="8" t="inlineStr">
        <is>
          <t>QualityAlert</t>
        </is>
      </c>
      <c r="U149" s="8" t="inlineStr">
        <is>
          <t>DETECTS</t>
        </is>
      </c>
      <c r="V149" s="8" t="inlineStr">
        <is>
          <t>GH-C04,GH-C08,OA-SO,OA-EVAL</t>
        </is>
      </c>
    </row>
    <row r="150" ht="42" customHeight="1">
      <c r="A150" s="8" t="inlineStr">
        <is>
          <t>TERM-149</t>
        </is>
      </c>
      <c r="B150" s="8" t="inlineStr">
        <is>
          <t>데이터·시맨틱·품질</t>
        </is>
      </c>
      <c r="C150" s="8" t="inlineStr">
        <is>
          <t>Data, Semantics &amp; Quality</t>
        </is>
      </c>
      <c r="D150" s="8" t="inlineStr">
        <is>
          <t>추출·검증</t>
        </is>
      </c>
      <c r="E150" s="8" t="inlineStr">
        <is>
          <t>Extraction &amp; Validation</t>
        </is>
      </c>
      <c r="F150" s="8" t="inlineStr">
        <is>
          <t>중복</t>
        </is>
      </c>
      <c r="G150" s="8" t="inlineStr">
        <is>
          <t>Deduplication Group</t>
        </is>
      </c>
      <c r="H150" s="8" t="inlineStr">
        <is>
          <t>중복제거 그룹</t>
        </is>
      </c>
      <c r="I150" s="8" t="n"/>
      <c r="J150" s="8" t="inlineStr">
        <is>
          <t>duplicate cluster</t>
        </is>
      </c>
      <c r="K150" s="8" t="inlineStr">
        <is>
          <t>Metadata</t>
        </is>
      </c>
      <c r="L150" s="8" t="inlineStr">
        <is>
          <t>동일 사건·수치·인과경로의 반복 언급을 하나로 묶는 식별자다.</t>
        </is>
      </c>
      <c r="M150" s="8" t="inlineStr">
        <is>
          <t>문서 반복 인용을 지표 수로 중복 집계하지 않는다.</t>
        </is>
      </c>
      <c r="N150" s="8" t="inlineStr">
        <is>
          <t>Quality</t>
        </is>
      </c>
      <c r="O150" s="8" t="inlineStr">
        <is>
          <t>CONTEXT</t>
        </is>
      </c>
      <c r="P150" s="8" t="inlineStr">
        <is>
          <t>group id</t>
        </is>
      </c>
      <c r="Q150" s="8" t="inlineStr">
        <is>
          <t>required for signal count</t>
        </is>
      </c>
      <c r="R150" s="8" t="inlineStr">
        <is>
          <t>A</t>
        </is>
      </c>
      <c r="S150" s="8" t="inlineStr">
        <is>
          <t>상</t>
        </is>
      </c>
      <c r="T150" s="8" t="inlineStr">
        <is>
          <t>DeduplicationGroup</t>
        </is>
      </c>
      <c r="U150" s="8" t="inlineStr">
        <is>
          <t>GROUPS</t>
        </is>
      </c>
      <c r="V150" s="8" t="inlineStr">
        <is>
          <t>GH-C04,GH-C08,OA-SO,OA-EVAL</t>
        </is>
      </c>
    </row>
    <row r="151" ht="42" customHeight="1">
      <c r="A151" s="8" t="inlineStr">
        <is>
          <t>TERM-150</t>
        </is>
      </c>
      <c r="B151" s="8" t="inlineStr">
        <is>
          <t>데이터·시맨틱·품질</t>
        </is>
      </c>
      <c r="C151" s="8" t="inlineStr">
        <is>
          <t>Data, Semantics &amp; Quality</t>
        </is>
      </c>
      <c r="D151" s="8" t="inlineStr">
        <is>
          <t>추출·검증</t>
        </is>
      </c>
      <c r="E151" s="8" t="inlineStr">
        <is>
          <t>Extraction &amp; Validation</t>
        </is>
      </c>
      <c r="F151" s="8" t="inlineStr">
        <is>
          <t>검토</t>
        </is>
      </c>
      <c r="G151" s="8" t="inlineStr">
        <is>
          <t>Human in the Loop</t>
        </is>
      </c>
      <c r="H151" s="8" t="inlineStr">
        <is>
          <t>인간 검토 게이트</t>
        </is>
      </c>
      <c r="I151" s="8" t="inlineStr">
        <is>
          <t>HITL</t>
        </is>
      </c>
      <c r="J151" s="8" t="inlineStr">
        <is>
          <t>human review</t>
        </is>
      </c>
      <c r="K151" s="8" t="inlineStr">
        <is>
          <t>GovernanceProcess</t>
        </is>
      </c>
      <c r="L151" s="8" t="inlineStr">
        <is>
          <t>AI 제안 후 도메인 전문가가 승인·수정·반려하는 통제 절차다.</t>
        </is>
      </c>
      <c r="M151" s="8" t="inlineStr">
        <is>
          <t>Buy/Hold와 신규 인과 엣지는 승인 전 확정 상태로 표시하지 않는다.</t>
        </is>
      </c>
      <c r="N151" s="8" t="inlineStr">
        <is>
          <t>Governance</t>
        </is>
      </c>
      <c r="O151" s="8" t="inlineStr">
        <is>
          <t>CONTEXT</t>
        </is>
      </c>
      <c r="P151" s="8" t="inlineStr">
        <is>
          <t>status</t>
        </is>
      </c>
      <c r="Q151" s="8" t="inlineStr">
        <is>
          <t>required</t>
        </is>
      </c>
      <c r="R151" s="8" t="inlineStr">
        <is>
          <t>A</t>
        </is>
      </c>
      <c r="S151" s="8" t="inlineStr">
        <is>
          <t>중</t>
        </is>
      </c>
      <c r="T151" s="8" t="inlineStr">
        <is>
          <t>ReviewProcess</t>
        </is>
      </c>
      <c r="U151" s="8" t="inlineStr">
        <is>
          <t>VALIDATED_BY</t>
        </is>
      </c>
      <c r="V151" s="8" t="inlineStr">
        <is>
          <t>GH-C04,GH-C08,OA-SO,OA-EVAL</t>
        </is>
      </c>
    </row>
    <row r="152" ht="42" customHeight="1">
      <c r="A152" s="8" t="inlineStr">
        <is>
          <t>TERM-151</t>
        </is>
      </c>
      <c r="B152" s="8" t="inlineStr">
        <is>
          <t>데이터·시맨틱·품질</t>
        </is>
      </c>
      <c r="C152" s="8" t="inlineStr">
        <is>
          <t>Data, Semantics &amp; Quality</t>
        </is>
      </c>
      <c r="D152" s="8" t="inlineStr">
        <is>
          <t>추출·검증</t>
        </is>
      </c>
      <c r="E152" s="8" t="inlineStr">
        <is>
          <t>Extraction &amp; Validation</t>
        </is>
      </c>
      <c r="F152" s="8" t="inlineStr">
        <is>
          <t>범위결정</t>
        </is>
      </c>
      <c r="G152" s="8" t="inlineStr">
        <is>
          <t>Decision D-021</t>
        </is>
      </c>
      <c r="H152" s="8" t="inlineStr">
        <is>
          <t>내부데이터 제외 결정</t>
        </is>
      </c>
      <c r="I152" s="8" t="inlineStr">
        <is>
          <t>D-021</t>
        </is>
      </c>
      <c r="J152" s="8" t="inlineStr">
        <is>
          <t>external-data-only rule</t>
        </is>
      </c>
      <c r="K152" s="8" t="inlineStr">
        <is>
          <t>GovernanceRule</t>
        </is>
      </c>
      <c r="L152" s="8" t="inlineStr">
        <is>
          <t>내부 ERP·S&amp;OP·조달원가를 학습·검증·피처에서 제외하는 프로젝트 결정이다.</t>
        </is>
      </c>
      <c r="M152" s="8" t="inlineStr">
        <is>
          <t>문서에 내부 도메인 예시가 있어도 분석 입력으로 사용하지 않는다.</t>
        </is>
      </c>
      <c r="N152" s="8" t="inlineStr">
        <is>
          <t>Governance</t>
        </is>
      </c>
      <c r="O152" s="8" t="inlineStr">
        <is>
          <t>CONTEXT</t>
        </is>
      </c>
      <c r="P152" s="8" t="inlineStr">
        <is>
          <t>rule</t>
        </is>
      </c>
      <c r="Q152" s="8" t="inlineStr">
        <is>
          <t>mandatory</t>
        </is>
      </c>
      <c r="R152" s="8" t="inlineStr">
        <is>
          <t>A</t>
        </is>
      </c>
      <c r="S152" s="8" t="inlineStr">
        <is>
          <t>상</t>
        </is>
      </c>
      <c r="T152" s="8" t="inlineStr">
        <is>
          <t>GovernanceRule</t>
        </is>
      </c>
      <c r="U152" s="8" t="inlineStr">
        <is>
          <t>GOVERNS</t>
        </is>
      </c>
      <c r="V152" s="8" t="inlineStr">
        <is>
          <t>GH-C04,GH-C08,OA-SO,OA-EVAL</t>
        </is>
      </c>
    </row>
    <row r="153" ht="42" customHeight="1">
      <c r="A153" s="8" t="inlineStr">
        <is>
          <t>TERM-152</t>
        </is>
      </c>
      <c r="B153" s="8" t="inlineStr">
        <is>
          <t>데이터·시맨틱·품질</t>
        </is>
      </c>
      <c r="C153" s="8" t="inlineStr">
        <is>
          <t>Data, Semantics &amp; Quality</t>
        </is>
      </c>
      <c r="D153" s="8" t="inlineStr">
        <is>
          <t>추출·검증</t>
        </is>
      </c>
      <c r="E153" s="8" t="inlineStr">
        <is>
          <t>Extraction &amp; Validation</t>
        </is>
      </c>
      <c r="F153" s="8" t="inlineStr">
        <is>
          <t>시계열</t>
        </is>
      </c>
      <c r="G153" s="8" t="inlineStr">
        <is>
          <t>Structural Break</t>
        </is>
      </c>
      <c r="H153" s="8" t="inlineStr">
        <is>
          <t>구조적 변화</t>
        </is>
      </c>
      <c r="I153" s="8" t="n"/>
      <c r="J153" s="8" t="inlineStr">
        <is>
          <t>regime shift; break point</t>
        </is>
      </c>
      <c r="K153" s="8" t="inlineStr">
        <is>
          <t>AnalyticalConcept</t>
        </is>
      </c>
      <c r="L153" s="8" t="inlineStr">
        <is>
          <t>시계열의 평균·분산·관계가 갑자기 지속적으로 달라지는 변화다.</t>
        </is>
      </c>
      <c r="M153" s="8" t="inlineStr">
        <is>
          <t>일시적 이상치와 구분하고 발생일·검정법·영향 변수를 저장한다.</t>
        </is>
      </c>
      <c r="N153" s="8" t="inlineStr">
        <is>
          <t>Model/Risk</t>
        </is>
      </c>
      <c r="O153" s="8" t="inlineStr">
        <is>
          <t>UP_RISK</t>
        </is>
      </c>
      <c r="P153" s="8" t="inlineStr">
        <is>
          <t>date/test statistic</t>
        </is>
      </c>
      <c r="Q153" s="8" t="inlineStr">
        <is>
          <t>model-specific</t>
        </is>
      </c>
      <c r="R153" s="8" t="inlineStr">
        <is>
          <t>A</t>
        </is>
      </c>
      <c r="S153" s="8" t="inlineStr">
        <is>
          <t>상</t>
        </is>
      </c>
      <c r="T153" s="8" t="inlineStr">
        <is>
          <t>AnalyticalConcept</t>
        </is>
      </c>
      <c r="U153" s="8" t="inlineStr">
        <is>
          <t>DETECTED_BY</t>
        </is>
      </c>
      <c r="V153" s="8" t="inlineStr">
        <is>
          <t>GH-C04,GH-C08,OA-SO,OA-EVAL</t>
        </is>
      </c>
    </row>
    <row r="154" ht="42" customHeight="1">
      <c r="A154" s="16" t="inlineStr">
        <is>
          <t>TERM-153</t>
        </is>
      </c>
      <c r="B154" s="16" t="inlineStr">
        <is>
          <t>시장구조·기업</t>
        </is>
      </c>
      <c r="C154" s="16" t="inlineStr">
        <is>
          <t>Market Structure &amp; Firms</t>
        </is>
      </c>
      <c r="D154" s="16" t="inlineStr">
        <is>
          <t>트레이딩하우스</t>
        </is>
      </c>
      <c r="E154" s="16" t="inlineStr">
        <is>
          <t>Trading Houses</t>
        </is>
      </c>
      <c r="F154" s="16" t="inlineStr">
        <is>
          <t>트레이딩하우스</t>
        </is>
      </c>
      <c r="G154" s="16" t="inlineStr">
        <is>
          <t>ADM (Archer Daniels Midland)</t>
        </is>
      </c>
      <c r="H154" s="16" t="inlineStr">
        <is>
          <t>에이디엠</t>
        </is>
      </c>
      <c r="I154" s="16" t="inlineStr">
        <is>
          <t>ADM</t>
        </is>
      </c>
      <c r="J154" s="16" t="inlineStr">
        <is>
          <t>Archer Daniels Midland; A of ABCD</t>
        </is>
      </c>
      <c r="K154" s="16" t="inlineStr">
        <is>
          <t>Organization</t>
        </is>
      </c>
      <c r="L154" s="16" t="inlineStr">
        <is>
          <t>미국 중서부 원곡 집하망과 걸프·태평양북서부 수출 터미널을 축으로 압착·정제·트레이딩을 수직 통합한 기업이다.</t>
        </is>
      </c>
      <c r="M154" s="16" t="inlineStr">
        <is>
          <t>공시 압착 능력은 용량이며 실제 처리량과 다르다(용량≠처리량). 증설 발표는 가동 시점과 분리해 기록한다.</t>
        </is>
      </c>
      <c r="N154" s="16" t="inlineStr">
        <is>
          <t>Supply/Channel</t>
        </is>
      </c>
      <c r="O154" s="16" t="inlineStr">
        <is>
          <t>CONTEXT</t>
        </is>
      </c>
      <c r="P154" s="16" t="inlineStr">
        <is>
          <t>company</t>
        </is>
      </c>
      <c r="Q154" s="16" t="inlineStr">
        <is>
          <t>압착 증설·가동 개시 공시</t>
        </is>
      </c>
      <c r="R154" s="16" t="inlineStr">
        <is>
          <t>B</t>
        </is>
      </c>
      <c r="S154" s="16" t="inlineStr">
        <is>
          <t>중</t>
        </is>
      </c>
      <c r="T154" s="16" t="inlineStr">
        <is>
          <t>TradingHouse</t>
        </is>
      </c>
      <c r="U154" s="16" t="inlineStr">
        <is>
          <t>OPERATED_BY,PRODUCES,EXPORTS_TO</t>
        </is>
      </c>
      <c r="V154" s="16" t="inlineStr">
        <is>
          <t>abcd_trading_structure_2026_08_15.md</t>
        </is>
      </c>
    </row>
    <row r="155" ht="42" customHeight="1">
      <c r="A155" s="16" t="inlineStr">
        <is>
          <t>TERM-154</t>
        </is>
      </c>
      <c r="B155" s="16" t="inlineStr">
        <is>
          <t>시장구조·기업</t>
        </is>
      </c>
      <c r="C155" s="16" t="inlineStr">
        <is>
          <t>Market Structure &amp; Firms</t>
        </is>
      </c>
      <c r="D155" s="16" t="inlineStr">
        <is>
          <t>트레이딩하우스</t>
        </is>
      </c>
      <c r="E155" s="16" t="inlineStr">
        <is>
          <t>Trading Houses</t>
        </is>
      </c>
      <c r="F155" s="16" t="inlineStr">
        <is>
          <t>트레이딩하우스</t>
        </is>
      </c>
      <c r="G155" s="16" t="inlineStr">
        <is>
          <t>Bunge (Bunge Global)</t>
        </is>
      </c>
      <c r="H155" s="16" t="inlineStr">
        <is>
          <t>번지</t>
        </is>
      </c>
      <c r="I155" s="16" t="inlineStr">
        <is>
          <t>BG</t>
        </is>
      </c>
      <c r="J155" s="16" t="inlineStr">
        <is>
          <t>Bunge Global; Bunge-Viterra; B of ABCD</t>
        </is>
      </c>
      <c r="K155" s="16" t="inlineStr">
        <is>
          <t>Organization</t>
        </is>
      </c>
      <c r="L155" s="16" t="inlineStr">
        <is>
          <t>남미 최대급 압착 자산과 농가 직구매·저장·운송 통합 모델을 가진 기업으로 2025년 Viterra 합병으로 집하망을 확대했다.</t>
        </is>
      </c>
      <c r="M155" s="16" t="inlineStr">
        <is>
          <t>합병 후 자산 수치는 합병 전 공시와 합산하지 않는다. 로사리오 권역 일 18,000톤은 용량 표기다(용량≠처리량).</t>
        </is>
      </c>
      <c r="N155" s="16" t="inlineStr">
        <is>
          <t>Supply/Channel</t>
        </is>
      </c>
      <c r="O155" s="16" t="inlineStr">
        <is>
          <t>CONTEXT</t>
        </is>
      </c>
      <c r="P155" s="16" t="inlineStr">
        <is>
          <t>company</t>
        </is>
      </c>
      <c r="Q155" s="16" t="inlineStr">
        <is>
          <t>남미 압착 가동률·합병 후 자산 재편 공시</t>
        </is>
      </c>
      <c r="R155" s="16" t="inlineStr">
        <is>
          <t>A</t>
        </is>
      </c>
      <c r="S155" s="16" t="inlineStr">
        <is>
          <t>중</t>
        </is>
      </c>
      <c r="T155" s="16" t="inlineStr">
        <is>
          <t>TradingHouse</t>
        </is>
      </c>
      <c r="U155" s="16" t="inlineStr">
        <is>
          <t>OPERATED_BY,PRODUCES,EXPORTS_TO</t>
        </is>
      </c>
      <c r="V155" s="16" t="inlineStr">
        <is>
          <t>abcd_trading_structure_2026_08_15.md,market_structure_errata_2026_08_19.md</t>
        </is>
      </c>
    </row>
    <row r="156" ht="42" customHeight="1">
      <c r="A156" s="16" t="inlineStr">
        <is>
          <t>TERM-155</t>
        </is>
      </c>
      <c r="B156" s="16" t="inlineStr">
        <is>
          <t>시장구조·기업</t>
        </is>
      </c>
      <c r="C156" s="16" t="inlineStr">
        <is>
          <t>Market Structure &amp; Firms</t>
        </is>
      </c>
      <c r="D156" s="16" t="inlineStr">
        <is>
          <t>트레이딩하우스</t>
        </is>
      </c>
      <c r="E156" s="16" t="inlineStr">
        <is>
          <t>Trading Houses</t>
        </is>
      </c>
      <c r="F156" s="16" t="inlineStr">
        <is>
          <t>트레이딩하우스</t>
        </is>
      </c>
      <c r="G156" s="16" t="inlineStr">
        <is>
          <t>Cargill</t>
        </is>
      </c>
      <c r="H156" s="16" t="inlineStr">
        <is>
          <t>카길</t>
        </is>
      </c>
      <c r="I156" s="16" t="n"/>
      <c r="J156" s="16" t="inlineStr">
        <is>
          <t>C of ABCD; Cargill Ocean Transportation</t>
        </is>
      </c>
      <c r="K156" s="16" t="inlineStr">
        <is>
          <t>Organization</t>
        </is>
      </c>
      <c r="L156" s="16" t="inlineStr">
        <is>
          <t>미주·남미·유럽 집하망과 자가 해상 물류를 함께 운영하는 비상장 곡물·유지 트레이딩 기업이다.</t>
        </is>
      </c>
      <c r="M156" s="16" t="inlineStr">
        <is>
          <t>남미 가공·항만 시설 수는 자사 공시와 외부 집계가 상충한다(가공 14·항만 13 대 자사 12·20) — 출처를 병기하지 않은 시설 수는 사용하지 않는다.</t>
        </is>
      </c>
      <c r="N156" s="16" t="inlineStr">
        <is>
          <t>Supply/Channel</t>
        </is>
      </c>
      <c r="O156" s="16" t="inlineStr">
        <is>
          <t>CONTEXT</t>
        </is>
      </c>
      <c r="P156" s="16" t="inlineStr">
        <is>
          <t>company</t>
        </is>
      </c>
      <c r="Q156" s="16" t="inlineStr">
        <is>
          <t>자사 지속가능성·자산 공시 갱신</t>
        </is>
      </c>
      <c r="R156" s="16" t="inlineStr">
        <is>
          <t>B</t>
        </is>
      </c>
      <c r="S156" s="16" t="inlineStr">
        <is>
          <t>상</t>
        </is>
      </c>
      <c r="T156" s="16" t="inlineStr">
        <is>
          <t>TradingHouse</t>
        </is>
      </c>
      <c r="U156" s="16" t="inlineStr">
        <is>
          <t>OPERATED_BY,PRODUCES,EXPORTS_TO</t>
        </is>
      </c>
      <c r="V156" s="16" t="inlineStr">
        <is>
          <t>abcd_trading_structure_2026_08_15.md,market_structure_errata_2026_08_19.md</t>
        </is>
      </c>
    </row>
    <row r="157" ht="42" customHeight="1">
      <c r="A157" s="16" t="inlineStr">
        <is>
          <t>TERM-156</t>
        </is>
      </c>
      <c r="B157" s="16" t="inlineStr">
        <is>
          <t>시장구조·기업</t>
        </is>
      </c>
      <c r="C157" s="16" t="inlineStr">
        <is>
          <t>Market Structure &amp; Firms</t>
        </is>
      </c>
      <c r="D157" s="16" t="inlineStr">
        <is>
          <t>트레이딩하우스</t>
        </is>
      </c>
      <c r="E157" s="16" t="inlineStr">
        <is>
          <t>Trading Houses</t>
        </is>
      </c>
      <c r="F157" s="16" t="inlineStr">
        <is>
          <t>트레이딩하우스</t>
        </is>
      </c>
      <c r="G157" s="16" t="inlineStr">
        <is>
          <t>LDC (Louis Dreyfus Company)</t>
        </is>
      </c>
      <c r="H157" s="16" t="inlineStr">
        <is>
          <t>루이드레퓌스</t>
        </is>
      </c>
      <c r="I157" s="16" t="inlineStr">
        <is>
          <t>LDC</t>
        </is>
      </c>
      <c r="J157" s="16" t="inlineStr">
        <is>
          <t>Louis Dreyfus Company; D of ABCD</t>
        </is>
      </c>
      <c r="K157" s="16" t="inlineStr">
        <is>
          <t>Organization</t>
        </is>
      </c>
      <c r="L157" s="16" t="inlineStr">
        <is>
          <t>아르헨티나 Up River 압착 자산을 보유한 전통 강자로 미국 오하이오 신설 압착을 추가한 기업이다.</t>
        </is>
      </c>
      <c r="M157" s="16" t="inlineStr">
        <is>
          <t>오하이오 신설의 대두유 32만 MT는 설계 능력이다(용량≠처리량).</t>
        </is>
      </c>
      <c r="N157" s="16" t="inlineStr">
        <is>
          <t>Supply/Channel</t>
        </is>
      </c>
      <c r="O157" s="16" t="inlineStr">
        <is>
          <t>CONTEXT</t>
        </is>
      </c>
      <c r="P157" s="16" t="inlineStr">
        <is>
          <t>company</t>
        </is>
      </c>
      <c r="Q157" s="16" t="inlineStr">
        <is>
          <t>아르헨티나 압착 가동률·신설 라인 가동 공시</t>
        </is>
      </c>
      <c r="R157" s="16" t="inlineStr">
        <is>
          <t>B</t>
        </is>
      </c>
      <c r="S157" s="16" t="inlineStr">
        <is>
          <t>중</t>
        </is>
      </c>
      <c r="T157" s="16" t="inlineStr">
        <is>
          <t>TradingHouse</t>
        </is>
      </c>
      <c r="U157" s="16" t="inlineStr">
        <is>
          <t>OPERATED_BY,PRODUCES,EXPORTS_TO</t>
        </is>
      </c>
      <c r="V157" s="16" t="inlineStr">
        <is>
          <t>abcd_trading_structure_2026_08_15.md</t>
        </is>
      </c>
    </row>
    <row r="158" ht="42" customHeight="1">
      <c r="A158" s="16" t="inlineStr">
        <is>
          <t>TERM-157</t>
        </is>
      </c>
      <c r="B158" s="16" t="inlineStr">
        <is>
          <t>시장구조·기업</t>
        </is>
      </c>
      <c r="C158" s="16" t="inlineStr">
        <is>
          <t>Market Structure &amp; Firms</t>
        </is>
      </c>
      <c r="D158" s="16" t="inlineStr">
        <is>
          <t>트레이딩하우스</t>
        </is>
      </c>
      <c r="E158" s="16" t="inlineStr">
        <is>
          <t>Trading Houses</t>
        </is>
      </c>
      <c r="F158" s="16" t="inlineStr">
        <is>
          <t>트레이딩하우스</t>
        </is>
      </c>
      <c r="G158" s="16" t="inlineStr">
        <is>
          <t>COFCO International</t>
        </is>
      </c>
      <c r="H158" s="16" t="inlineStr">
        <is>
          <t>코프코 인터내셔널</t>
        </is>
      </c>
      <c r="I158" s="16" t="inlineStr">
        <is>
          <t>COFCO Intl</t>
        </is>
      </c>
      <c r="J158" s="16" t="inlineStr">
        <is>
          <t>CIL; COFCO</t>
        </is>
      </c>
      <c r="K158" s="16" t="inlineStr">
        <is>
          <t>Organization</t>
        </is>
      </c>
      <c r="L158" s="16" t="inlineStr">
        <is>
          <t>중국 국유 계열의 국제 곡물·유지 트레이딩 기업으로 남미 원곡 조달과 아시아 유통을 잇는다.</t>
        </is>
      </c>
      <c r="M158" s="16" t="inlineStr">
        <is>
          <t>중국 구매 신호를 국가 매집으로 단정하지 않는다 — 국가 수요와 상업 채널을 분리해 해석한다. 선적 실거래 기준 CNF 물량 1위이나 이는 매출 합산 기준 순위와 비교 대상이 아니다(기준 상이).</t>
        </is>
      </c>
      <c r="N158" s="16" t="inlineStr">
        <is>
          <t>Supply/Channel</t>
        </is>
      </c>
      <c r="O158" s="16" t="inlineStr">
        <is>
          <t>CONTEXT</t>
        </is>
      </c>
      <c r="P158" s="16" t="inlineStr">
        <is>
          <t>company</t>
        </is>
      </c>
      <c r="Q158" s="16" t="inlineStr">
        <is>
          <t>중국 비축·수입 발표와 상업 채널 물량의 괴리</t>
        </is>
      </c>
      <c r="R158" s="16" t="inlineStr">
        <is>
          <t>A</t>
        </is>
      </c>
      <c r="S158" s="16" t="inlineStr">
        <is>
          <t>상</t>
        </is>
      </c>
      <c r="T158" s="16" t="inlineStr">
        <is>
          <t>TradingHouse</t>
        </is>
      </c>
      <c r="U158" s="16" t="inlineStr">
        <is>
          <t>OPERATED_BY,PRODUCES,IMPORTS_FROM</t>
        </is>
      </c>
      <c r="V158" s="16" t="inlineStr">
        <is>
          <t>abcd_trading_structure_2026_08_15.md,China_2023_financialized_soybeans_food_regime.pdf,Dynamics_2025_AEPP_grain_oilseed_trading_concentration.pdf</t>
        </is>
      </c>
    </row>
    <row r="159" ht="42" customHeight="1">
      <c r="A159" s="16" t="inlineStr">
        <is>
          <t>TERM-158</t>
        </is>
      </c>
      <c r="B159" s="16" t="inlineStr">
        <is>
          <t>시장구조·기업</t>
        </is>
      </c>
      <c r="C159" s="16" t="inlineStr">
        <is>
          <t>Market Structure &amp; Firms</t>
        </is>
      </c>
      <c r="D159" s="16" t="inlineStr">
        <is>
          <t>트레이딩하우스</t>
        </is>
      </c>
      <c r="E159" s="16" t="inlineStr">
        <is>
          <t>Trading Houses</t>
        </is>
      </c>
      <c r="F159" s="16" t="inlineStr">
        <is>
          <t>트레이딩하우스</t>
        </is>
      </c>
      <c r="G159" s="16" t="inlineStr">
        <is>
          <t>Wilmar International</t>
        </is>
      </c>
      <c r="H159" s="16" t="inlineStr">
        <is>
          <t>윌마 인터내셔널</t>
        </is>
      </c>
      <c r="I159" s="16" t="n"/>
      <c r="J159" s="16" t="inlineStr">
        <is>
          <t>Wilmar</t>
        </is>
      </c>
      <c r="K159" s="16" t="inlineStr">
        <is>
          <t>Organization</t>
        </is>
      </c>
      <c r="L159" s="16" t="inlineStr">
        <is>
          <t>팜 농원부터 압착·정제·소비자 브랜드까지 수직 통합한 아시아 최대급 유지 기업이다.</t>
        </is>
      </c>
      <c r="M159" s="16" t="inlineStr">
        <is>
          <t>팜과 대두 사업을 합산해 대두유 공급력으로 읽지 않는다 — 유종별로 분리한다.</t>
        </is>
      </c>
      <c r="N159" s="16" t="inlineStr">
        <is>
          <t>Supply/Channel</t>
        </is>
      </c>
      <c r="O159" s="16" t="inlineStr">
        <is>
          <t>CONTEXT</t>
        </is>
      </c>
      <c r="P159" s="16" t="inlineStr">
        <is>
          <t>company</t>
        </is>
      </c>
      <c r="Q159" s="16" t="inlineStr">
        <is>
          <t>아시아 정제 가동률·합작 신설 공시</t>
        </is>
      </c>
      <c r="R159" s="16" t="inlineStr">
        <is>
          <t>B</t>
        </is>
      </c>
      <c r="S159" s="16" t="inlineStr">
        <is>
          <t>중</t>
        </is>
      </c>
      <c r="T159" s="16" t="inlineStr">
        <is>
          <t>TradingHouse</t>
        </is>
      </c>
      <c r="U159" s="16" t="inlineStr">
        <is>
          <t>OPERATED_BY,PRODUCES,EXPORTS_TO</t>
        </is>
      </c>
      <c r="V159" s="16" t="inlineStr">
        <is>
          <t>abcd_trading_structure_2026_08_15.md</t>
        </is>
      </c>
    </row>
    <row r="160" ht="42" customHeight="1">
      <c r="A160" s="16" t="inlineStr">
        <is>
          <t>TERM-159</t>
        </is>
      </c>
      <c r="B160" s="16" t="inlineStr">
        <is>
          <t>시장구조·기업</t>
        </is>
      </c>
      <c r="C160" s="16" t="inlineStr">
        <is>
          <t>Market Structure &amp; Firms</t>
        </is>
      </c>
      <c r="D160" s="16" t="inlineStr">
        <is>
          <t>트레이딩하우스</t>
        </is>
      </c>
      <c r="E160" s="16" t="inlineStr">
        <is>
          <t>Trading Houses</t>
        </is>
      </c>
      <c r="F160" s="16" t="inlineStr">
        <is>
          <t>트레이딩하우스</t>
        </is>
      </c>
      <c r="G160" s="16" t="inlineStr">
        <is>
          <t>CHS Inc.</t>
        </is>
      </c>
      <c r="H160" s="16" t="inlineStr">
        <is>
          <t>씨에이치에스</t>
        </is>
      </c>
      <c r="I160" s="16" t="inlineStr">
        <is>
          <t>CHS</t>
        </is>
      </c>
      <c r="J160" s="16" t="inlineStr">
        <is>
          <t>CHS Inc</t>
        </is>
      </c>
      <c r="K160" s="16" t="inlineStr">
        <is>
          <t>Organization</t>
        </is>
      </c>
      <c r="L160" s="16" t="inlineStr">
        <is>
          <t>미국 농협계 곡물·에너지 협동조합으로 선적 실거래 기준 상위 7개사 핵심군에 포함된다.</t>
        </is>
      </c>
      <c r="M160" s="16" t="inlineStr">
        <is>
          <t>상위 7개사 합산 45%는 선적 물량 기준이며 매출 합산 점유율과 비교하지 않는다(기준 상이).</t>
        </is>
      </c>
      <c r="N160" s="16" t="inlineStr">
        <is>
          <t>Supply/Channel</t>
        </is>
      </c>
      <c r="O160" s="16" t="inlineStr">
        <is>
          <t>CONTEXT</t>
        </is>
      </c>
      <c r="P160" s="16" t="inlineStr">
        <is>
          <t>company</t>
        </is>
      </c>
      <c r="Q160" s="16" t="inlineStr">
        <is>
          <t>미국 수출 물량 점유 변화</t>
        </is>
      </c>
      <c r="R160" s="16" t="inlineStr">
        <is>
          <t>C</t>
        </is>
      </c>
      <c r="S160" s="16" t="inlineStr">
        <is>
          <t>중</t>
        </is>
      </c>
      <c r="T160" s="16" t="inlineStr">
        <is>
          <t>TradingHouse</t>
        </is>
      </c>
      <c r="U160" s="16" t="inlineStr">
        <is>
          <t>OPERATED_BY,EXPORTS_TO</t>
        </is>
      </c>
      <c r="V160" s="16" t="inlineStr">
        <is>
          <t>Dynamics_2025_AEPP_grain_oilseed_trading_concentration.pdf</t>
        </is>
      </c>
    </row>
    <row r="161" ht="42" customHeight="1">
      <c r="A161" s="16" t="inlineStr">
        <is>
          <t>TERM-160</t>
        </is>
      </c>
      <c r="B161" s="16" t="inlineStr">
        <is>
          <t>시장구조·기업</t>
        </is>
      </c>
      <c r="C161" s="16" t="inlineStr">
        <is>
          <t>Market Structure &amp; Firms</t>
        </is>
      </c>
      <c r="D161" s="16" t="inlineStr">
        <is>
          <t>트레이딩하우스</t>
        </is>
      </c>
      <c r="E161" s="16" t="inlineStr">
        <is>
          <t>Trading Houses</t>
        </is>
      </c>
      <c r="F161" s="16" t="inlineStr">
        <is>
          <t>트레이딩하우스</t>
        </is>
      </c>
      <c r="G161" s="16" t="inlineStr">
        <is>
          <t>VAL Vietnam JV (Bunge x Wilmar)</t>
        </is>
      </c>
      <c r="H161" s="16" t="inlineStr">
        <is>
          <t>베트남 합작 압착·정제 법인</t>
        </is>
      </c>
      <c r="I161" s="16" t="inlineStr">
        <is>
          <t>VAL</t>
        </is>
      </c>
      <c r="J161" s="16" t="inlineStr">
        <is>
          <t>Vietnam Agriculture JV; Bunge-Wilmar Vietnam</t>
        </is>
      </c>
      <c r="K161" s="16" t="inlineStr">
        <is>
          <t>Organization</t>
        </is>
      </c>
      <c r="L161" s="16" t="inlineStr">
        <is>
          <t>번지와 윌마의 베트남 합작 압착·정제 사업으로 총 일 7,800톤 규모이며 조유 연 50만 MT 이상 수출을 겨냥한다.</t>
        </is>
      </c>
      <c r="M161" s="16" t="inlineStr">
        <is>
          <t>일 7,800톤은 설비 규모이며 실제 처리량·한국향 물량과 동일시하지 않는다(용량≠처리량).</t>
        </is>
      </c>
      <c r="N161" s="16" t="inlineStr">
        <is>
          <t>Supply/Channel</t>
        </is>
      </c>
      <c r="O161" s="16" t="inlineStr">
        <is>
          <t>DOWN</t>
        </is>
      </c>
      <c r="P161" s="16" t="inlineStr">
        <is>
          <t>company</t>
        </is>
      </c>
      <c r="Q161" s="16" t="inlineStr">
        <is>
          <t>베트남발 월별 수입량 추세 전환</t>
        </is>
      </c>
      <c r="R161" s="16" t="inlineStr">
        <is>
          <t>A</t>
        </is>
      </c>
      <c r="S161" s="16" t="inlineStr">
        <is>
          <t>중</t>
        </is>
      </c>
      <c r="T161" s="16" t="inlineStr">
        <is>
          <t>TradingHouse</t>
        </is>
      </c>
      <c r="U161" s="16" t="inlineStr">
        <is>
          <t>OPERATED_BY,PRODUCES,EXPORTS_TO</t>
        </is>
      </c>
      <c r="V161" s="16" t="inlineStr">
        <is>
          <t>MEMORY_A-211,abcd_trading_structure_2026_08_15.md</t>
        </is>
      </c>
    </row>
    <row r="162" ht="42" customHeight="1">
      <c r="A162" s="16" t="inlineStr">
        <is>
          <t>TERM-161</t>
        </is>
      </c>
      <c r="B162" s="16" t="inlineStr">
        <is>
          <t>시장구조·기업</t>
        </is>
      </c>
      <c r="C162" s="16" t="inlineStr">
        <is>
          <t>Market Structure &amp; Firms</t>
        </is>
      </c>
      <c r="D162" s="16" t="inlineStr">
        <is>
          <t>국내 압착·정제</t>
        </is>
      </c>
      <c r="E162" s="16" t="inlineStr">
        <is>
          <t>Domestic Crushing &amp; Refining</t>
        </is>
      </c>
      <c r="F162" s="16" t="inlineStr">
        <is>
          <t>국내 압착·정제</t>
        </is>
      </c>
      <c r="G162" s="16" t="inlineStr">
        <is>
          <t>CJ CheilJedang</t>
        </is>
      </c>
      <c r="H162" s="16" t="inlineStr">
        <is>
          <t>씨제이제일제당</t>
        </is>
      </c>
      <c r="I162" s="16" t="inlineStr">
        <is>
          <t>CJ</t>
        </is>
      </c>
      <c r="J162" s="16" t="inlineStr">
        <is>
          <t>CJ제일제당</t>
        </is>
      </c>
      <c r="K162" s="16" t="inlineStr">
        <is>
          <t>Organization</t>
        </is>
      </c>
      <c r="L162" s="16" t="inlineStr">
        <is>
          <t>국내 최대 대두 압착·식용유 정제 사업자로 인천에 압착 설비를 운영한다.</t>
        </is>
      </c>
      <c r="M162" s="16" t="inlineStr">
        <is>
          <t>압착 능력(일 2,100 MT)과 실제 가동은 다르며 국내 압착은 채산성 악화로 축소 추세다(용량≠처리량).</t>
        </is>
      </c>
      <c r="N162" s="16" t="inlineStr">
        <is>
          <t>Demand/Domestic</t>
        </is>
      </c>
      <c r="O162" s="16" t="inlineStr">
        <is>
          <t>CONTEXT</t>
        </is>
      </c>
      <c r="P162" s="16" t="inlineStr">
        <is>
          <t>%</t>
        </is>
      </c>
      <c r="Q162" s="16" t="inlineStr">
        <is>
          <t>국내 압착 가동률 하락 시 조유 수입 확대 압력</t>
        </is>
      </c>
      <c r="R162" s="16" t="inlineStr">
        <is>
          <t>A</t>
        </is>
      </c>
      <c r="S162" s="16" t="inlineStr">
        <is>
          <t>중</t>
        </is>
      </c>
      <c r="T162" s="16" t="inlineStr">
        <is>
          <t>Processor</t>
        </is>
      </c>
      <c r="U162" s="16" t="inlineStr">
        <is>
          <t>PRODUCES,IMPORTS_FROM</t>
        </is>
      </c>
      <c r="V162" s="16" t="inlineStr">
        <is>
          <t>abcd_trading_structure_2026_08_15.md</t>
        </is>
      </c>
    </row>
    <row r="163" ht="42" customHeight="1">
      <c r="A163" s="16" t="inlineStr">
        <is>
          <t>TERM-162</t>
        </is>
      </c>
      <c r="B163" s="16" t="inlineStr">
        <is>
          <t>시장구조·기업</t>
        </is>
      </c>
      <c r="C163" s="16" t="inlineStr">
        <is>
          <t>Market Structure &amp; Firms</t>
        </is>
      </c>
      <c r="D163" s="16" t="inlineStr">
        <is>
          <t>국내 압착·정제</t>
        </is>
      </c>
      <c r="E163" s="16" t="inlineStr">
        <is>
          <t>Domestic Crushing &amp; Refining</t>
        </is>
      </c>
      <c r="F163" s="16" t="inlineStr">
        <is>
          <t>국내 압착·정제</t>
        </is>
      </c>
      <c r="G163" s="16" t="inlineStr">
        <is>
          <t>Sajo Daerim</t>
        </is>
      </c>
      <c r="H163" s="16" t="inlineStr">
        <is>
          <t>사조대림</t>
        </is>
      </c>
      <c r="I163" s="16" t="n"/>
      <c r="J163" s="16" t="inlineStr">
        <is>
          <t>사조; Sajo</t>
        </is>
      </c>
      <c r="K163" s="16" t="inlineStr">
        <is>
          <t>Organization</t>
        </is>
      </c>
      <c r="L163" s="16" t="inlineStr">
        <is>
          <t>인천에서 압착과 정제를 함께 운영하는 국내 유지 사업자다.</t>
        </is>
      </c>
      <c r="M163" s="16" t="inlineStr">
        <is>
          <t>압착 능력(일 1,100 MT)은 용량 표기이며 실제 가동률과 구분한다(용량≠처리량).</t>
        </is>
      </c>
      <c r="N163" s="16" t="inlineStr">
        <is>
          <t>Demand/Domestic</t>
        </is>
      </c>
      <c r="O163" s="16" t="inlineStr">
        <is>
          <t>CONTEXT</t>
        </is>
      </c>
      <c r="P163" s="16" t="inlineStr">
        <is>
          <t>%</t>
        </is>
      </c>
      <c r="Q163" s="16" t="inlineStr">
        <is>
          <t>압착 가동 중단 공시</t>
        </is>
      </c>
      <c r="R163" s="16" t="inlineStr">
        <is>
          <t>B</t>
        </is>
      </c>
      <c r="S163" s="16" t="inlineStr">
        <is>
          <t>중</t>
        </is>
      </c>
      <c r="T163" s="16" t="inlineStr">
        <is>
          <t>Processor</t>
        </is>
      </c>
      <c r="U163" s="16" t="inlineStr">
        <is>
          <t>PRODUCES,IMPORTS_FROM</t>
        </is>
      </c>
      <c r="V163" s="16" t="inlineStr">
        <is>
          <t>abcd_trading_structure_2026_08_15.md</t>
        </is>
      </c>
    </row>
    <row r="164" ht="42" customHeight="1">
      <c r="A164" s="16" t="inlineStr">
        <is>
          <t>TERM-163</t>
        </is>
      </c>
      <c r="B164" s="16" t="inlineStr">
        <is>
          <t>시장구조·기업</t>
        </is>
      </c>
      <c r="C164" s="16" t="inlineStr">
        <is>
          <t>Market Structure &amp; Firms</t>
        </is>
      </c>
      <c r="D164" s="16" t="inlineStr">
        <is>
          <t>국내 압착·정제</t>
        </is>
      </c>
      <c r="E164" s="16" t="inlineStr">
        <is>
          <t>Domestic Crushing &amp; Refining</t>
        </is>
      </c>
      <c r="F164" s="16" t="inlineStr">
        <is>
          <t>국내 압착·정제</t>
        </is>
      </c>
      <c r="G164" s="16" t="inlineStr">
        <is>
          <t>Lotte Foods (refining)</t>
        </is>
      </c>
      <c r="H164" s="16" t="inlineStr">
        <is>
          <t>롯데푸드</t>
        </is>
      </c>
      <c r="I164" s="16" t="n"/>
      <c r="J164" s="16" t="inlineStr">
        <is>
          <t>롯데; Lotte</t>
        </is>
      </c>
      <c r="K164" s="16" t="inlineStr">
        <is>
          <t>Organization</t>
        </is>
      </c>
      <c r="L164" s="16" t="inlineStr">
        <is>
          <t>압착 없이 정제 중심으로 식용유를 공급하는 국내 사업자다.</t>
        </is>
      </c>
      <c r="M164" s="16" t="inlineStr">
        <is>
          <t>정제 전용 사업자의 점유율은 압착 능력과 무관하다 — 조유 수입 수요 축으로 읽는다.</t>
        </is>
      </c>
      <c r="N164" s="16" t="inlineStr">
        <is>
          <t>Demand/Domestic</t>
        </is>
      </c>
      <c r="O164" s="16" t="inlineStr">
        <is>
          <t>CONTEXT</t>
        </is>
      </c>
      <c r="P164" s="16" t="inlineStr">
        <is>
          <t>%</t>
        </is>
      </c>
      <c r="Q164" s="16" t="inlineStr">
        <is>
          <t>정제유 수입 대체 확대</t>
        </is>
      </c>
      <c r="R164" s="16" t="inlineStr">
        <is>
          <t>B</t>
        </is>
      </c>
      <c r="S164" s="16" t="inlineStr">
        <is>
          <t>중</t>
        </is>
      </c>
      <c r="T164" s="16" t="inlineStr">
        <is>
          <t>Processor</t>
        </is>
      </c>
      <c r="U164" s="16" t="inlineStr">
        <is>
          <t>PRODUCES,IMPORTS_FROM</t>
        </is>
      </c>
      <c r="V164" s="16" t="inlineStr">
        <is>
          <t>abcd_trading_structure_2026_08_15.md</t>
        </is>
      </c>
    </row>
    <row r="165" ht="42" customHeight="1">
      <c r="A165" s="16" t="inlineStr">
        <is>
          <t>TERM-164</t>
        </is>
      </c>
      <c r="B165" s="16" t="inlineStr">
        <is>
          <t>시장구조·기업</t>
        </is>
      </c>
      <c r="C165" s="16" t="inlineStr">
        <is>
          <t>Market Structure &amp; Firms</t>
        </is>
      </c>
      <c r="D165" s="16" t="inlineStr">
        <is>
          <t>국내 압착·정제</t>
        </is>
      </c>
      <c r="E165" s="16" t="inlineStr">
        <is>
          <t>Domestic Crushing &amp; Refining</t>
        </is>
      </c>
      <c r="F165" s="16" t="inlineStr">
        <is>
          <t>국내 압착·정제</t>
        </is>
      </c>
      <c r="G165" s="16" t="inlineStr">
        <is>
          <t>Ottogi (refining)</t>
        </is>
      </c>
      <c r="H165" s="16" t="inlineStr">
        <is>
          <t>오뚜기</t>
        </is>
      </c>
      <c r="I165" s="16" t="n"/>
      <c r="J165" s="16" t="inlineStr">
        <is>
          <t>Ottogi</t>
        </is>
      </c>
      <c r="K165" s="16" t="inlineStr">
        <is>
          <t>Organization</t>
        </is>
      </c>
      <c r="L165" s="16" t="inlineStr">
        <is>
          <t>정제 중심으로 식용유를 공급하는 국내 사업자다.</t>
        </is>
      </c>
      <c r="M165" s="16" t="inlineStr">
        <is>
          <t>수입 정제유의 국내 재탈취·재포장 유통이 일반적이므로 국산 표기와 원산지를 구분한다.</t>
        </is>
      </c>
      <c r="N165" s="16" t="inlineStr">
        <is>
          <t>Demand/Domestic</t>
        </is>
      </c>
      <c r="O165" s="16" t="inlineStr">
        <is>
          <t>CONTEXT</t>
        </is>
      </c>
      <c r="P165" s="16" t="inlineStr">
        <is>
          <t>%</t>
        </is>
      </c>
      <c r="Q165" s="16" t="inlineStr">
        <is>
          <t>정제유 수입 관세 변동</t>
        </is>
      </c>
      <c r="R165" s="16" t="inlineStr">
        <is>
          <t>C</t>
        </is>
      </c>
      <c r="S165" s="16" t="inlineStr">
        <is>
          <t>중</t>
        </is>
      </c>
      <c r="T165" s="16" t="inlineStr">
        <is>
          <t>Processor</t>
        </is>
      </c>
      <c r="U165" s="16" t="inlineStr">
        <is>
          <t>PRODUCES,IMPORTS_FROM</t>
        </is>
      </c>
      <c r="V165" s="16" t="inlineStr">
        <is>
          <t>abcd_trading_structure_2026_08_15.md</t>
        </is>
      </c>
    </row>
    <row r="166" ht="42" customHeight="1">
      <c r="A166" s="16" t="inlineStr">
        <is>
          <t>TERM-165</t>
        </is>
      </c>
      <c r="B166" s="16" t="inlineStr">
        <is>
          <t>시장구조·기업</t>
        </is>
      </c>
      <c r="C166" s="16" t="inlineStr">
        <is>
          <t>Market Structure &amp; Firms</t>
        </is>
      </c>
      <c r="D166" s="16" t="inlineStr">
        <is>
          <t>수입 양하 항만</t>
        </is>
      </c>
      <c r="E166" s="16" t="inlineStr">
        <is>
          <t>Import Discharge Ports</t>
        </is>
      </c>
      <c r="F166" s="16" t="inlineStr">
        <is>
          <t>수입 양하 항만</t>
        </is>
      </c>
      <c r="G166" s="16" t="inlineStr">
        <is>
          <t>Port of Pyeongtaek</t>
        </is>
      </c>
      <c r="H166" s="16" t="inlineStr">
        <is>
          <t>평택항</t>
        </is>
      </c>
      <c r="I166" s="16" t="n"/>
      <c r="J166" s="16" t="inlineStr">
        <is>
          <t>Pyeongtaek; 평택·당진항</t>
        </is>
      </c>
      <c r="K166" s="16" t="inlineStr">
        <is>
          <t>Port</t>
        </is>
      </c>
      <c r="L166" s="16" t="inlineStr">
        <is>
          <t>한국 서해안의 대두유 수입 양하 항만 중 하나다.</t>
        </is>
      </c>
      <c r="M166" s="16" t="inlineStr">
        <is>
          <t>항만별 양하 실적은 관세청 국가별 통계로 분해되지 않는다 — 양하 항만 배분은 추정하지 않는다.</t>
        </is>
      </c>
      <c r="N166" s="16" t="inlineStr">
        <is>
          <t>Route</t>
        </is>
      </c>
      <c r="O166" s="16" t="inlineStr">
        <is>
          <t>CONTEXT</t>
        </is>
      </c>
      <c r="P166" s="16" t="inlineStr">
        <is>
          <t>location</t>
        </is>
      </c>
      <c r="Q166" s="16" t="inlineStr">
        <is>
          <t>항만 혼잡·파업 발생</t>
        </is>
      </c>
      <c r="R166" s="16" t="inlineStr">
        <is>
          <t>B</t>
        </is>
      </c>
      <c r="S166" s="16" t="inlineStr">
        <is>
          <t>중</t>
        </is>
      </c>
      <c r="T166" s="16" t="inlineStr">
        <is>
          <t>Port</t>
        </is>
      </c>
      <c r="U166" s="16" t="inlineStr">
        <is>
          <t>LOCATED_AT,ROUTED_VIA</t>
        </is>
      </c>
      <c r="V166" s="16" t="inlineStr">
        <is>
          <t>ontology_supply_chain_v3.1</t>
        </is>
      </c>
    </row>
    <row r="167" ht="42" customHeight="1">
      <c r="A167" s="16" t="inlineStr">
        <is>
          <t>TERM-166</t>
        </is>
      </c>
      <c r="B167" s="16" t="inlineStr">
        <is>
          <t>시장구조·기업</t>
        </is>
      </c>
      <c r="C167" s="16" t="inlineStr">
        <is>
          <t>Market Structure &amp; Firms</t>
        </is>
      </c>
      <c r="D167" s="16" t="inlineStr">
        <is>
          <t>수입 양하 항만</t>
        </is>
      </c>
      <c r="E167" s="16" t="inlineStr">
        <is>
          <t>Import Discharge Ports</t>
        </is>
      </c>
      <c r="F167" s="16" t="inlineStr">
        <is>
          <t>수입 양하 항만</t>
        </is>
      </c>
      <c r="G167" s="16" t="inlineStr">
        <is>
          <t>Port of Incheon</t>
        </is>
      </c>
      <c r="H167" s="16" t="inlineStr">
        <is>
          <t>인천항</t>
        </is>
      </c>
      <c r="I167" s="16" t="n"/>
      <c r="J167" s="16" t="inlineStr">
        <is>
          <t>Incheon</t>
        </is>
      </c>
      <c r="K167" s="16" t="inlineStr">
        <is>
          <t>Port</t>
        </is>
      </c>
      <c r="L167" s="16" t="inlineStr">
        <is>
          <t>국내 압착 설비가 소재한 한국 서해안 항만으로 대두유 수입 양하 지점이다.</t>
        </is>
      </c>
      <c r="M167" s="16" t="inlineStr">
        <is>
          <t>국내 압착 설비 소재지라는 사실이 해당 항만의 조유 양하 비중을 뜻하지는 않는다.</t>
        </is>
      </c>
      <c r="N167" s="16" t="inlineStr">
        <is>
          <t>Route</t>
        </is>
      </c>
      <c r="O167" s="16" t="inlineStr">
        <is>
          <t>CONTEXT</t>
        </is>
      </c>
      <c r="P167" s="16" t="inlineStr">
        <is>
          <t>location</t>
        </is>
      </c>
      <c r="Q167" s="16" t="inlineStr">
        <is>
          <t>항만 혼잡·파업 발생</t>
        </is>
      </c>
      <c r="R167" s="16" t="inlineStr">
        <is>
          <t>B</t>
        </is>
      </c>
      <c r="S167" s="16" t="inlineStr">
        <is>
          <t>중</t>
        </is>
      </c>
      <c r="T167" s="16" t="inlineStr">
        <is>
          <t>Port</t>
        </is>
      </c>
      <c r="U167" s="16" t="inlineStr">
        <is>
          <t>LOCATED_AT,ROUTED_VIA</t>
        </is>
      </c>
      <c r="V167" s="16" t="inlineStr">
        <is>
          <t>abcd_trading_structure_2026_08_15.md,ontology_supply_chain_v3.1</t>
        </is>
      </c>
    </row>
    <row r="168" ht="42" customHeight="1">
      <c r="A168" s="16" t="inlineStr">
        <is>
          <t>TERM-167</t>
        </is>
      </c>
      <c r="B168" s="16" t="inlineStr">
        <is>
          <t>시장구조·기업</t>
        </is>
      </c>
      <c r="C168" s="16" t="inlineStr">
        <is>
          <t>Market Structure &amp; Firms</t>
        </is>
      </c>
      <c r="D168" s="16" t="inlineStr">
        <is>
          <t>해상 병목</t>
        </is>
      </c>
      <c r="E168" s="16" t="inlineStr">
        <is>
          <t>Maritime Chokepoints</t>
        </is>
      </c>
      <c r="F168" s="16" t="inlineStr">
        <is>
          <t>해상 병목</t>
        </is>
      </c>
      <c r="G168" s="16" t="inlineStr">
        <is>
          <t>Strait of Malacca</t>
        </is>
      </c>
      <c r="H168" s="16" t="inlineStr">
        <is>
          <t>말라카 해협</t>
        </is>
      </c>
      <c r="I168" s="16" t="n"/>
      <c r="J168" s="16" t="inlineStr">
        <is>
          <t>Malacca Strait</t>
        </is>
      </c>
      <c r="K168" s="16" t="inlineStr">
        <is>
          <t>Chokepoint</t>
        </is>
      </c>
      <c r="L168" s="16" t="inlineStr">
        <is>
          <t>인도양과 동아시아를 잇는 해협으로 남미·중동발 한국향 항로의 경유지다.</t>
        </is>
      </c>
      <c r="M168" s="16" t="inlineStr">
        <is>
          <t>통과 척수 변화는 위험 신호이지 물량 확정이 아니다 — 선박 식별 없이 화물을 귀속하지 않는다.</t>
        </is>
      </c>
      <c r="N168" s="16" t="inlineStr">
        <is>
          <t>Freight/Route</t>
        </is>
      </c>
      <c r="O168" s="16" t="inlineStr">
        <is>
          <t>UP_RISK</t>
        </is>
      </c>
      <c r="P168" s="16" t="inlineStr">
        <is>
          <t>location</t>
        </is>
      </c>
      <c r="Q168" s="16" t="inlineStr">
        <is>
          <t>통과 척수 급감 또는 대기시간 급증</t>
        </is>
      </c>
      <c r="R168" s="16" t="inlineStr">
        <is>
          <t>A</t>
        </is>
      </c>
      <c r="S168" s="16" t="inlineStr">
        <is>
          <t>중</t>
        </is>
      </c>
      <c r="T168" s="16" t="inlineStr">
        <is>
          <t>Chokepoint</t>
        </is>
      </c>
      <c r="U168" s="16" t="inlineStr">
        <is>
          <t>ROUTED_VIA,TRANSITS</t>
        </is>
      </c>
      <c r="V168" s="16" t="inlineStr">
        <is>
          <t>ontology_supply_chain_v3.1</t>
        </is>
      </c>
    </row>
    <row r="169" ht="42" customHeight="1">
      <c r="A169" s="16" t="inlineStr">
        <is>
          <t>TERM-168</t>
        </is>
      </c>
      <c r="B169" s="16" t="inlineStr">
        <is>
          <t>시장구조·기업</t>
        </is>
      </c>
      <c r="C169" s="16" t="inlineStr">
        <is>
          <t>Market Structure &amp; Firms</t>
        </is>
      </c>
      <c r="D169" s="16" t="inlineStr">
        <is>
          <t>해상 병목</t>
        </is>
      </c>
      <c r="E169" s="16" t="inlineStr">
        <is>
          <t>Maritime Chokepoints</t>
        </is>
      </c>
      <c r="F169" s="16" t="inlineStr">
        <is>
          <t>해상 병목</t>
        </is>
      </c>
      <c r="G169" s="16" t="inlineStr">
        <is>
          <t>Suez Canal</t>
        </is>
      </c>
      <c r="H169" s="16" t="inlineStr">
        <is>
          <t>수에즈 운하</t>
        </is>
      </c>
      <c r="I169" s="16" t="n"/>
      <c r="J169" s="16" t="inlineStr">
        <is>
          <t>Suez</t>
        </is>
      </c>
      <c r="K169" s="16" t="inlineStr">
        <is>
          <t>Chokepoint</t>
        </is>
      </c>
      <c r="L169" s="16" t="inlineStr">
        <is>
          <t>지중해와 홍해를 잇는 운하로 우회 발생 시 유효 선복이 줄어 운임 시장 전체로 전이된다.</t>
        </is>
      </c>
      <c r="M169" s="16" t="inlineStr">
        <is>
          <t>한국향 대두유 직접 경유지가 아니다 — 운임·선복 경로의 간접 전이로만 해석한다. 희망봉 우회는 항해일 12~15일·비용 30~40% 증가로 관측된 바 있다.</t>
        </is>
      </c>
      <c r="N169" s="16" t="inlineStr">
        <is>
          <t>Freight/Route</t>
        </is>
      </c>
      <c r="O169" s="16" t="inlineStr">
        <is>
          <t>UP_RISK</t>
        </is>
      </c>
      <c r="P169" s="16" t="inlineStr">
        <is>
          <t>location</t>
        </is>
      </c>
      <c r="Q169" s="16" t="inlineStr">
        <is>
          <t>통항 제한·우회 비율 상승</t>
        </is>
      </c>
      <c r="R169" s="16" t="inlineStr">
        <is>
          <t>A</t>
        </is>
      </c>
      <c r="S169" s="16" t="inlineStr">
        <is>
          <t>상</t>
        </is>
      </c>
      <c r="T169" s="16" t="inlineStr">
        <is>
          <t>Chokepoint</t>
        </is>
      </c>
      <c r="U169" s="16" t="inlineStr">
        <is>
          <t>ROUTED_VIA,TRANSITS</t>
        </is>
      </c>
      <c r="V169" s="16" t="inlineStr">
        <is>
          <t>ontology_supply_chain_v3.1,Adaptation_2025_traders_geopolitics.pdf</t>
        </is>
      </c>
    </row>
    <row r="170" ht="42" customHeight="1">
      <c r="A170" s="16" t="inlineStr">
        <is>
          <t>TERM-169</t>
        </is>
      </c>
      <c r="B170" s="16" t="inlineStr">
        <is>
          <t>시장구조·기업</t>
        </is>
      </c>
      <c r="C170" s="16" t="inlineStr">
        <is>
          <t>Market Structure &amp; Firms</t>
        </is>
      </c>
      <c r="D170" s="16" t="inlineStr">
        <is>
          <t>해상 병목</t>
        </is>
      </c>
      <c r="E170" s="16" t="inlineStr">
        <is>
          <t>Maritime Chokepoints</t>
        </is>
      </c>
      <c r="F170" s="16" t="inlineStr">
        <is>
          <t>해상 병목</t>
        </is>
      </c>
      <c r="G170" s="16" t="inlineStr">
        <is>
          <t>Red Sea / Bab el-Mandeb Strait</t>
        </is>
      </c>
      <c r="H170" s="16" t="inlineStr">
        <is>
          <t>홍해·바브엘만데브 해협</t>
        </is>
      </c>
      <c r="I170" s="16" t="n"/>
      <c r="J170" s="16" t="inlineStr">
        <is>
          <t>Bab el-Mandeb; Red Sea corridor</t>
        </is>
      </c>
      <c r="K170" s="16" t="inlineStr">
        <is>
          <t>Chokepoint</t>
        </is>
      </c>
      <c r="L170" s="16" t="inlineStr">
        <is>
          <t>홍해 남단의 해협으로 수에즈 항로의 실질 진입로이며 무력 공격 시 우회를 촉발한다.</t>
        </is>
      </c>
      <c r="M170" s="16" t="inlineStr">
        <is>
          <t>수에즈 운하와 하나의 홍해 회랑으로 함께 움직이므로 두 지점의 위험 신호를 이중 계상하지 않는다.</t>
        </is>
      </c>
      <c r="N170" s="16" t="inlineStr">
        <is>
          <t>Freight/Route</t>
        </is>
      </c>
      <c r="O170" s="16" t="inlineStr">
        <is>
          <t>UP_RISK</t>
        </is>
      </c>
      <c r="P170" s="16" t="inlineStr">
        <is>
          <t>location</t>
        </is>
      </c>
      <c r="Q170" s="16" t="inlineStr">
        <is>
          <t>선박 피격·전쟁위험 보험료 급등</t>
        </is>
      </c>
      <c r="R170" s="16" t="inlineStr">
        <is>
          <t>A</t>
        </is>
      </c>
      <c r="S170" s="16" t="inlineStr">
        <is>
          <t>상</t>
        </is>
      </c>
      <c r="T170" s="16" t="inlineStr">
        <is>
          <t>Chokepoint</t>
        </is>
      </c>
      <c r="U170" s="16" t="inlineStr">
        <is>
          <t>ROUTED_VIA,TRANSITS</t>
        </is>
      </c>
      <c r="V170" s="16" t="inlineStr">
        <is>
          <t>ontology_supply_chain_v3.1</t>
        </is>
      </c>
    </row>
    <row r="171" ht="42" customHeight="1">
      <c r="A171" s="16" t="inlineStr">
        <is>
          <t>TERM-170</t>
        </is>
      </c>
      <c r="B171" s="16" t="inlineStr">
        <is>
          <t>시장구조·기업</t>
        </is>
      </c>
      <c r="C171" s="16" t="inlineStr">
        <is>
          <t>Market Structure &amp; Firms</t>
        </is>
      </c>
      <c r="D171" s="16" t="inlineStr">
        <is>
          <t>해상 병목</t>
        </is>
      </c>
      <c r="E171" s="16" t="inlineStr">
        <is>
          <t>Maritime Chokepoints</t>
        </is>
      </c>
      <c r="F171" s="16" t="inlineStr">
        <is>
          <t>해상 병목</t>
        </is>
      </c>
      <c r="G171" s="16" t="inlineStr">
        <is>
          <t>Black Sea Grain Corridor (Turkish Straits)</t>
        </is>
      </c>
      <c r="H171" s="16" t="inlineStr">
        <is>
          <t>흑해 곡물회랑(터키 해협)</t>
        </is>
      </c>
      <c r="I171" s="16" t="n"/>
      <c r="J171" s="16" t="inlineStr">
        <is>
          <t>Turkish Straits; Bosphorus; Black Sea corridor</t>
        </is>
      </c>
      <c r="K171" s="16" t="inlineStr">
        <is>
          <t>Chokepoint</t>
        </is>
      </c>
      <c r="L171" s="16" t="inlineStr">
        <is>
          <t>흑해 곡물·해바라기유 수출이 통과하는 회랑으로 전쟁 국면에서 수출 물량이 직접 차단된다.</t>
        </is>
      </c>
      <c r="M171" s="16" t="inlineStr">
        <is>
          <t>해역 자체(TERM-082 흑해)와 통항 회랑을 구분한다 — 본 용어는 통항 병목이며 지역 위험지수와 별개다. 회랑 붕괴 국면의 수출 감소 −95%와 이후 회복 75~80%는 곡물 기준 관측으로 대두유에 직접 대입하지 않는다.</t>
        </is>
      </c>
      <c r="N171" s="16" t="inlineStr">
        <is>
          <t>Substitution/Logistics</t>
        </is>
      </c>
      <c r="O171" s="16" t="inlineStr">
        <is>
          <t>UP_RISK</t>
        </is>
      </c>
      <c r="P171" s="16" t="inlineStr">
        <is>
          <t>location</t>
        </is>
      </c>
      <c r="Q171" s="16" t="inlineStr">
        <is>
          <t>회랑 중단 선언·선박 통항 급감</t>
        </is>
      </c>
      <c r="R171" s="16" t="inlineStr">
        <is>
          <t>A</t>
        </is>
      </c>
      <c r="S171" s="16" t="inlineStr">
        <is>
          <t>상</t>
        </is>
      </c>
      <c r="T171" s="16" t="inlineStr">
        <is>
          <t>Chokepoint</t>
        </is>
      </c>
      <c r="U171" s="16" t="inlineStr">
        <is>
          <t>ROUTED_VIA,TRANSITS</t>
        </is>
      </c>
      <c r="V171" s="16" t="inlineStr">
        <is>
          <t>Adaptation_2025_traders_geopolitics.pdf,Ukraine_grain_seed_trade_global_position.pdf</t>
        </is>
      </c>
    </row>
    <row r="172" ht="42" customHeight="1">
      <c r="A172" s="16" t="inlineStr">
        <is>
          <t>TERM-171</t>
        </is>
      </c>
      <c r="B172" s="16" t="inlineStr">
        <is>
          <t>시장구조·기업</t>
        </is>
      </c>
      <c r="C172" s="16" t="inlineStr">
        <is>
          <t>Market Structure &amp; Firms</t>
        </is>
      </c>
      <c r="D172" s="16" t="inlineStr">
        <is>
          <t>집중도 지표</t>
        </is>
      </c>
      <c r="E172" s="16" t="inlineStr">
        <is>
          <t>Concentration Metrics</t>
        </is>
      </c>
      <c r="F172" s="16" t="inlineStr">
        <is>
          <t>집중도 지표</t>
        </is>
      </c>
      <c r="G172" s="16" t="inlineStr">
        <is>
          <t>CR4 (Four-Firm Concentration Ratio)</t>
        </is>
      </c>
      <c r="H172" s="16" t="inlineStr">
        <is>
          <t>상위 4개사 집중도</t>
        </is>
      </c>
      <c r="I172" s="16" t="inlineStr">
        <is>
          <t>CR4</t>
        </is>
      </c>
      <c r="J172" s="16" t="inlineStr">
        <is>
          <t>four-firm concentration ratio</t>
        </is>
      </c>
      <c r="K172" s="16" t="inlineStr">
        <is>
          <t>Metric</t>
        </is>
      </c>
      <c r="L172" s="16" t="inlineStr">
        <is>
          <t>상위 4개 사업자의 합산 점유율로 시장 집중도를 나타내는 지표다.</t>
        </is>
      </c>
      <c r="M172" s="16" t="inlineStr">
        <is>
          <t>측정 기준(선적 물량·매출·용량)을 반드시 병기한다 — 기준이 다르면 비교하지 않는다. 선적 실거래 기준 세계 곡물·유지 CR4는 32%·27%, 대두는 45%로 매출 합산 기반의 통설과 값이 크게 다르다. ⋅ 측정 주석: 선적 실거래 11만 건 기반 측정(FOB·CNF 구분) — 용량·매출 기준과 혼용 금지.</t>
        </is>
      </c>
      <c r="N172" s="16" t="inlineStr">
        <is>
          <t>Market/Structure</t>
        </is>
      </c>
      <c r="O172" s="16" t="inlineStr">
        <is>
          <t>CONTEXT</t>
        </is>
      </c>
      <c r="P172" s="16" t="inlineStr">
        <is>
          <t>%</t>
        </is>
      </c>
      <c r="Q172" s="16" t="inlineStr">
        <is>
          <t>합병으로 상위 4개사 구성 변경</t>
        </is>
      </c>
      <c r="R172" s="16" t="inlineStr">
        <is>
          <t>A</t>
        </is>
      </c>
      <c r="S172" s="16" t="inlineStr">
        <is>
          <t>상</t>
        </is>
      </c>
      <c r="T172" s="16" t="inlineStr">
        <is>
          <t>ConcentrationMetric</t>
        </is>
      </c>
      <c r="U172" s="16" t="inlineStr">
        <is>
          <t>MEASURED_BY,DERIVED_FROM</t>
        </is>
      </c>
      <c r="V172" s="16" t="inlineStr">
        <is>
          <t>Dynamics_2025_AEPP_grain_oilseed_trading_concentration.pdf</t>
        </is>
      </c>
    </row>
    <row r="173" ht="42" customHeight="1">
      <c r="A173" s="16" t="inlineStr">
        <is>
          <t>TERM-172</t>
        </is>
      </c>
      <c r="B173" s="16" t="inlineStr">
        <is>
          <t>시장구조·기업</t>
        </is>
      </c>
      <c r="C173" s="16" t="inlineStr">
        <is>
          <t>Market Structure &amp; Firms</t>
        </is>
      </c>
      <c r="D173" s="16" t="inlineStr">
        <is>
          <t>집중도 지표</t>
        </is>
      </c>
      <c r="E173" s="16" t="inlineStr">
        <is>
          <t>Concentration Metrics</t>
        </is>
      </c>
      <c r="F173" s="16" t="inlineStr">
        <is>
          <t>집중도 지표</t>
        </is>
      </c>
      <c r="G173" s="16" t="inlineStr">
        <is>
          <t>HHI (Herfindahl-Hirschman Index)</t>
        </is>
      </c>
      <c r="H173" s="16" t="inlineStr">
        <is>
          <t>허핀달-허시만 지수</t>
        </is>
      </c>
      <c r="I173" s="16" t="inlineStr">
        <is>
          <t>HHI</t>
        </is>
      </c>
      <c r="J173" s="16" t="inlineStr">
        <is>
          <t>Herfindahl index</t>
        </is>
      </c>
      <c r="K173" s="16" t="inlineStr">
        <is>
          <t>Metric</t>
        </is>
      </c>
      <c r="L173" s="16" t="inlineStr">
        <is>
          <t>전 사업자 점유율의 제곱 합으로 시장 집중도를 나타내는 지수다.</t>
        </is>
      </c>
      <c r="M173" s="16" t="inlineStr">
        <is>
          <t>관례 임계는 5000 이상 극도 집중·2500 이상 높음·1500 이상 보통이며 이는 판정 관례이지 인과 기준이 아니다. 선적 물량 기준 산출값을 매출 기준 산출값과 비교하지 않는다. ⋅ 측정 주석: 선적 실거래 기반 산출 — 표본 범위(품목·항로·기간)를 함께 기록한다.</t>
        </is>
      </c>
      <c r="N173" s="16" t="inlineStr">
        <is>
          <t>Market/Structure</t>
        </is>
      </c>
      <c r="O173" s="16" t="inlineStr">
        <is>
          <t>CONTEXT</t>
        </is>
      </c>
      <c r="P173" s="16" t="inlineStr">
        <is>
          <t>0-10000</t>
        </is>
      </c>
      <c r="Q173" s="16" t="inlineStr">
        <is>
          <t>지수 구간 변화(보통→높음 등)</t>
        </is>
      </c>
      <c r="R173" s="16" t="inlineStr">
        <is>
          <t>A</t>
        </is>
      </c>
      <c r="S173" s="16" t="inlineStr">
        <is>
          <t>상</t>
        </is>
      </c>
      <c r="T173" s="16" t="inlineStr">
        <is>
          <t>ConcentrationMetric</t>
        </is>
      </c>
      <c r="U173" s="16" t="inlineStr">
        <is>
          <t>MEASURED_BY,DERIVED_FROM</t>
        </is>
      </c>
      <c r="V173" s="16" t="inlineStr">
        <is>
          <t>Dynamics_2025_AEPP_grain_oilseed_trading_concentration.pdf</t>
        </is>
      </c>
    </row>
    <row r="174" ht="42" customHeight="1">
      <c r="A174" s="16" t="inlineStr">
        <is>
          <t>TERM-173</t>
        </is>
      </c>
      <c r="B174" s="16" t="inlineStr">
        <is>
          <t>시장구조·기업</t>
        </is>
      </c>
      <c r="C174" s="16" t="inlineStr">
        <is>
          <t>Market Structure &amp; Firms</t>
        </is>
      </c>
      <c r="D174" s="16" t="inlineStr">
        <is>
          <t>거래 관행</t>
        </is>
      </c>
      <c r="E174" s="16" t="inlineStr">
        <is>
          <t>Trading Conventions</t>
        </is>
      </c>
      <c r="F174" s="16" t="inlineStr">
        <is>
          <t>거래 관행</t>
        </is>
      </c>
      <c r="G174" s="16" t="inlineStr">
        <is>
          <t>FOSFA Standard Contract</t>
        </is>
      </c>
      <c r="H174" s="16" t="inlineStr">
        <is>
          <t>포스파 표준계약</t>
        </is>
      </c>
      <c r="I174" s="16" t="inlineStr">
        <is>
          <t>FOSFA</t>
        </is>
      </c>
      <c r="J174" s="16" t="inlineStr">
        <is>
          <t>FOSFA contract; Federation of Oils, Seeds and Fats Associations</t>
        </is>
      </c>
      <c r="K174" s="16" t="inlineStr">
        <is>
          <t>Standard</t>
        </is>
      </c>
      <c r="L174" s="16" t="inlineStr">
        <is>
          <t>유지·유지종자 국제 거래의 표준 계약 서식 체계로 인도조건·원산지·운송수단별로 세분화된다.</t>
        </is>
      </c>
      <c r="M174" s="16" t="inlineStr">
        <is>
          <t>세계 유지 거래의 약 85%라는 비중은 원문 분모(유지종자 포함 여부) 확인이 남아 있다 — 단정적 인용을 피한다. 분쟁 해결은 포스파 중재를 따른다.</t>
        </is>
      </c>
      <c r="N174" s="16" t="inlineStr">
        <is>
          <t>Contract/Terms</t>
        </is>
      </c>
      <c r="O174" s="16" t="inlineStr">
        <is>
          <t>CONTEXT</t>
        </is>
      </c>
      <c r="P174" s="16" t="inlineStr">
        <is>
          <t>contract</t>
        </is>
      </c>
      <c r="Q174" s="16" t="inlineStr">
        <is>
          <t>표준 서식 개정</t>
        </is>
      </c>
      <c r="R174" s="16" t="inlineStr">
        <is>
          <t>B</t>
        </is>
      </c>
      <c r="S174" s="16" t="inlineStr">
        <is>
          <t>중</t>
        </is>
      </c>
      <c r="T174" s="16" t="inlineStr">
        <is>
          <t>ContractStandard</t>
        </is>
      </c>
      <c r="U174" s="16" t="inlineStr">
        <is>
          <t>STANDARDIZES,GOVERNS</t>
        </is>
      </c>
      <c r="V174" s="16" t="inlineStr">
        <is>
          <t>abcd_trading_structure_2026_08_15.md</t>
        </is>
      </c>
    </row>
    <row r="175" ht="42" customHeight="1">
      <c r="A175" s="16" t="inlineStr">
        <is>
          <t>TERM-174</t>
        </is>
      </c>
      <c r="B175" s="16" t="inlineStr">
        <is>
          <t>시장구조·기업</t>
        </is>
      </c>
      <c r="C175" s="16" t="inlineStr">
        <is>
          <t>Market Structure &amp; Firms</t>
        </is>
      </c>
      <c r="D175" s="16" t="inlineStr">
        <is>
          <t>거래 관행</t>
        </is>
      </c>
      <c r="E175" s="16" t="inlineStr">
        <is>
          <t>Trading Conventions</t>
        </is>
      </c>
      <c r="F175" s="16" t="inlineStr">
        <is>
          <t>거래 관행</t>
        </is>
      </c>
      <c r="G175" s="16" t="inlineStr">
        <is>
          <t>CBOT-plus-basis pricing and fixation</t>
        </is>
      </c>
      <c r="H175" s="16" t="inlineStr">
        <is>
          <t>선물 기준가 더하기 베이시스 가격 구조와 고정</t>
        </is>
      </c>
      <c r="I175" s="16" t="n"/>
      <c r="J175" s="16" t="inlineStr">
        <is>
          <t>basis pricing; buyer's call; fixation</t>
        </is>
      </c>
      <c r="K175" s="16" t="inlineStr">
        <is>
          <t>Concept</t>
        </is>
      </c>
      <c r="L175" s="16" t="inlineStr">
        <is>
          <t>가격을 시카고 대두유 선물에 베이시스(포인트)를 더해 정하고 매수자가 지정 창 안에서 선물 부분을 고정하는 거래 구조다.</t>
        </is>
      </c>
      <c r="M175" s="16" t="inlineStr">
        <is>
          <t>관세청 수입 CIF 단가는 통관 신고 단가이지 시장 CFR 호가가 아니다 — 베이시스의 대용으로 쓰지 않는다. 100포인트는 파운드당 1센트이며 도착가에서 역산한 잔차에는 운임·보험·품질·금융·시차가 함께 섞여 있다.</t>
        </is>
      </c>
      <c r="N175" s="16" t="inlineStr">
        <is>
          <t>Price/Contract</t>
        </is>
      </c>
      <c r="O175" s="16" t="inlineStr">
        <is>
          <t>CONTEXT</t>
        </is>
      </c>
      <c r="P175" s="16" t="inlineStr">
        <is>
          <t>points (100pt = 1 cent/lb)</t>
        </is>
      </c>
      <c r="Q175" s="16" t="inlineStr">
        <is>
          <t>남미 FOB 베이시스의 기록적 확대·축소</t>
        </is>
      </c>
      <c r="R175" s="16" t="inlineStr">
        <is>
          <t>A</t>
        </is>
      </c>
      <c r="S175" s="16" t="inlineStr">
        <is>
          <t>상</t>
        </is>
      </c>
      <c r="T175" s="16" t="inlineStr">
        <is>
          <t>PricingConvention</t>
        </is>
      </c>
      <c r="U175" s="16" t="inlineStr">
        <is>
          <t>DERIVED_FROM,APPLIES_TO</t>
        </is>
      </c>
      <c r="V175" s="16" t="inlineStr">
        <is>
          <t>abcd_trading_structure_2026_08_15.md</t>
        </is>
      </c>
    </row>
    <row r="176" ht="42" customHeight="1">
      <c r="A176" s="16" t="inlineStr">
        <is>
          <t>TERM-175</t>
        </is>
      </c>
      <c r="B176" s="16" t="inlineStr">
        <is>
          <t>시장구조·기업</t>
        </is>
      </c>
      <c r="C176" s="16" t="inlineStr">
        <is>
          <t>Market Structure &amp; Firms</t>
        </is>
      </c>
      <c r="D176" s="16" t="inlineStr">
        <is>
          <t>거래 관행</t>
        </is>
      </c>
      <c r="E176" s="16" t="inlineStr">
        <is>
          <t>Trading Conventions</t>
        </is>
      </c>
      <c r="F176" s="16" t="inlineStr">
        <is>
          <t>거래 관행</t>
        </is>
      </c>
      <c r="G176" s="16" t="inlineStr">
        <is>
          <t>Up River FOB</t>
        </is>
      </c>
      <c r="H176" s="16" t="inlineStr">
        <is>
          <t>업리버 본선인도 기준가</t>
        </is>
      </c>
      <c r="I176" s="16" t="n"/>
      <c r="J176" s="16" t="inlineStr">
        <is>
          <t>Up River basis; Rosario FOB</t>
        </is>
      </c>
      <c r="K176" s="16" t="inlineStr">
        <is>
          <t>Indicator</t>
        </is>
      </c>
      <c r="L176" s="16" t="inlineStr">
        <is>
          <t>아르헨티나 로사리오 권역 하천 터미널의 본선인도 기준 가격으로 남미 대두유 베이시스의 대표 기준점이다.</t>
        </is>
      </c>
      <c r="M176" s="16" t="inlineStr">
        <is>
          <t>판매등록(DJVE)은 선적이 아니다 — 등록 물량을 실제 수출 물량으로 읽지 않는다. 부분연도 집계를 연간 구조로 확대 해석하지 않는다.</t>
        </is>
      </c>
      <c r="N176" s="16" t="inlineStr">
        <is>
          <t>Price/Origin</t>
        </is>
      </c>
      <c r="O176" s="16" t="inlineStr">
        <is>
          <t>CONTEXT</t>
        </is>
      </c>
      <c r="P176" s="16" t="inlineStr">
        <is>
          <t>USD/MT or points vs CBOT</t>
        </is>
      </c>
      <c r="Q176" s="16" t="inlineStr">
        <is>
          <t>수출세 변경 시 베이시스 급변</t>
        </is>
      </c>
      <c r="R176" s="16" t="inlineStr">
        <is>
          <t>A</t>
        </is>
      </c>
      <c r="S176" s="16" t="inlineStr">
        <is>
          <t>상</t>
        </is>
      </c>
      <c r="T176" s="16" t="inlineStr">
        <is>
          <t>PriceBenchmark</t>
        </is>
      </c>
      <c r="U176" s="16" t="inlineStr">
        <is>
          <t>MEASURED_BY,ORIGIN_OF</t>
        </is>
      </c>
      <c r="V176" s="16" t="inlineStr">
        <is>
          <t>abcd_trading_structure_2026_08_15.md</t>
        </is>
      </c>
    </row>
    <row r="177" ht="42" customHeight="1">
      <c r="A177" s="16" t="inlineStr">
        <is>
          <t>TERM-176</t>
        </is>
      </c>
      <c r="B177" s="16" t="inlineStr">
        <is>
          <t>데이터·시맨틱·품질</t>
        </is>
      </c>
      <c r="C177" s="16" t="inlineStr">
        <is>
          <t>Data, Semantics &amp; Quality</t>
        </is>
      </c>
      <c r="D177" s="16" t="inlineStr">
        <is>
          <t>매체·수집 채널</t>
        </is>
      </c>
      <c r="E177" s="16" t="inlineStr">
        <is>
          <t>Media &amp; Collection Channels</t>
        </is>
      </c>
      <c r="F177" s="16" t="inlineStr">
        <is>
          <t>매체·수집 채널</t>
        </is>
      </c>
      <c r="G177" s="16" t="inlineStr">
        <is>
          <t>Reuters</t>
        </is>
      </c>
      <c r="H177" s="16" t="inlineStr">
        <is>
          <t>로이터</t>
        </is>
      </c>
      <c r="I177" s="16" t="n"/>
      <c r="J177" s="16" t="inlineStr">
        <is>
          <t>Reuters News; 로이터통신</t>
        </is>
      </c>
      <c r="K177" s="16" t="inlineStr">
        <is>
          <t>DataSource</t>
        </is>
      </c>
      <c r="L177" s="16" t="inlineStr">
        <is>
          <t>상품·에너지·기후 시황을 국제적으로 보도하는 통신사로 대두유 수급·가격 영향 기사의 1차 점검 대상 매체다.</t>
        </is>
      </c>
      <c r="M177" s="16" t="inlineStr">
        <is>
          <t>공개 RSS가 없어 채널 경유(구글 뉴스 RSS 검색 프록시 → GDELT 문서 API → 빙 뉴스 RSS → 원문 섹션)로만 확보한다. 기사 수는 주제 신호가 아니며 방향 판단은 본문 태깅 이후에만 한다. 같은 기사가 여러 채널에 잡히면 링크 기준으로 1건만 센다.</t>
        </is>
      </c>
      <c r="N177" s="16" t="inlineStr">
        <is>
          <t>Signal/Media</t>
        </is>
      </c>
      <c r="O177" s="16" t="inlineStr">
        <is>
          <t>CONTEXT</t>
        </is>
      </c>
      <c r="P177" s="16" t="inlineStr">
        <is>
          <t>articles/day</t>
        </is>
      </c>
      <c r="Q177" s="16" t="inlineStr">
        <is>
          <t>없음(주제 태깅 후 감성 지표로만)</t>
        </is>
      </c>
      <c r="R177" s="16" t="inlineStr">
        <is>
          <t>C</t>
        </is>
      </c>
      <c r="S177" s="16" t="inlineStr">
        <is>
          <t>하</t>
        </is>
      </c>
      <c r="T177" s="16" t="inlineStr">
        <is>
          <t>MediaSource</t>
        </is>
      </c>
      <c r="U177" s="16" t="inlineStr">
        <is>
          <t>COLLECTED_VIA,PROVIDES</t>
        </is>
      </c>
      <c r="V177" s="16" t="inlineStr">
        <is>
          <t>GH-DIGEST,media_source_fallback_design_2026_09_13.md</t>
        </is>
      </c>
    </row>
    <row r="178" ht="42" customHeight="1">
      <c r="A178" s="16" t="inlineStr">
        <is>
          <t>TERM-177</t>
        </is>
      </c>
      <c r="B178" s="16" t="inlineStr">
        <is>
          <t>데이터·시맨틱·품질</t>
        </is>
      </c>
      <c r="C178" s="16" t="inlineStr">
        <is>
          <t>Data, Semantics &amp; Quality</t>
        </is>
      </c>
      <c r="D178" s="16" t="inlineStr">
        <is>
          <t>매체·수집 채널</t>
        </is>
      </c>
      <c r="E178" s="16" t="inlineStr">
        <is>
          <t>Media &amp; Collection Channels</t>
        </is>
      </c>
      <c r="F178" s="16" t="inlineStr">
        <is>
          <t>매체·수집 채널</t>
        </is>
      </c>
      <c r="G178" s="16" t="inlineStr">
        <is>
          <t>Associated Press</t>
        </is>
      </c>
      <c r="H178" s="16" t="inlineStr">
        <is>
          <t>AP 통신</t>
        </is>
      </c>
      <c r="I178" s="16" t="inlineStr">
        <is>
          <t>AP</t>
        </is>
      </c>
      <c r="J178" s="16" t="inlineStr">
        <is>
          <t>AP News; 에이피통신</t>
        </is>
      </c>
      <c r="K178" s="16" t="inlineStr">
        <is>
          <t>DataSource</t>
        </is>
      </c>
      <c r="L178" s="16" t="inlineStr">
        <is>
          <t>상품 시황과 해운·지정학 사건을 보도하는 국제 통신사로 남미 수출국·해협 사건 기사의 점검 대상 매체다.</t>
        </is>
      </c>
      <c r="M178" s="16" t="inlineStr">
        <is>
          <t>공개 RSS 허브를 유지하지 않아 채널 경유로만 확보한다. 세계 뉴스 섹션 기사는 지정학·해운 사건의 발생 여부 확인용이며 가격 방향은 온톨로지 인과엣지를 거쳐서만 해석한다.</t>
        </is>
      </c>
      <c r="N178" s="16" t="inlineStr">
        <is>
          <t>Signal/Media</t>
        </is>
      </c>
      <c r="O178" s="16" t="inlineStr">
        <is>
          <t>CONTEXT</t>
        </is>
      </c>
      <c r="P178" s="16" t="inlineStr">
        <is>
          <t>articles/day</t>
        </is>
      </c>
      <c r="Q178" s="16" t="inlineStr">
        <is>
          <t>없음(주제 태깅 후 감성 지표로만)</t>
        </is>
      </c>
      <c r="R178" s="16" t="inlineStr">
        <is>
          <t>C</t>
        </is>
      </c>
      <c r="S178" s="16" t="inlineStr">
        <is>
          <t>하</t>
        </is>
      </c>
      <c r="T178" s="16" t="inlineStr">
        <is>
          <t>MediaSource</t>
        </is>
      </c>
      <c r="U178" s="16" t="inlineStr">
        <is>
          <t>COLLECTED_VIA,PROVIDES</t>
        </is>
      </c>
      <c r="V178" s="16" t="inlineStr">
        <is>
          <t>GH-DIGEST,media_source_fallback_design_2026_09_13.md</t>
        </is>
      </c>
    </row>
    <row r="179" ht="42" customHeight="1">
      <c r="A179" s="16" t="inlineStr">
        <is>
          <t>TERM-178</t>
        </is>
      </c>
      <c r="B179" s="16" t="inlineStr">
        <is>
          <t>데이터·시맨틱·품질</t>
        </is>
      </c>
      <c r="C179" s="16" t="inlineStr">
        <is>
          <t>Data, Semantics &amp; Quality</t>
        </is>
      </c>
      <c r="D179" s="16" t="inlineStr">
        <is>
          <t>매체·수집 채널</t>
        </is>
      </c>
      <c r="E179" s="16" t="inlineStr">
        <is>
          <t>Media &amp; Collection Channels</t>
        </is>
      </c>
      <c r="F179" s="16" t="inlineStr">
        <is>
          <t>매체·수집 채널</t>
        </is>
      </c>
      <c r="G179" s="16" t="inlineStr">
        <is>
          <t>Google News RSS Search Proxy</t>
        </is>
      </c>
      <c r="H179" s="16" t="inlineStr">
        <is>
          <t>구글 뉴스 RSS 검색 프록시</t>
        </is>
      </c>
      <c r="I179" s="16" t="inlineStr">
        <is>
          <t>CH-GNEWS</t>
        </is>
      </c>
      <c r="J179" s="16" t="inlineStr">
        <is>
          <t>Google News RSS; news.google.com/rss/search</t>
        </is>
      </c>
      <c r="K179" s="16" t="inlineStr">
        <is>
          <t>DataSource</t>
        </is>
      </c>
      <c r="L179" s="16" t="inlineStr">
        <is>
          <t>매체 도메인과 주제어를 질의에 넣어 서버 측에서 좁힌 결과를 RSS로 돌려주는 검색 프록시 채널이다.</t>
        </is>
      </c>
      <c r="M179" s="16" t="inlineStr">
        <is>
          <t>공개 RSS가 없는 매체의 1순위 채널이다. 결과 링크는 리다이렉트 URL일 수 있어 중복 제거는 정규화한 링크 기준으로 한다. 비공식 서비스라 형식 변경·차단 시 다음 채널로 넘어간다.</t>
        </is>
      </c>
      <c r="N179" s="16" t="inlineStr">
        <is>
          <t>Signal/Media</t>
        </is>
      </c>
      <c r="O179" s="16" t="inlineStr">
        <is>
          <t>CONTEXT</t>
        </is>
      </c>
      <c r="P179" s="16" t="inlineStr">
        <is>
          <t>articles/day</t>
        </is>
      </c>
      <c r="Q179" s="16" t="inlineStr">
        <is>
          <t>없음(주제 태깅 후 감성 지표로만)</t>
        </is>
      </c>
      <c r="R179" s="16" t="inlineStr">
        <is>
          <t>C</t>
        </is>
      </c>
      <c r="S179" s="16" t="inlineStr">
        <is>
          <t>하</t>
        </is>
      </c>
      <c r="T179" s="16" t="inlineStr">
        <is>
          <t>CollectionChannel</t>
        </is>
      </c>
      <c r="U179" s="16" t="inlineStr">
        <is>
          <t>PROVIDES</t>
        </is>
      </c>
      <c r="V179" s="16" t="inlineStr">
        <is>
          <t>GH-DIGEST,media_source_fallback_design_2026_09_13.md</t>
        </is>
      </c>
    </row>
    <row r="180" ht="42" customHeight="1">
      <c r="A180" s="16" t="inlineStr">
        <is>
          <t>TERM-179</t>
        </is>
      </c>
      <c r="B180" s="16" t="inlineStr">
        <is>
          <t>데이터·시맨틱·품질</t>
        </is>
      </c>
      <c r="C180" s="16" t="inlineStr">
        <is>
          <t>Data, Semantics &amp; Quality</t>
        </is>
      </c>
      <c r="D180" s="16" t="inlineStr">
        <is>
          <t>매체·수집 채널</t>
        </is>
      </c>
      <c r="E180" s="16" t="inlineStr">
        <is>
          <t>Media &amp; Collection Channels</t>
        </is>
      </c>
      <c r="F180" s="16" t="inlineStr">
        <is>
          <t>매체·수집 채널</t>
        </is>
      </c>
      <c r="G180" s="16" t="inlineStr">
        <is>
          <t>GDELT DOC 2.0 API</t>
        </is>
      </c>
      <c r="H180" s="16" t="inlineStr">
        <is>
          <t>GDELT 문서 API</t>
        </is>
      </c>
      <c r="I180" s="16" t="inlineStr">
        <is>
          <t>CH-GDELT</t>
        </is>
      </c>
      <c r="J180" s="16" t="inlineStr">
        <is>
          <t>GDELT DOC; api.gdeltproject.org/api/v2/doc</t>
        </is>
      </c>
      <c r="K180" s="16" t="inlineStr">
        <is>
          <t>DataSource</t>
        </is>
      </c>
      <c r="L180" s="16" t="inlineStr">
        <is>
          <t>전 세계 뉴스 색인에서 도메인·주제어·기간으로 기사 목록을 JSON으로 돌려주는 공개 API 채널이다.</t>
        </is>
      </c>
      <c r="M180" s="16" t="inlineStr">
        <is>
          <t>2순위 채널이다. 도메인 필터는 부분 문자열 매칭이며 색인 시각(seendate)은 발행일이 아니라 하루 정도 늦을 수 있다. 무료 레이트리밋이 엄격해 호출 간격을 두고 429는 재시도한다.</t>
        </is>
      </c>
      <c r="N180" s="16" t="inlineStr">
        <is>
          <t>Signal/Media</t>
        </is>
      </c>
      <c r="O180" s="16" t="inlineStr">
        <is>
          <t>CONTEXT</t>
        </is>
      </c>
      <c r="P180" s="16" t="inlineStr">
        <is>
          <t>articles/day</t>
        </is>
      </c>
      <c r="Q180" s="16" t="inlineStr">
        <is>
          <t>없음(주제 태깅 후 감성 지표로만)</t>
        </is>
      </c>
      <c r="R180" s="16" t="inlineStr">
        <is>
          <t>C</t>
        </is>
      </c>
      <c r="S180" s="16" t="inlineStr">
        <is>
          <t>하</t>
        </is>
      </c>
      <c r="T180" s="16" t="inlineStr">
        <is>
          <t>CollectionChannel</t>
        </is>
      </c>
      <c r="U180" s="16" t="inlineStr">
        <is>
          <t>PROVIDES</t>
        </is>
      </c>
      <c r="V180" s="16" t="inlineStr">
        <is>
          <t>GH-DIGEST,media_source_fallback_design_2026_09_13.md</t>
        </is>
      </c>
    </row>
    <row r="181" ht="42" customHeight="1">
      <c r="A181" s="16" t="inlineStr">
        <is>
          <t>TERM-180</t>
        </is>
      </c>
      <c r="B181" s="16" t="inlineStr">
        <is>
          <t>데이터·시맨틱·품질</t>
        </is>
      </c>
      <c r="C181" s="16" t="inlineStr">
        <is>
          <t>Data, Semantics &amp; Quality</t>
        </is>
      </c>
      <c r="D181" s="16" t="inlineStr">
        <is>
          <t>매체·수집 채널</t>
        </is>
      </c>
      <c r="E181" s="16" t="inlineStr">
        <is>
          <t>Media &amp; Collection Channels</t>
        </is>
      </c>
      <c r="F181" s="16" t="inlineStr">
        <is>
          <t>매체·수집 채널</t>
        </is>
      </c>
      <c r="G181" s="16" t="inlineStr">
        <is>
          <t>Bing News RSS</t>
        </is>
      </c>
      <c r="H181" s="16" t="inlineStr">
        <is>
          <t>빙 뉴스 RSS</t>
        </is>
      </c>
      <c r="I181" s="16" t="inlineStr">
        <is>
          <t>CH-BING</t>
        </is>
      </c>
      <c r="J181" s="16" t="inlineStr">
        <is>
          <t>Bing News search RSS; bing.com/news/search?format=rss</t>
        </is>
      </c>
      <c r="K181" s="16" t="inlineStr">
        <is>
          <t>DataSource</t>
        </is>
      </c>
      <c r="L181" s="16" t="inlineStr">
        <is>
          <t>검색 결과를 표준 RSS 2.0으로 돌려주는 빙 뉴스 검색 채널로 앞선 두 채널이 비었을 때의 3순위 폴백이다.</t>
        </is>
      </c>
      <c r="M181" s="16" t="inlineStr">
        <is>
          <t>결과 건수 상한이 약 14건으로 낮아 기사 수를 다른 채널과 비교하지 않는다. 첫 실행 로그로 실제 동작을 확정하기 전까지 설계 상태(inference)로 둔다.</t>
        </is>
      </c>
      <c r="N181" s="16" t="inlineStr">
        <is>
          <t>Signal/Media</t>
        </is>
      </c>
      <c r="O181" s="16" t="inlineStr">
        <is>
          <t>CONTEXT</t>
        </is>
      </c>
      <c r="P181" s="16" t="inlineStr">
        <is>
          <t>articles/day</t>
        </is>
      </c>
      <c r="Q181" s="16" t="inlineStr">
        <is>
          <t>없음(주제 태깅 후 감성 지표로만)</t>
        </is>
      </c>
      <c r="R181" s="16" t="inlineStr">
        <is>
          <t>C</t>
        </is>
      </c>
      <c r="S181" s="16" t="inlineStr">
        <is>
          <t>하</t>
        </is>
      </c>
      <c r="T181" s="16" t="inlineStr">
        <is>
          <t>CollectionChannel</t>
        </is>
      </c>
      <c r="U181" s="16" t="inlineStr">
        <is>
          <t>PROVIDES</t>
        </is>
      </c>
      <c r="V181" s="16" t="inlineStr">
        <is>
          <t>GH-DIGEST,media_source_fallback_design_2026_09_13.md</t>
        </is>
      </c>
    </row>
    <row r="182" ht="42" customHeight="1">
      <c r="A182" s="16" t="inlineStr">
        <is>
          <t>TERM-181</t>
        </is>
      </c>
      <c r="B182" s="16" t="inlineStr">
        <is>
          <t>데이터·시맨틱·품질</t>
        </is>
      </c>
      <c r="C182" s="16" t="inlineStr">
        <is>
          <t>Data, Semantics &amp; Quality</t>
        </is>
      </c>
      <c r="D182" s="16" t="inlineStr">
        <is>
          <t>매체·수집 채널</t>
        </is>
      </c>
      <c r="E182" s="16" t="inlineStr">
        <is>
          <t>Media &amp; Collection Channels</t>
        </is>
      </c>
      <c r="F182" s="16" t="inlineStr">
        <is>
          <t>매체·수집 채널</t>
        </is>
      </c>
      <c r="G182" s="16" t="inlineStr">
        <is>
          <t>farmdoc daily</t>
        </is>
      </c>
      <c r="H182" s="16" t="inlineStr">
        <is>
          <t>팜닥 데일리(일리노이대)</t>
        </is>
      </c>
      <c r="I182" s="16" t="inlineStr">
        <is>
          <t>RSS_FARMDOC_DAILY</t>
        </is>
      </c>
      <c r="J182" s="16" t="inlineStr">
        <is>
          <t>farmdocdaily.illinois.edu; farmdoc</t>
        </is>
      </c>
      <c r="K182" s="16" t="inlineStr">
        <is>
          <t>DataSource</t>
        </is>
      </c>
      <c r="L182" s="16" t="inlineStr">
        <is>
          <t>일리노이대 농업경제 연구진이 미국 대두·바이오연료 정책과 압착 마진을 분석해 발행하는 일간 매체다.</t>
        </is>
      </c>
      <c r="M182" s="16" t="inlineStr">
        <is>
          <t>공식 RSS로 직접 수집한다. 재생디젤·RFS 시리즈는 인과엣지 근거로 이미 등재돼 있으므로 새 기사는 기존 근거의 갱신인지 새 주장인지 구분해 태깅한다.</t>
        </is>
      </c>
      <c r="N182" s="16" t="inlineStr">
        <is>
          <t>Signal/Media</t>
        </is>
      </c>
      <c r="O182" s="16" t="inlineStr">
        <is>
          <t>CONTEXT</t>
        </is>
      </c>
      <c r="P182" s="16" t="inlineStr">
        <is>
          <t>articles/day</t>
        </is>
      </c>
      <c r="Q182" s="16" t="inlineStr">
        <is>
          <t>없음(주제 태깅 후 감성 지표로만)</t>
        </is>
      </c>
      <c r="R182" s="16" t="inlineStr">
        <is>
          <t>C</t>
        </is>
      </c>
      <c r="S182" s="16" t="inlineStr">
        <is>
          <t>하</t>
        </is>
      </c>
      <c r="T182" s="16" t="inlineStr">
        <is>
          <t>MediaSource</t>
        </is>
      </c>
      <c r="U182" s="16" t="inlineStr">
        <is>
          <t>COLLECTED_VIA,PROVIDES</t>
        </is>
      </c>
      <c r="V182" s="16" t="inlineStr">
        <is>
          <t>GH-DIGEST,media_source_fallback_design_2026_09_13.md</t>
        </is>
      </c>
    </row>
    <row r="183" ht="42" customHeight="1">
      <c r="A183" s="16" t="inlineStr">
        <is>
          <t>TERM-182</t>
        </is>
      </c>
      <c r="B183" s="16" t="inlineStr">
        <is>
          <t>데이터·시맨틱·품질</t>
        </is>
      </c>
      <c r="C183" s="16" t="inlineStr">
        <is>
          <t>Data, Semantics &amp; Quality</t>
        </is>
      </c>
      <c r="D183" s="16" t="inlineStr">
        <is>
          <t>매체·수집 채널</t>
        </is>
      </c>
      <c r="E183" s="16" t="inlineStr">
        <is>
          <t>Media &amp; Collection Channels</t>
        </is>
      </c>
      <c r="F183" s="16" t="inlineStr">
        <is>
          <t>매체·수집 채널</t>
        </is>
      </c>
      <c r="G183" s="16" t="inlineStr">
        <is>
          <t>World Grain</t>
        </is>
      </c>
      <c r="H183" s="16" t="inlineStr">
        <is>
          <t>월드 그레인</t>
        </is>
      </c>
      <c r="I183" s="16" t="inlineStr">
        <is>
          <t>RSS_WORLD_GRAIN</t>
        </is>
      </c>
      <c r="J183" s="16" t="inlineStr">
        <is>
          <t>world-grain.com</t>
        </is>
      </c>
      <c r="K183" s="16" t="inlineStr">
        <is>
          <t>DataSource</t>
        </is>
      </c>
      <c r="L183" s="16" t="inlineStr">
        <is>
          <t>곡물·유지종자 산업의 설비 투자·무역·물류 소식을 다루는 산업 전문지다.</t>
        </is>
      </c>
      <c r="M183" s="16" t="inlineStr">
        <is>
          <t>공식 RSS로 직접 수집한다. 압착 설비 증설 기사는 공시 용량이며 실제 처리량이 아니다(용량≠처리량).</t>
        </is>
      </c>
      <c r="N183" s="16" t="inlineStr">
        <is>
          <t>Signal/Media</t>
        </is>
      </c>
      <c r="O183" s="16" t="inlineStr">
        <is>
          <t>CONTEXT</t>
        </is>
      </c>
      <c r="P183" s="16" t="inlineStr">
        <is>
          <t>articles/day</t>
        </is>
      </c>
      <c r="Q183" s="16" t="inlineStr">
        <is>
          <t>없음(주제 태깅 후 감성 지표로만)</t>
        </is>
      </c>
      <c r="R183" s="16" t="inlineStr">
        <is>
          <t>C</t>
        </is>
      </c>
      <c r="S183" s="16" t="inlineStr">
        <is>
          <t>하</t>
        </is>
      </c>
      <c r="T183" s="16" t="inlineStr">
        <is>
          <t>MediaSource</t>
        </is>
      </c>
      <c r="U183" s="16" t="inlineStr">
        <is>
          <t>COLLECTED_VIA,PROVIDES</t>
        </is>
      </c>
      <c r="V183" s="16" t="inlineStr">
        <is>
          <t>GH-DIGEST,media_source_fallback_design_2026_09_13.md</t>
        </is>
      </c>
    </row>
    <row r="184" ht="42" customHeight="1">
      <c r="A184" s="16" t="inlineStr">
        <is>
          <t>TERM-183</t>
        </is>
      </c>
      <c r="B184" s="16" t="inlineStr">
        <is>
          <t>데이터·시맨틱·품질</t>
        </is>
      </c>
      <c r="C184" s="16" t="inlineStr">
        <is>
          <t>Data, Semantics &amp; Quality</t>
        </is>
      </c>
      <c r="D184" s="16" t="inlineStr">
        <is>
          <t>매체·수집 채널</t>
        </is>
      </c>
      <c r="E184" s="16" t="inlineStr">
        <is>
          <t>Media &amp; Collection Channels</t>
        </is>
      </c>
      <c r="F184" s="16" t="inlineStr">
        <is>
          <t>매체·수집 채널</t>
        </is>
      </c>
      <c r="G184" s="16" t="inlineStr">
        <is>
          <t>Oils &amp; Fats International</t>
        </is>
      </c>
      <c r="H184" s="16" t="inlineStr">
        <is>
          <t>OFI 유지 산업지</t>
        </is>
      </c>
      <c r="I184" s="16" t="inlineStr">
        <is>
          <t>RSS_OFI_MAGAZINE</t>
        </is>
      </c>
      <c r="J184" s="16" t="inlineStr">
        <is>
          <t>OFI; ofimagazine.com</t>
        </is>
      </c>
      <c r="K184" s="16" t="inlineStr">
        <is>
          <t>DataSource</t>
        </is>
      </c>
      <c r="L184" s="16" t="inlineStr">
        <is>
          <t>식물성 유지·유지종자 가공 산업의 수급·정책·기업 동향을 다루는 유지 전문 산업지다.</t>
        </is>
      </c>
      <c r="M184" s="16" t="inlineStr">
        <is>
          <t>공식 RSS로 직접 수집한다. 팜유·해바라기유 기사는 대두유−팜유 가격 차이 해석 규칙(공행성 붕괴 이후 평균회귀 가정 금지)을 적용해 태깅한다.</t>
        </is>
      </c>
      <c r="N184" s="16" t="inlineStr">
        <is>
          <t>Signal/Media</t>
        </is>
      </c>
      <c r="O184" s="16" t="inlineStr">
        <is>
          <t>CONTEXT</t>
        </is>
      </c>
      <c r="P184" s="16" t="inlineStr">
        <is>
          <t>articles/day</t>
        </is>
      </c>
      <c r="Q184" s="16" t="inlineStr">
        <is>
          <t>없음(주제 태깅 후 감성 지표로만)</t>
        </is>
      </c>
      <c r="R184" s="16" t="inlineStr">
        <is>
          <t>C</t>
        </is>
      </c>
      <c r="S184" s="16" t="inlineStr">
        <is>
          <t>하</t>
        </is>
      </c>
      <c r="T184" s="16" t="inlineStr">
        <is>
          <t>MediaSource</t>
        </is>
      </c>
      <c r="U184" s="16" t="inlineStr">
        <is>
          <t>COLLECTED_VIA,PROVIDES</t>
        </is>
      </c>
      <c r="V184" s="16" t="inlineStr">
        <is>
          <t>GH-DIGEST,media_source_fallback_design_2026_09_13.md</t>
        </is>
      </c>
    </row>
    <row r="185" ht="42" customHeight="1">
      <c r="A185" s="16" t="inlineStr">
        <is>
          <t>TERM-184</t>
        </is>
      </c>
      <c r="B185" s="16" t="inlineStr">
        <is>
          <t>데이터·시맨틱·품질</t>
        </is>
      </c>
      <c r="C185" s="16" t="inlineStr">
        <is>
          <t>Data, Semantics &amp; Quality</t>
        </is>
      </c>
      <c r="D185" s="16" t="inlineStr">
        <is>
          <t>매체·수집 채널</t>
        </is>
      </c>
      <c r="E185" s="16" t="inlineStr">
        <is>
          <t>Media &amp; Collection Channels</t>
        </is>
      </c>
      <c r="F185" s="16" t="inlineStr">
        <is>
          <t>매체·수집 채널</t>
        </is>
      </c>
      <c r="G185" s="16" t="inlineStr">
        <is>
          <t>GRAIN</t>
        </is>
      </c>
      <c r="H185" s="16" t="inlineStr">
        <is>
          <t>그레인(농업 NGO)</t>
        </is>
      </c>
      <c r="I185" s="16" t="inlineStr">
        <is>
          <t>RSS_GRAIN_ORG</t>
        </is>
      </c>
      <c r="J185" s="16" t="inlineStr">
        <is>
          <t>grain.org</t>
        </is>
      </c>
      <c r="K185" s="16" t="inlineStr">
        <is>
          <t>DataSource</t>
        </is>
      </c>
      <c r="L185" s="16" t="inlineStr">
        <is>
          <t>농업·식량 체계를 감시하는 국제 비정부기구로 토지·무역·기업 집중 관련 보고서와 기사를 발행한다.</t>
        </is>
      </c>
      <c r="M185" s="16" t="inlineStr">
        <is>
          <t>공식 RSS로 직접 수집한다. 옹호 성격의 매체라 수치는 원자료 출처를 확인한 뒤에만 인용하고 기업 집중도 주장은 선적 실거래 기준 집중도 지표와 혼용하지 않는다.</t>
        </is>
      </c>
      <c r="N185" s="16" t="inlineStr">
        <is>
          <t>Signal/Media</t>
        </is>
      </c>
      <c r="O185" s="16" t="inlineStr">
        <is>
          <t>CONTEXT</t>
        </is>
      </c>
      <c r="P185" s="16" t="inlineStr">
        <is>
          <t>articles/day</t>
        </is>
      </c>
      <c r="Q185" s="16" t="inlineStr">
        <is>
          <t>없음(주제 태깅 후 감성 지표로만)</t>
        </is>
      </c>
      <c r="R185" s="16" t="inlineStr">
        <is>
          <t>C</t>
        </is>
      </c>
      <c r="S185" s="16" t="inlineStr">
        <is>
          <t>하</t>
        </is>
      </c>
      <c r="T185" s="16" t="inlineStr">
        <is>
          <t>MediaSource</t>
        </is>
      </c>
      <c r="U185" s="16" t="inlineStr">
        <is>
          <t>COLLECTED_VIA,PROVIDES</t>
        </is>
      </c>
      <c r="V185" s="16" t="inlineStr">
        <is>
          <t>GH-DIGEST,media_source_fallback_design_2026_09_13.md</t>
        </is>
      </c>
    </row>
    <row r="186" ht="42" customHeight="1">
      <c r="A186" s="16" t="inlineStr">
        <is>
          <t>TERM-185</t>
        </is>
      </c>
      <c r="B186" s="16" t="inlineStr">
        <is>
          <t>데이터·시맨틱·품질</t>
        </is>
      </c>
      <c r="C186" s="16" t="inlineStr">
        <is>
          <t>Data, Semantics &amp; Quality</t>
        </is>
      </c>
      <c r="D186" s="16" t="inlineStr">
        <is>
          <t>매체·수집 채널</t>
        </is>
      </c>
      <c r="E186" s="16" t="inlineStr">
        <is>
          <t>Media &amp; Collection Channels</t>
        </is>
      </c>
      <c r="F186" s="16" t="inlineStr">
        <is>
          <t>매체·수집 채널</t>
        </is>
      </c>
      <c r="G186" s="16" t="inlineStr">
        <is>
          <t>American Soybean Association</t>
        </is>
      </c>
      <c r="H186" s="16" t="inlineStr">
        <is>
          <t>미국 대두협회</t>
        </is>
      </c>
      <c r="I186" s="16" t="inlineStr">
        <is>
          <t>RSS_SOYGROWERS</t>
        </is>
      </c>
      <c r="J186" s="16" t="inlineStr">
        <is>
          <t>ASA; soygrowers.com</t>
        </is>
      </c>
      <c r="K186" s="16" t="inlineStr">
        <is>
          <t>DataSource</t>
        </is>
      </c>
      <c r="L186" s="16" t="inlineStr">
        <is>
          <t>미국 대두 생산자 단체로 바이오연료 정책·무역 협상·작황에 관한 입장과 소식을 발행한다.</t>
        </is>
      </c>
      <c r="M186" s="16" t="inlineStr">
        <is>
          <t>공식 RSS로 직접 수집한다. 생산자 이익단체의 발표이므로 정책 요구와 확정 정책을 구분하고 발표일과 시행일을 분리해 기록한다.</t>
        </is>
      </c>
      <c r="N186" s="16" t="inlineStr">
        <is>
          <t>Signal/Media</t>
        </is>
      </c>
      <c r="O186" s="16" t="inlineStr">
        <is>
          <t>CONTEXT</t>
        </is>
      </c>
      <c r="P186" s="16" t="inlineStr">
        <is>
          <t>articles/day</t>
        </is>
      </c>
      <c r="Q186" s="16" t="inlineStr">
        <is>
          <t>없음(주제 태깅 후 감성 지표로만)</t>
        </is>
      </c>
      <c r="R186" s="16" t="inlineStr">
        <is>
          <t>C</t>
        </is>
      </c>
      <c r="S186" s="16" t="inlineStr">
        <is>
          <t>하</t>
        </is>
      </c>
      <c r="T186" s="16" t="inlineStr">
        <is>
          <t>MediaSource</t>
        </is>
      </c>
      <c r="U186" s="16" t="inlineStr">
        <is>
          <t>COLLECTED_VIA,PROVIDES</t>
        </is>
      </c>
      <c r="V186" s="16" t="inlineStr">
        <is>
          <t>GH-DIGEST,media_source_fallback_design_2026_09_13.md</t>
        </is>
      </c>
    </row>
    <row r="187" ht="42" customHeight="1">
      <c r="A187" s="16" t="inlineStr">
        <is>
          <t>TERM-186</t>
        </is>
      </c>
      <c r="B187" s="16" t="inlineStr">
        <is>
          <t>데이터·시맨틱·품질</t>
        </is>
      </c>
      <c r="C187" s="16" t="inlineStr">
        <is>
          <t>Data, Semantics &amp; Quality</t>
        </is>
      </c>
      <c r="D187" s="16" t="inlineStr">
        <is>
          <t>매체·수집 채널</t>
        </is>
      </c>
      <c r="E187" s="16" t="inlineStr">
        <is>
          <t>Media &amp; Collection Channels</t>
        </is>
      </c>
      <c r="F187" s="16" t="inlineStr">
        <is>
          <t>매체·수집 채널</t>
        </is>
      </c>
      <c r="G187" s="16" t="inlineStr">
        <is>
          <t>Climatepol</t>
        </is>
      </c>
      <c r="H187" s="16" t="inlineStr">
        <is>
          <t>크라이미트폴</t>
        </is>
      </c>
      <c r="I187" s="16" t="inlineStr">
        <is>
          <t>RSS_CLIMATEPOL</t>
        </is>
      </c>
      <c r="J187" s="16" t="inlineStr">
        <is>
          <t>climatepol.com; 클라이미트폴</t>
        </is>
      </c>
      <c r="K187" s="16" t="inlineStr">
        <is>
          <t>DataSource</t>
        </is>
      </c>
      <c r="L187" s="16" t="inlineStr">
        <is>
          <t>기후·에너지 정책과 바이오연료·지속가능항공유 동향을 한국어로 보도하는 전문 매체다.</t>
        </is>
      </c>
      <c r="M187" s="16" t="inlineStr">
        <is>
          <t>공식 RSS로 직접 수집하며 키워드 게이트는 한국어 사전을 적용한다. 정책 단계(제안·확정·시행)를 구분해 태깅하고 해외 정책 수치는 원문 단계와 혼용하지 않는다.</t>
        </is>
      </c>
      <c r="N187" s="16" t="inlineStr">
        <is>
          <t>Signal/Media</t>
        </is>
      </c>
      <c r="O187" s="16" t="inlineStr">
        <is>
          <t>CONTEXT</t>
        </is>
      </c>
      <c r="P187" s="16" t="inlineStr">
        <is>
          <t>articles/day</t>
        </is>
      </c>
      <c r="Q187" s="16" t="inlineStr">
        <is>
          <t>없음(주제 태깅 후 감성 지표로만)</t>
        </is>
      </c>
      <c r="R187" s="16" t="inlineStr">
        <is>
          <t>C</t>
        </is>
      </c>
      <c r="S187" s="16" t="inlineStr">
        <is>
          <t>하</t>
        </is>
      </c>
      <c r="T187" s="16" t="inlineStr">
        <is>
          <t>MediaSource</t>
        </is>
      </c>
      <c r="U187" s="16" t="inlineStr">
        <is>
          <t>COLLECTED_VIA,PROVIDES</t>
        </is>
      </c>
      <c r="V187" s="16" t="inlineStr">
        <is>
          <t>GH-DIGEST,media_source_fallback_design_2026_09_13.md</t>
        </is>
      </c>
    </row>
    <row r="188" ht="42" customHeight="1">
      <c r="A188" s="16" t="inlineStr">
        <is>
          <t>TERM-187</t>
        </is>
      </c>
      <c r="B188" s="16" t="inlineStr">
        <is>
          <t>데이터·시맨틱·품질</t>
        </is>
      </c>
      <c r="C188" s="16" t="inlineStr">
        <is>
          <t>Data, Semantics &amp; Quality</t>
        </is>
      </c>
      <c r="D188" s="16" t="inlineStr">
        <is>
          <t>매체·수집 채널</t>
        </is>
      </c>
      <c r="E188" s="16" t="inlineStr">
        <is>
          <t>Media &amp; Collection Channels</t>
        </is>
      </c>
      <c r="F188" s="16" t="inlineStr">
        <is>
          <t>매체·수집 채널</t>
        </is>
      </c>
      <c r="G188" s="16" t="inlineStr">
        <is>
          <t>AgMarket.Net</t>
        </is>
      </c>
      <c r="H188" s="16" t="inlineStr">
        <is>
          <t>애그마켓</t>
        </is>
      </c>
      <c r="I188" s="16" t="inlineStr">
        <is>
          <t>RSS_AGMARKET</t>
        </is>
      </c>
      <c r="J188" s="16" t="inlineStr">
        <is>
          <t>agmarket.net</t>
        </is>
      </c>
      <c r="K188" s="16" t="inlineStr">
        <is>
          <t>DataSource</t>
        </is>
      </c>
      <c r="L188" s="16" t="inlineStr">
        <is>
          <t>미국 농산물 선물 시황과 헤지 관점의 일일 코멘터리를 발행하는 시장 분석 매체다.</t>
        </is>
      </c>
      <c r="M188" s="16" t="inlineStr">
        <is>
          <t>공식 RSS로 직접 수집한다. 시황 코멘터리의 방향 전망은 근거 발췌와 함께 기록하되 예측 문장은 모델 학습 입력으로 쓰지 않는다.</t>
        </is>
      </c>
      <c r="N188" s="16" t="inlineStr">
        <is>
          <t>Signal/Media</t>
        </is>
      </c>
      <c r="O188" s="16" t="inlineStr">
        <is>
          <t>CONTEXT</t>
        </is>
      </c>
      <c r="P188" s="16" t="inlineStr">
        <is>
          <t>articles/day</t>
        </is>
      </c>
      <c r="Q188" s="16" t="inlineStr">
        <is>
          <t>없음(주제 태깅 후 감성 지표로만)</t>
        </is>
      </c>
      <c r="R188" s="16" t="inlineStr">
        <is>
          <t>C</t>
        </is>
      </c>
      <c r="S188" s="16" t="inlineStr">
        <is>
          <t>하</t>
        </is>
      </c>
      <c r="T188" s="16" t="inlineStr">
        <is>
          <t>MediaSource</t>
        </is>
      </c>
      <c r="U188" s="16" t="inlineStr">
        <is>
          <t>COLLECTED_VIA,PROVIDES</t>
        </is>
      </c>
      <c r="V188" s="16" t="inlineStr">
        <is>
          <t>GH-DIGEST,media_source_fallback_design_2026_09_13.md</t>
        </is>
      </c>
    </row>
    <row r="189" ht="42" customHeight="1">
      <c r="A189" s="16" t="inlineStr">
        <is>
          <t>TERM-188</t>
        </is>
      </c>
      <c r="B189" s="16" t="inlineStr">
        <is>
          <t>데이터·시맨틱·품질</t>
        </is>
      </c>
      <c r="C189" s="16" t="inlineStr">
        <is>
          <t>Data, Semantics &amp; Quality</t>
        </is>
      </c>
      <c r="D189" s="16" t="inlineStr">
        <is>
          <t>매체·수집 채널</t>
        </is>
      </c>
      <c r="E189" s="16" t="inlineStr">
        <is>
          <t>Media &amp; Collection Channels</t>
        </is>
      </c>
      <c r="F189" s="16" t="inlineStr">
        <is>
          <t>매체·수집 채널</t>
        </is>
      </c>
      <c r="G189" s="16" t="inlineStr">
        <is>
          <t>Grain Central</t>
        </is>
      </c>
      <c r="H189" s="16" t="inlineStr">
        <is>
          <t>그레인 센트럴</t>
        </is>
      </c>
      <c r="I189" s="16" t="inlineStr">
        <is>
          <t>RSS_GRAINCENTRAL</t>
        </is>
      </c>
      <c r="J189" s="16" t="inlineStr">
        <is>
          <t>graincentral.com</t>
        </is>
      </c>
      <c r="K189" s="16" t="inlineStr">
        <is>
          <t>DataSource</t>
        </is>
      </c>
      <c r="L189" s="16" t="inlineStr">
        <is>
          <t>호주 곡물·유지종자 산업의 작황·수출·물류 소식을 다루는 산업 매체다.</t>
        </is>
      </c>
      <c r="M189" s="16" t="inlineStr">
        <is>
          <t>공식 RSS로 직접 수집한다. 호주 유채 작황 기사는 유채유 경로(EU 바이오디젤 수요)의 배경 신호로만 태깅하고 대두유 가격 방향으로 직접 변환하지 않는다.</t>
        </is>
      </c>
      <c r="N189" s="16" t="inlineStr">
        <is>
          <t>Signal/Media</t>
        </is>
      </c>
      <c r="O189" s="16" t="inlineStr">
        <is>
          <t>CONTEXT</t>
        </is>
      </c>
      <c r="P189" s="16" t="inlineStr">
        <is>
          <t>articles/day</t>
        </is>
      </c>
      <c r="Q189" s="16" t="inlineStr">
        <is>
          <t>없음(주제 태깅 후 감성 지표로만)</t>
        </is>
      </c>
      <c r="R189" s="16" t="inlineStr">
        <is>
          <t>C</t>
        </is>
      </c>
      <c r="S189" s="16" t="inlineStr">
        <is>
          <t>하</t>
        </is>
      </c>
      <c r="T189" s="16" t="inlineStr">
        <is>
          <t>MediaSource</t>
        </is>
      </c>
      <c r="U189" s="16" t="inlineStr">
        <is>
          <t>COLLECTED_VIA,PROVIDES</t>
        </is>
      </c>
      <c r="V189" s="16" t="inlineStr">
        <is>
          <t>GH-DIGEST,media_source_fallback_design_2026_09_13.md</t>
        </is>
      </c>
    </row>
    <row r="190" ht="42" customHeight="1">
      <c r="A190" s="16" t="inlineStr">
        <is>
          <t>TERM-189</t>
        </is>
      </c>
      <c r="B190" s="16" t="inlineStr">
        <is>
          <t>데이터·시맨틱·품질</t>
        </is>
      </c>
      <c r="C190" s="16" t="inlineStr">
        <is>
          <t>Data, Semantics &amp; Quality</t>
        </is>
      </c>
      <c r="D190" s="16" t="inlineStr">
        <is>
          <t>매체·수집 채널</t>
        </is>
      </c>
      <c r="E190" s="16" t="inlineStr">
        <is>
          <t>Media &amp; Collection Channels</t>
        </is>
      </c>
      <c r="F190" s="16" t="inlineStr">
        <is>
          <t>매체·수집 채널</t>
        </is>
      </c>
      <c r="G190" s="16" t="inlineStr">
        <is>
          <t>Total Farm Marketing</t>
        </is>
      </c>
      <c r="H190" s="16" t="inlineStr">
        <is>
          <t>토탈 팜 마케팅</t>
        </is>
      </c>
      <c r="I190" s="16" t="inlineStr">
        <is>
          <t>RSS_TFM</t>
        </is>
      </c>
      <c r="J190" s="16" t="inlineStr">
        <is>
          <t>TFM; totalfarmmarketing.com</t>
        </is>
      </c>
      <c r="K190" s="16" t="inlineStr">
        <is>
          <t>DataSource</t>
        </is>
      </c>
      <c r="L190" s="16" t="inlineStr">
        <is>
          <t>미국 농가 대상 곡물·유지종자 마케팅 자문사로 일일 시황 브리프와 위험관리 코멘트를 발행한다.</t>
        </is>
      </c>
      <c r="M190" s="16" t="inlineStr">
        <is>
          <t>공식 RSS로 직접 수집한다. 자문사의 매도·헤지 권고는 생산자 관점이므로 조달 관점의 구매·보류 판단으로 뒤집어 읽지 않는다.</t>
        </is>
      </c>
      <c r="N190" s="16" t="inlineStr">
        <is>
          <t>Signal/Media</t>
        </is>
      </c>
      <c r="O190" s="16" t="inlineStr">
        <is>
          <t>CONTEXT</t>
        </is>
      </c>
      <c r="P190" s="16" t="inlineStr">
        <is>
          <t>articles/day</t>
        </is>
      </c>
      <c r="Q190" s="16" t="inlineStr">
        <is>
          <t>없음(주제 태깅 후 감성 지표로만)</t>
        </is>
      </c>
      <c r="R190" s="16" t="inlineStr">
        <is>
          <t>C</t>
        </is>
      </c>
      <c r="S190" s="16" t="inlineStr">
        <is>
          <t>하</t>
        </is>
      </c>
      <c r="T190" s="16" t="inlineStr">
        <is>
          <t>MediaSource</t>
        </is>
      </c>
      <c r="U190" s="16" t="inlineStr">
        <is>
          <t>COLLECTED_VIA,PROVIDES</t>
        </is>
      </c>
      <c r="V190" s="16" t="inlineStr">
        <is>
          <t>GH-DIGEST,media_source_fallback_design_2026_09_13.md</t>
        </is>
      </c>
    </row>
    <row r="191" ht="42" customHeight="1">
      <c r="A191" s="16" t="inlineStr">
        <is>
          <t>TERM-190</t>
        </is>
      </c>
      <c r="B191" s="16" t="inlineStr">
        <is>
          <t>데이터·시맨틱·품질</t>
        </is>
      </c>
      <c r="C191" s="16" t="inlineStr">
        <is>
          <t>Data, Semantics &amp; Quality</t>
        </is>
      </c>
      <c r="D191" s="16" t="inlineStr">
        <is>
          <t>매체·수집 채널</t>
        </is>
      </c>
      <c r="E191" s="16" t="inlineStr">
        <is>
          <t>Media &amp; Collection Channels</t>
        </is>
      </c>
      <c r="F191" s="16" t="inlineStr">
        <is>
          <t>매체·수집 채널</t>
        </is>
      </c>
      <c r="G191" s="16" t="inlineStr">
        <is>
          <t>UkrAgroConsult</t>
        </is>
      </c>
      <c r="H191" s="16" t="inlineStr">
        <is>
          <t>우크라그로컨설트</t>
        </is>
      </c>
      <c r="I191" s="16" t="inlineStr">
        <is>
          <t>RSS_UKRAGRO</t>
        </is>
      </c>
      <c r="J191" s="16" t="inlineStr">
        <is>
          <t>ukragroconsult.com</t>
        </is>
      </c>
      <c r="K191" s="16" t="inlineStr">
        <is>
          <t>DataSource</t>
        </is>
      </c>
      <c r="L191" s="16" t="inlineStr">
        <is>
          <t>흑해 권역 곡물·해바라기유 수급과 수출 물류를 다루는 우크라이나 농업 시장 분석 기관이다.</t>
        </is>
      </c>
      <c r="M191" s="16" t="inlineStr">
        <is>
          <t>공식 RSS로 직접 수집한다. 흑해 회랑·해바라기유 기사는 흑해 병목 경로의 관측용이며 대두유 가격 서술에는 검증된 인과엣지를 거쳐서만 쓴다.</t>
        </is>
      </c>
      <c r="N191" s="16" t="inlineStr">
        <is>
          <t>Signal/Media</t>
        </is>
      </c>
      <c r="O191" s="16" t="inlineStr">
        <is>
          <t>CONTEXT</t>
        </is>
      </c>
      <c r="P191" s="16" t="inlineStr">
        <is>
          <t>articles/day</t>
        </is>
      </c>
      <c r="Q191" s="16" t="inlineStr">
        <is>
          <t>없음(주제 태깅 후 감성 지표로만)</t>
        </is>
      </c>
      <c r="R191" s="16" t="inlineStr">
        <is>
          <t>C</t>
        </is>
      </c>
      <c r="S191" s="16" t="inlineStr">
        <is>
          <t>하</t>
        </is>
      </c>
      <c r="T191" s="16" t="inlineStr">
        <is>
          <t>MediaSource</t>
        </is>
      </c>
      <c r="U191" s="16" t="inlineStr">
        <is>
          <t>COLLECTED_VIA,PROVIDES</t>
        </is>
      </c>
      <c r="V191" s="16" t="inlineStr">
        <is>
          <t>GH-DIGEST,media_source_fallback_design_2026_09_13.md</t>
        </is>
      </c>
    </row>
    <row r="192" ht="42" customHeight="1">
      <c r="A192" s="16" t="inlineStr">
        <is>
          <t>TERM-191</t>
        </is>
      </c>
      <c r="B192" s="16" t="inlineStr">
        <is>
          <t>데이터·시맨틱·품질</t>
        </is>
      </c>
      <c r="C192" s="16" t="inlineStr">
        <is>
          <t>Data, Semantics &amp; Quality</t>
        </is>
      </c>
      <c r="D192" s="16" t="inlineStr">
        <is>
          <t>매체·수집 채널</t>
        </is>
      </c>
      <c r="E192" s="16" t="inlineStr">
        <is>
          <t>Media &amp; Collection Channels</t>
        </is>
      </c>
      <c r="F192" s="16" t="inlineStr">
        <is>
          <t>매체·수집 채널</t>
        </is>
      </c>
      <c r="G192" s="16" t="inlineStr">
        <is>
          <t>Perplexity Search Proxy (on-demand)</t>
        </is>
      </c>
      <c r="H192" s="16" t="inlineStr">
        <is>
          <t>퍼플렉시티 검색 프록시(온디맨드)</t>
        </is>
      </c>
      <c r="I192" s="16" t="inlineStr">
        <is>
          <t>CH-PPLX</t>
        </is>
      </c>
      <c r="J192" s="16" t="inlineStr">
        <is>
          <t>Perplexity sonar-pro proxy; 온디맨드 요약 채널</t>
        </is>
      </c>
      <c r="K192" s="16" t="inlineStr">
        <is>
          <t>DataSource</t>
        </is>
      </c>
      <c r="L192" s="16" t="inlineStr">
        <is>
          <t>검색 기반 언어모델로 특정 주제의 최근 기사를 요약해 돌려주는 채널로 수동·온디맨드 요약에만 쓴다.</t>
        </is>
      </c>
      <c r="M192" s="16" t="inlineStr">
        <is>
          <t>일별 스케줄에 편입하지 않는다(비용·크레딧 소모). 요약은 원문 발췌와 링크가 있을 때만 근거로 인정하며 모델이 생성한 수치는 원문 대조 전에는 인용하지 않는다.</t>
        </is>
      </c>
      <c r="N192" s="16" t="inlineStr">
        <is>
          <t>Signal/Media</t>
        </is>
      </c>
      <c r="O192" s="16" t="inlineStr">
        <is>
          <t>CONTEXT</t>
        </is>
      </c>
      <c r="P192" s="16" t="inlineStr">
        <is>
          <t>articles/day</t>
        </is>
      </c>
      <c r="Q192" s="16" t="inlineStr">
        <is>
          <t>일별 스케줄 편입 금지 — 수동·온디맨드</t>
        </is>
      </c>
      <c r="R192" s="16" t="inlineStr">
        <is>
          <t>C</t>
        </is>
      </c>
      <c r="S192" s="16" t="inlineStr">
        <is>
          <t>하</t>
        </is>
      </c>
      <c r="T192" s="16" t="inlineStr">
        <is>
          <t>CollectionChannel</t>
        </is>
      </c>
      <c r="U192" s="16" t="inlineStr">
        <is>
          <t>PROVIDES</t>
        </is>
      </c>
      <c r="V192" s="16" t="inlineStr">
        <is>
          <t>GH-DIGEST,media_source_fallback_design_2026_09_13.md</t>
        </is>
      </c>
    </row>
    <row r="193" ht="42" customHeight="1">
      <c r="A193" s="16" t="inlineStr">
        <is>
          <t>TERM-192</t>
        </is>
      </c>
      <c r="B193" s="16" t="inlineStr">
        <is>
          <t>농업·농기상</t>
        </is>
      </c>
      <c r="C193" s="16" t="inlineStr">
        <is>
          <t>Agriculture &amp; Agrometeorology</t>
        </is>
      </c>
      <c r="D193" s="16" t="inlineStr">
        <is>
          <t>생산지역</t>
        </is>
      </c>
      <c r="E193" s="16" t="inlineStr">
        <is>
          <t>Production Regions</t>
        </is>
      </c>
      <c r="F193" s="16" t="inlineStr">
        <is>
          <t>생산지역</t>
        </is>
      </c>
      <c r="G193" s="16" t="inlineStr">
        <is>
          <t>Heilongjiang (China)</t>
        </is>
      </c>
      <c r="H193" s="16" t="inlineStr">
        <is>
          <t>헤이룽장</t>
        </is>
      </c>
      <c r="I193" s="16" t="inlineStr">
        <is>
          <t>CN_Heilongjiang</t>
        </is>
      </c>
      <c r="J193" s="16" t="inlineStr">
        <is>
          <t>Heilongjiang Province; 黑龙江省; 헤이룽장성</t>
        </is>
      </c>
      <c r="K193" s="16" t="inlineStr">
        <is>
          <t>Region</t>
        </is>
      </c>
      <c r="L193" s="16" t="inlineStr">
        <is>
          <t>중국 대두 재배 지역(tier 1) — 중국 최대 국내 대두 재배 지역</t>
        </is>
      </c>
      <c r="M193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3" s="16" t="inlineStr">
        <is>
          <t>Supply</t>
        </is>
      </c>
      <c r="O193" s="16" t="inlineStr">
        <is>
          <t>CONTEXT</t>
        </is>
      </c>
      <c r="P193" s="16" t="inlineStr">
        <is>
          <t>lat/lon(deg)</t>
        </is>
      </c>
      <c r="Q193" s="16" t="inlineStr">
        <is>
          <t>정본 좌표 표 §3.2 기준 — 아카이브 daily 8변수(토양 hourly 포함)+예보 FCST_</t>
        </is>
      </c>
      <c r="R193" s="16" t="inlineStr">
        <is>
          <t>B</t>
        </is>
      </c>
      <c r="S193" s="16" t="inlineStr">
        <is>
          <t>하</t>
        </is>
      </c>
      <c r="T193" s="16" t="inlineStr">
        <is>
          <t>ProductionRegion</t>
        </is>
      </c>
      <c r="U193" s="16" t="inlineStr">
        <is>
          <t>LOCATED_AT</t>
        </is>
      </c>
      <c r="V193" s="16" t="inlineStr">
        <is>
          <t>config/production_regions.yaml,climate_regions_forecast_weathernext_2026_09_13.md</t>
        </is>
      </c>
    </row>
    <row r="194" ht="42" customHeight="1">
      <c r="A194" s="16" t="inlineStr">
        <is>
          <t>TERM-193</t>
        </is>
      </c>
      <c r="B194" s="16" t="inlineStr">
        <is>
          <t>농업·농기상</t>
        </is>
      </c>
      <c r="C194" s="16" t="inlineStr">
        <is>
          <t>Agriculture &amp; Agrometeorology</t>
        </is>
      </c>
      <c r="D194" s="16" t="inlineStr">
        <is>
          <t>생산지역</t>
        </is>
      </c>
      <c r="E194" s="16" t="inlineStr">
        <is>
          <t>Production Regions</t>
        </is>
      </c>
      <c r="F194" s="16" t="inlineStr">
        <is>
          <t>생산지역</t>
        </is>
      </c>
      <c r="G194" s="16" t="inlineStr">
        <is>
          <t>Shandong (China)</t>
        </is>
      </c>
      <c r="H194" s="16" t="inlineStr">
        <is>
          <t>산둥</t>
        </is>
      </c>
      <c r="I194" s="16" t="inlineStr">
        <is>
          <t>CN_Shandong</t>
        </is>
      </c>
      <c r="J194" s="16" t="inlineStr">
        <is>
          <t>Shandong Province; 山东省; 산둥성</t>
        </is>
      </c>
      <c r="K194" s="16" t="inlineStr">
        <is>
          <t>Region</t>
        </is>
      </c>
      <c r="L194" s="16" t="inlineStr">
        <is>
          <t>중국 대두 압착 지역(tier 1) — 연안 최대 압착 클러스터</t>
        </is>
      </c>
      <c r="M194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4" s="16" t="inlineStr">
        <is>
          <t>Supply</t>
        </is>
      </c>
      <c r="O194" s="16" t="inlineStr">
        <is>
          <t>CONTEXT</t>
        </is>
      </c>
      <c r="P194" s="16" t="inlineStr">
        <is>
          <t>lat/lon(deg)</t>
        </is>
      </c>
      <c r="Q194" s="16" t="inlineStr">
        <is>
          <t>정본 좌표 표 §3.2 기준 — 아카이브 daily 8변수(토양 hourly 포함)+예보 FCST_</t>
        </is>
      </c>
      <c r="R194" s="16" t="inlineStr">
        <is>
          <t>B</t>
        </is>
      </c>
      <c r="S194" s="16" t="inlineStr">
        <is>
          <t>하</t>
        </is>
      </c>
      <c r="T194" s="16" t="inlineStr">
        <is>
          <t>ProductionRegion</t>
        </is>
      </c>
      <c r="U194" s="16" t="inlineStr">
        <is>
          <t>LOCATED_AT</t>
        </is>
      </c>
      <c r="V194" s="16" t="inlineStr">
        <is>
          <t>config/production_regions.yaml,climate_regions_forecast_weathernext_2026_09_13.md</t>
        </is>
      </c>
    </row>
    <row r="195" ht="42" customHeight="1">
      <c r="A195" s="16" t="inlineStr">
        <is>
          <t>TERM-194</t>
        </is>
      </c>
      <c r="B195" s="16" t="inlineStr">
        <is>
          <t>농업·농기상</t>
        </is>
      </c>
      <c r="C195" s="16" t="inlineStr">
        <is>
          <t>Agriculture &amp; Agrometeorology</t>
        </is>
      </c>
      <c r="D195" s="16" t="inlineStr">
        <is>
          <t>생산지역</t>
        </is>
      </c>
      <c r="E195" s="16" t="inlineStr">
        <is>
          <t>Production Regions</t>
        </is>
      </c>
      <c r="F195" s="16" t="inlineStr">
        <is>
          <t>생산지역</t>
        </is>
      </c>
      <c r="G195" s="16" t="inlineStr">
        <is>
          <t>Jiangsu (China)</t>
        </is>
      </c>
      <c r="H195" s="16" t="inlineStr">
        <is>
          <t>장쑤</t>
        </is>
      </c>
      <c r="I195" s="16" t="inlineStr">
        <is>
          <t>CN_Jiangsu</t>
        </is>
      </c>
      <c r="J195" s="16" t="inlineStr">
        <is>
          <t>Jiangsu Province; 江苏省; 장쑤성</t>
        </is>
      </c>
      <c r="K195" s="16" t="inlineStr">
        <is>
          <t>Region</t>
        </is>
      </c>
      <c r="L195" s="16" t="inlineStr">
        <is>
          <t>중국 대두 압착 지역(tier 1) — 양쯔강 압착 허브</t>
        </is>
      </c>
      <c r="M195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5" s="16" t="inlineStr">
        <is>
          <t>Supply</t>
        </is>
      </c>
      <c r="O195" s="16" t="inlineStr">
        <is>
          <t>CONTEXT</t>
        </is>
      </c>
      <c r="P195" s="16" t="inlineStr">
        <is>
          <t>lat/lon(deg)</t>
        </is>
      </c>
      <c r="Q195" s="16" t="inlineStr">
        <is>
          <t>정본 좌표 표 §3.2 기준 — 아카이브 daily 8변수(토양 hourly 포함)+예보 FCST_</t>
        </is>
      </c>
      <c r="R195" s="16" t="inlineStr">
        <is>
          <t>B</t>
        </is>
      </c>
      <c r="S195" s="16" t="inlineStr">
        <is>
          <t>하</t>
        </is>
      </c>
      <c r="T195" s="16" t="inlineStr">
        <is>
          <t>ProductionRegion</t>
        </is>
      </c>
      <c r="U195" s="16" t="inlineStr">
        <is>
          <t>LOCATED_AT</t>
        </is>
      </c>
      <c r="V195" s="16" t="inlineStr">
        <is>
          <t>config/production_regions.yaml,climate_regions_forecast_weathernext_2026_09_13.md</t>
        </is>
      </c>
    </row>
    <row r="196" ht="42" customHeight="1">
      <c r="A196" s="16" t="inlineStr">
        <is>
          <t>TERM-195</t>
        </is>
      </c>
      <c r="B196" s="16" t="inlineStr">
        <is>
          <t>농업·농기상</t>
        </is>
      </c>
      <c r="C196" s="16" t="inlineStr">
        <is>
          <t>Agriculture &amp; Agrometeorology</t>
        </is>
      </c>
      <c r="D196" s="16" t="inlineStr">
        <is>
          <t>생산지역</t>
        </is>
      </c>
      <c r="E196" s="16" t="inlineStr">
        <is>
          <t>Production Regions</t>
        </is>
      </c>
      <c r="F196" s="16" t="inlineStr">
        <is>
          <t>생산지역</t>
        </is>
      </c>
      <c r="G196" s="16" t="inlineStr">
        <is>
          <t>Illinois (USA)</t>
        </is>
      </c>
      <c r="H196" s="16" t="inlineStr">
        <is>
          <t>일리노이</t>
        </is>
      </c>
      <c r="I196" s="16" t="inlineStr">
        <is>
          <t>US_Illinois</t>
        </is>
      </c>
      <c r="J196" s="16" t="inlineStr">
        <is>
          <t>Illinois; IL; 일리노이주</t>
        </is>
      </c>
      <c r="K196" s="16" t="inlineStr">
        <is>
          <t>Region</t>
        </is>
      </c>
      <c r="L196" s="16" t="inlineStr">
        <is>
          <t>미국 대두 재배·압착 지역(tier 1) — 미국 생산 1위 주</t>
        </is>
      </c>
      <c r="M196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6" s="16" t="inlineStr">
        <is>
          <t>Supply</t>
        </is>
      </c>
      <c r="O196" s="16" t="inlineStr">
        <is>
          <t>CONTEXT</t>
        </is>
      </c>
      <c r="P196" s="16" t="inlineStr">
        <is>
          <t>lat/lon(deg)</t>
        </is>
      </c>
      <c r="Q196" s="16" t="inlineStr">
        <is>
          <t>정본 좌표 표 §3.2 기준 — 아카이브 daily 8변수(토양 hourly 포함)+예보 FCST_</t>
        </is>
      </c>
      <c r="R196" s="16" t="inlineStr">
        <is>
          <t>B</t>
        </is>
      </c>
      <c r="S196" s="16" t="inlineStr">
        <is>
          <t>하</t>
        </is>
      </c>
      <c r="T196" s="16" t="inlineStr">
        <is>
          <t>ProductionRegion</t>
        </is>
      </c>
      <c r="U196" s="16" t="inlineStr">
        <is>
          <t>LOCATED_AT</t>
        </is>
      </c>
      <c r="V196" s="16" t="inlineStr">
        <is>
          <t>config/production_regions.yaml,climate_regions_forecast_weathernext_2026_09_13.md</t>
        </is>
      </c>
    </row>
    <row r="197" ht="42" customHeight="1">
      <c r="A197" s="16" t="inlineStr">
        <is>
          <t>TERM-196</t>
        </is>
      </c>
      <c r="B197" s="16" t="inlineStr">
        <is>
          <t>농업·농기상</t>
        </is>
      </c>
      <c r="C197" s="16" t="inlineStr">
        <is>
          <t>Agriculture &amp; Agrometeorology</t>
        </is>
      </c>
      <c r="D197" s="16" t="inlineStr">
        <is>
          <t>생산지역</t>
        </is>
      </c>
      <c r="E197" s="16" t="inlineStr">
        <is>
          <t>Production Regions</t>
        </is>
      </c>
      <c r="F197" s="16" t="inlineStr">
        <is>
          <t>생산지역</t>
        </is>
      </c>
      <c r="G197" s="16" t="inlineStr">
        <is>
          <t>Iowa (USA)</t>
        </is>
      </c>
      <c r="H197" s="16" t="inlineStr">
        <is>
          <t>아이오와</t>
        </is>
      </c>
      <c r="I197" s="16" t="inlineStr">
        <is>
          <t>US_Iowa</t>
        </is>
      </c>
      <c r="J197" s="16" t="inlineStr">
        <is>
          <t>Iowa; IA; 아이오와주</t>
        </is>
      </c>
      <c r="K197" s="16" t="inlineStr">
        <is>
          <t>Region</t>
        </is>
      </c>
      <c r="L197" s="16" t="inlineStr">
        <is>
          <t>미국 대두 재배·압착 지역(tier 1) — 미국 압착 설비 1위 주</t>
        </is>
      </c>
      <c r="M197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7" s="16" t="inlineStr">
        <is>
          <t>Supply</t>
        </is>
      </c>
      <c r="O197" s="16" t="inlineStr">
        <is>
          <t>CONTEXT</t>
        </is>
      </c>
      <c r="P197" s="16" t="inlineStr">
        <is>
          <t>lat/lon(deg)</t>
        </is>
      </c>
      <c r="Q197" s="16" t="inlineStr">
        <is>
          <t>정본 좌표 표 §3.2 기준 — 아카이브 daily 8변수(토양 hourly 포함)+예보 FCST_</t>
        </is>
      </c>
      <c r="R197" s="16" t="inlineStr">
        <is>
          <t>B</t>
        </is>
      </c>
      <c r="S197" s="16" t="inlineStr">
        <is>
          <t>하</t>
        </is>
      </c>
      <c r="T197" s="16" t="inlineStr">
        <is>
          <t>ProductionRegion</t>
        </is>
      </c>
      <c r="U197" s="16" t="inlineStr">
        <is>
          <t>LOCATED_AT</t>
        </is>
      </c>
      <c r="V197" s="16" t="inlineStr">
        <is>
          <t>config/production_regions.yaml,climate_regions_forecast_weathernext_2026_09_13.md</t>
        </is>
      </c>
    </row>
    <row r="198" ht="42" customHeight="1">
      <c r="A198" s="16" t="inlineStr">
        <is>
          <t>TERM-197</t>
        </is>
      </c>
      <c r="B198" s="16" t="inlineStr">
        <is>
          <t>농업·농기상</t>
        </is>
      </c>
      <c r="C198" s="16" t="inlineStr">
        <is>
          <t>Agriculture &amp; Agrometeorology</t>
        </is>
      </c>
      <c r="D198" s="16" t="inlineStr">
        <is>
          <t>생산지역</t>
        </is>
      </c>
      <c r="E198" s="16" t="inlineStr">
        <is>
          <t>Production Regions</t>
        </is>
      </c>
      <c r="F198" s="16" t="inlineStr">
        <is>
          <t>생산지역</t>
        </is>
      </c>
      <c r="G198" s="16" t="inlineStr">
        <is>
          <t>Indiana (USA)</t>
        </is>
      </c>
      <c r="H198" s="16" t="inlineStr">
        <is>
          <t>인디애나</t>
        </is>
      </c>
      <c r="I198" s="16" t="inlineStr">
        <is>
          <t>US_Indiana</t>
        </is>
      </c>
      <c r="J198" s="16" t="inlineStr">
        <is>
          <t>Indiana; IN; 인디애나주</t>
        </is>
      </c>
      <c r="K198" s="16" t="inlineStr">
        <is>
          <t>Region</t>
        </is>
      </c>
      <c r="L198" s="16" t="inlineStr">
        <is>
          <t>미국 대두 재배 지역(tier 1) — 미국 생산 3위 주</t>
        </is>
      </c>
      <c r="M198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8" s="16" t="inlineStr">
        <is>
          <t>Supply</t>
        </is>
      </c>
      <c r="O198" s="16" t="inlineStr">
        <is>
          <t>CONTEXT</t>
        </is>
      </c>
      <c r="P198" s="16" t="inlineStr">
        <is>
          <t>lat/lon(deg)</t>
        </is>
      </c>
      <c r="Q198" s="16" t="inlineStr">
        <is>
          <t>정본 좌표 표 §3.2 기준 — 아카이브 daily 8변수(토양 hourly 포함)+예보 FCST_</t>
        </is>
      </c>
      <c r="R198" s="16" t="inlineStr">
        <is>
          <t>B</t>
        </is>
      </c>
      <c r="S198" s="16" t="inlineStr">
        <is>
          <t>하</t>
        </is>
      </c>
      <c r="T198" s="16" t="inlineStr">
        <is>
          <t>ProductionRegion</t>
        </is>
      </c>
      <c r="U198" s="16" t="inlineStr">
        <is>
          <t>LOCATED_AT</t>
        </is>
      </c>
      <c r="V198" s="16" t="inlineStr">
        <is>
          <t>config/production_regions.yaml,climate_regions_forecast_weathernext_2026_09_13.md</t>
        </is>
      </c>
    </row>
    <row r="199" ht="42" customHeight="1">
      <c r="A199" s="16" t="inlineStr">
        <is>
          <t>TERM-198</t>
        </is>
      </c>
      <c r="B199" s="16" t="inlineStr">
        <is>
          <t>농업·농기상</t>
        </is>
      </c>
      <c r="C199" s="16" t="inlineStr">
        <is>
          <t>Agriculture &amp; Agrometeorology</t>
        </is>
      </c>
      <c r="D199" s="16" t="inlineStr">
        <is>
          <t>생산지역</t>
        </is>
      </c>
      <c r="E199" s="16" t="inlineStr">
        <is>
          <t>Production Regions</t>
        </is>
      </c>
      <c r="F199" s="16" t="inlineStr">
        <is>
          <t>생산지역</t>
        </is>
      </c>
      <c r="G199" s="16" t="inlineStr">
        <is>
          <t>Mato Grosso (Brazil)</t>
        </is>
      </c>
      <c r="H199" s="16" t="inlineStr">
        <is>
          <t>마투그로수</t>
        </is>
      </c>
      <c r="I199" s="16" t="inlineStr">
        <is>
          <t>BR_MatoGrosso</t>
        </is>
      </c>
      <c r="J199" s="16" t="inlineStr">
        <is>
          <t>Mato Grosso; MT (Brazil); 마투그로수주</t>
        </is>
      </c>
      <c r="K199" s="16" t="inlineStr">
        <is>
          <t>Region</t>
        </is>
      </c>
      <c r="L199" s="16" t="inlineStr">
        <is>
          <t>브라질 대두 재배·압착 지역(tier 1) — 브라질 생산 1위 주</t>
        </is>
      </c>
      <c r="M199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199" s="16" t="inlineStr">
        <is>
          <t>Supply</t>
        </is>
      </c>
      <c r="O199" s="16" t="inlineStr">
        <is>
          <t>CONTEXT</t>
        </is>
      </c>
      <c r="P199" s="16" t="inlineStr">
        <is>
          <t>lat/lon(deg)</t>
        </is>
      </c>
      <c r="Q199" s="16" t="inlineStr">
        <is>
          <t>정본 좌표 표 §3.2 기준 — 아카이브 daily 8변수(토양 hourly 포함)+예보 FCST_</t>
        </is>
      </c>
      <c r="R199" s="16" t="inlineStr">
        <is>
          <t>B</t>
        </is>
      </c>
      <c r="S199" s="16" t="inlineStr">
        <is>
          <t>하</t>
        </is>
      </c>
      <c r="T199" s="16" t="inlineStr">
        <is>
          <t>ProductionRegion</t>
        </is>
      </c>
      <c r="U199" s="16" t="inlineStr">
        <is>
          <t>LOCATED_AT</t>
        </is>
      </c>
      <c r="V199" s="16" t="inlineStr">
        <is>
          <t>config/production_regions.yaml,climate_regions_forecast_weathernext_2026_09_13.md</t>
        </is>
      </c>
    </row>
    <row r="200" ht="42" customHeight="1">
      <c r="A200" s="16" t="inlineStr">
        <is>
          <t>TERM-199</t>
        </is>
      </c>
      <c r="B200" s="16" t="inlineStr">
        <is>
          <t>농업·농기상</t>
        </is>
      </c>
      <c r="C200" s="16" t="inlineStr">
        <is>
          <t>Agriculture &amp; Agrometeorology</t>
        </is>
      </c>
      <c r="D200" s="16" t="inlineStr">
        <is>
          <t>생산지역</t>
        </is>
      </c>
      <c r="E200" s="16" t="inlineStr">
        <is>
          <t>Production Regions</t>
        </is>
      </c>
      <c r="F200" s="16" t="inlineStr">
        <is>
          <t>생산지역</t>
        </is>
      </c>
      <c r="G200" s="16" t="inlineStr">
        <is>
          <t>Paraná (Brazil)</t>
        </is>
      </c>
      <c r="H200" s="16" t="inlineStr">
        <is>
          <t>파라나</t>
        </is>
      </c>
      <c r="I200" s="16" t="inlineStr">
        <is>
          <t>BR_Parana</t>
        </is>
      </c>
      <c r="J200" s="16" t="inlineStr">
        <is>
          <t>Parana; PR (Brazil); 파라나주</t>
        </is>
      </c>
      <c r="K200" s="16" t="inlineStr">
        <is>
          <t>Region</t>
        </is>
      </c>
      <c r="L200" s="16" t="inlineStr">
        <is>
          <t>브라질 대두 재배·압착 지역(tier 1) — 브라질 주요 유지 가공 주</t>
        </is>
      </c>
      <c r="M200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0" s="16" t="inlineStr">
        <is>
          <t>Supply</t>
        </is>
      </c>
      <c r="O200" s="16" t="inlineStr">
        <is>
          <t>CONTEXT</t>
        </is>
      </c>
      <c r="P200" s="16" t="inlineStr">
        <is>
          <t>lat/lon(deg)</t>
        </is>
      </c>
      <c r="Q200" s="16" t="inlineStr">
        <is>
          <t>정본 좌표 표 §3.2 기준 — 아카이브 daily 8변수(토양 hourly 포함)+예보 FCST_</t>
        </is>
      </c>
      <c r="R200" s="16" t="inlineStr">
        <is>
          <t>B</t>
        </is>
      </c>
      <c r="S200" s="16" t="inlineStr">
        <is>
          <t>하</t>
        </is>
      </c>
      <c r="T200" s="16" t="inlineStr">
        <is>
          <t>ProductionRegion</t>
        </is>
      </c>
      <c r="U200" s="16" t="inlineStr">
        <is>
          <t>LOCATED_AT</t>
        </is>
      </c>
      <c r="V200" s="16" t="inlineStr">
        <is>
          <t>config/production_regions.yaml,climate_regions_forecast_weathernext_2026_09_13.md</t>
        </is>
      </c>
    </row>
    <row r="201" ht="42" customHeight="1">
      <c r="A201" s="16" t="inlineStr">
        <is>
          <t>TERM-200</t>
        </is>
      </c>
      <c r="B201" s="16" t="inlineStr">
        <is>
          <t>농업·농기상</t>
        </is>
      </c>
      <c r="C201" s="16" t="inlineStr">
        <is>
          <t>Agriculture &amp; Agrometeorology</t>
        </is>
      </c>
      <c r="D201" s="16" t="inlineStr">
        <is>
          <t>생산지역</t>
        </is>
      </c>
      <c r="E201" s="16" t="inlineStr">
        <is>
          <t>Production Regions</t>
        </is>
      </c>
      <c r="F201" s="16" t="inlineStr">
        <is>
          <t>생산지역</t>
        </is>
      </c>
      <c r="G201" s="16" t="inlineStr">
        <is>
          <t>Mato Grosso do Sul (Brazil)</t>
        </is>
      </c>
      <c r="H201" s="16" t="inlineStr">
        <is>
          <t>마투그로수두술</t>
        </is>
      </c>
      <c r="I201" s="16" t="inlineStr">
        <is>
          <t>BR_MatoGrossodoSul</t>
        </is>
      </c>
      <c r="J201" s="16" t="inlineStr">
        <is>
          <t>Mato Grosso do Sul; MS (Brazil); 마투그로수두술주</t>
        </is>
      </c>
      <c r="K201" s="16" t="inlineStr">
        <is>
          <t>Region</t>
        </is>
      </c>
      <c r="L201" s="16" t="inlineStr">
        <is>
          <t>브라질 대두 재배 지역(tier 1) — 생산 비중 확대 중</t>
        </is>
      </c>
      <c r="M201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1" s="16" t="inlineStr">
        <is>
          <t>Supply</t>
        </is>
      </c>
      <c r="O201" s="16" t="inlineStr">
        <is>
          <t>CONTEXT</t>
        </is>
      </c>
      <c r="P201" s="16" t="inlineStr">
        <is>
          <t>lat/lon(deg)</t>
        </is>
      </c>
      <c r="Q201" s="16" t="inlineStr">
        <is>
          <t>정본 좌표 표 §3.2 기준 — 아카이브 daily 8변수(토양 hourly 포함)+예보 FCST_</t>
        </is>
      </c>
      <c r="R201" s="16" t="inlineStr">
        <is>
          <t>B</t>
        </is>
      </c>
      <c r="S201" s="16" t="inlineStr">
        <is>
          <t>하</t>
        </is>
      </c>
      <c r="T201" s="16" t="inlineStr">
        <is>
          <t>ProductionRegion</t>
        </is>
      </c>
      <c r="U201" s="16" t="inlineStr">
        <is>
          <t>LOCATED_AT</t>
        </is>
      </c>
      <c r="V201" s="16" t="inlineStr">
        <is>
          <t>config/production_regions.yaml,climate_regions_forecast_weathernext_2026_09_13.md</t>
        </is>
      </c>
    </row>
    <row r="202" ht="42" customHeight="1">
      <c r="A202" s="16" t="inlineStr">
        <is>
          <t>TERM-201</t>
        </is>
      </c>
      <c r="B202" s="16" t="inlineStr">
        <is>
          <t>농업·농기상</t>
        </is>
      </c>
      <c r="C202" s="16" t="inlineStr">
        <is>
          <t>Agriculture &amp; Agrometeorology</t>
        </is>
      </c>
      <c r="D202" s="16" t="inlineStr">
        <is>
          <t>생산지역</t>
        </is>
      </c>
      <c r="E202" s="16" t="inlineStr">
        <is>
          <t>Production Regions</t>
        </is>
      </c>
      <c r="F202" s="16" t="inlineStr">
        <is>
          <t>생산지역</t>
        </is>
      </c>
      <c r="G202" s="16" t="inlineStr">
        <is>
          <t>Córdoba (Argentina)</t>
        </is>
      </c>
      <c r="H202" s="16" t="inlineStr">
        <is>
          <t>코르도바</t>
        </is>
      </c>
      <c r="I202" s="16" t="inlineStr">
        <is>
          <t>AR_Cordoba</t>
        </is>
      </c>
      <c r="J202" s="16" t="inlineStr">
        <is>
          <t>Cordoba Province; 코르도바주</t>
        </is>
      </c>
      <c r="K202" s="16" t="inlineStr">
        <is>
          <t>Region</t>
        </is>
      </c>
      <c r="L202" s="16" t="inlineStr">
        <is>
          <t>아르헨티나 대두 재배 지역(tier 1) — 아르헨티나 재배 1위 주</t>
        </is>
      </c>
      <c r="M202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2" s="16" t="inlineStr">
        <is>
          <t>Supply</t>
        </is>
      </c>
      <c r="O202" s="16" t="inlineStr">
        <is>
          <t>CONTEXT</t>
        </is>
      </c>
      <c r="P202" s="16" t="inlineStr">
        <is>
          <t>lat/lon(deg)</t>
        </is>
      </c>
      <c r="Q202" s="16" t="inlineStr">
        <is>
          <t>정본 좌표 표 §3.2 기준 — 아카이브 daily 8변수(토양 hourly 포함)+예보 FCST_</t>
        </is>
      </c>
      <c r="R202" s="16" t="inlineStr">
        <is>
          <t>B</t>
        </is>
      </c>
      <c r="S202" s="16" t="inlineStr">
        <is>
          <t>하</t>
        </is>
      </c>
      <c r="T202" s="16" t="inlineStr">
        <is>
          <t>ProductionRegion</t>
        </is>
      </c>
      <c r="U202" s="16" t="inlineStr">
        <is>
          <t>LOCATED_AT</t>
        </is>
      </c>
      <c r="V202" s="16" t="inlineStr">
        <is>
          <t>config/production_regions.yaml,climate_regions_forecast_weathernext_2026_09_13.md</t>
        </is>
      </c>
    </row>
    <row r="203" ht="42" customHeight="1">
      <c r="A203" s="16" t="inlineStr">
        <is>
          <t>TERM-202</t>
        </is>
      </c>
      <c r="B203" s="16" t="inlineStr">
        <is>
          <t>농업·농기상</t>
        </is>
      </c>
      <c r="C203" s="16" t="inlineStr">
        <is>
          <t>Agriculture &amp; Agrometeorology</t>
        </is>
      </c>
      <c r="D203" s="16" t="inlineStr">
        <is>
          <t>생산지역</t>
        </is>
      </c>
      <c r="E203" s="16" t="inlineStr">
        <is>
          <t>Production Regions</t>
        </is>
      </c>
      <c r="F203" s="16" t="inlineStr">
        <is>
          <t>생산지역</t>
        </is>
      </c>
      <c r="G203" s="16" t="inlineStr">
        <is>
          <t>Santa Fe (Argentina)</t>
        </is>
      </c>
      <c r="H203" s="16" t="inlineStr">
        <is>
          <t>산타페</t>
        </is>
      </c>
      <c r="I203" s="16" t="inlineStr">
        <is>
          <t>AR_SantaFe</t>
        </is>
      </c>
      <c r="J203" s="16" t="inlineStr">
        <is>
          <t>Santa Fe Province; Rosario crushing hub; 산타페주</t>
        </is>
      </c>
      <c r="K203" s="16" t="inlineStr">
        <is>
          <t>Region</t>
        </is>
      </c>
      <c r="L203" s="16" t="inlineStr">
        <is>
          <t>아르헨티나 대두 압착 지역(tier 1) — 로사리오 압착 허브(전국 설비 약 80%)</t>
        </is>
      </c>
      <c r="M203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3" s="16" t="inlineStr">
        <is>
          <t>Supply</t>
        </is>
      </c>
      <c r="O203" s="16" t="inlineStr">
        <is>
          <t>CONTEXT</t>
        </is>
      </c>
      <c r="P203" s="16" t="inlineStr">
        <is>
          <t>lat/lon(deg)</t>
        </is>
      </c>
      <c r="Q203" s="16" t="inlineStr">
        <is>
          <t>정본 좌표 표 §3.2 기준 — 아카이브 daily 8변수(토양 hourly 포함)+예보 FCST_</t>
        </is>
      </c>
      <c r="R203" s="16" t="inlineStr">
        <is>
          <t>B</t>
        </is>
      </c>
      <c r="S203" s="16" t="inlineStr">
        <is>
          <t>하</t>
        </is>
      </c>
      <c r="T203" s="16" t="inlineStr">
        <is>
          <t>ProductionRegion</t>
        </is>
      </c>
      <c r="U203" s="16" t="inlineStr">
        <is>
          <t>LOCATED_AT</t>
        </is>
      </c>
      <c r="V203" s="16" t="inlineStr">
        <is>
          <t>config/production_regions.yaml,climate_regions_forecast_weathernext_2026_09_13.md</t>
        </is>
      </c>
    </row>
    <row r="204" ht="42" customHeight="1">
      <c r="A204" s="16" t="inlineStr">
        <is>
          <t>TERM-203</t>
        </is>
      </c>
      <c r="B204" s="16" t="inlineStr">
        <is>
          <t>농업·농기상</t>
        </is>
      </c>
      <c r="C204" s="16" t="inlineStr">
        <is>
          <t>Agriculture &amp; Agrometeorology</t>
        </is>
      </c>
      <c r="D204" s="16" t="inlineStr">
        <is>
          <t>생산지역</t>
        </is>
      </c>
      <c r="E204" s="16" t="inlineStr">
        <is>
          <t>Production Regions</t>
        </is>
      </c>
      <c r="F204" s="16" t="inlineStr">
        <is>
          <t>생산지역</t>
        </is>
      </c>
      <c r="G204" s="16" t="inlineStr">
        <is>
          <t>Buenos Aires Province (Argentina)</t>
        </is>
      </c>
      <c r="H204" s="16" t="inlineStr">
        <is>
          <t>부에노스아이레스</t>
        </is>
      </c>
      <c r="I204" s="16" t="inlineStr">
        <is>
          <t>AR_BuenosAires</t>
        </is>
      </c>
      <c r="J204" s="16" t="inlineStr">
        <is>
          <t>Buenos Aires; 부에노스아이레스주</t>
        </is>
      </c>
      <c r="K204" s="16" t="inlineStr">
        <is>
          <t>Region</t>
        </is>
      </c>
      <c r="L204" s="16" t="inlineStr">
        <is>
          <t>아르헨티나 대두 재배 지역(tier 1) — 팜파스 핵심 재배 지역</t>
        </is>
      </c>
      <c r="M204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4" s="16" t="inlineStr">
        <is>
          <t>Supply</t>
        </is>
      </c>
      <c r="O204" s="16" t="inlineStr">
        <is>
          <t>CONTEXT</t>
        </is>
      </c>
      <c r="P204" s="16" t="inlineStr">
        <is>
          <t>lat/lon(deg)</t>
        </is>
      </c>
      <c r="Q204" s="16" t="inlineStr">
        <is>
          <t>정본 좌표 표 §3.2 기준 — 아카이브 daily 8변수(토양 hourly 포함)+예보 FCST_</t>
        </is>
      </c>
      <c r="R204" s="16" t="inlineStr">
        <is>
          <t>B</t>
        </is>
      </c>
      <c r="S204" s="16" t="inlineStr">
        <is>
          <t>하</t>
        </is>
      </c>
      <c r="T204" s="16" t="inlineStr">
        <is>
          <t>ProductionRegion</t>
        </is>
      </c>
      <c r="U204" s="16" t="inlineStr">
        <is>
          <t>LOCATED_AT</t>
        </is>
      </c>
      <c r="V204" s="16" t="inlineStr">
        <is>
          <t>config/production_regions.yaml,climate_regions_forecast_weathernext_2026_09_13.md</t>
        </is>
      </c>
    </row>
    <row r="205" ht="42" customHeight="1">
      <c r="A205" s="16" t="inlineStr">
        <is>
          <t>TERM-204</t>
        </is>
      </c>
      <c r="B205" s="16" t="inlineStr">
        <is>
          <t>농업·농기상</t>
        </is>
      </c>
      <c r="C205" s="16" t="inlineStr">
        <is>
          <t>Agriculture &amp; Agrometeorology</t>
        </is>
      </c>
      <c r="D205" s="16" t="inlineStr">
        <is>
          <t>생산지역</t>
        </is>
      </c>
      <c r="E205" s="16" t="inlineStr">
        <is>
          <t>Production Regions</t>
        </is>
      </c>
      <c r="F205" s="16" t="inlineStr">
        <is>
          <t>생산지역</t>
        </is>
      </c>
      <c r="G205" s="16" t="inlineStr">
        <is>
          <t>Rio Grande do Sul (Brazil)</t>
        </is>
      </c>
      <c r="H205" s="16" t="inlineStr">
        <is>
          <t>히우그란지두술</t>
        </is>
      </c>
      <c r="I205" s="16" t="inlineStr">
        <is>
          <t>BR_RioGrandedoSul</t>
        </is>
      </c>
      <c r="J205" s="16" t="inlineStr">
        <is>
          <t>Rio Grande do Sul; RS (Brazil); 히우그란지두술주; Cruz Alta belt</t>
        </is>
      </c>
      <c r="K205" s="16" t="inlineStr">
        <is>
          <t>Region</t>
        </is>
      </c>
      <c r="L205" s="16" t="inlineStr">
        <is>
          <t>브라질 대두 재배 지역(tier 2) — 브라질 대두 생산 4위 주 · 약 18.6백만 t(전국 171.5백만 t의 약 11%, CONAB 2024/25) · 남부 최대 가뭄 손실 지역(Embrapa 50년 정량)</t>
        </is>
      </c>
      <c r="M205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5" s="16" t="inlineStr">
        <is>
          <t>Supply</t>
        </is>
      </c>
      <c r="O205" s="16" t="inlineStr">
        <is>
          <t>CONTEXT</t>
        </is>
      </c>
      <c r="P205" s="16" t="inlineStr">
        <is>
          <t>lat/lon(deg)</t>
        </is>
      </c>
      <c r="Q205" s="16" t="inlineStr">
        <is>
          <t>climate_regions_forecast_weathernext_2026_09_13.md §2 기준 — daily 6변수+예보, 모델 투입은 정본 편입 후</t>
        </is>
      </c>
      <c r="R205" s="16" t="inlineStr">
        <is>
          <t>C</t>
        </is>
      </c>
      <c r="S205" s="16" t="inlineStr">
        <is>
          <t>하</t>
        </is>
      </c>
      <c r="T205" s="16" t="inlineStr">
        <is>
          <t>ProductionRegion</t>
        </is>
      </c>
      <c r="U205" s="16" t="inlineStr">
        <is>
          <t>LOCATED_AT</t>
        </is>
      </c>
      <c r="V205" s="16" t="inlineStr">
        <is>
          <t>config/production_regions.yaml,climate_regions_forecast_weathernext_2026_09_13.md</t>
        </is>
      </c>
    </row>
    <row r="206" ht="42" customHeight="1">
      <c r="A206" s="16" t="inlineStr">
        <is>
          <t>TERM-205</t>
        </is>
      </c>
      <c r="B206" s="16" t="inlineStr">
        <is>
          <t>농업·농기상</t>
        </is>
      </c>
      <c r="C206" s="16" t="inlineStr">
        <is>
          <t>Agriculture &amp; Agrometeorology</t>
        </is>
      </c>
      <c r="D206" s="16" t="inlineStr">
        <is>
          <t>생산지역</t>
        </is>
      </c>
      <c r="E206" s="16" t="inlineStr">
        <is>
          <t>Production Regions</t>
        </is>
      </c>
      <c r="F206" s="16" t="inlineStr">
        <is>
          <t>생산지역</t>
        </is>
      </c>
      <c r="G206" s="16" t="inlineStr">
        <is>
          <t>Goiás (Brazil)</t>
        </is>
      </c>
      <c r="H206" s="16" t="inlineStr">
        <is>
          <t>고이아스</t>
        </is>
      </c>
      <c r="I206" s="16" t="inlineStr">
        <is>
          <t>BR_Goias</t>
        </is>
      </c>
      <c r="J206" s="16" t="inlineStr">
        <is>
          <t>Goias; GO (Brazil); 고이아스주; Rio Verde belt</t>
        </is>
      </c>
      <c r="K206" s="16" t="inlineStr">
        <is>
          <t>Region</t>
        </is>
      </c>
      <c r="L206" s="16" t="inlineStr">
        <is>
          <t>브라질 대두 재배 지역(tier 2) — 브라질 대두 생산 3위 주 · 약 20.4백만 t(전국의 약 12%, CONAB 2024/25 · 단수 4,183 kg/ha 전국 최고) · 세하두 남서부 Rio Verde·Jataí·Cristalina가 생산액 상위</t>
        </is>
      </c>
      <c r="M206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6" s="16" t="inlineStr">
        <is>
          <t>Supply</t>
        </is>
      </c>
      <c r="O206" s="16" t="inlineStr">
        <is>
          <t>CONTEXT</t>
        </is>
      </c>
      <c r="P206" s="16" t="inlineStr">
        <is>
          <t>lat/lon(deg)</t>
        </is>
      </c>
      <c r="Q206" s="16" t="inlineStr">
        <is>
          <t>climate_regions_forecast_weathernext_2026_09_13.md §2 기준 — daily 6변수+예보, 모델 투입은 정본 편입 후</t>
        </is>
      </c>
      <c r="R206" s="16" t="inlineStr">
        <is>
          <t>C</t>
        </is>
      </c>
      <c r="S206" s="16" t="inlineStr">
        <is>
          <t>하</t>
        </is>
      </c>
      <c r="T206" s="16" t="inlineStr">
        <is>
          <t>ProductionRegion</t>
        </is>
      </c>
      <c r="U206" s="16" t="inlineStr">
        <is>
          <t>LOCATED_AT</t>
        </is>
      </c>
      <c r="V206" s="16" t="inlineStr">
        <is>
          <t>config/production_regions.yaml,climate_regions_forecast_weathernext_2026_09_13.md</t>
        </is>
      </c>
    </row>
    <row r="207" ht="42" customHeight="1">
      <c r="A207" s="16" t="inlineStr">
        <is>
          <t>TERM-206</t>
        </is>
      </c>
      <c r="B207" s="16" t="inlineStr">
        <is>
          <t>농업·농기상</t>
        </is>
      </c>
      <c r="C207" s="16" t="inlineStr">
        <is>
          <t>Agriculture &amp; Agrometeorology</t>
        </is>
      </c>
      <c r="D207" s="16" t="inlineStr">
        <is>
          <t>생산지역</t>
        </is>
      </c>
      <c r="E207" s="16" t="inlineStr">
        <is>
          <t>Production Regions</t>
        </is>
      </c>
      <c r="F207" s="16" t="inlineStr">
        <is>
          <t>생산지역</t>
        </is>
      </c>
      <c r="G207" s="16" t="inlineStr">
        <is>
          <t>Minnesota (USA)</t>
        </is>
      </c>
      <c r="H207" s="16" t="inlineStr">
        <is>
          <t>미네소타</t>
        </is>
      </c>
      <c r="I207" s="16" t="inlineStr">
        <is>
          <t>US_Minnesota</t>
        </is>
      </c>
      <c r="J207" s="16" t="inlineStr">
        <is>
          <t>Minnesota; MN; 미네소타주</t>
        </is>
      </c>
      <c r="K207" s="16" t="inlineStr">
        <is>
          <t>Region</t>
        </is>
      </c>
      <c r="L207" s="16" t="inlineStr">
        <is>
          <t>미국 대두 재배 지역(tier 2) — 미국 대두 생산 3위 주 · 349.4백만 bu(전국 4,366백만 bu의 8.0%, USDA NASS 2024 Crop Production Summary) · 상위 카운티 Redwood·Renville·Blue Earth·Jackson(남서·남중부)</t>
        </is>
      </c>
      <c r="M207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7" s="16" t="inlineStr">
        <is>
          <t>Supply</t>
        </is>
      </c>
      <c r="O207" s="16" t="inlineStr">
        <is>
          <t>CONTEXT</t>
        </is>
      </c>
      <c r="P207" s="16" t="inlineStr">
        <is>
          <t>lat/lon(deg)</t>
        </is>
      </c>
      <c r="Q207" s="16" t="inlineStr">
        <is>
          <t>climate_regions_forecast_weathernext_2026_09_13.md §2 기준 — daily 6변수+예보, 모델 투입은 정본 편입 후</t>
        </is>
      </c>
      <c r="R207" s="16" t="inlineStr">
        <is>
          <t>C</t>
        </is>
      </c>
      <c r="S207" s="16" t="inlineStr">
        <is>
          <t>하</t>
        </is>
      </c>
      <c r="T207" s="16" t="inlineStr">
        <is>
          <t>ProductionRegion</t>
        </is>
      </c>
      <c r="U207" s="16" t="inlineStr">
        <is>
          <t>LOCATED_AT</t>
        </is>
      </c>
      <c r="V207" s="16" t="inlineStr">
        <is>
          <t>config/production_regions.yaml,climate_regions_forecast_weathernext_2026_09_13.md</t>
        </is>
      </c>
    </row>
    <row r="208" ht="42" customHeight="1">
      <c r="A208" s="16" t="inlineStr">
        <is>
          <t>TERM-207</t>
        </is>
      </c>
      <c r="B208" s="16" t="inlineStr">
        <is>
          <t>농업·농기상</t>
        </is>
      </c>
      <c r="C208" s="16" t="inlineStr">
        <is>
          <t>Agriculture &amp; Agrometeorology</t>
        </is>
      </c>
      <c r="D208" s="16" t="inlineStr">
        <is>
          <t>생산지역</t>
        </is>
      </c>
      <c r="E208" s="16" t="inlineStr">
        <is>
          <t>Production Regions</t>
        </is>
      </c>
      <c r="F208" s="16" t="inlineStr">
        <is>
          <t>생산지역</t>
        </is>
      </c>
      <c r="G208" s="16" t="inlineStr">
        <is>
          <t>Nebraska (USA)</t>
        </is>
      </c>
      <c r="H208" s="16" t="inlineStr">
        <is>
          <t>네브래스카</t>
        </is>
      </c>
      <c r="I208" s="16" t="inlineStr">
        <is>
          <t>US_Nebraska</t>
        </is>
      </c>
      <c r="J208" s="16" t="inlineStr">
        <is>
          <t>Nebraska; NE; 네브래스카주</t>
        </is>
      </c>
      <c r="K208" s="16" t="inlineStr">
        <is>
          <t>Region</t>
        </is>
      </c>
      <c r="L208" s="16" t="inlineStr">
        <is>
          <t>미국 대두 재배 지역(tier 2) — 미국 대두 생산 5위 주 · 301.0백만 bu(전국의 6.9%, USDA NASS 네브래스카 2024 연간 요약 · 단수 57.5 bu/ac 기록) · 동부·플랫강 유역 집중(Saunders·York·Fillmore) · 관개 비중 높음</t>
        </is>
      </c>
      <c r="M208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8" s="16" t="inlineStr">
        <is>
          <t>Supply</t>
        </is>
      </c>
      <c r="O208" s="16" t="inlineStr">
        <is>
          <t>CONTEXT</t>
        </is>
      </c>
      <c r="P208" s="16" t="inlineStr">
        <is>
          <t>lat/lon(deg)</t>
        </is>
      </c>
      <c r="Q208" s="16" t="inlineStr">
        <is>
          <t>climate_regions_forecast_weathernext_2026_09_13.md §2 기준 — daily 6변수+예보, 모델 투입은 정본 편입 후</t>
        </is>
      </c>
      <c r="R208" s="16" t="inlineStr">
        <is>
          <t>C</t>
        </is>
      </c>
      <c r="S208" s="16" t="inlineStr">
        <is>
          <t>하</t>
        </is>
      </c>
      <c r="T208" s="16" t="inlineStr">
        <is>
          <t>ProductionRegion</t>
        </is>
      </c>
      <c r="U208" s="16" t="inlineStr">
        <is>
          <t>LOCATED_AT</t>
        </is>
      </c>
      <c r="V208" s="16" t="inlineStr">
        <is>
          <t>config/production_regions.yaml,climate_regions_forecast_weathernext_2026_09_13.md</t>
        </is>
      </c>
    </row>
    <row r="209" ht="42" customHeight="1">
      <c r="A209" s="16" t="inlineStr">
        <is>
          <t>TERM-208</t>
        </is>
      </c>
      <c r="B209" s="16" t="inlineStr">
        <is>
          <t>농업·농기상</t>
        </is>
      </c>
      <c r="C209" s="16" t="inlineStr">
        <is>
          <t>Agriculture &amp; Agrometeorology</t>
        </is>
      </c>
      <c r="D209" s="16" t="inlineStr">
        <is>
          <t>생산지역</t>
        </is>
      </c>
      <c r="E209" s="16" t="inlineStr">
        <is>
          <t>Production Regions</t>
        </is>
      </c>
      <c r="F209" s="16" t="inlineStr">
        <is>
          <t>생산지역</t>
        </is>
      </c>
      <c r="G209" s="16" t="inlineStr">
        <is>
          <t>Ohio (USA)</t>
        </is>
      </c>
      <c r="H209" s="16" t="inlineStr">
        <is>
          <t>오하이오</t>
        </is>
      </c>
      <c r="I209" s="16" t="inlineStr">
        <is>
          <t>US_Ohio</t>
        </is>
      </c>
      <c r="J209" s="16" t="inlineStr">
        <is>
          <t>Ohio; OH; 오하이오주</t>
        </is>
      </c>
      <c r="K209" s="16" t="inlineStr">
        <is>
          <t>Region</t>
        </is>
      </c>
      <c r="L209" s="16" t="inlineStr">
        <is>
          <t>미국 대두 재배 지역(tier 2) — 미국 대두 생산 6위 주 · 274.3백만 bu(전국의 6.3%, USDA NASS 2024) · 상위 카운티 Wood·Darke·Seneca(서부·북서부)</t>
        </is>
      </c>
      <c r="M209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09" s="16" t="inlineStr">
        <is>
          <t>Supply</t>
        </is>
      </c>
      <c r="O209" s="16" t="inlineStr">
        <is>
          <t>CONTEXT</t>
        </is>
      </c>
      <c r="P209" s="16" t="inlineStr">
        <is>
          <t>lat/lon(deg)</t>
        </is>
      </c>
      <c r="Q209" s="16" t="inlineStr">
        <is>
          <t>climate_regions_forecast_weathernext_2026_09_13.md §2 기준 — daily 6변수+예보, 모델 투입은 정본 편입 후</t>
        </is>
      </c>
      <c r="R209" s="16" t="inlineStr">
        <is>
          <t>C</t>
        </is>
      </c>
      <c r="S209" s="16" t="inlineStr">
        <is>
          <t>하</t>
        </is>
      </c>
      <c r="T209" s="16" t="inlineStr">
        <is>
          <t>ProductionRegion</t>
        </is>
      </c>
      <c r="U209" s="16" t="inlineStr">
        <is>
          <t>LOCATED_AT</t>
        </is>
      </c>
      <c r="V209" s="16" t="inlineStr">
        <is>
          <t>config/production_regions.yaml,climate_regions_forecast_weathernext_2026_09_13.md</t>
        </is>
      </c>
    </row>
    <row r="210" ht="42" customHeight="1">
      <c r="A210" s="16" t="inlineStr">
        <is>
          <t>TERM-209</t>
        </is>
      </c>
      <c r="B210" s="16" t="inlineStr">
        <is>
          <t>농업·농기상</t>
        </is>
      </c>
      <c r="C210" s="16" t="inlineStr">
        <is>
          <t>Agriculture &amp; Agrometeorology</t>
        </is>
      </c>
      <c r="D210" s="16" t="inlineStr">
        <is>
          <t>생산지역</t>
        </is>
      </c>
      <c r="E210" s="16" t="inlineStr">
        <is>
          <t>Production Regions</t>
        </is>
      </c>
      <c r="F210" s="16" t="inlineStr">
        <is>
          <t>생산지역</t>
        </is>
      </c>
      <c r="G210" s="16" t="inlineStr">
        <is>
          <t>Alto Paraná (Paraguay)</t>
        </is>
      </c>
      <c r="H210" s="16" t="inlineStr">
        <is>
          <t>알토파라나(파라과이)</t>
        </is>
      </c>
      <c r="I210" s="16" t="inlineStr">
        <is>
          <t>PY_AltoParana</t>
        </is>
      </c>
      <c r="J210" s="16" t="inlineStr">
        <is>
          <t>Alto Parana Department; 알토파라나도; Santa Rita belt</t>
        </is>
      </c>
      <c r="K210" s="16" t="inlineStr">
        <is>
          <t>Region</t>
        </is>
      </c>
      <c r="L210" s="16" t="inlineStr">
        <is>
          <t>파라과이 대두 재배 지역(tier 2) — 파라과이 대두 생산 1위 도 · 3.06백만 t(전국 9.34백만 t의 32.7%, MAG·INBIO 2024/25) · 파종 면적 896천 ha(26.3%, CAPECO 2025/26)</t>
        </is>
      </c>
      <c r="M210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10" s="16" t="inlineStr">
        <is>
          <t>Supply</t>
        </is>
      </c>
      <c r="O210" s="16" t="inlineStr">
        <is>
          <t>CONTEXT</t>
        </is>
      </c>
      <c r="P210" s="16" t="inlineStr">
        <is>
          <t>lat/lon(deg)</t>
        </is>
      </c>
      <c r="Q210" s="16" t="inlineStr">
        <is>
          <t>climate_regions_forecast_weathernext_2026_09_13.md §2 기준 — daily 6변수+예보, 모델 투입은 정본 편입 후</t>
        </is>
      </c>
      <c r="R210" s="16" t="inlineStr">
        <is>
          <t>C</t>
        </is>
      </c>
      <c r="S210" s="16" t="inlineStr">
        <is>
          <t>하</t>
        </is>
      </c>
      <c r="T210" s="16" t="inlineStr">
        <is>
          <t>ProductionRegion</t>
        </is>
      </c>
      <c r="U210" s="16" t="inlineStr">
        <is>
          <t>LOCATED_AT</t>
        </is>
      </c>
      <c r="V210" s="16" t="inlineStr">
        <is>
          <t>config/production_regions.yaml,climate_regions_forecast_weathernext_2026_09_13.md</t>
        </is>
      </c>
    </row>
    <row r="211" ht="42" customHeight="1">
      <c r="A211" s="16" t="inlineStr">
        <is>
          <t>TERM-210</t>
        </is>
      </c>
      <c r="B211" s="16" t="inlineStr">
        <is>
          <t>농업·농기상</t>
        </is>
      </c>
      <c r="C211" s="16" t="inlineStr">
        <is>
          <t>Agriculture &amp; Agrometeorology</t>
        </is>
      </c>
      <c r="D211" s="16" t="inlineStr">
        <is>
          <t>생산지역</t>
        </is>
      </c>
      <c r="E211" s="16" t="inlineStr">
        <is>
          <t>Production Regions</t>
        </is>
      </c>
      <c r="F211" s="16" t="inlineStr">
        <is>
          <t>생산지역</t>
        </is>
      </c>
      <c r="G211" s="16" t="inlineStr">
        <is>
          <t>Madhya Pradesh (India)</t>
        </is>
      </c>
      <c r="H211" s="16" t="inlineStr">
        <is>
          <t>마디아프라데시(인도)</t>
        </is>
      </c>
      <c r="I211" s="16" t="inlineStr">
        <is>
          <t>IN_MadhyaPradesh</t>
        </is>
      </c>
      <c r="J211" s="16" t="inlineStr">
        <is>
          <t>Madhya Pradesh; MP (India); 마디아프라데시주; Malwa plateau</t>
        </is>
      </c>
      <c r="K211" s="16" t="inlineStr">
        <is>
          <t>Region</t>
        </is>
      </c>
      <c r="L211" s="16" t="inlineStr">
        <is>
          <t>인도 대두 재배 지역(tier 2) — 인도 대두 생산 1위 주 · 55.4 lakh t(전국 125.8 lakh t의 약 44%, SOPA kharif 2024) · 수입 관세 정책 연계(인도는 GAIN 국가 상위)</t>
        </is>
      </c>
      <c r="M211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</t>
        </is>
      </c>
      <c r="N211" s="16" t="inlineStr">
        <is>
          <t>Supply</t>
        </is>
      </c>
      <c r="O211" s="16" t="inlineStr">
        <is>
          <t>CONTEXT</t>
        </is>
      </c>
      <c r="P211" s="16" t="inlineStr">
        <is>
          <t>lat/lon(deg)</t>
        </is>
      </c>
      <c r="Q211" s="16" t="inlineStr">
        <is>
          <t>climate_regions_forecast_weathernext_2026_09_13.md §2 기준 — daily 6변수+예보, 모델 투입은 정본 편입 후</t>
        </is>
      </c>
      <c r="R211" s="16" t="inlineStr">
        <is>
          <t>C</t>
        </is>
      </c>
      <c r="S211" s="16" t="inlineStr">
        <is>
          <t>하</t>
        </is>
      </c>
      <c r="T211" s="16" t="inlineStr">
        <is>
          <t>ProductionRegion</t>
        </is>
      </c>
      <c r="U211" s="16" t="inlineStr">
        <is>
          <t>LOCATED_AT</t>
        </is>
      </c>
      <c r="V211" s="16" t="inlineStr">
        <is>
          <t>config/production_regions.yaml,climate_regions_forecast_weathernext_2026_09_13.md</t>
        </is>
      </c>
    </row>
    <row r="212" ht="42" customHeight="1">
      <c r="A212" s="16" t="inlineStr">
        <is>
          <t>TERM-211</t>
        </is>
      </c>
      <c r="B212" s="16" t="inlineStr">
        <is>
          <t>농업·농기상</t>
        </is>
      </c>
      <c r="C212" s="16" t="inlineStr">
        <is>
          <t>Agriculture &amp; Agrometeorology</t>
        </is>
      </c>
      <c r="D212" s="16" t="inlineStr">
        <is>
          <t>생산지역</t>
        </is>
      </c>
      <c r="E212" s="16" t="inlineStr">
        <is>
          <t>Production Regions</t>
        </is>
      </c>
      <c r="F212" s="16" t="inlineStr">
        <is>
          <t>생산지역</t>
        </is>
      </c>
      <c r="G212" s="16" t="inlineStr">
        <is>
          <t>Sabah (Malaysia)</t>
        </is>
      </c>
      <c r="H212" s="16" t="inlineStr">
        <is>
          <t>사바(말레이시아)</t>
        </is>
      </c>
      <c r="I212" s="16" t="inlineStr">
        <is>
          <t>MY_Sabah</t>
        </is>
      </c>
      <c r="J212" s="16" t="inlineStr">
        <is>
          <t>Sabah; 사바주; Lahad Datu-Tawau belt</t>
        </is>
      </c>
      <c r="K212" s="16" t="inlineStr">
        <is>
          <t>Region</t>
        </is>
      </c>
      <c r="L212" s="16" t="inlineStr">
        <is>
          <t>말레이시아 팜 재배 지역(tier 2) — 말레이시아 CPO 생산 1위 주 · 4.27백만 t(전국 19.34백만 t의 22.1%, MPIC·MPOB 2024) · 식재 면적 약 1.48백만 ha(26.4%) · 동해안 Tawau·Lahad Datu·Kinabatangan 등이 주 생산의 약 75%</t>
        </is>
      </c>
      <c r="M212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 · 팜 산지 기후는 대두유 가격의 직접 동인이 아니라 대두유−팜유 가격 차이(CE-015) 레짐 판별 보조 입력</t>
        </is>
      </c>
      <c r="N212" s="16" t="inlineStr">
        <is>
          <t>Supply</t>
        </is>
      </c>
      <c r="O212" s="16" t="inlineStr">
        <is>
          <t>CONTEXT</t>
        </is>
      </c>
      <c r="P212" s="16" t="inlineStr">
        <is>
          <t>lat/lon(deg)</t>
        </is>
      </c>
      <c r="Q212" s="16" t="inlineStr">
        <is>
          <t>climate_regions_forecast_weathernext_2026_09_13.md §2 기준 — daily 6변수+예보, 모델 투입은 정본 편입 후</t>
        </is>
      </c>
      <c r="R212" s="16" t="inlineStr">
        <is>
          <t>C</t>
        </is>
      </c>
      <c r="S212" s="16" t="inlineStr">
        <is>
          <t>하</t>
        </is>
      </c>
      <c r="T212" s="16" t="inlineStr">
        <is>
          <t>ProductionRegion</t>
        </is>
      </c>
      <c r="U212" s="16" t="inlineStr">
        <is>
          <t>LOCATED_AT</t>
        </is>
      </c>
      <c r="V212" s="16" t="inlineStr">
        <is>
          <t>config/production_regions.yaml,climate_regions_forecast_weathernext_2026_09_13.md</t>
        </is>
      </c>
    </row>
    <row r="213" ht="42" customHeight="1">
      <c r="A213" s="16" t="inlineStr">
        <is>
          <t>TERM-212</t>
        </is>
      </c>
      <c r="B213" s="16" t="inlineStr">
        <is>
          <t>농업·농기상</t>
        </is>
      </c>
      <c r="C213" s="16" t="inlineStr">
        <is>
          <t>Agriculture &amp; Agrometeorology</t>
        </is>
      </c>
      <c r="D213" s="16" t="inlineStr">
        <is>
          <t>생산지역</t>
        </is>
      </c>
      <c r="E213" s="16" t="inlineStr">
        <is>
          <t>Production Regions</t>
        </is>
      </c>
      <c r="F213" s="16" t="inlineStr">
        <is>
          <t>생산지역</t>
        </is>
      </c>
      <c r="G213" s="16" t="inlineStr">
        <is>
          <t>Johor (Malaysia)</t>
        </is>
      </c>
      <c r="H213" s="16" t="inlineStr">
        <is>
          <t>조호르</t>
        </is>
      </c>
      <c r="I213" s="16" t="inlineStr">
        <is>
          <t>MY_Johor</t>
        </is>
      </c>
      <c r="J213" s="16" t="inlineStr">
        <is>
          <t>Johor; 조호르주; Kluang-Kota Tinggi belt</t>
        </is>
      </c>
      <c r="K213" s="16" t="inlineStr">
        <is>
          <t>Region</t>
        </is>
      </c>
      <c r="L213" s="16" t="inlineStr">
        <is>
          <t>말레이시아 팜 재배 지역(tier 2) — 반도 말레이시아 팜 식재 면적 1위 주 · 659,820 ha(전국의 11.8%, MPOB 2024 Oil Palm Planted Area) · Kluang·Kota Tinggi 중심</t>
        </is>
      </c>
      <c r="M213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 · 팜 산지 기후는 대두유 가격의 직접 동인이 아니라 대두유−팜유 가격 차이(CE-015) 레짐 판별 보조 입력</t>
        </is>
      </c>
      <c r="N213" s="16" t="inlineStr">
        <is>
          <t>Supply</t>
        </is>
      </c>
      <c r="O213" s="16" t="inlineStr">
        <is>
          <t>CONTEXT</t>
        </is>
      </c>
      <c r="P213" s="16" t="inlineStr">
        <is>
          <t>lat/lon(deg)</t>
        </is>
      </c>
      <c r="Q213" s="16" t="inlineStr">
        <is>
          <t>climate_regions_forecast_weathernext_2026_09_13.md §2 기준 — daily 6변수+예보, 모델 투입은 정본 편입 후</t>
        </is>
      </c>
      <c r="R213" s="16" t="inlineStr">
        <is>
          <t>C</t>
        </is>
      </c>
      <c r="S213" s="16" t="inlineStr">
        <is>
          <t>하</t>
        </is>
      </c>
      <c r="T213" s="16" t="inlineStr">
        <is>
          <t>ProductionRegion</t>
        </is>
      </c>
      <c r="U213" s="16" t="inlineStr">
        <is>
          <t>LOCATED_AT</t>
        </is>
      </c>
      <c r="V213" s="16" t="inlineStr">
        <is>
          <t>config/production_regions.yaml,climate_regions_forecast_weathernext_2026_09_13.md</t>
        </is>
      </c>
    </row>
    <row r="214" ht="42" customHeight="1">
      <c r="A214" s="16" t="inlineStr">
        <is>
          <t>TERM-213</t>
        </is>
      </c>
      <c r="B214" s="16" t="inlineStr">
        <is>
          <t>농업·농기상</t>
        </is>
      </c>
      <c r="C214" s="16" t="inlineStr">
        <is>
          <t>Agriculture &amp; Agrometeorology</t>
        </is>
      </c>
      <c r="D214" s="16" t="inlineStr">
        <is>
          <t>생산지역</t>
        </is>
      </c>
      <c r="E214" s="16" t="inlineStr">
        <is>
          <t>Production Regions</t>
        </is>
      </c>
      <c r="F214" s="16" t="inlineStr">
        <is>
          <t>생산지역</t>
        </is>
      </c>
      <c r="G214" s="16" t="inlineStr">
        <is>
          <t>Riau (Indonesia)</t>
        </is>
      </c>
      <c r="H214" s="16" t="inlineStr">
        <is>
          <t>리아우(인도네시아)</t>
        </is>
      </c>
      <c r="I214" s="16" t="inlineStr">
        <is>
          <t>ID_Riau</t>
        </is>
      </c>
      <c r="J214" s="16" t="inlineStr">
        <is>
          <t>Riau Province; 리아우주; Pekanbaru belt</t>
        </is>
      </c>
      <c r="K214" s="16" t="inlineStr">
        <is>
          <t>Region</t>
        </is>
      </c>
      <c r="L214" s="16" t="inlineStr">
        <is>
          <t>인도네시아 팜 재배 지역(tier 2) — 인도네시아 팜유 생산 1위 주 · 8.79백만 t(전국 46.99백만 t의 18.7%, BPS 2023) · 생산 상위 군은 Rokan Hulu·Pelalawan·Kampar·Rokan Hilir로 Pekanbaru 동서 양측에 분포</t>
        </is>
      </c>
      <c r="M214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 · 팜 산지 기후는 대두유 가격의 직접 동인이 아니라 대두유−팜유 가격 차이(CE-015) 레짐 판별 보조 입력</t>
        </is>
      </c>
      <c r="N214" s="16" t="inlineStr">
        <is>
          <t>Supply</t>
        </is>
      </c>
      <c r="O214" s="16" t="inlineStr">
        <is>
          <t>CONTEXT</t>
        </is>
      </c>
      <c r="P214" s="16" t="inlineStr">
        <is>
          <t>lat/lon(deg)</t>
        </is>
      </c>
      <c r="Q214" s="16" t="inlineStr">
        <is>
          <t>climate_regions_forecast_weathernext_2026_09_13.md §2 기준 — daily 6변수+예보, 모델 투입은 정본 편입 후</t>
        </is>
      </c>
      <c r="R214" s="16" t="inlineStr">
        <is>
          <t>C</t>
        </is>
      </c>
      <c r="S214" s="16" t="inlineStr">
        <is>
          <t>하</t>
        </is>
      </c>
      <c r="T214" s="16" t="inlineStr">
        <is>
          <t>ProductionRegion</t>
        </is>
      </c>
      <c r="U214" s="16" t="inlineStr">
        <is>
          <t>LOCATED_AT</t>
        </is>
      </c>
      <c r="V214" s="16" t="inlineStr">
        <is>
          <t>config/production_regions.yaml,climate_regions_forecast_weathernext_2026_09_13.md</t>
        </is>
      </c>
    </row>
    <row r="215" ht="42" customHeight="1">
      <c r="A215" s="16" t="inlineStr">
        <is>
          <t>TERM-214</t>
        </is>
      </c>
      <c r="B215" s="16" t="inlineStr">
        <is>
          <t>농업·농기상</t>
        </is>
      </c>
      <c r="C215" s="16" t="inlineStr">
        <is>
          <t>Agriculture &amp; Agrometeorology</t>
        </is>
      </c>
      <c r="D215" s="16" t="inlineStr">
        <is>
          <t>생산지역</t>
        </is>
      </c>
      <c r="E215" s="16" t="inlineStr">
        <is>
          <t>Production Regions</t>
        </is>
      </c>
      <c r="F215" s="16" t="inlineStr">
        <is>
          <t>생산지역</t>
        </is>
      </c>
      <c r="G215" s="16" t="inlineStr">
        <is>
          <t>Central Kalimantan (Indonesia)</t>
        </is>
      </c>
      <c r="H215" s="16" t="inlineStr">
        <is>
          <t>중부칼리만탄</t>
        </is>
      </c>
      <c r="I215" s="16" t="inlineStr">
        <is>
          <t>ID_CentralKalimantan</t>
        </is>
      </c>
      <c r="J215" s="16" t="inlineStr">
        <is>
          <t>Kalimantan Tengah; Kalteng; 중부칼리만탄주; Sampit belt</t>
        </is>
      </c>
      <c r="K215" s="16" t="inlineStr">
        <is>
          <t>Region</t>
        </is>
      </c>
      <c r="L215" s="16" t="inlineStr">
        <is>
          <t>인도네시아 팜 재배 지역(tier 2) — 인도네시아 팜유 생산 2위 주 · 8.55백만 t(전국의 18.2%, BPS 2023) · Kotawaringin Timur가 주 생산의 26.7%(1위)·Seruyan 2위 · MY·ID 합산 세계 팜유 80%+(Zhang 2025)</t>
        </is>
      </c>
      <c r="M215" s="16" t="inlineStr">
        <is>
          <t>지역별 기후 신호는 일반화하지 않는다(지역 간 단순 평균 금지 — 재배면적 가중 없이는 합산 불가) · 좌표는 행정 중심이 아닌 주산 벨트 중심(NASA POWER 0.5° 격자 감도) · 라벨 CONFIRMED/INFERENCE는 config coord_status와 동기 · 좌표 이동 시 구좌표 수집분과 시계열을 잇지 않는다(vintage 분리) · 팜 산지 기후는 대두유 가격의 직접 동인이 아니라 대두유−팜유 가격 차이(CE-015) 레짐 판별 보조 입력</t>
        </is>
      </c>
      <c r="N215" s="16" t="inlineStr">
        <is>
          <t>Supply</t>
        </is>
      </c>
      <c r="O215" s="16" t="inlineStr">
        <is>
          <t>CONTEXT</t>
        </is>
      </c>
      <c r="P215" s="16" t="inlineStr">
        <is>
          <t>lat/lon(deg)</t>
        </is>
      </c>
      <c r="Q215" s="16" t="inlineStr">
        <is>
          <t>climate_regions_forecast_weathernext_2026_09_13.md §2 기준 — daily 6변수+예보, 모델 투입은 정본 편입 후</t>
        </is>
      </c>
      <c r="R215" s="16" t="inlineStr">
        <is>
          <t>C</t>
        </is>
      </c>
      <c r="S215" s="16" t="inlineStr">
        <is>
          <t>하</t>
        </is>
      </c>
      <c r="T215" s="16" t="inlineStr">
        <is>
          <t>ProductionRegion</t>
        </is>
      </c>
      <c r="U215" s="16" t="inlineStr">
        <is>
          <t>LOCATED_AT</t>
        </is>
      </c>
      <c r="V215" s="16" t="inlineStr">
        <is>
          <t>config/production_regions.yaml,climate_regions_forecast_weathernext_2026_09_13.md</t>
        </is>
      </c>
    </row>
  </sheetData>
  <conditionalFormatting sqref="R2:R153">
    <cfRule type="containsText" priority="1" operator="containsText" dxfId="1" text="A"/>
  </conditionalFormatting>
  <conditionalFormatting sqref="S2:S153">
    <cfRule type="containsText" priority="2" operator="containsText" dxfId="0" text="상"/>
  </conditionalFormatting>
  <dataValidations count="2">
    <dataValidation sqref="R2:R500" showDropDown="0" showInputMessage="0" showErrorMessage="0" allowBlank="0" type="list">
      <formula1>"A,B,C"</formula1>
    </dataValidation>
    <dataValidation sqref="S2:S500" showDropDown="0" showInputMessage="0" showErrorMessage="0" allowBlank="0" type="list">
      <formula1>"상,중,하"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4.25"/>
  <cols>
    <col width="25" customWidth="1" min="1" max="1"/>
    <col width="30" customWidth="1" min="2" max="2"/>
    <col width="46" customWidth="1" min="3" max="4"/>
  </cols>
  <sheetData>
    <row r="1" ht="16.5" customHeight="1">
      <c r="A1" s="7" t="inlineStr">
        <is>
          <t>대분류</t>
        </is>
      </c>
      <c r="B1" s="7" t="inlineStr">
        <is>
          <t>대분류_EN</t>
        </is>
      </c>
      <c r="C1" s="7" t="inlineStr">
        <is>
          <t>포함 범위</t>
        </is>
      </c>
      <c r="D1" s="7" t="inlineStr">
        <is>
          <t>경계·제외 규칙</t>
        </is>
      </c>
    </row>
    <row r="2" ht="39.95" customHeight="1">
      <c r="A2" s="7" t="inlineStr">
        <is>
          <t>경제·무역</t>
        </is>
      </c>
      <c r="B2" s="7" t="inlineStr">
        <is>
          <t>Economy &amp; Trade</t>
        </is>
      </c>
      <c r="C2" s="7" t="inlineStr">
        <is>
          <t>거시경제, 외환, 국제 교역량과 통계</t>
        </is>
      </c>
      <c r="D2" s="7" t="inlineStr">
        <is>
          <t>정책 도구 자체는 외교·정책·규제로 분리</t>
        </is>
      </c>
    </row>
    <row r="3" ht="39.95" customHeight="1">
      <c r="A3" s="7" t="inlineStr">
        <is>
          <t>농업·농기상</t>
        </is>
      </c>
      <c r="B3" s="7" t="inlineStr">
        <is>
          <t>Agriculture &amp; Agrometeorology</t>
        </is>
      </c>
      <c r="C3" s="7" t="inlineStr">
        <is>
          <t>ENSO·이상기상·생육·생산·재고</t>
        </is>
      </c>
      <c r="D3" s="7" t="inlineStr">
        <is>
          <t>물류 차질은 물류·공급망으로 분리</t>
        </is>
      </c>
    </row>
    <row r="4" ht="39.95" customHeight="1">
      <c r="A4" s="7" t="inlineStr">
        <is>
          <t>시장·가격·조달</t>
        </is>
      </c>
      <c r="B4" s="7" t="inlineStr">
        <is>
          <t>Market, Price &amp; Procurement</t>
        </is>
      </c>
      <c r="C4" s="7" t="inlineStr">
        <is>
          <t>대두유 형태, 가격, 스프레드, 레짐, Buy/Hold</t>
        </is>
      </c>
      <c r="D4" s="7" t="inlineStr">
        <is>
          <t>에너지·정책 원인은 별도 분류</t>
        </is>
      </c>
    </row>
    <row r="5" ht="39.95" customHeight="1">
      <c r="A5" s="7" t="inlineStr">
        <is>
          <t>에너지·바이오연료</t>
        </is>
      </c>
      <c r="B5" s="7" t="inlineStr">
        <is>
          <t>Energy &amp; Biofuel</t>
        </is>
      </c>
      <c r="C5" s="7" t="inlineStr">
        <is>
          <t>WTI/Brent, 바이오디젤 수요, 혼합의무</t>
        </is>
      </c>
      <c r="D5" s="7" t="inlineStr">
        <is>
          <t>일반 환경정책과 구분</t>
        </is>
      </c>
    </row>
    <row r="6" ht="39.95" customHeight="1">
      <c r="A6" s="7" t="inlineStr">
        <is>
          <t>지정학·안보</t>
        </is>
      </c>
      <c r="B6" s="7" t="inlineStr">
        <is>
          <t>Geopolitics &amp; Security</t>
        </is>
      </c>
      <c r="C6" s="7" t="inlineStr">
        <is>
          <t>분쟁, 제재, GPR/EPU, 핵심 해협 위험</t>
        </is>
      </c>
      <c r="D6" s="7" t="inlineStr">
        <is>
          <t>관세율·법령은 외교·정책·규제로 분리</t>
        </is>
      </c>
    </row>
    <row r="7" ht="39.95" customHeight="1">
      <c r="A7" s="7" t="inlineStr">
        <is>
          <t>물류·공급망</t>
        </is>
      </c>
      <c r="B7" s="7" t="inlineStr">
        <is>
          <t>Logistics &amp; Supply Chain</t>
        </is>
      </c>
      <c r="C7" s="7" t="inlineStr">
        <is>
          <t>운임, 보험, 항만, 항로, 리드타임, 인코텀즈</t>
        </is>
      </c>
      <c r="D7" s="7" t="inlineStr">
        <is>
          <t>생산 자체는 농업·농기상으로 분리</t>
        </is>
      </c>
    </row>
    <row r="8" ht="39.95" customHeight="1">
      <c r="A8" s="7" t="inlineStr">
        <is>
          <t>외교·정책·규제</t>
        </is>
      </c>
      <c r="B8" s="7" t="inlineStr">
        <is>
          <t>Diplomacy, Policy &amp; Regulation</t>
        </is>
      </c>
      <c r="C8" s="7" t="inlineStr">
        <is>
          <t>관세·수출세·쿼터·법령·규정 상태</t>
        </is>
      </c>
      <c r="D8" s="7" t="inlineStr">
        <is>
          <t>정책 영향은 별도 인과 메커니즘으로 연결</t>
        </is>
      </c>
    </row>
    <row r="9" ht="39.95" customHeight="1">
      <c r="A9" s="7" t="inlineStr">
        <is>
          <t>데이터·시맨틱·품질</t>
        </is>
      </c>
      <c r="B9" s="7" t="inlineStr">
        <is>
          <t>Data, Semantics &amp; Quality</t>
        </is>
      </c>
      <c r="C9" s="7" t="inlineStr">
        <is>
          <t>문서 근거, 엔터티 정규화, 온톨로지, 인과, 검증</t>
        </is>
      </c>
      <c r="D9" s="7" t="inlineStr">
        <is>
          <t>도메인 사실과 메타데이터를 구분</t>
        </is>
      </c>
    </row>
    <row r="10" ht="39.95" customHeight="1">
      <c r="A10" s="17" t="inlineStr">
        <is>
          <t>시장구조·기업</t>
        </is>
      </c>
      <c r="B10" s="17" t="inlineStr">
        <is>
          <t>Market Structure &amp; Firms</t>
        </is>
      </c>
      <c r="C10" s="17" t="inlineStr">
        <is>
          <t>트레이딩하우스·국내 압착·정제·수입 양하 항만·해상 병목·집중도·거래 관행</t>
        </is>
      </c>
      <c r="D10" s="17" t="inlineStr">
        <is>
          <t>기업 실체는 여기, 운임·항로 지표는 물류·공급망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4.25"/>
  <cols>
    <col width="30" customWidth="1" min="1" max="1"/>
    <col width="45" customWidth="1" min="2" max="2"/>
    <col width="24" customWidth="1" min="3" max="4"/>
    <col width="11" customWidth="1" min="5" max="5"/>
    <col width="55" customWidth="1" min="6" max="6"/>
  </cols>
  <sheetData>
    <row r="1" ht="16.5" customHeight="1">
      <c r="A1" s="7" t="inlineStr">
        <is>
          <t>관계코드</t>
        </is>
      </c>
      <c r="B1" s="7" t="inlineStr">
        <is>
          <t>정의</t>
        </is>
      </c>
      <c r="C1" s="7" t="inlineStr">
        <is>
          <t>Subject Class</t>
        </is>
      </c>
      <c r="D1" s="7" t="inlineStr">
        <is>
          <t>Object Class</t>
        </is>
      </c>
      <c r="E1" s="7" t="inlineStr">
        <is>
          <t>대칭관계</t>
        </is>
      </c>
      <c r="F1" s="7" t="inlineStr">
        <is>
          <t>예시·제약</t>
        </is>
      </c>
    </row>
    <row r="2" ht="39.95" customHeight="1">
      <c r="A2" s="7" t="inlineStr">
        <is>
          <t>MENTION_OF</t>
        </is>
      </c>
      <c r="B2" s="7" t="inlineStr">
        <is>
          <t>언급이 표준 엔터티를 지칭</t>
        </is>
      </c>
      <c r="C2" s="7" t="inlineStr">
        <is>
          <t>EntityMention</t>
        </is>
      </c>
      <c r="D2" s="7" t="inlineStr">
        <is>
          <t>CanonicalEntity</t>
        </is>
      </c>
      <c r="E2" s="7" t="inlineStr">
        <is>
          <t>N</t>
        </is>
      </c>
      <c r="F2" s="7" t="inlineStr">
        <is>
          <t>SBO mention MENTION_OF Soybean Oil</t>
        </is>
      </c>
    </row>
    <row r="3" ht="39.95" customHeight="1">
      <c r="A3" s="7" t="inlineStr">
        <is>
          <t>ALIAS_OF</t>
        </is>
      </c>
      <c r="B3" s="7" t="inlineStr">
        <is>
          <t>별칭이 표준 엔터티에 속함</t>
        </is>
      </c>
      <c r="C3" s="7" t="inlineStr">
        <is>
          <t>EntityAlias</t>
        </is>
      </c>
      <c r="D3" s="7" t="inlineStr">
        <is>
          <t>CanonicalEntity</t>
        </is>
      </c>
      <c r="E3" s="7" t="inlineStr">
        <is>
          <t>N</t>
        </is>
      </c>
      <c r="F3" s="7" t="inlineStr">
        <is>
          <t>대두유 ALIAS_OF Soybean Oil</t>
        </is>
      </c>
    </row>
    <row r="4" ht="39.95" customHeight="1">
      <c r="A4" s="7" t="inlineStr">
        <is>
          <t>CLASSIFIED_AS</t>
        </is>
      </c>
      <c r="B4" s="7" t="inlineStr">
        <is>
          <t>엔터티가 분류에 속함</t>
        </is>
      </c>
      <c r="C4" s="7" t="inlineStr">
        <is>
          <t>CanonicalEntity</t>
        </is>
      </c>
      <c r="D4" s="7" t="inlineStr">
        <is>
          <t>TaxonomyCategory</t>
        </is>
      </c>
      <c r="E4" s="7" t="inlineStr">
        <is>
          <t>N</t>
        </is>
      </c>
      <c r="F4" s="7" t="inlineStr">
        <is>
          <t>Soybean Oil CLASSIFIED_AS Vegetable Oil</t>
        </is>
      </c>
    </row>
    <row r="5" ht="39.95" customHeight="1">
      <c r="A5" s="7" t="inlineStr">
        <is>
          <t>SUPPORTED_BY</t>
        </is>
      </c>
      <c r="B5" s="7" t="inlineStr">
        <is>
          <t>주장·관계가 근거로 지지됨</t>
        </is>
      </c>
      <c r="C5" s="7" t="inlineStr">
        <is>
          <t>Claim/Edge</t>
        </is>
      </c>
      <c r="D5" s="7" t="inlineStr">
        <is>
          <t>EvidenceSpan</t>
        </is>
      </c>
      <c r="E5" s="7" t="inlineStr">
        <is>
          <t>N</t>
        </is>
      </c>
      <c r="F5" s="7" t="inlineStr">
        <is>
          <t>CausalClaim SUPPORTED_BY p.8 quote</t>
        </is>
      </c>
    </row>
    <row r="6" ht="39.95" customHeight="1">
      <c r="A6" s="7" t="inlineStr">
        <is>
          <t>DERIVED_FROM</t>
        </is>
      </c>
      <c r="B6" s="7" t="inlineStr">
        <is>
          <t>레코드가 원천에서 파생됨</t>
        </is>
      </c>
      <c r="C6" s="7" t="inlineStr">
        <is>
          <t>Record</t>
        </is>
      </c>
      <c r="D6" s="7" t="inlineStr">
        <is>
          <t>SourceDocument/Chunk</t>
        </is>
      </c>
      <c r="E6" s="7" t="inlineStr">
        <is>
          <t>N</t>
        </is>
      </c>
      <c r="F6" s="7" t="inlineStr">
        <is>
          <t>Observation DERIVED_FROM WASDE</t>
        </is>
      </c>
    </row>
    <row r="7" ht="39.95" customHeight="1">
      <c r="A7" s="7" t="inlineStr">
        <is>
          <t>OCCURS_IN</t>
        </is>
      </c>
      <c r="B7" s="7" t="inlineStr">
        <is>
          <t>사건이 지리에서 발생</t>
        </is>
      </c>
      <c r="C7" s="7" t="inlineStr">
        <is>
          <t>Event</t>
        </is>
      </c>
      <c r="D7" s="7" t="inlineStr">
        <is>
          <t>GeoEntity</t>
        </is>
      </c>
      <c r="E7" s="7" t="inlineStr">
        <is>
          <t>N</t>
        </is>
      </c>
      <c r="F7" s="7" t="inlineStr">
        <is>
          <t>Drought OCCURS_IN Córdoba</t>
        </is>
      </c>
    </row>
    <row r="8" ht="39.95" customHeight="1">
      <c r="A8" s="7" t="inlineStr">
        <is>
          <t>AFFECTS</t>
        </is>
      </c>
      <c r="B8" s="7" t="inlineStr">
        <is>
          <t>한 엔터티가 다른 대상에 영향</t>
        </is>
      </c>
      <c r="C8" s="7" t="inlineStr">
        <is>
          <t>Entity/Event</t>
        </is>
      </c>
      <c r="D8" s="7" t="inlineStr">
        <is>
          <t>Entity/Metric</t>
        </is>
      </c>
      <c r="E8" s="7" t="inlineStr">
        <is>
          <t>N</t>
        </is>
      </c>
      <c r="F8" s="7" t="inlineStr">
        <is>
          <t>Port Strike AFFECTS Lead Time</t>
        </is>
      </c>
    </row>
    <row r="9" ht="39.95" customHeight="1">
      <c r="A9" s="7" t="inlineStr">
        <is>
          <t>CAUSES_MECHANISM</t>
        </is>
      </c>
      <c r="B9" s="7" t="inlineStr">
        <is>
          <t>원인이 시장 메커니즘을 촉발</t>
        </is>
      </c>
      <c r="C9" s="7" t="inlineStr">
        <is>
          <t>CauseNode</t>
        </is>
      </c>
      <c r="D9" s="7" t="inlineStr">
        <is>
          <t>MechanismNode</t>
        </is>
      </c>
      <c r="E9" s="7" t="inlineStr">
        <is>
          <t>N</t>
        </is>
      </c>
      <c r="F9" s="7" t="inlineStr">
        <is>
          <t>La Niña CAUSES_MECHANISM Yield Deficit</t>
        </is>
      </c>
    </row>
    <row r="10" ht="39.95" customHeight="1">
      <c r="A10" s="7" t="inlineStr">
        <is>
          <t>MECHANISM_AFFECTS_OUTCOME</t>
        </is>
      </c>
      <c r="B10" s="7" t="inlineStr">
        <is>
          <t>메커니즘이 수급·가격 결과에 영향</t>
        </is>
      </c>
      <c r="C10" s="7" t="inlineStr">
        <is>
          <t>MechanismNode</t>
        </is>
      </c>
      <c r="D10" s="7" t="inlineStr">
        <is>
          <t>OutcomeNode</t>
        </is>
      </c>
      <c r="E10" s="7" t="inlineStr">
        <is>
          <t>N</t>
        </is>
      </c>
      <c r="F10" s="7" t="inlineStr">
        <is>
          <t>Yield Deficit MECHANISM_AFFECTS_OUTCOME SBO Price</t>
        </is>
      </c>
    </row>
    <row r="11" ht="39.95" customHeight="1">
      <c r="A11" s="7" t="inlineStr">
        <is>
          <t>INCREASES</t>
        </is>
      </c>
      <c r="B11" s="7" t="inlineStr">
        <is>
          <t>대상 값을 증가시킴</t>
        </is>
      </c>
      <c r="C11" s="7" t="inlineStr">
        <is>
          <t>Entity/Event</t>
        </is>
      </c>
      <c r="D11" s="7" t="inlineStr">
        <is>
          <t>Metric</t>
        </is>
      </c>
      <c r="E11" s="7" t="inlineStr">
        <is>
          <t>N</t>
        </is>
      </c>
      <c r="F11" s="7" t="inlineStr">
        <is>
          <t>Freight Shock INCREASES CFR Price</t>
        </is>
      </c>
    </row>
    <row r="12" ht="39.95" customHeight="1">
      <c r="A12" s="7" t="inlineStr">
        <is>
          <t>DECREASES</t>
        </is>
      </c>
      <c r="B12" s="7" t="inlineStr">
        <is>
          <t>대상 값을 감소시킴</t>
        </is>
      </c>
      <c r="C12" s="7" t="inlineStr">
        <is>
          <t>Entity/Event</t>
        </is>
      </c>
      <c r="D12" s="7" t="inlineStr">
        <is>
          <t>Metric</t>
        </is>
      </c>
      <c r="E12" s="7" t="inlineStr">
        <is>
          <t>N</t>
        </is>
      </c>
      <c r="F12" s="7" t="inlineStr">
        <is>
          <t>Bumper Crop DECREASES Price</t>
        </is>
      </c>
    </row>
    <row r="13" ht="39.95" customHeight="1">
      <c r="A13" s="7" t="inlineStr">
        <is>
          <t>PRODUCES</t>
        </is>
      </c>
      <c r="B13" s="7" t="inlineStr">
        <is>
          <t>원료·공정이 산출물을 생산</t>
        </is>
      </c>
      <c r="C13" s="7" t="inlineStr">
        <is>
          <t>Commodity/Process</t>
        </is>
      </c>
      <c r="D13" s="7" t="inlineStr">
        <is>
          <t>Commodity</t>
        </is>
      </c>
      <c r="E13" s="7" t="inlineStr">
        <is>
          <t>N</t>
        </is>
      </c>
      <c r="F13" s="7" t="inlineStr">
        <is>
          <t>Soybean Crush PRODUCES Soybean Oil</t>
        </is>
      </c>
    </row>
    <row r="14" ht="39.95" customHeight="1">
      <c r="A14" s="7" t="inlineStr">
        <is>
          <t>EXPORTS_TO</t>
        </is>
      </c>
      <c r="B14" s="7" t="inlineStr">
        <is>
          <t>국가·주체가 목적지로 수출</t>
        </is>
      </c>
      <c r="C14" s="7" t="inlineStr">
        <is>
          <t>Country/Actor</t>
        </is>
      </c>
      <c r="D14" s="7" t="inlineStr">
        <is>
          <t>Country/Market</t>
        </is>
      </c>
      <c r="E14" s="7" t="inlineStr">
        <is>
          <t>N</t>
        </is>
      </c>
      <c r="F14" s="7" t="inlineStr">
        <is>
          <t>Brazil EXPORTS_TO Korea</t>
        </is>
      </c>
    </row>
    <row r="15" ht="39.95" customHeight="1">
      <c r="A15" s="7" t="inlineStr">
        <is>
          <t>IMPORTS_FROM</t>
        </is>
      </c>
      <c r="B15" s="7" t="inlineStr">
        <is>
          <t>국가·주체가 원산지에서 수입</t>
        </is>
      </c>
      <c r="C15" s="7" t="inlineStr">
        <is>
          <t>Country/Actor</t>
        </is>
      </c>
      <c r="D15" s="7" t="inlineStr">
        <is>
          <t>Country/Market</t>
        </is>
      </c>
      <c r="E15" s="7" t="inlineStr">
        <is>
          <t>N</t>
        </is>
      </c>
      <c r="F15" s="7" t="inlineStr">
        <is>
          <t>Korea IMPORTS_FROM Argentina</t>
        </is>
      </c>
    </row>
    <row r="16" ht="39.95" customHeight="1">
      <c r="A16" s="7" t="inlineStr">
        <is>
          <t>ROUTED_VIA</t>
        </is>
      </c>
      <c r="B16" s="7" t="inlineStr">
        <is>
          <t>교역·운송이 경로·항만을 경유</t>
        </is>
      </c>
      <c r="C16" s="7" t="inlineStr">
        <is>
          <t>TradeFlow/Shipment</t>
        </is>
      </c>
      <c r="D16" s="7" t="inlineStr">
        <is>
          <t>Route/Port</t>
        </is>
      </c>
      <c r="E16" s="7" t="inlineStr">
        <is>
          <t>N</t>
        </is>
      </c>
      <c r="F16" s="7" t="inlineStr">
        <is>
          <t>TradeFlow ROUTED_VIA Santos</t>
        </is>
      </c>
    </row>
    <row r="17" ht="39.95" customHeight="1">
      <c r="A17" s="7" t="inlineStr">
        <is>
          <t>REGULATES</t>
        </is>
      </c>
      <c r="B17" s="7" t="inlineStr">
        <is>
          <t>정책이 품목·행위·시장을 규제</t>
        </is>
      </c>
      <c r="C17" s="7" t="inlineStr">
        <is>
          <t>Policy</t>
        </is>
      </c>
      <c r="D17" s="7" t="inlineStr">
        <is>
          <t>Commodity/TradeFlow</t>
        </is>
      </c>
      <c r="E17" s="7" t="inlineStr">
        <is>
          <t>N</t>
        </is>
      </c>
      <c r="F17" s="7" t="inlineStr">
        <is>
          <t>Export Tax REGULATES SBO Export</t>
        </is>
      </c>
    </row>
    <row r="18" ht="39.95" customHeight="1">
      <c r="A18" s="7" t="inlineStr">
        <is>
          <t>SUBSTITUTES_FOR</t>
        </is>
      </c>
      <c r="B18" s="7" t="inlineStr">
        <is>
          <t>품목이 다른 품목을 대체</t>
        </is>
      </c>
      <c r="C18" s="7" t="inlineStr">
        <is>
          <t>Commodity</t>
        </is>
      </c>
      <c r="D18" s="7" t="inlineStr">
        <is>
          <t>Commodity</t>
        </is>
      </c>
      <c r="E18" s="7" t="inlineStr">
        <is>
          <t>Y</t>
        </is>
      </c>
      <c r="F18" s="7" t="inlineStr">
        <is>
          <t>Palm Oil SUBSTITUTES_FOR Soybean Oil</t>
        </is>
      </c>
    </row>
    <row r="19" ht="39.95" customHeight="1">
      <c r="A19" s="7" t="inlineStr">
        <is>
          <t>MEASURED_BY</t>
        </is>
      </c>
      <c r="B19" s="7" t="inlineStr">
        <is>
          <t>개념·현상이 지표로 측정</t>
        </is>
      </c>
      <c r="C19" s="7" t="inlineStr">
        <is>
          <t>Entity/Condition</t>
        </is>
      </c>
      <c r="D19" s="7" t="inlineStr">
        <is>
          <t>Indicator</t>
        </is>
      </c>
      <c r="E19" s="7" t="inlineStr">
        <is>
          <t>N</t>
        </is>
      </c>
      <c r="F19" s="7" t="inlineStr">
        <is>
          <t>ENSO MEASURED_BY ONI</t>
        </is>
      </c>
    </row>
    <row r="20" ht="39.95" customHeight="1">
      <c r="A20" s="7" t="inlineStr">
        <is>
          <t>FORECASTS</t>
        </is>
      </c>
      <c r="B20" s="7" t="inlineStr">
        <is>
          <t>전망이 대상 지표를 예측</t>
        </is>
      </c>
      <c r="C20" s="7" t="inlineStr">
        <is>
          <t>Forecast</t>
        </is>
      </c>
      <c r="D20" s="7" t="inlineStr">
        <is>
          <t>Metric</t>
        </is>
      </c>
      <c r="E20" s="7" t="inlineStr">
        <is>
          <t>N</t>
        </is>
      </c>
      <c r="F20" s="7" t="inlineStr">
        <is>
          <t>WASDE Forecast FORECASTS Production</t>
        </is>
      </c>
    </row>
    <row r="21" ht="39.95" customHeight="1">
      <c r="A21" s="7" t="inlineStr">
        <is>
          <t>HAS_KOREA_IMPACT</t>
        </is>
      </c>
      <c r="B21" s="7" t="inlineStr">
        <is>
          <t>사건·전망이 한국 영향 평가를 가짐</t>
        </is>
      </c>
      <c r="C21" s="7" t="inlineStr">
        <is>
          <t>Event/Forecast</t>
        </is>
      </c>
      <c r="D21" s="7" t="inlineStr">
        <is>
          <t>KoreaImpact</t>
        </is>
      </c>
      <c r="E21" s="7" t="inlineStr">
        <is>
          <t>N</t>
        </is>
      </c>
      <c r="F21" s="7" t="inlineStr">
        <is>
          <t>Route Disruption HAS_KOREA_IMPACT CIF Up</t>
        </is>
      </c>
    </row>
    <row r="22" ht="39.95" customHeight="1">
      <c r="A22" s="7" t="inlineStr">
        <is>
          <t>VALIDATED_BY</t>
        </is>
      </c>
      <c r="B22" s="7" t="inlineStr">
        <is>
          <t>레코드가 검토·평가로 검증</t>
        </is>
      </c>
      <c r="C22" s="7" t="inlineStr">
        <is>
          <t>Record/Edge</t>
        </is>
      </c>
      <c r="D22" s="7" t="inlineStr">
        <is>
          <t>Review/Eval</t>
        </is>
      </c>
      <c r="E22" s="7" t="inlineStr">
        <is>
          <t>N</t>
        </is>
      </c>
      <c r="F22" s="7" t="inlineStr">
        <is>
          <t>CausalEdge VALIDATED_BY P1-03</t>
        </is>
      </c>
    </row>
    <row r="23" ht="39.95" customHeight="1">
      <c r="A23" s="7" t="inlineStr">
        <is>
          <t>CONTRADICTS</t>
        </is>
      </c>
      <c r="B23" s="7" t="inlineStr">
        <is>
          <t>주장들이 서로 상충</t>
        </is>
      </c>
      <c r="C23" s="7" t="inlineStr">
        <is>
          <t>Claim</t>
        </is>
      </c>
      <c r="D23" s="7" t="inlineStr">
        <is>
          <t>Claim</t>
        </is>
      </c>
      <c r="E23" s="7" t="inlineStr">
        <is>
          <t>Y</t>
        </is>
      </c>
      <c r="F23" s="7" t="inlineStr">
        <is>
          <t>Forecast A CONTRADICTS Forecast B</t>
        </is>
      </c>
    </row>
    <row r="24" ht="39.95" customHeight="1">
      <c r="A24" s="9" t="inlineStr">
        <is>
          <t>DIRECT_CAUSE_TO_PRICE</t>
        </is>
      </c>
      <c r="B24" s="9" t="inlineStr">
        <is>
          <t>금지 관계: 외생 원인에서 가격으로 직접 연결</t>
        </is>
      </c>
      <c r="C24" s="9" t="inlineStr">
        <is>
          <t>CauseNode</t>
        </is>
      </c>
      <c r="D24" s="9" t="inlineStr">
        <is>
          <t>PriceOutcome</t>
        </is>
      </c>
      <c r="E24" s="9" t="inlineStr">
        <is>
          <t>N</t>
        </is>
      </c>
      <c r="F24" s="9" t="inlineStr">
        <is>
          <t>금지 — 반드시 Market Mechanism 경유</t>
        </is>
      </c>
    </row>
    <row r="25" ht="39.95" customHeight="1">
      <c r="A25" s="17" t="inlineStr">
        <is>
          <t>CLASSIFIES</t>
        </is>
      </c>
      <c r="B25" s="17" t="inlineStr">
        <is>
          <t>분류 체계·코드가 대상을 분류 (CLASSIFIED_AS 역방향)</t>
        </is>
      </c>
      <c r="C25" s="17" t="inlineStr">
        <is>
          <t>Taxonomy/Code</t>
        </is>
      </c>
      <c r="D25" s="17" t="inlineStr">
        <is>
          <t>Entity</t>
        </is>
      </c>
      <c r="E25" s="17" t="inlineStr">
        <is>
          <t>N</t>
        </is>
      </c>
      <c r="F25" s="17" t="inlineStr">
        <is>
          <t>HS 1507 CLASSIFIES Soybean Oil</t>
        </is>
      </c>
    </row>
    <row r="26" ht="39.95" customHeight="1">
      <c r="A26" s="17" t="inlineStr">
        <is>
          <t>IDENTIFIES</t>
        </is>
      </c>
      <c r="B26" s="17" t="inlineStr">
        <is>
          <t>코드·키가 대상을 유일하게 식별</t>
        </is>
      </c>
      <c r="C26" s="17" t="inlineStr">
        <is>
          <t>Code/Key</t>
        </is>
      </c>
      <c r="D26" s="17" t="inlineStr">
        <is>
          <t>Entity/Record</t>
        </is>
      </c>
      <c r="E26" s="17" t="inlineStr">
        <is>
          <t>N</t>
        </is>
      </c>
      <c r="F26" s="17" t="inlineStr">
        <is>
          <t>document_id IDENTIFIES SourceDocument</t>
        </is>
      </c>
    </row>
    <row r="27" ht="39.95" customHeight="1">
      <c r="A27" s="17" t="inlineStr">
        <is>
          <t>GROUPS</t>
        </is>
      </c>
      <c r="B27" s="17" t="inlineStr">
        <is>
          <t>그룹이 원소를 묶음</t>
        </is>
      </c>
      <c r="C27" s="17" t="inlineStr">
        <is>
          <t>Group</t>
        </is>
      </c>
      <c r="D27" s="17" t="inlineStr">
        <is>
          <t>Member</t>
        </is>
      </c>
      <c r="E27" s="17" t="inlineStr">
        <is>
          <t>N</t>
        </is>
      </c>
      <c r="F27" s="17" t="inlineStr">
        <is>
          <t>DeduplicationGroup GROUPS duplicate mentions</t>
        </is>
      </c>
    </row>
    <row r="28" ht="39.95" customHeight="1">
      <c r="A28" s="17" t="inlineStr">
        <is>
          <t>IS_FORM_OF</t>
        </is>
      </c>
      <c r="B28" s="17" t="inlineStr">
        <is>
          <t>품목이 상위 품목의 가공 형태임</t>
        </is>
      </c>
      <c r="C28" s="17" t="inlineStr">
        <is>
          <t>CommodityForm</t>
        </is>
      </c>
      <c r="D28" s="17" t="inlineStr">
        <is>
          <t>Commodity</t>
        </is>
      </c>
      <c r="E28" s="17" t="inlineStr">
        <is>
          <t>N</t>
        </is>
      </c>
      <c r="F28" s="17" t="inlineStr">
        <is>
          <t>Crude Soybean Oil IS_FORM_OF Soybean Oil</t>
        </is>
      </c>
    </row>
    <row r="29" ht="39.95" customHeight="1">
      <c r="A29" s="17" t="inlineStr">
        <is>
          <t>IS_LEVEL_OF</t>
        </is>
      </c>
      <c r="B29" s="17" t="inlineStr">
        <is>
          <t>값·등급이 척도의 수준임</t>
        </is>
      </c>
      <c r="C29" s="17" t="inlineStr">
        <is>
          <t>Value/Grade</t>
        </is>
      </c>
      <c r="D29" s="17" t="inlineStr">
        <is>
          <t>Scale</t>
        </is>
      </c>
      <c r="E29" s="17" t="inlineStr">
        <is>
          <t>N</t>
        </is>
      </c>
      <c r="F29" s="17" t="inlineStr">
        <is>
          <t>B40 IS_LEVEL_OF Biodiesel Blend Mandate</t>
        </is>
      </c>
    </row>
    <row r="30" ht="39.95" customHeight="1">
      <c r="A30" s="17" t="inlineStr">
        <is>
          <t>PART_OF</t>
        </is>
      </c>
      <c r="B30" s="17" t="inlineStr">
        <is>
          <t>부분이 전체에 속함</t>
        </is>
      </c>
      <c r="C30" s="17" t="inlineStr">
        <is>
          <t>Component</t>
        </is>
      </c>
      <c r="D30" s="17" t="inlineStr">
        <is>
          <t>Whole</t>
        </is>
      </c>
      <c r="E30" s="17" t="inlineStr">
        <is>
          <t>N</t>
        </is>
      </c>
      <c r="F30" s="17" t="inlineStr">
        <is>
          <t>Rosario PART_OF Argentina export corridor</t>
        </is>
      </c>
    </row>
    <row r="31" ht="39.95" customHeight="1">
      <c r="A31" s="17" t="inlineStr">
        <is>
          <t>COMPOSED_OF</t>
        </is>
      </c>
      <c r="B31" s="17" t="inlineStr">
        <is>
          <t>전체가 부분으로 구성됨 (PART_OF 역방향)</t>
        </is>
      </c>
      <c r="C31" s="17" t="inlineStr">
        <is>
          <t>Whole</t>
        </is>
      </c>
      <c r="D31" s="17" t="inlineStr">
        <is>
          <t>Component</t>
        </is>
      </c>
      <c r="E31" s="17" t="inlineStr">
        <is>
          <t>N</t>
        </is>
      </c>
      <c r="F31" s="17" t="inlineStr">
        <is>
          <t>Semantic Layer COMPOSED_OF entities/metrics/ontology</t>
        </is>
      </c>
    </row>
    <row r="32" ht="39.95" customHeight="1">
      <c r="A32" s="17" t="inlineStr">
        <is>
          <t>SUPPORTS</t>
        </is>
      </c>
      <c r="B32" s="17" t="inlineStr">
        <is>
          <t>근거·데이터가 판단을 지지함 (SUPPORTED_BY 역방향)</t>
        </is>
      </c>
      <c r="C32" s="17" t="inlineStr">
        <is>
          <t>Evidence/Data</t>
        </is>
      </c>
      <c r="D32" s="17" t="inlineStr">
        <is>
          <t>Claim</t>
        </is>
      </c>
      <c r="E32" s="17" t="inlineStr">
        <is>
          <t>N</t>
        </is>
      </c>
      <c r="F32" s="17" t="inlineStr">
        <is>
          <t>EvidenceSpan SUPPORTS CausalClaim</t>
        </is>
      </c>
    </row>
    <row r="33" ht="39.95" customHeight="1">
      <c r="A33" s="17" t="inlineStr">
        <is>
          <t>VALIDATES</t>
        </is>
      </c>
      <c r="B33" s="17" t="inlineStr">
        <is>
          <t>절차·에이전트가 대상을 검증함 (VALIDATED_BY 역방향)</t>
        </is>
      </c>
      <c r="C33" s="17" t="inlineStr">
        <is>
          <t>Process/Agent</t>
        </is>
      </c>
      <c r="D33" s="17" t="inlineStr">
        <is>
          <t>Record/Edge</t>
        </is>
      </c>
      <c r="E33" s="17" t="inlineStr">
        <is>
          <t>N</t>
        </is>
      </c>
      <c r="F33" s="17" t="inlineStr">
        <is>
          <t>C-08 DQSOps VALIDATES sentiment bounds</t>
        </is>
      </c>
    </row>
    <row r="34" ht="39.95" customHeight="1">
      <c r="A34" s="17" t="inlineStr">
        <is>
          <t>CONFORMS_TO</t>
        </is>
      </c>
      <c r="B34" s="17" t="inlineStr">
        <is>
          <t>레코드가 스키마·표준을 준수함</t>
        </is>
      </c>
      <c r="C34" s="17" t="inlineStr">
        <is>
          <t>Record</t>
        </is>
      </c>
      <c r="D34" s="17" t="inlineStr">
        <is>
          <t>Schema/Standard</t>
        </is>
      </c>
      <c r="E34" s="17" t="inlineStr">
        <is>
          <t>N</t>
        </is>
      </c>
      <c r="F34" s="17" t="inlineStr">
        <is>
          <t>Event JSON CONFORMS_TO event_schema.json</t>
        </is>
      </c>
    </row>
    <row r="35" ht="39.95" customHeight="1">
      <c r="A35" s="17" t="inlineStr">
        <is>
          <t>PROVIDES</t>
        </is>
      </c>
      <c r="B35" s="17" t="inlineStr">
        <is>
          <t>출처·기관이 데이터·서비스를 제공</t>
        </is>
      </c>
      <c r="C35" s="17" t="inlineStr">
        <is>
          <t>Source/Actor</t>
        </is>
      </c>
      <c r="D35" s="17" t="inlineStr">
        <is>
          <t>Data/Service</t>
        </is>
      </c>
      <c r="E35" s="17" t="inlineStr">
        <is>
          <t>N</t>
        </is>
      </c>
      <c r="F35" s="17" t="inlineStr">
        <is>
          <t>USDA PROVIDES WASDE report</t>
        </is>
      </c>
    </row>
    <row r="36" ht="39.95" customHeight="1">
      <c r="A36" s="17" t="inlineStr">
        <is>
          <t>GENERATES</t>
        </is>
      </c>
      <c r="B36" s="17" t="inlineStr">
        <is>
          <t>프로세스가 산출물을 생성</t>
        </is>
      </c>
      <c r="C36" s="17" t="inlineStr">
        <is>
          <t>Process</t>
        </is>
      </c>
      <c r="D36" s="17" t="inlineStr">
        <is>
          <t>Artifact</t>
        </is>
      </c>
      <c r="E36" s="17" t="inlineStr">
        <is>
          <t>N</t>
        </is>
      </c>
      <c r="F36" s="17" t="inlineStr">
        <is>
          <t>summarize_pdfs.py GENERATES corpus index</t>
        </is>
      </c>
    </row>
    <row r="37" ht="39.95" customHeight="1">
      <c r="A37" s="17" t="inlineStr">
        <is>
          <t>SERIALIZES</t>
        </is>
      </c>
      <c r="B37" s="17" t="inlineStr">
        <is>
          <t>형식이 데이터를 직렬화</t>
        </is>
      </c>
      <c r="C37" s="17" t="inlineStr">
        <is>
          <t>Format</t>
        </is>
      </c>
      <c r="D37" s="17" t="inlineStr">
        <is>
          <t>Record</t>
        </is>
      </c>
      <c r="E37" s="17" t="inlineStr">
        <is>
          <t>N</t>
        </is>
      </c>
      <c r="F37" s="17" t="inlineStr">
        <is>
          <t>JSON-LD SERIALIZES provenance export</t>
        </is>
      </c>
    </row>
    <row r="38" ht="39.95" customHeight="1">
      <c r="A38" s="17" t="inlineStr">
        <is>
          <t>NORMALIZES</t>
        </is>
      </c>
      <c r="B38" s="17" t="inlineStr">
        <is>
          <t>절차가 표기·단위를 정규화</t>
        </is>
      </c>
      <c r="C38" s="17" t="inlineStr">
        <is>
          <t>Process</t>
        </is>
      </c>
      <c r="D38" s="17" t="inlineStr">
        <is>
          <t>Term/Unit</t>
        </is>
      </c>
      <c r="E38" s="17" t="inlineStr">
        <is>
          <t>N</t>
        </is>
      </c>
      <c r="F38" s="17" t="inlineStr">
        <is>
          <t>P1-06 NORMALIZES multilingual synonyms</t>
        </is>
      </c>
    </row>
    <row r="39" ht="39.95" customHeight="1">
      <c r="A39" s="17" t="inlineStr">
        <is>
          <t>STANDARDIZES</t>
        </is>
      </c>
      <c r="B39" s="17" t="inlineStr">
        <is>
          <t>표준이 대상을 표준화</t>
        </is>
      </c>
      <c r="C39" s="17" t="inlineStr">
        <is>
          <t>Standard</t>
        </is>
      </c>
      <c r="D39" s="17" t="inlineStr">
        <is>
          <t>Entity/Unit</t>
        </is>
      </c>
      <c r="E39" s="17" t="inlineStr">
        <is>
          <t>N</t>
        </is>
      </c>
      <c r="F39" s="17" t="inlineStr">
        <is>
          <t>QUDT STANDARDIZES unit codes</t>
        </is>
      </c>
    </row>
    <row r="40" ht="39.95" customHeight="1">
      <c r="A40" s="17" t="inlineStr">
        <is>
          <t>INSTANTIATES</t>
        </is>
      </c>
      <c r="B40" s="17" t="inlineStr">
        <is>
          <t>인스턴스가 클래스·온톨로지를 실체화</t>
        </is>
      </c>
      <c r="C40" s="17" t="inlineStr">
        <is>
          <t>Instance/KG</t>
        </is>
      </c>
      <c r="D40" s="17" t="inlineStr">
        <is>
          <t>Ontology/Class</t>
        </is>
      </c>
      <c r="E40" s="17" t="inlineStr">
        <is>
          <t>N</t>
        </is>
      </c>
      <c r="F40" s="17" t="inlineStr">
        <is>
          <t>Knowledge Graph INSTANTIATES Ontology</t>
        </is>
      </c>
    </row>
    <row r="41" ht="39.95" customHeight="1">
      <c r="A41" s="17" t="inlineStr">
        <is>
          <t>DETECTS</t>
        </is>
      </c>
      <c r="B41" s="17" t="inlineStr">
        <is>
          <t>시스템·지표가 현상을 탐지</t>
        </is>
      </c>
      <c r="C41" s="17" t="inlineStr">
        <is>
          <t>Detector/Indicator</t>
        </is>
      </c>
      <c r="D41" s="17" t="inlineStr">
        <is>
          <t>Event/Anomaly</t>
        </is>
      </c>
      <c r="E41" s="17" t="inlineStr">
        <is>
          <t>N</t>
        </is>
      </c>
      <c r="F41" s="17" t="inlineStr">
        <is>
          <t>AIS anomaly monitor DETECTS route diversion</t>
        </is>
      </c>
    </row>
    <row r="42" ht="39.95" customHeight="1">
      <c r="A42" s="17" t="inlineStr">
        <is>
          <t>DETECTED_BY</t>
        </is>
      </c>
      <c r="B42" s="17" t="inlineStr">
        <is>
          <t>현상이 시스템·지표로 탐지됨 (DETECTS 역방향)</t>
        </is>
      </c>
      <c r="C42" s="17" t="inlineStr">
        <is>
          <t>Event/Anomaly</t>
        </is>
      </c>
      <c r="D42" s="17" t="inlineStr">
        <is>
          <t>Detector/Indicator</t>
        </is>
      </c>
      <c r="E42" s="17" t="inlineStr">
        <is>
          <t>N</t>
        </is>
      </c>
      <c r="F42" s="17" t="inlineStr">
        <is>
          <t>Structural Break DETECTED_BY z-score threshold</t>
        </is>
      </c>
    </row>
    <row r="43" ht="39.95" customHeight="1">
      <c r="A43" s="17" t="inlineStr">
        <is>
          <t>RECOMMENDS</t>
        </is>
      </c>
      <c r="B43" s="17" t="inlineStr">
        <is>
          <t>신호·에이전트가 행동을 권고 (HITL — 권고만, 자동 실행 금지)</t>
        </is>
      </c>
      <c r="C43" s="17" t="inlineStr">
        <is>
          <t>Signal/Agent</t>
        </is>
      </c>
      <c r="D43" s="17" t="inlineStr">
        <is>
          <t>Action</t>
        </is>
      </c>
      <c r="E43" s="17" t="inlineStr">
        <is>
          <t>N</t>
        </is>
      </c>
      <c r="F43" s="17" t="inlineStr">
        <is>
          <t>G3 regime signal RECOMMENDS Hold (human gate)</t>
        </is>
      </c>
    </row>
    <row r="44" ht="39.95" customHeight="1">
      <c r="A44" s="17" t="inlineStr">
        <is>
          <t>RESPONDS_TO</t>
        </is>
      </c>
      <c r="B44" s="17" t="inlineStr">
        <is>
          <t>지표·주체가 자극에 반응</t>
        </is>
      </c>
      <c r="C44" s="17" t="inlineStr">
        <is>
          <t>Metric/Actor</t>
        </is>
      </c>
      <c r="D44" s="17" t="inlineStr">
        <is>
          <t>Event/Signal</t>
        </is>
      </c>
      <c r="E44" s="17" t="inlineStr">
        <is>
          <t>N</t>
        </is>
      </c>
      <c r="F44" s="17" t="inlineStr">
        <is>
          <t>Freight Rate RESPONDS_TO chokepoint crisis</t>
        </is>
      </c>
    </row>
    <row r="45" ht="39.95" customHeight="1">
      <c r="A45" s="17" t="inlineStr">
        <is>
          <t>PROPAGATES_TO</t>
        </is>
      </c>
      <c r="B45" s="17" t="inlineStr">
        <is>
          <t>충격·위험이 다음 메커니즘·영역으로 전파 (메커니즘 체인 내부 연결)</t>
        </is>
      </c>
      <c r="C45" s="17" t="inlineStr">
        <is>
          <t>MechanismNode/Shock</t>
        </is>
      </c>
      <c r="D45" s="17" t="inlineStr">
        <is>
          <t>MechanismNode/Domain</t>
        </is>
      </c>
      <c r="E45" s="17" t="inlineStr">
        <is>
          <t>N</t>
        </is>
      </c>
      <c r="F45" s="17" t="inlineStr">
        <is>
          <t>Freight Spike PROPAGATES_TO CIF Cost</t>
        </is>
      </c>
    </row>
    <row r="46" ht="39.95" customHeight="1">
      <c r="A46" s="17" t="inlineStr">
        <is>
          <t>RESULTS_IN</t>
        </is>
      </c>
      <c r="B46" s="17" t="inlineStr">
        <is>
          <t>사건·조치가 결과 상태를 낳음 (인과 축약 — 신규 인과엣지는 3단 체인 사용)</t>
        </is>
      </c>
      <c r="C46" s="17" t="inlineStr">
        <is>
          <t>Event/Action</t>
        </is>
      </c>
      <c r="D46" s="17" t="inlineStr">
        <is>
          <t>Outcome/State</t>
        </is>
      </c>
      <c r="E46" s="17" t="inlineStr">
        <is>
          <t>N</t>
        </is>
      </c>
      <c r="F46" s="17" t="inlineStr">
        <is>
          <t>Export Ban RESULTS_IN supply shortfall</t>
        </is>
      </c>
    </row>
    <row r="47" ht="39.95" customHeight="1">
      <c r="A47" s="17" t="inlineStr">
        <is>
          <t>CHANGES</t>
        </is>
      </c>
      <c r="B47" s="17" t="inlineStr">
        <is>
          <t>사건·정책이 대상 상태를 변경 (증감 미확정)</t>
        </is>
      </c>
      <c r="C47" s="17" t="inlineStr">
        <is>
          <t>Event/Policy</t>
        </is>
      </c>
      <c r="D47" s="17" t="inlineStr">
        <is>
          <t>State/Metric</t>
        </is>
      </c>
      <c r="E47" s="17" t="inlineStr">
        <is>
          <t>N</t>
        </is>
      </c>
      <c r="F47" s="17" t="inlineStr">
        <is>
          <t>Policy Pivot CHANGES trade flow pattern</t>
        </is>
      </c>
    </row>
    <row r="48" ht="39.95" customHeight="1">
      <c r="A48" s="17" t="inlineStr">
        <is>
          <t>USED_AS</t>
        </is>
      </c>
      <c r="B48" s="17" t="inlineStr">
        <is>
          <t>품목이 특정 용도로 사용됨</t>
        </is>
      </c>
      <c r="C48" s="17" t="inlineStr">
        <is>
          <t>Commodity</t>
        </is>
      </c>
      <c r="D48" s="17" t="inlineStr">
        <is>
          <t>Role</t>
        </is>
      </c>
      <c r="E48" s="17" t="inlineStr">
        <is>
          <t>N</t>
        </is>
      </c>
      <c r="F48" s="17" t="inlineStr">
        <is>
          <t>Soybean Oil USED_AS Biodiesel Feedstock</t>
        </is>
      </c>
    </row>
    <row r="49" ht="39.95" customHeight="1">
      <c r="A49" s="17" t="inlineStr">
        <is>
          <t>CONNECTS</t>
        </is>
      </c>
      <c r="B49" s="17" t="inlineStr">
        <is>
          <t>경로·해협이 지역·시장을 연결</t>
        </is>
      </c>
      <c r="C49" s="17" t="inlineStr">
        <is>
          <t>Route/Chokepoint</t>
        </is>
      </c>
      <c r="D49" s="17" t="inlineStr">
        <is>
          <t>GeoEntity</t>
        </is>
      </c>
      <c r="E49" s="17" t="inlineStr">
        <is>
          <t>N</t>
        </is>
      </c>
      <c r="F49" s="17" t="inlineStr">
        <is>
          <t>Panama Canal CONNECTS Atlantic-Pacific</t>
        </is>
      </c>
    </row>
    <row r="50" ht="39.95" customHeight="1">
      <c r="A50" s="17" t="inlineStr">
        <is>
          <t>OPERATED_BY</t>
        </is>
      </c>
      <c r="B50" s="17" t="inlineStr">
        <is>
          <t>시설(항만·압착 플랜트·터미널)이 운영 주체에 의해 운영됨 (v3.1 — supply_chain)</t>
        </is>
      </c>
      <c r="C50" s="17" t="inlineStr">
        <is>
          <t>Port/Facility</t>
        </is>
      </c>
      <c r="D50" s="17" t="inlineStr">
        <is>
          <t>TradingHouse/Actor</t>
        </is>
      </c>
      <c r="E50" s="17" t="inlineStr">
        <is>
          <t>N</t>
        </is>
      </c>
      <c r="F50" s="17" t="inlineStr">
        <is>
          <t>Rosario crushing hub OPERATED_BY Bunge</t>
        </is>
      </c>
    </row>
    <row r="51" ht="39.95" customHeight="1">
      <c r="A51" s="17" t="inlineStr">
        <is>
          <t>TRANSITS</t>
        </is>
      </c>
      <c r="B51" s="17" t="inlineStr">
        <is>
          <t>항로가 해협·운하를 경유함 (v3.1 — supply_chain 루트 → 교란 전파 연결)</t>
        </is>
      </c>
      <c r="C51" s="17" t="inlineStr">
        <is>
          <t>Route</t>
        </is>
      </c>
      <c r="D51" s="17" t="inlineStr">
        <is>
          <t>Chokepoint</t>
        </is>
      </c>
      <c r="E51" s="17" t="inlineStr">
        <is>
          <t>N</t>
        </is>
      </c>
      <c r="F51" s="17" t="inlineStr">
        <is>
          <t>US Gulf-Korea route TRANSITS Panama Canal</t>
        </is>
      </c>
    </row>
    <row r="52" ht="39.95" customHeight="1">
      <c r="A52" s="17" t="inlineStr">
        <is>
          <t>COLLECTED_VIA</t>
        </is>
      </c>
      <c r="B52" s="17" t="inlineStr">
        <is>
          <t>매체(발행 주체)의 기사가 특정 수집 채널(프록시·API·RSS)을 통해 확보됨 (v3.3 — media_sources)</t>
        </is>
      </c>
      <c r="C52" s="17" t="inlineStr">
        <is>
          <t>MediaSource</t>
        </is>
      </c>
      <c r="D52" s="17" t="inlineStr">
        <is>
          <t>CollectionChannel</t>
        </is>
      </c>
      <c r="E52" s="17" t="inlineStr">
        <is>
          <t>N</t>
        </is>
      </c>
      <c r="F52" s="17" t="inlineStr">
        <is>
          <t>Reuters COLLECTED_VIA Google News RSS 검색 프록시</t>
        </is>
      </c>
    </row>
    <row r="53" ht="39.95" customHeight="1">
      <c r="A53" s="17" t="inlineStr">
        <is>
          <t>LOCATED_AT</t>
        </is>
      </c>
      <c r="B53" s="17" t="inlineStr">
        <is>
          <t>엔터티가 위치에 존재</t>
        </is>
      </c>
      <c r="C53" s="17" t="inlineStr">
        <is>
          <t>Entity</t>
        </is>
      </c>
      <c r="D53" s="17" t="inlineStr">
        <is>
          <t>GeoEntity</t>
        </is>
      </c>
      <c r="E53" s="17" t="inlineStr">
        <is>
          <t>N</t>
        </is>
      </c>
      <c r="F53" s="17" t="inlineStr">
        <is>
          <t>Rosario crushing hub LOCATED_AT Argentina</t>
        </is>
      </c>
    </row>
    <row r="54" ht="39.95" customHeight="1">
      <c r="A54" s="17" t="inlineStr">
        <is>
          <t>ORIGIN_OF</t>
        </is>
      </c>
      <c r="B54" s="17" t="inlineStr">
        <is>
          <t>지역이 물동량·상품의 원산지임</t>
        </is>
      </c>
      <c r="C54" s="17" t="inlineStr">
        <is>
          <t>GeoEntity</t>
        </is>
      </c>
      <c r="D54" s="17" t="inlineStr">
        <is>
          <t>Commodity/TradeFlow</t>
        </is>
      </c>
      <c r="E54" s="17" t="inlineStr">
        <is>
          <t>N</t>
        </is>
      </c>
      <c r="F54" s="17" t="inlineStr">
        <is>
          <t>US Gulf ORIGIN_OF SBO export cargo</t>
        </is>
      </c>
    </row>
    <row r="55" ht="39.95" customHeight="1">
      <c r="A55" s="17" t="inlineStr">
        <is>
          <t>OCCURS_DURING</t>
        </is>
      </c>
      <c r="B55" s="17" t="inlineStr">
        <is>
          <t>사건이 기간·계절 중 발생</t>
        </is>
      </c>
      <c r="C55" s="17" t="inlineStr">
        <is>
          <t>Event</t>
        </is>
      </c>
      <c r="D55" s="17" t="inlineStr">
        <is>
          <t>Period/Season</t>
        </is>
      </c>
      <c r="E55" s="17" t="inlineStr">
        <is>
          <t>N</t>
        </is>
      </c>
      <c r="F55" s="17" t="inlineStr">
        <is>
          <t>Pollination Window OCCURS_DURING Jan-Feb</t>
        </is>
      </c>
    </row>
    <row r="56" ht="39.95" customHeight="1">
      <c r="A56" s="17" t="inlineStr">
        <is>
          <t>GOVERNS</t>
        </is>
      </c>
      <c r="B56" s="17" t="inlineStr">
        <is>
          <t>규정·기관이 대상 절차·영역을 관할</t>
        </is>
      </c>
      <c r="C56" s="17" t="inlineStr">
        <is>
          <t>Policy/Institution</t>
        </is>
      </c>
      <c r="D56" s="17" t="inlineStr">
        <is>
          <t>Entity/Process</t>
        </is>
      </c>
      <c r="E56" s="17" t="inlineStr">
        <is>
          <t>N</t>
        </is>
      </c>
      <c r="F56" s="17" t="inlineStr">
        <is>
          <t>D-021 GOVERNS data scope</t>
        </is>
      </c>
    </row>
    <row r="57" ht="39.95" customHeight="1">
      <c r="A57" s="17" t="inlineStr">
        <is>
          <t>RESTRICTS</t>
        </is>
      </c>
      <c r="B57" s="17" t="inlineStr">
        <is>
          <t>정책이 행위·물량을 제한</t>
        </is>
      </c>
      <c r="C57" s="17" t="inlineStr">
        <is>
          <t>Policy</t>
        </is>
      </c>
      <c r="D57" s="17" t="inlineStr">
        <is>
          <t>TradeFlow/Activity</t>
        </is>
      </c>
      <c r="E57" s="17" t="inlineStr">
        <is>
          <t>N</t>
        </is>
      </c>
      <c r="F57" s="17" t="inlineStr">
        <is>
          <t>EUDR RESTRICTS palm oil market access</t>
        </is>
      </c>
    </row>
    <row r="58" ht="39.95" customHeight="1">
      <c r="A58" s="17" t="inlineStr">
        <is>
          <t>EXEMPTS</t>
        </is>
      </c>
      <c r="B58" s="17" t="inlineStr">
        <is>
          <t>정책이 대상을 예외 처리</t>
        </is>
      </c>
      <c r="C58" s="17" t="inlineStr">
        <is>
          <t>Policy</t>
        </is>
      </c>
      <c r="D58" s="17" t="inlineStr">
        <is>
          <t>Entity/TradeFlow</t>
        </is>
      </c>
      <c r="E58" s="17" t="inlineStr">
        <is>
          <t>N</t>
        </is>
      </c>
      <c r="F58" s="17" t="inlineStr">
        <is>
          <t>Agricultural Exemption EXEMPTS soybean tariff</t>
        </is>
      </c>
    </row>
    <row r="59" ht="39.95" customHeight="1">
      <c r="A59" s="17" t="inlineStr">
        <is>
          <t>ESTABLISHES</t>
        </is>
      </c>
      <c r="B59" s="17" t="inlineStr">
        <is>
          <t>법령·기관이 제도·기준을 설립</t>
        </is>
      </c>
      <c r="C59" s="17" t="inlineStr">
        <is>
          <t>Policy/Actor</t>
        </is>
      </c>
      <c r="D59" s="17" t="inlineStr">
        <is>
          <t>Institution/Rule</t>
        </is>
      </c>
      <c r="E59" s="17" t="inlineStr">
        <is>
          <t>N</t>
        </is>
      </c>
      <c r="F59" s="17" t="inlineStr">
        <is>
          <t>Decree ESTABLISHES new export quota regime</t>
        </is>
      </c>
    </row>
    <row r="60" ht="39.95" customHeight="1">
      <c r="A60" s="17" t="inlineStr">
        <is>
          <t>APPLIES_TO</t>
        </is>
      </c>
      <c r="B60" s="17" t="inlineStr">
        <is>
          <t>규칙·단위·조건이 대상에 적용됨</t>
        </is>
      </c>
      <c r="C60" s="17" t="inlineStr">
        <is>
          <t>Rule/Term</t>
        </is>
      </c>
      <c r="D60" s="17" t="inlineStr">
        <is>
          <t>Entity</t>
        </is>
      </c>
      <c r="E60" s="17" t="inlineStr">
        <is>
          <t>N</t>
        </is>
      </c>
      <c r="F60" s="17" t="inlineStr">
        <is>
          <t>T+2 FX Settlement APPLIES_TO import invoice</t>
        </is>
      </c>
    </row>
    <row r="61" ht="39.95" customHeight="1">
      <c r="A61" s="17" t="inlineStr">
        <is>
          <t>VALID_FROM</t>
        </is>
      </c>
      <c r="B61" s="17" t="inlineStr">
        <is>
          <t>효력이 특정 시점부터 개시됨</t>
        </is>
      </c>
      <c r="C61" s="17" t="inlineStr">
        <is>
          <t>Policy/Record</t>
        </is>
      </c>
      <c r="D61" s="17" t="inlineStr">
        <is>
          <t>Date</t>
        </is>
      </c>
      <c r="E61" s="17" t="inlineStr">
        <is>
          <t>N</t>
        </is>
      </c>
      <c r="F61" s="17" t="inlineStr">
        <is>
          <t>Tariff cut VALID_FROM effective date</t>
        </is>
      </c>
    </row>
    <row r="62" ht="39.95" customHeight="1">
      <c r="A62" s="17" t="inlineStr">
        <is>
          <t>VALID_DURING</t>
        </is>
      </c>
      <c r="B62" s="17" t="inlineStr">
        <is>
          <t>사실·효력이 특정 기간 동안 유효함</t>
        </is>
      </c>
      <c r="C62" s="17" t="inlineStr">
        <is>
          <t>Fact/Policy</t>
        </is>
      </c>
      <c r="D62" s="17" t="inlineStr">
        <is>
          <t>Period</t>
        </is>
      </c>
      <c r="E62" s="17" t="inlineStr">
        <is>
          <t>N</t>
        </is>
      </c>
      <c r="F62" s="17" t="inlineStr">
        <is>
          <t>Marketing Year price VALID_DURING Oct-Sep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4.25"/>
  <cols>
    <col width="20" customWidth="1" min="1" max="1"/>
    <col width="16" customWidth="1" min="2" max="2"/>
    <col width="52" customWidth="1" min="3" max="3"/>
    <col width="12" customWidth="1" min="4" max="4"/>
    <col width="45" customWidth="1" min="5" max="5"/>
    <col width="85" customWidth="1" min="6" max="6"/>
  </cols>
  <sheetData>
    <row r="1" ht="16.5" customHeight="1">
      <c r="A1" s="7" t="inlineStr">
        <is>
          <t>출처코드</t>
        </is>
      </c>
      <c r="B1" s="7" t="inlineStr">
        <is>
          <t>유형</t>
        </is>
      </c>
      <c r="C1" s="7" t="inlineStr">
        <is>
          <t>제목</t>
        </is>
      </c>
      <c r="D1" s="7" t="inlineStr">
        <is>
          <t>연도</t>
        </is>
      </c>
      <c r="E1" s="7" t="inlineStr">
        <is>
          <t>반영 범위</t>
        </is>
      </c>
      <c r="F1" s="7" t="inlineStr">
        <is>
          <t>URL</t>
        </is>
      </c>
    </row>
    <row r="2" ht="44.1" customHeight="1">
      <c r="A2" s="7" t="inlineStr">
        <is>
          <t>GH-README</t>
        </is>
      </c>
      <c r="B2" s="7" t="inlineStr">
        <is>
          <t>GitHub</t>
        </is>
      </c>
      <c r="C2" s="7" t="inlineStr">
        <is>
          <t>Project Nexus README</t>
        </is>
      </c>
      <c r="D2" s="7" t="inlineStr">
        <is>
          <t>2026</t>
        </is>
      </c>
      <c r="E2" s="7" t="inlineStr">
        <is>
          <t>프로젝트 범위·변수·용어·제약</t>
        </is>
      </c>
      <c r="F2" s="7" t="inlineStr">
        <is>
          <t>https://github.com/Jozosco/Nexus/blob/main/README.md</t>
        </is>
      </c>
    </row>
    <row r="3" ht="44.1" customHeight="1">
      <c r="A3" s="7" t="inlineStr">
        <is>
          <t>GH-PHASE</t>
        </is>
      </c>
      <c r="B3" s="7" t="inlineStr">
        <is>
          <t>GitHub</t>
        </is>
      </c>
      <c r="C3" s="7" t="inlineStr">
        <is>
          <t>Phase 1 Guide</t>
        </is>
      </c>
      <c r="D3" s="7" t="inlineStr">
        <is>
          <t>2026</t>
        </is>
      </c>
      <c r="E3" s="7" t="inlineStr">
        <is>
          <t>에이전트 역할·WBS·파이프라인</t>
        </is>
      </c>
      <c r="F3" s="7" t="inlineStr">
        <is>
          <t>https://github.com/Jozosco/Nexus/blob/main/.claude/skills/phase1/00_phase1_guide.md</t>
        </is>
      </c>
    </row>
    <row r="4" ht="44.1" customHeight="1">
      <c r="A4" s="7" t="inlineStr">
        <is>
          <t>GH-C04</t>
        </is>
      </c>
      <c r="B4" s="7" t="inlineStr">
        <is>
          <t>GitHub</t>
        </is>
      </c>
      <c r="C4" s="7" t="inlineStr">
        <is>
          <t>C-04 Document Intelligence</t>
        </is>
      </c>
      <c r="D4" s="7" t="inlineStr">
        <is>
          <t>2026</t>
        </is>
      </c>
      <c r="E4" s="7" t="inlineStr">
        <is>
          <t>PDF 추출·페이지 provenance·단위정규화</t>
        </is>
      </c>
      <c r="F4" s="7" t="inlineStr">
        <is>
          <t>https://github.com/Jozosco/Nexus/blob/main/.claude/agents/c04-document-intelligence.md</t>
        </is>
      </c>
    </row>
    <row r="5" ht="44.1" customHeight="1">
      <c r="A5" s="7" t="inlineStr">
        <is>
          <t>GH-P101</t>
        </is>
      </c>
      <c r="B5" s="7" t="inlineStr">
        <is>
          <t>GitHub</t>
        </is>
      </c>
      <c r="C5" s="7" t="inlineStr">
        <is>
          <t>P1-01 Commodity Analyst</t>
        </is>
      </c>
      <c r="D5" s="7" t="inlineStr">
        <is>
          <t>2026</t>
        </is>
      </c>
      <c r="E5" s="7" t="inlineStr">
        <is>
          <t>거시·가격·대체재 지표</t>
        </is>
      </c>
      <c r="F5" s="7" t="inlineStr">
        <is>
          <t>https://github.com/Jozosco/Nexus/blob/main/.claude/agents/p101-commodity-analyst.md</t>
        </is>
      </c>
    </row>
    <row r="6" ht="44.1" customHeight="1">
      <c r="A6" s="7" t="inlineStr">
        <is>
          <t>GH-P102</t>
        </is>
      </c>
      <c r="B6" s="7" t="inlineStr">
        <is>
          <t>GitHub</t>
        </is>
      </c>
      <c r="C6" s="7" t="inlineStr">
        <is>
          <t>P1-02 Geopolitical Analyst</t>
        </is>
      </c>
      <c r="D6" s="7" t="inlineStr">
        <is>
          <t>2026</t>
        </is>
      </c>
      <c r="E6" s="7" t="inlineStr">
        <is>
          <t>GPR·EPU·분쟁·병목 경보</t>
        </is>
      </c>
      <c r="F6" s="7" t="inlineStr">
        <is>
          <t>https://github.com/Jozosco/Nexus/blob/main/.claude/agents/p102-geopolitical-analyst.md</t>
        </is>
      </c>
    </row>
    <row r="7" ht="44.1" customHeight="1">
      <c r="A7" s="7" t="inlineStr">
        <is>
          <t>GH-P103</t>
        </is>
      </c>
      <c r="B7" s="7" t="inlineStr">
        <is>
          <t>GitHub</t>
        </is>
      </c>
      <c r="C7" s="7" t="inlineStr">
        <is>
          <t>P1-03 Climate Specialist</t>
        </is>
      </c>
      <c r="D7" s="7" t="inlineStr">
        <is>
          <t>2026</t>
        </is>
      </c>
      <c r="E7" s="7" t="inlineStr">
        <is>
          <t>ENSO·SPI·지역별 기상 임계값</t>
        </is>
      </c>
      <c r="F7" s="7" t="inlineStr">
        <is>
          <t>https://github.com/Jozosco/Nexus/blob/main/.claude/agents/p103-climate-specialist.md</t>
        </is>
      </c>
    </row>
    <row r="8" ht="44.1" customHeight="1">
      <c r="A8" s="7" t="inlineStr">
        <is>
          <t>GH-P104</t>
        </is>
      </c>
      <c r="B8" s="7" t="inlineStr">
        <is>
          <t>GitHub</t>
        </is>
      </c>
      <c r="C8" s="7" t="inlineStr">
        <is>
          <t>P1-04 Supply Chain Analyst</t>
        </is>
      </c>
      <c r="D8" s="7" t="inlineStr">
        <is>
          <t>2026</t>
        </is>
      </c>
      <c r="E8" s="7" t="inlineStr">
        <is>
          <t>운임·리드타임·항로·보험료</t>
        </is>
      </c>
      <c r="F8" s="7" t="inlineStr">
        <is>
          <t>https://github.com/Jozosco/Nexus/blob/main/.claude/agents/p104-supply-chain-analyst.md</t>
        </is>
      </c>
    </row>
    <row r="9" ht="44.1" customHeight="1">
      <c r="A9" s="7" t="inlineStr">
        <is>
          <t>GH-P105</t>
        </is>
      </c>
      <c r="B9" s="7" t="inlineStr">
        <is>
          <t>GitHub</t>
        </is>
      </c>
      <c r="C9" s="7" t="inlineStr">
        <is>
          <t>P1-05 News &amp; Sentiment</t>
        </is>
      </c>
      <c r="D9" s="7" t="inlineStr">
        <is>
          <t>2026</t>
        </is>
      </c>
      <c r="E9" s="7" t="inlineStr">
        <is>
          <t>ABSA·가격방향 감성·근거 발췌</t>
        </is>
      </c>
      <c r="F9" s="7" t="inlineStr">
        <is>
          <t>https://github.com/Jozosco/Nexus/blob/main/.claude/agents/p105-news-sentiment.md</t>
        </is>
      </c>
    </row>
    <row r="10" ht="44.1" customHeight="1">
      <c r="A10" s="7" t="inlineStr">
        <is>
          <t>GH-P106</t>
        </is>
      </c>
      <c r="B10" s="7" t="inlineStr">
        <is>
          <t>GitHub</t>
        </is>
      </c>
      <c r="C10" s="7" t="inlineStr">
        <is>
          <t>P1-06 Semantic &amp; Ontology</t>
        </is>
      </c>
      <c r="D10" s="7" t="inlineStr">
        <is>
          <t>2026</t>
        </is>
      </c>
      <c r="E10" s="7" t="inlineStr">
        <is>
          <t>표준 엔터티·QUDT·Cause→Mechanism→Price</t>
        </is>
      </c>
      <c r="F10" s="7" t="inlineStr">
        <is>
          <t>https://github.com/Jozosco/Nexus/blob/main/.claude/agents/p106-semantic-ontology.md</t>
        </is>
      </c>
    </row>
    <row r="11" ht="44.1" customHeight="1">
      <c r="A11" s="7" t="inlineStr">
        <is>
          <t>GH-C08</t>
        </is>
      </c>
      <c r="B11" s="7" t="inlineStr">
        <is>
          <t>GitHub</t>
        </is>
      </c>
      <c r="C11" s="7" t="inlineStr">
        <is>
          <t>C-08 Data Quality Validator</t>
        </is>
      </c>
      <c r="D11" s="7" t="inlineStr">
        <is>
          <t>2026</t>
        </is>
      </c>
      <c r="E11" s="7" t="inlineStr">
        <is>
          <t>DQSOps·스키마 드리프트·STALE</t>
        </is>
      </c>
      <c r="F11" s="7" t="inlineStr">
        <is>
          <t>https://github.com/Jozosco/Nexus/blob/main/.claude/agents/c08-data-quality-validator.md</t>
        </is>
      </c>
    </row>
    <row r="12" ht="44.1" customHeight="1">
      <c r="A12" s="7" t="inlineStr">
        <is>
          <t>GH-TEMPLATE</t>
        </is>
      </c>
      <c r="B12" s="7" t="inlineStr">
        <is>
          <t>GitHub</t>
        </is>
      </c>
      <c r="C12" s="7" t="inlineStr">
        <is>
          <t>비정형데이터 요약본 Template</t>
        </is>
      </c>
      <c r="D12" s="7" t="inlineStr">
        <is>
          <t>2026</t>
        </is>
      </c>
      <c r="E12" s="7" t="inlineStr">
        <is>
          <t>요약 레코드·키워드·전망·근거</t>
        </is>
      </c>
      <c r="F12" s="7" t="inlineStr">
        <is>
          <t>https://github.com/Jozosco/Nexus/blob/main/.claude/agents/%EB%B9%84%EC%A0%95%ED%98%95%EB%8D%B0%EC%9D%B4%ED%84%B0%20%EC%9A%94%EC%95%BD%EB%B3%B8%20Template.md</t>
        </is>
      </c>
    </row>
    <row r="13" ht="44.1" customHeight="1">
      <c r="A13" s="7" t="inlineStr">
        <is>
          <t>GH-ESA</t>
        </is>
      </c>
      <c r="B13" s="7" t="inlineStr">
        <is>
          <t>GitHub</t>
        </is>
      </c>
      <c r="C13" s="7" t="inlineStr">
        <is>
          <t>Enterprise Semantic Architecture Guide</t>
        </is>
      </c>
      <c r="D13" s="7" t="inlineStr">
        <is>
          <t>2026</t>
        </is>
      </c>
      <c r="E13" s="7" t="inlineStr">
        <is>
          <t>MVO·온톨로지와 KG 구분·인과 DAG</t>
        </is>
      </c>
      <c r="F13" s="7" t="inlineStr">
        <is>
          <t>https://github.com/Jozosco/Nexus/blob/main/.claude/agents/Enterprise%20Semantic%20Architecture_Deploying%20Ontology-Driven%20AI%20Agents%20for%20Commodity%20Procurement%20in%20F%26B%20Manufacturing.md</t>
        </is>
      </c>
    </row>
    <row r="14" ht="44.1" customHeight="1">
      <c r="A14" s="7" t="inlineStr">
        <is>
          <t>OA-SO</t>
        </is>
      </c>
      <c r="B14" s="7" t="inlineStr">
        <is>
          <t>OpenAI Docs</t>
        </is>
      </c>
      <c r="C14" s="7" t="inlineStr">
        <is>
          <t>Structured model outputs</t>
        </is>
      </c>
      <c r="D14" s="7" t="inlineStr">
        <is>
          <t>2026</t>
        </is>
      </c>
      <c r="E14" s="7" t="inlineStr">
        <is>
          <t>JSON Schema 기반 구조화 출력</t>
        </is>
      </c>
      <c r="F14" s="7" t="inlineStr">
        <is>
          <t>https://developers.openai.com/api/docs/guides/structured-outputs</t>
        </is>
      </c>
    </row>
    <row r="15" ht="44.1" customHeight="1">
      <c r="A15" s="7" t="inlineStr">
        <is>
          <t>OA-EVAL</t>
        </is>
      </c>
      <c r="B15" s="7" t="inlineStr">
        <is>
          <t>OpenAI Docs</t>
        </is>
      </c>
      <c r="C15" s="7" t="inlineStr">
        <is>
          <t>Working with evals</t>
        </is>
      </c>
      <c r="D15" s="7" t="inlineStr">
        <is>
          <t>2026</t>
        </is>
      </c>
      <c r="E15" s="7" t="inlineStr">
        <is>
          <t>대표 테스트셋·ground truth·grader</t>
        </is>
      </c>
      <c r="F15" s="7" t="inlineStr">
        <is>
          <t>https://developers.openai.com/api/docs/guides/evals</t>
        </is>
      </c>
    </row>
    <row r="16" ht="44.1" customHeight="1">
      <c r="A16" s="7" t="inlineStr">
        <is>
          <t>CS-BREWSTER23</t>
        </is>
      </c>
      <c r="B16" s="7" t="inlineStr">
        <is>
          <t>Consensus</t>
        </is>
      </c>
      <c r="C16" s="7" t="inlineStr">
        <is>
          <t>Data sharing in agricultural supply chains: Using semantics to enable sustainable food systems</t>
        </is>
      </c>
      <c r="D16" s="7" t="inlineStr">
        <is>
          <t>2023</t>
        </is>
      </c>
      <c r="E16" s="7" t="inlineStr">
        <is>
          <t>기존 시맨틱 표준 재사용·레거시 통합</t>
        </is>
      </c>
      <c r="F16" s="7" t="inlineStr">
        <is>
          <t>https://consensus.app/papers/data-sharing-in-agricultural-supply-chains-using-brewster-kalatzis/87d826362228584b84684a25b863237e/?utm_source=chatgpt</t>
        </is>
      </c>
    </row>
    <row r="17" ht="44.1" customHeight="1">
      <c r="A17" s="7" t="inlineStr">
        <is>
          <t>CS-KIOUKIS25</t>
        </is>
      </c>
      <c r="B17" s="7" t="inlineStr">
        <is>
          <t>Consensus</t>
        </is>
      </c>
      <c r="C17" s="7" t="inlineStr">
        <is>
          <t>Sowing Semantics, Reaping Interoperability</t>
        </is>
      </c>
      <c r="D17" s="7" t="inlineStr">
        <is>
          <t>2025</t>
        </is>
      </c>
      <c r="E17" s="7" t="inlineStr">
        <is>
          <t>Farm-to-Fork 온톨로지 확장·논리 일관성·JSON-LD</t>
        </is>
      </c>
      <c r="F17" s="7" t="inlineStr">
        <is>
          <t>https://consensus.app/papers/sowing-semantics-reaping-interoperability-watson-kioukis-papadakis/51e11d774da15cb4948265ead8802c4b/?utm_source=chatgpt</t>
        </is>
      </c>
    </row>
    <row r="18" ht="44.1" customHeight="1">
      <c r="A18" s="7" t="inlineStr">
        <is>
          <t>CS-KOSASIH22</t>
        </is>
      </c>
      <c r="B18" s="7" t="inlineStr">
        <is>
          <t>Consensus</t>
        </is>
      </c>
      <c r="C18" s="7" t="inlineStr">
        <is>
          <t>Towards knowledge graph reasoning for supply chain risk management using graph neural networks</t>
        </is>
      </c>
      <c r="D18" s="7" t="inlineStr">
        <is>
          <t>2022</t>
        </is>
      </c>
      <c r="E18" s="7" t="inlineStr">
        <is>
          <t>공급망 숨은 관계 위험의 KG 추론</t>
        </is>
      </c>
      <c r="F18" s="7" t="inlineStr">
        <is>
          <t>https://consensus.app/papers/towards-knowledge-graph-reasoning-for-supply-chain-risk-kosasih-margaroli/c81d54e3233f5496a2eceb1bdb05c631/?utm_source=chatgpt</t>
        </is>
      </c>
    </row>
    <row r="19" ht="44.1" customHeight="1">
      <c r="A19" s="7" t="inlineStr">
        <is>
          <t>CS-WYREMBEK24</t>
        </is>
      </c>
      <c r="B19" s="7" t="inlineStr">
        <is>
          <t>Consensus</t>
        </is>
      </c>
      <c r="C19" s="7" t="inlineStr">
        <is>
          <t>Causal machine learning for supply chain risk prediction and intervention planning</t>
        </is>
      </c>
      <c r="D19" s="7" t="inlineStr">
        <is>
          <t>2024</t>
        </is>
      </c>
      <c r="E19" s="7" t="inlineStr">
        <is>
          <t>상관과 인과 구분·what-if 개입</t>
        </is>
      </c>
      <c r="F19" s="7" t="inlineStr">
        <is>
          <t>https://consensus.app/papers/causal-machine-learning-for-supply-chain-risk-prediction-wyrembek-baryannis/747712947c0f59fe9fe47ea74624e6ba/?utm_source=chatgpt</t>
        </is>
      </c>
    </row>
    <row r="20" ht="44.1" customHeight="1">
      <c r="A20" s="17" t="inlineStr">
        <is>
          <t>abcd_trading_structure_2026_08_15.md</t>
        </is>
      </c>
      <c r="B20" s="17" t="inlineStr">
        <is>
          <t>저장소 문서</t>
        </is>
      </c>
      <c r="C20" s="17" t="inlineStr">
        <is>
          <t>ABCD·COFCO·Wilmar 거래구조 조사 (2026-08-15)</t>
        </is>
      </c>
      <c r="D20" s="17" t="inlineStr">
        <is>
          <t>2026</t>
        </is>
      </c>
      <c r="E20" s="17" t="inlineStr">
        <is>
          <t>상하류 수직통합·FOSFA/basis 거래 관행·한국 압착·정제 구조·관세청 채널 프로파일</t>
        </is>
      </c>
      <c r="F20" s="17" t="inlineStr">
        <is>
          <t>저장소 경로: docs/research_desk/2026-08/abcd_trading_structure_2026_08_15.md</t>
        </is>
      </c>
    </row>
    <row r="21" ht="44.1" customHeight="1">
      <c r="A21" s="17" t="inlineStr">
        <is>
          <t>market_structure_errata_2026_08_19.md</t>
        </is>
      </c>
      <c r="B21" s="17" t="inlineStr">
        <is>
          <t>저장소 문서</t>
        </is>
      </c>
      <c r="C21" s="17" t="inlineStr">
        <is>
          <t>시장구조 브리프 정오표 (2026-08-19)</t>
        </is>
      </c>
      <c r="D21" s="17" t="inlineStr">
        <is>
          <t>2026</t>
        </is>
      </c>
      <c r="E21" s="17" t="inlineStr">
        <is>
          <t>Deep Research 교차검증 정오표 — 원자료 재확인 항목·확인 항목</t>
        </is>
      </c>
      <c r="F21" s="17" t="inlineStr">
        <is>
          <t>저장소 경로: docs/research_desk/2026-08/market_structure_errata_2026_08_19.md</t>
        </is>
      </c>
    </row>
    <row r="22" ht="44.1" customHeight="1">
      <c r="A22" s="17" t="inlineStr">
        <is>
          <t>China_2023_financialized_soybeans_food_regime.pdf</t>
        </is>
      </c>
      <c r="B22" s="17" t="inlineStr">
        <is>
          <t>저장소 원문 PDF</t>
        </is>
      </c>
      <c r="C22" s="17" t="inlineStr">
        <is>
          <t>Financialized soybeans and the food regime (Fares, J. Agrarian Change 2023)</t>
        </is>
      </c>
      <c r="D22" s="17" t="inlineStr">
        <is>
          <t>2023</t>
        </is>
      </c>
      <c r="E22" s="17" t="inlineStr">
        <is>
          <t>COFCO 금융화·해외 압착 — 중국 구매 신호의 국가·상업 채널 분리 규율</t>
        </is>
      </c>
      <c r="F22" s="17" t="inlineStr">
        <is>
          <t>저장소 경로: docs/research_desk/references/China_2023_financialized_soybeans_food_regime.pdf</t>
        </is>
      </c>
    </row>
    <row r="23" ht="44.1" customHeight="1">
      <c r="A23" s="17" t="inlineStr">
        <is>
          <t>Dynamics_2025_AEPP_grain_oilseed_trading_concentration.pdf</t>
        </is>
      </c>
      <c r="B23" s="17" t="inlineStr">
        <is>
          <t>저장소 원문 PDF</t>
        </is>
      </c>
      <c r="C23" s="17" t="inlineStr">
        <is>
          <t>Dynamics of grain &amp; oilseed trading concentration (Wilson·Bullock·Dubovoy, AEPP 2025)</t>
        </is>
      </c>
      <c r="D23" s="17" t="inlineStr">
        <is>
          <t>2025</t>
        </is>
      </c>
      <c r="E23" s="17" t="inlineStr">
        <is>
          <t>선적 실거래 CR4/HHI 집중도 실측 — 'ABCD 70~90%' 통설 교정·COFCO CNF 1위</t>
        </is>
      </c>
      <c r="F23" s="17" t="inlineStr">
        <is>
          <t>저장소 경로: docs/research_desk/references/Dynamics_2025_AEPP_grain_oilseed_trading_concentration.pdf</t>
        </is>
      </c>
    </row>
    <row r="24" ht="44.1" customHeight="1">
      <c r="A24" s="17" t="inlineStr">
        <is>
          <t>MEMORY_A-211</t>
        </is>
      </c>
      <c r="B24" s="17" t="inlineStr">
        <is>
          <t>MEMORY</t>
        </is>
      </c>
      <c r="C24" s="17" t="inlineStr">
        <is>
          <t>MEMORY A-211 — 6차분 통합(VAL 베트남 합작·중국 순수출·한국 압착 원문)</t>
        </is>
      </c>
      <c r="D24" s="17" t="inlineStr">
        <is>
          <t>2026</t>
        </is>
      </c>
      <c r="E24" s="17" t="inlineStr">
        <is>
          <t>베트남 채널 승격 근거·중국 정제유 공급 여력·국내 압착 원산지 다변화</t>
        </is>
      </c>
      <c r="F24" s="17" t="inlineStr">
        <is>
          <t>저장소 경로: docs/memory_archive/2026-08.md (A-211)</t>
        </is>
      </c>
    </row>
    <row r="25" ht="44.1" customHeight="1">
      <c r="A25" s="17" t="inlineStr">
        <is>
          <t>ontology_supply_chain_v3.1</t>
        </is>
      </c>
      <c r="B25" s="17" t="inlineStr">
        <is>
          <t>저장소 문서</t>
        </is>
      </c>
      <c r="C25" s="17" t="inlineStr">
        <is>
          <t>ontology.yaml supply_chain 절 (v3.1)</t>
        </is>
      </c>
      <c r="D25" s="17" t="inlineStr">
        <is>
          <t>2026</t>
        </is>
      </c>
      <c r="E25" s="17" t="inlineStr">
        <is>
          <t>트레이딩하우스·항만·한국향 루트 리드타임·OPERATED_BY·TRANSITS 관계</t>
        </is>
      </c>
      <c r="F25" s="17" t="inlineStr">
        <is>
          <t>저장소 경로: src/semantic/ontology.yaml (supply_chain)</t>
        </is>
      </c>
    </row>
    <row r="26" ht="44.1" customHeight="1">
      <c r="A26" s="17" t="inlineStr">
        <is>
          <t>Adaptation_2025_traders_geopolitics.pdf</t>
        </is>
      </c>
      <c r="B26" s="17" t="inlineStr">
        <is>
          <t>저장소 원문 PDF</t>
        </is>
      </c>
      <c r="C26" s="17" t="inlineStr">
        <is>
          <t>Adaptation of grain traders to geopolitical shocks (Tatarenko &amp; Nabok, 2025)</t>
        </is>
      </c>
      <c r="D26" s="17" t="inlineStr">
        <is>
          <t>2025</t>
        </is>
      </c>
      <c r="E26" s="17" t="inlineStr">
        <is>
          <t>트레이더 지정학 적응·하이브리드 가격 공식·흑해 회랑 정량 (CE-013·CE-014 evidence)</t>
        </is>
      </c>
      <c r="F26" s="17" t="inlineStr">
        <is>
          <t>저장소 경로: docs/research_desk/references/Adaptation_2025_grain_traders_geopolitical_shocks.pdf</t>
        </is>
      </c>
    </row>
    <row r="27" ht="44.1" customHeight="1">
      <c r="A27" s="17" t="inlineStr">
        <is>
          <t>Ukraine_grain_seed_trade_global_position.pdf</t>
        </is>
      </c>
      <c r="B27" s="17" t="inlineStr">
        <is>
          <t>저장소 원문 PDF</t>
        </is>
      </c>
      <c r="C27" s="17" t="inlineStr">
        <is>
          <t>Ukraine grain &amp; oilseed trade global position (Panfilova 외, Scientific Horizons 2025)</t>
        </is>
      </c>
      <c r="D27" s="17" t="inlineStr">
        <is>
          <t>2025</t>
        </is>
      </c>
      <c r="E27" s="17" t="inlineStr">
        <is>
          <t>해바라기 취약점=압착+물류(설비 피해·운송비) — CE-013·CE-014 물량·비용 축</t>
        </is>
      </c>
      <c r="F27" s="17" t="inlineStr">
        <is>
          <t>저장소 경로: docs/research_desk/references/Ukraine_grain_seed_trade_global_position.pdf</t>
        </is>
      </c>
    </row>
    <row r="28" ht="44.1" customHeight="1">
      <c r="A28" s="17" t="inlineStr">
        <is>
          <t>GH-DIGEST</t>
        </is>
      </c>
      <c r="B28" s="17" t="inlineStr">
        <is>
          <t>저장소 스크립트</t>
        </is>
      </c>
      <c r="C28" s="17" t="inlineStr">
        <is>
          <t>일별 비정형 다이제스트 (scripts/daily_unstructured_digest.py)</t>
        </is>
      </c>
      <c r="D28" s="17" t="inlineStr">
        <is>
          <t>2026</t>
        </is>
      </c>
      <c r="E28" s="17" t="inlineStr">
        <is>
          <t>Perplexity 실시간 프록시 7분류·RSS 전문 매체 수집·온톨로지 후보 큐</t>
        </is>
      </c>
      <c r="F28" s="17" t="inlineStr">
        <is>
          <t>저장소 경로: scripts/daily_unstructured_digest.py</t>
        </is>
      </c>
    </row>
    <row r="29" ht="44.1" customHeight="1">
      <c r="A29" s="17" t="inlineStr">
        <is>
          <t>media_source_fallback_design_2026_09_13.md</t>
        </is>
      </c>
      <c r="B29" s="17" t="inlineStr">
        <is>
          <t>저장소 문서</t>
        </is>
      </c>
      <c r="C29" s="17" t="inlineStr">
        <is>
          <t>매체 소스 폴백 설계 (2026-09-13)</t>
        </is>
      </c>
      <c r="D29" s="17" t="inlineStr">
        <is>
          <t>2026</t>
        </is>
      </c>
      <c r="E29" s="17" t="inlineStr">
        <is>
          <t>매체·수집 채널 엔터티 — 소스 폴백 순서·수집 채널 정의</t>
        </is>
      </c>
      <c r="F29" s="17" t="inlineStr">
        <is>
          <t>저장소 경로: docs/research_desk/2026-09/media_source_fallback_design_2026_09_13.md</t>
        </is>
      </c>
    </row>
    <row r="30" ht="44.1" customHeight="1">
      <c r="A30" s="17" t="inlineStr">
        <is>
          <t>config/production_regions.yaml</t>
        </is>
      </c>
      <c r="B30" s="17" t="inlineStr">
        <is>
          <t>미등록</t>
        </is>
      </c>
      <c r="C30" s="17" t="inlineStr">
        <is>
          <t>config/production_regions.yaml</t>
        </is>
      </c>
      <c r="D30" s="17" t="inlineStr">
        <is>
          <t>2026</t>
        </is>
      </c>
      <c r="E30" s="17" t="inlineStr"/>
      <c r="F30" s="17" t="inlineStr"/>
    </row>
    <row r="31" ht="44.1" customHeight="1">
      <c r="A31" s="17" t="inlineStr">
        <is>
          <t>climate_regions_forecast_weathernext_2026_09_13.md</t>
        </is>
      </c>
      <c r="B31" s="17" t="inlineStr">
        <is>
          <t>미등록</t>
        </is>
      </c>
      <c r="C31" s="17" t="inlineStr">
        <is>
          <t>climate_regions_forecast_weathernext_2026_09_13.md</t>
        </is>
      </c>
      <c r="D31" s="17" t="inlineStr">
        <is>
          <t>2026</t>
        </is>
      </c>
      <c r="E31" s="17" t="inlineStr"/>
      <c r="F31" s="17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4.25"/>
  <cols>
    <col width="20" customWidth="1" min="1" max="2"/>
    <col width="55" customWidth="1" min="3" max="3"/>
    <col width="30" customWidth="1" min="4" max="4"/>
  </cols>
  <sheetData>
    <row r="1" ht="16.5" customHeight="1">
      <c r="A1" s="7" t="inlineStr">
        <is>
          <t>코드셋</t>
        </is>
      </c>
      <c r="B1" s="7" t="inlineStr">
        <is>
          <t>허용값</t>
        </is>
      </c>
      <c r="C1" s="7" t="inlineStr">
        <is>
          <t>정의</t>
        </is>
      </c>
      <c r="D1" s="7" t="inlineStr">
        <is>
          <t>사용 위치</t>
        </is>
      </c>
    </row>
    <row r="2" ht="36" customHeight="1">
      <c r="A2" s="7" t="inlineStr">
        <is>
          <t>Priority</t>
        </is>
      </c>
      <c r="B2" s="7" t="inlineStr">
        <is>
          <t>A</t>
        </is>
      </c>
      <c r="C2" s="7" t="inlineStr">
        <is>
          <t>해석 오류 시 핵심 판단이 달라지는 필수 용어</t>
        </is>
      </c>
      <c r="D2" s="7" t="inlineStr">
        <is>
          <t>용어사전.우선순위</t>
        </is>
      </c>
    </row>
    <row r="3" ht="36" customHeight="1">
      <c r="A3" s="7" t="inlineStr">
        <is>
          <t>Priority</t>
        </is>
      </c>
      <c r="B3" s="7" t="inlineStr">
        <is>
          <t>B</t>
        </is>
      </c>
      <c r="C3" s="7" t="inlineStr">
        <is>
          <t>중요하지만 보조 근거로 교차검증 가능한 용어</t>
        </is>
      </c>
      <c r="D3" s="7" t="inlineStr">
        <is>
          <t>용어사전.우선순위</t>
        </is>
      </c>
    </row>
    <row r="4" ht="36" customHeight="1">
      <c r="A4" s="7" t="inlineStr">
        <is>
          <t>Priority</t>
        </is>
      </c>
      <c r="B4" s="7" t="inlineStr">
        <is>
          <t>C</t>
        </is>
      </c>
      <c r="C4" s="7" t="inlineStr">
        <is>
          <t>컨텍스트 보강용 용어</t>
        </is>
      </c>
      <c r="D4" s="7" t="inlineStr">
        <is>
          <t>용어사전.우선순위</t>
        </is>
      </c>
    </row>
    <row r="5" ht="36" customHeight="1">
      <c r="A5" s="7" t="inlineStr">
        <is>
          <t>Ambiguity</t>
        </is>
      </c>
      <c r="B5" s="7" t="inlineStr">
        <is>
          <t>상</t>
        </is>
      </c>
      <c r="C5" s="7" t="inlineStr">
        <is>
          <t>표기·단위·방향·법적 상태 오해 가능성이 큼</t>
        </is>
      </c>
      <c r="D5" s="7" t="inlineStr">
        <is>
          <t>용어사전.모호성위험</t>
        </is>
      </c>
    </row>
    <row r="6" ht="36" customHeight="1">
      <c r="A6" s="7" t="inlineStr">
        <is>
          <t>Ambiguity</t>
        </is>
      </c>
      <c r="B6" s="7" t="inlineStr">
        <is>
          <t>중</t>
        </is>
      </c>
      <c r="C6" s="7" t="inlineStr">
        <is>
          <t>일부 문맥·단위 확인 필요</t>
        </is>
      </c>
      <c r="D6" s="7" t="inlineStr">
        <is>
          <t>용어사전.모호성위험</t>
        </is>
      </c>
    </row>
    <row r="7" ht="36" customHeight="1">
      <c r="A7" s="7" t="inlineStr">
        <is>
          <t>Ambiguity</t>
        </is>
      </c>
      <c r="B7" s="7" t="inlineStr">
        <is>
          <t>하</t>
        </is>
      </c>
      <c r="C7" s="7" t="inlineStr">
        <is>
          <t>정의가 비교적 단일하고 명확</t>
        </is>
      </c>
      <c r="D7" s="7" t="inlineStr">
        <is>
          <t>용어사전.모호성위험</t>
        </is>
      </c>
    </row>
    <row r="8" ht="36" customHeight="1">
      <c r="A8" s="7" t="inlineStr">
        <is>
          <t>Direction</t>
        </is>
      </c>
      <c r="B8" s="7" t="inlineStr">
        <is>
          <t>UP</t>
        </is>
      </c>
      <c r="C8" s="7" t="inlineStr">
        <is>
          <t>대두유 가격 상방</t>
        </is>
      </c>
      <c r="D8" s="7" t="inlineStr">
        <is>
          <t>기본 가격방향</t>
        </is>
      </c>
    </row>
    <row r="9" ht="36" customHeight="1">
      <c r="A9" s="7" t="inlineStr">
        <is>
          <t>Direction</t>
        </is>
      </c>
      <c r="B9" s="7" t="inlineStr">
        <is>
          <t>DOWN</t>
        </is>
      </c>
      <c r="C9" s="7" t="inlineStr">
        <is>
          <t>대두유 가격 하방</t>
        </is>
      </c>
      <c r="D9" s="7" t="inlineStr">
        <is>
          <t>기본 가격방향</t>
        </is>
      </c>
    </row>
    <row r="10" ht="36" customHeight="1">
      <c r="A10" s="7" t="inlineStr">
        <is>
          <t>Direction</t>
        </is>
      </c>
      <c r="B10" s="7" t="inlineStr">
        <is>
          <t>UP_RISK</t>
        </is>
      </c>
      <c r="C10" s="7" t="inlineStr">
        <is>
          <t>조건부 상방 위험</t>
        </is>
      </c>
      <c r="D10" s="7" t="inlineStr">
        <is>
          <t>기본 가격방향</t>
        </is>
      </c>
    </row>
    <row r="11" ht="36" customHeight="1">
      <c r="A11" s="7" t="inlineStr">
        <is>
          <t>Direction</t>
        </is>
      </c>
      <c r="B11" s="7" t="inlineStr">
        <is>
          <t>DOWN_RISK</t>
        </is>
      </c>
      <c r="C11" s="7" t="inlineStr">
        <is>
          <t>조건부 하방 위험</t>
        </is>
      </c>
      <c r="D11" s="7" t="inlineStr">
        <is>
          <t>기본 가격방향</t>
        </is>
      </c>
    </row>
    <row r="12" ht="36" customHeight="1">
      <c r="A12" s="7" t="inlineStr">
        <is>
          <t>Direction</t>
        </is>
      </c>
      <c r="B12" s="7" t="inlineStr">
        <is>
          <t>DOWN_IF_UP</t>
        </is>
      </c>
      <c r="C12" s="7" t="inlineStr">
        <is>
          <t>해당 수급지표 상승 시 가격 하방</t>
        </is>
      </c>
      <c r="D12" s="7" t="inlineStr">
        <is>
          <t>기본 가격방향</t>
        </is>
      </c>
    </row>
    <row r="13" ht="36" customHeight="1">
      <c r="A13" s="7" t="inlineStr">
        <is>
          <t>Direction</t>
        </is>
      </c>
      <c r="B13" s="7" t="inlineStr">
        <is>
          <t>UP_IF_DOWN</t>
        </is>
      </c>
      <c r="C13" s="7" t="inlineStr">
        <is>
          <t>해당 수급지표 하락 시 가격 상방</t>
        </is>
      </c>
      <c r="D13" s="7" t="inlineStr">
        <is>
          <t>기본 가격방향</t>
        </is>
      </c>
    </row>
    <row r="14" ht="36" customHeight="1">
      <c r="A14" s="7" t="inlineStr">
        <is>
          <t>Direction</t>
        </is>
      </c>
      <c r="B14" s="7" t="inlineStr">
        <is>
          <t>CONTEXT</t>
        </is>
      </c>
      <c r="C14" s="7" t="inlineStr">
        <is>
          <t>직접 방향을 부여하지 않고 메커니즘 필요</t>
        </is>
      </c>
      <c r="D14" s="7" t="inlineStr">
        <is>
          <t>기본 가격방향</t>
        </is>
      </c>
    </row>
    <row r="15" ht="36" customHeight="1">
      <c r="A15" s="7" t="inlineStr">
        <is>
          <t>Direction</t>
        </is>
      </c>
      <c r="B15" s="7" t="inlineStr">
        <is>
          <t>FLAT</t>
        </is>
      </c>
      <c r="C15" s="7" t="inlineStr">
        <is>
          <t>보합·중립</t>
        </is>
      </c>
      <c r="D15" s="7" t="inlineStr">
        <is>
          <t>기본 가격방향</t>
        </is>
      </c>
    </row>
    <row r="16" ht="36" customHeight="1">
      <c r="A16" s="7" t="inlineStr">
        <is>
          <t>ReviewStatus</t>
        </is>
      </c>
      <c r="B16" s="7" t="inlineStr">
        <is>
          <t>PROPOSED</t>
        </is>
      </c>
      <c r="C16" s="7" t="inlineStr">
        <is>
          <t>신규 후보; 전문가 미검토</t>
        </is>
      </c>
      <c r="D16" s="7" t="inlineStr">
        <is>
          <t>Semantic Layer</t>
        </is>
      </c>
    </row>
    <row r="17" ht="36" customHeight="1">
      <c r="A17" s="7" t="inlineStr">
        <is>
          <t>ReviewStatus</t>
        </is>
      </c>
      <c r="B17" s="7" t="inlineStr">
        <is>
          <t>VALIDATED</t>
        </is>
      </c>
      <c r="C17" s="7" t="inlineStr">
        <is>
          <t>도메인 전문가 검증 완료</t>
        </is>
      </c>
      <c r="D17" s="7" t="inlineStr">
        <is>
          <t>Semantic Layer</t>
        </is>
      </c>
    </row>
    <row r="18" ht="36" customHeight="1">
      <c r="A18" s="7" t="inlineStr">
        <is>
          <t>ReviewStatus</t>
        </is>
      </c>
      <c r="B18" s="7" t="inlineStr">
        <is>
          <t>REJECTED</t>
        </is>
      </c>
      <c r="C18" s="7" t="inlineStr">
        <is>
          <t>오류·중복·범위 외로 반려</t>
        </is>
      </c>
      <c r="D18" s="7" t="inlineStr">
        <is>
          <t>Semantic Layer</t>
        </is>
      </c>
    </row>
    <row r="19" ht="36" customHeight="1">
      <c r="A19" s="7" t="inlineStr">
        <is>
          <t>ReviewStatus</t>
        </is>
      </c>
      <c r="B19" s="7" t="inlineStr">
        <is>
          <t>DEPRECATED</t>
        </is>
      </c>
      <c r="C19" s="7" t="inlineStr">
        <is>
          <t>대체 용어로 전환되어 신규 사용 금지</t>
        </is>
      </c>
      <c r="D19" s="7" t="inlineStr">
        <is>
          <t>Semantic Layer</t>
        </is>
      </c>
    </row>
    <row r="20" ht="36" customHeight="1">
      <c r="A20" s="17" t="inlineStr">
        <is>
          <t>Status</t>
        </is>
      </c>
      <c r="B20" s="17" t="inlineStr">
        <is>
          <t>active</t>
        </is>
      </c>
      <c r="C20" s="17" t="inlineStr">
        <is>
          <t>원 사전집(v1.0) 등재 용어 — 활성 사용</t>
        </is>
      </c>
      <c r="D20" s="17" t="inlineStr">
        <is>
          <t>entities.yaml.status</t>
        </is>
      </c>
    </row>
    <row r="21" ht="36" customHeight="1">
      <c r="A21" s="17" t="inlineStr">
        <is>
          <t>Status</t>
        </is>
      </c>
      <c r="B21" s="17" t="inlineStr">
        <is>
          <t>confirmed</t>
        </is>
      </c>
      <c r="C21" s="17" t="inlineStr">
        <is>
          <t>저장소 문서·원문으로 확인된 신규 용어(승인 완료)</t>
        </is>
      </c>
      <c r="D21" s="17" t="inlineStr">
        <is>
          <t>entities.yaml.status</t>
        </is>
      </c>
    </row>
    <row r="22" ht="36" customHeight="1">
      <c r="A22" s="17" t="inlineStr">
        <is>
          <t>Status</t>
        </is>
      </c>
      <c r="B22" s="17" t="inlineStr">
        <is>
          <t>inference</t>
        </is>
      </c>
      <c r="C22" s="17" t="inlineStr">
        <is>
          <t>추론 기반 신규 용어 — 원문 확인 전(INFERENCE 라벨)</t>
        </is>
      </c>
      <c r="D22" s="17" t="inlineStr">
        <is>
          <t>entities.yaml.status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2026-09-13T13:07:15Z</dcterms:created>
  <dcterms:modified xmlns:dcterms="http://purl.org/dc/terms/" xmlns:xsi="http://www.w3.org/2001/XMLSchema-instance" xsi:type="dcterms:W3CDTF">2026-09-13T14:24:16Z</dcterms:modified>
  <cp:lastModifiedBy>ds</cp:lastModifiedBy>
</cp:coreProperties>
</file>