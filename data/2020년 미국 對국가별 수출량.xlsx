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N3" i="1" l="1"/>
  <c r="AM3" i="1" l="1"/>
  <c r="AL3" i="1"/>
  <c r="AJ3" i="1"/>
  <c r="AI3" i="1"/>
  <c r="AH3" i="1" s="1"/>
  <c r="AG3" i="1"/>
  <c r="AF3" i="1"/>
  <c r="AE3" i="1" s="1"/>
  <c r="AD3" i="1"/>
  <c r="AB3" i="1" s="1"/>
  <c r="AC3" i="1"/>
  <c r="AA3" i="1"/>
  <c r="Z3" i="1"/>
  <c r="X3" i="1"/>
  <c r="W3" i="1"/>
  <c r="U3" i="1"/>
  <c r="T3" i="1"/>
  <c r="R3" i="1"/>
  <c r="Q3" i="1"/>
  <c r="O3" i="1"/>
  <c r="N3" i="1"/>
  <c r="L3" i="1"/>
  <c r="K3" i="1"/>
  <c r="I3" i="1"/>
  <c r="H3" i="1"/>
  <c r="F3" i="1"/>
  <c r="E3" i="1"/>
  <c r="D3" i="1" s="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5" i="1"/>
  <c r="AP34" i="1"/>
  <c r="AP33" i="1"/>
  <c r="AP32" i="1"/>
  <c r="AP31" i="1"/>
  <c r="AP30" i="1"/>
  <c r="AP29" i="1"/>
  <c r="AP28" i="1"/>
  <c r="AP27" i="1"/>
  <c r="AP26" i="1"/>
  <c r="AP25" i="1"/>
  <c r="AP24" i="1"/>
  <c r="AP23" i="1"/>
  <c r="AP22" i="1"/>
  <c r="AP21" i="1"/>
  <c r="AP20" i="1"/>
  <c r="AP19" i="1"/>
  <c r="AP18" i="1"/>
  <c r="AP17" i="1"/>
  <c r="AP16" i="1"/>
  <c r="AP15" i="1"/>
  <c r="AP14" i="1"/>
  <c r="AP13" i="1"/>
  <c r="AP11" i="1"/>
  <c r="AP10" i="1"/>
  <c r="AP9" i="1"/>
  <c r="AP8" i="1"/>
  <c r="AP7" i="1"/>
  <c r="AP6" i="1"/>
  <c r="AP5" i="1"/>
  <c r="AP4" i="1"/>
  <c r="AK3" i="1" l="1"/>
  <c r="V3" i="1"/>
  <c r="S3" i="1"/>
  <c r="M3" i="1"/>
  <c r="J3" i="1"/>
  <c r="AN29" i="1"/>
  <c r="AN7" i="1"/>
  <c r="AN15" i="1"/>
  <c r="AO3" i="1"/>
  <c r="AN13" i="1"/>
  <c r="AN21" i="1"/>
  <c r="AN22" i="1"/>
  <c r="AN8" i="1"/>
  <c r="AN16" i="1"/>
  <c r="AN24" i="1"/>
  <c r="AN32" i="1"/>
  <c r="AN30" i="1"/>
  <c r="P3" i="1"/>
  <c r="AN9" i="1"/>
  <c r="AN17" i="1"/>
  <c r="AN25" i="1"/>
  <c r="AN33" i="1"/>
  <c r="AN6" i="1"/>
  <c r="G3" i="1"/>
  <c r="AN10" i="1"/>
  <c r="AN18" i="1"/>
  <c r="AN26" i="1"/>
  <c r="AN34" i="1"/>
  <c r="AN5" i="1"/>
  <c r="AN14" i="1"/>
  <c r="AN31" i="1"/>
  <c r="Y3" i="1"/>
  <c r="AN11" i="1"/>
  <c r="AN27" i="1"/>
  <c r="AN35" i="1"/>
  <c r="AN20" i="1"/>
  <c r="AN28" i="1"/>
  <c r="AN19" i="1"/>
  <c r="AN23" i="1"/>
  <c r="AN4" i="1"/>
  <c r="AP12" i="1"/>
  <c r="AP3" i="1" s="1"/>
  <c r="AN12" i="1" l="1"/>
</calcChain>
</file>

<file path=xl/sharedStrings.xml><?xml version="1.0" encoding="utf-8"?>
<sst xmlns="http://schemas.openxmlformats.org/spreadsheetml/2006/main" count="96" uniqueCount="60">
  <si>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</si>
  <si>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</si>
  <si>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</si>
  <si>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</si>
  <si>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</si>
  <si>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</si>
  <si>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</si>
  <si>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</si>
  <si>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</si>
  <si>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</si>
  <si>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</si>
  <si>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</si>
  <si>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</si>
  <si>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</si>
  <si>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</si>
  <si>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</si>
  <si>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</si>
  <si>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</si>
  <si>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</si>
  <si>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</si>
  <si>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Saudi Arabia</t>
  </si>
  <si>
    <t>Yemen</t>
  </si>
  <si>
    <t>Canada</t>
  </si>
  <si>
    <t>Taiwan</t>
  </si>
  <si>
    <t>Colombia</t>
  </si>
  <si>
    <t>Dominican Republic</t>
  </si>
  <si>
    <t>Korea, South</t>
  </si>
  <si>
    <t>Jamaica</t>
  </si>
  <si>
    <t>Mexico</t>
  </si>
  <si>
    <t>United Arab Emirates</t>
  </si>
  <si>
    <t>Bahamas, The</t>
  </si>
  <si>
    <t>Belize</t>
  </si>
  <si>
    <t>China</t>
  </si>
  <si>
    <t>El Salvador</t>
  </si>
  <si>
    <t>Guatemala</t>
  </si>
  <si>
    <t>Japan</t>
  </si>
  <si>
    <t>Morocco</t>
  </si>
  <si>
    <t>Nicaragua</t>
  </si>
  <si>
    <t>Peru</t>
  </si>
  <si>
    <t>Panama</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</si>
  <si>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</si>
  <si>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</si>
  <si>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</si>
  <si>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</si>
  <si>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</si>
  <si>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</si>
  <si>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</si>
  <si>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</si>
  <si>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</si>
  <si>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</si>
  <si>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</si>
  <si>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</si>
  <si>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</si>
  <si>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</si>
  <si>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Algeria</t>
  </si>
  <si>
    <t>Egypt</t>
  </si>
  <si>
    <t>Guyana</t>
  </si>
  <si>
    <t>Kuwait</t>
  </si>
  <si>
    <t>Singapore</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</si>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</sst>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1"/>
  <sheetViews>
    <sheetView showGridLines="0" tabSelected="1" workbookViewId="0">
      <pane ySplit="2" topLeftCell="A3" activePane="bottomLeft" state="frozen"/>
      <selection pane="bottomLeft" activeCell="E3" sqref="E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11.37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48</v>
      </c>
      <c r="B2" s="2" t="s">
        <v>13</v>
      </c>
      <c r="C2" s="2" t="s">
        <v>49</v>
      </c>
      <c r="D2" s="4" t="s">
        <v>14</v>
      </c>
      <c r="E2" s="2" t="s">
        <v>49</v>
      </c>
      <c r="F2" s="5" t="s">
        <v>15</v>
      </c>
      <c r="G2" s="2" t="s">
        <v>14</v>
      </c>
      <c r="H2" s="2" t="s">
        <v>49</v>
      </c>
      <c r="I2" s="5" t="s">
        <v>15</v>
      </c>
      <c r="J2" s="2" t="s">
        <v>14</v>
      </c>
      <c r="K2" s="2" t="s">
        <v>49</v>
      </c>
      <c r="L2" s="5" t="s">
        <v>15</v>
      </c>
      <c r="M2" s="2" t="s">
        <v>14</v>
      </c>
      <c r="N2" s="2" t="s">
        <v>49</v>
      </c>
      <c r="O2" s="5" t="s">
        <v>15</v>
      </c>
      <c r="P2" s="2" t="s">
        <v>14</v>
      </c>
      <c r="Q2" s="2" t="s">
        <v>49</v>
      </c>
      <c r="R2" s="5" t="s">
        <v>15</v>
      </c>
      <c r="S2" s="2" t="s">
        <v>14</v>
      </c>
      <c r="T2" s="2" t="s">
        <v>49</v>
      </c>
      <c r="U2" s="5" t="s">
        <v>15</v>
      </c>
      <c r="V2" s="2" t="s">
        <v>14</v>
      </c>
      <c r="W2" s="2" t="s">
        <v>49</v>
      </c>
      <c r="X2" s="5" t="s">
        <v>15</v>
      </c>
      <c r="Y2" s="2" t="s">
        <v>14</v>
      </c>
      <c r="Z2" s="2" t="s">
        <v>49</v>
      </c>
      <c r="AA2" s="5" t="s">
        <v>15</v>
      </c>
      <c r="AB2" s="2" t="s">
        <v>14</v>
      </c>
      <c r="AC2" s="2" t="s">
        <v>49</v>
      </c>
      <c r="AD2" s="5" t="s">
        <v>15</v>
      </c>
      <c r="AE2" s="2" t="s">
        <v>14</v>
      </c>
      <c r="AF2" s="2" t="s">
        <v>49</v>
      </c>
      <c r="AG2" s="5" t="s">
        <v>15</v>
      </c>
      <c r="AH2" s="2" t="s">
        <v>14</v>
      </c>
      <c r="AI2" s="2" t="s">
        <v>49</v>
      </c>
      <c r="AJ2" s="5" t="s">
        <v>15</v>
      </c>
      <c r="AK2" s="2" t="s">
        <v>14</v>
      </c>
      <c r="AL2" s="2" t="s">
        <v>49</v>
      </c>
      <c r="AM2" s="5" t="s">
        <v>15</v>
      </c>
      <c r="AN2" s="2" t="s">
        <v>14</v>
      </c>
      <c r="AO2" s="2" t="s">
        <v>51</v>
      </c>
      <c r="AP2" s="5" t="s">
        <v>15</v>
      </c>
    </row>
    <row r="3" spans="1:66" ht="15" customHeight="1" x14ac:dyDescent="0.3">
      <c r="A3" s="1" t="s">
        <v>16</v>
      </c>
      <c r="B3" s="14" t="s">
        <v>17</v>
      </c>
      <c r="C3" s="14" t="s">
        <v>50</v>
      </c>
      <c r="D3" s="3">
        <f>E3/F3</f>
        <v>779.83012818370401</v>
      </c>
      <c r="E3" s="3">
        <f>SUM(E4:E35)</f>
        <v>34999478</v>
      </c>
      <c r="F3" s="6">
        <f>SUM(F4:F35)</f>
        <v>44880.9</v>
      </c>
      <c r="G3" s="3">
        <f>H3/I3</f>
        <v>758.16485154809777</v>
      </c>
      <c r="H3" s="3">
        <f>SUM(H4:H35)</f>
        <v>123421732</v>
      </c>
      <c r="I3" s="6">
        <f>SUM(I4:I35)</f>
        <v>162790.1</v>
      </c>
      <c r="J3" s="3">
        <f>K3/L3</f>
        <v>736.07581767694023</v>
      </c>
      <c r="K3" s="3">
        <f>SUM(K4:K35)</f>
        <v>96011227</v>
      </c>
      <c r="L3" s="6">
        <f>SUM(L4:L35)</f>
        <v>130436.60000000002</v>
      </c>
      <c r="M3" s="3">
        <f>N3/O3</f>
        <v>739.08642766488049</v>
      </c>
      <c r="N3" s="3">
        <f>SUM(N4:N35)</f>
        <v>64814406</v>
      </c>
      <c r="O3" s="6">
        <f>SUM(O4:O35)</f>
        <v>87695.3</v>
      </c>
      <c r="P3" s="3">
        <f>Q3/R3</f>
        <v>699.75407971719437</v>
      </c>
      <c r="Q3" s="3">
        <f>SUM(Q4:Q35)</f>
        <v>102140304</v>
      </c>
      <c r="R3" s="6">
        <f>SUM(R4:R35)</f>
        <v>145966</v>
      </c>
      <c r="S3" s="3">
        <f>T3/U3</f>
        <v>710.25117700207386</v>
      </c>
      <c r="T3" s="3">
        <f>SUM(T4:T35)</f>
        <v>45514529</v>
      </c>
      <c r="U3" s="6">
        <f>SUM(U4:U35)</f>
        <v>64082.3</v>
      </c>
      <c r="V3" s="3">
        <f>W3/X3</f>
        <v>645.33476774501457</v>
      </c>
      <c r="W3" s="3">
        <f>SUM(W4:W35)</f>
        <v>41510320</v>
      </c>
      <c r="X3" s="6">
        <f>SUM(X4:X35)</f>
        <v>64323.700000000004</v>
      </c>
      <c r="Y3" s="3">
        <f>Z3/AA3</f>
        <v>694.92647068491067</v>
      </c>
      <c r="Z3" s="3">
        <f>SUM(Z4:Z35)</f>
        <v>52854787</v>
      </c>
      <c r="AA3" s="6">
        <f>SUM(AA4:AA35)</f>
        <v>76058.099999999991</v>
      </c>
      <c r="AB3" s="3">
        <f>AC3/AD3</f>
        <v>731.97432755669161</v>
      </c>
      <c r="AC3" s="3">
        <f>SUM(AC4:AC35)</f>
        <v>49941730</v>
      </c>
      <c r="AD3" s="6">
        <f>SUM(AD4:AD35)</f>
        <v>68228.800000000003</v>
      </c>
      <c r="AE3" s="3">
        <f>AF3/AG3</f>
        <v>802.76008340036083</v>
      </c>
      <c r="AF3" s="3">
        <f>SUM(AF4:AF35)</f>
        <v>51399524</v>
      </c>
      <c r="AG3" s="6">
        <f>SUM(AG4:AG35)</f>
        <v>64028.499999999993</v>
      </c>
      <c r="AH3" s="3">
        <f>AI3/AJ3</f>
        <v>874.58525171244764</v>
      </c>
      <c r="AI3" s="3">
        <f>SUM(AI4:AI35)</f>
        <v>56626334</v>
      </c>
      <c r="AJ3" s="6">
        <f>SUM(AJ4:AJ35)</f>
        <v>64746.500000000007</v>
      </c>
      <c r="AK3" s="3">
        <f>AL3/AM3</f>
        <v>921.48833203984645</v>
      </c>
      <c r="AL3" s="3">
        <f>SUM(AL4:AL35)</f>
        <v>86676114</v>
      </c>
      <c r="AM3" s="6">
        <f>SUM(AM4:AM35)</f>
        <v>94061</v>
      </c>
      <c r="AN3" s="3">
        <f>AO3/AP3</f>
        <v>755.09429982896995</v>
      </c>
      <c r="AO3" s="3">
        <f>SUM(AO4:AO35)</f>
        <v>805910485</v>
      </c>
      <c r="AP3" s="6">
        <f>SUM(AP4:AP35)</f>
        <v>1067297.8</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18</v>
      </c>
      <c r="B4" s="15"/>
      <c r="C4" s="15"/>
      <c r="D4" s="3" t="e">
        <f t="shared" ref="D4:D11" si="0">E4/F4</f>
        <v>#DIV/0!</v>
      </c>
      <c r="E4" s="3">
        <v>0</v>
      </c>
      <c r="F4" s="6">
        <v>0</v>
      </c>
      <c r="G4" s="3" t="e">
        <f t="shared" ref="G4:G11" si="1">H4/I4</f>
        <v>#DIV/0!</v>
      </c>
      <c r="H4" s="3">
        <v>0</v>
      </c>
      <c r="I4" s="6">
        <v>0</v>
      </c>
      <c r="J4" s="3" t="e">
        <f t="shared" ref="J4:J11" si="2">K4/L4</f>
        <v>#DIV/0!</v>
      </c>
      <c r="K4" s="3">
        <v>0</v>
      </c>
      <c r="L4" s="6">
        <v>0</v>
      </c>
      <c r="M4" s="3" t="e">
        <f t="shared" ref="M4:M11" si="3">N4/O4</f>
        <v>#DIV/0!</v>
      </c>
      <c r="N4" s="3">
        <v>0</v>
      </c>
      <c r="O4" s="6">
        <v>0</v>
      </c>
      <c r="P4" s="3" t="e">
        <f t="shared" ref="P4:P11" si="4">Q4/R4</f>
        <v>#DIV/0!</v>
      </c>
      <c r="Q4" s="3">
        <v>0</v>
      </c>
      <c r="R4" s="6">
        <v>0</v>
      </c>
      <c r="S4" s="3" t="e">
        <f t="shared" ref="S4:S11" si="5">T4/U4</f>
        <v>#DIV/0!</v>
      </c>
      <c r="T4" s="3">
        <v>0</v>
      </c>
      <c r="U4" s="6">
        <v>0</v>
      </c>
      <c r="V4" s="3" t="e">
        <f t="shared" ref="V4:V11" si="6">W4/X4</f>
        <v>#DIV/0!</v>
      </c>
      <c r="W4" s="3">
        <v>0</v>
      </c>
      <c r="X4" s="6">
        <v>0</v>
      </c>
      <c r="Y4" s="3" t="e">
        <f t="shared" ref="Y4:Y11" si="7">Z4/AA4</f>
        <v>#DIV/0!</v>
      </c>
      <c r="Z4" s="3">
        <v>0</v>
      </c>
      <c r="AA4" s="6">
        <v>0</v>
      </c>
      <c r="AB4" s="3" t="e">
        <f t="shared" ref="AB4:AB11" si="8">AC4/AD4</f>
        <v>#DIV/0!</v>
      </c>
      <c r="AC4" s="3">
        <v>0</v>
      </c>
      <c r="AD4" s="6">
        <v>0</v>
      </c>
      <c r="AE4" s="3" t="e">
        <f t="shared" ref="AE4:AE11" si="9">AF4/AG4</f>
        <v>#DIV/0!</v>
      </c>
      <c r="AF4" s="3">
        <v>0</v>
      </c>
      <c r="AG4" s="6">
        <v>0</v>
      </c>
      <c r="AH4" s="3" t="e">
        <f t="shared" ref="AH4:AH11" si="10">AI4/AJ4</f>
        <v>#DIV/0!</v>
      </c>
      <c r="AI4" s="3">
        <v>0</v>
      </c>
      <c r="AJ4" s="6">
        <v>0</v>
      </c>
      <c r="AK4" s="3">
        <f t="shared" ref="AK4:AK11" si="11">AL4/AM4</f>
        <v>936.95071611906803</v>
      </c>
      <c r="AL4" s="3">
        <v>33729851</v>
      </c>
      <c r="AM4" s="6">
        <v>35999.599999999999</v>
      </c>
      <c r="AN4" s="3">
        <f t="shared" ref="AN4:AN35" si="12">AO4/AP4</f>
        <v>936.95071611906803</v>
      </c>
      <c r="AO4" s="3">
        <f t="shared" ref="AO4:AO35" si="13">SUM(E4,H4,K4,N4,Q4,T4,W4,Z4,AC4,AF4,AI4,AL4)</f>
        <v>33729851</v>
      </c>
      <c r="AP4" s="6">
        <f t="shared" ref="AP4:AP35" si="14">SUM(F4,I4,L4,O4,R4,U4,X4,AA4,AD4,AG4,AJ4,AM4)</f>
        <v>35999.599999999999</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26</v>
      </c>
      <c r="B5" s="15"/>
      <c r="C5" s="15"/>
      <c r="D5" s="3">
        <f t="shared" si="0"/>
        <v>1250</v>
      </c>
      <c r="E5" s="3">
        <v>27125</v>
      </c>
      <c r="F5" s="6">
        <v>21.7</v>
      </c>
      <c r="G5" s="3">
        <f t="shared" si="1"/>
        <v>739.66793048291208</v>
      </c>
      <c r="H5" s="3">
        <v>30843487</v>
      </c>
      <c r="I5" s="6">
        <v>41699.1</v>
      </c>
      <c r="J5" s="3">
        <f t="shared" si="2"/>
        <v>724.52168590416227</v>
      </c>
      <c r="K5" s="3">
        <v>27342579</v>
      </c>
      <c r="L5" s="6">
        <v>37738.800000000003</v>
      </c>
      <c r="M5" s="3">
        <f t="shared" si="3"/>
        <v>759.99869546020147</v>
      </c>
      <c r="N5" s="3">
        <v>7573539</v>
      </c>
      <c r="O5" s="6">
        <v>9965.2000000000007</v>
      </c>
      <c r="P5" s="3">
        <f t="shared" si="4"/>
        <v>694.25265888226397</v>
      </c>
      <c r="Q5" s="3">
        <v>46947031</v>
      </c>
      <c r="R5" s="6">
        <v>67622.399999999994</v>
      </c>
      <c r="S5" s="3">
        <f t="shared" si="5"/>
        <v>643.30324874484756</v>
      </c>
      <c r="T5" s="3">
        <v>13172020</v>
      </c>
      <c r="U5" s="6">
        <v>20475.599999999999</v>
      </c>
      <c r="V5" s="3">
        <f t="shared" si="6"/>
        <v>632.15836645916147</v>
      </c>
      <c r="W5" s="3">
        <v>10114281</v>
      </c>
      <c r="X5" s="6">
        <v>15999.6</v>
      </c>
      <c r="Y5" s="3">
        <f t="shared" si="7"/>
        <v>679.99953333333337</v>
      </c>
      <c r="Z5" s="3">
        <v>10199993</v>
      </c>
      <c r="AA5" s="6">
        <v>15000</v>
      </c>
      <c r="AB5" s="3">
        <f t="shared" si="8"/>
        <v>655.26602260754657</v>
      </c>
      <c r="AC5" s="3">
        <v>18347121</v>
      </c>
      <c r="AD5" s="6">
        <v>27999.5</v>
      </c>
      <c r="AE5" s="3">
        <f t="shared" si="9"/>
        <v>863.98751119861379</v>
      </c>
      <c r="AF5" s="3">
        <v>16105332</v>
      </c>
      <c r="AG5" s="6">
        <v>18640.7</v>
      </c>
      <c r="AH5" s="3">
        <f t="shared" si="10"/>
        <v>913.7396346710475</v>
      </c>
      <c r="AI5" s="3">
        <v>28032801</v>
      </c>
      <c r="AJ5" s="6">
        <v>30679.200000000001</v>
      </c>
      <c r="AK5" s="3">
        <f t="shared" si="11"/>
        <v>923.08711074258326</v>
      </c>
      <c r="AL5" s="3">
        <v>16030700</v>
      </c>
      <c r="AM5" s="6">
        <v>17366.400000000001</v>
      </c>
      <c r="AN5" s="3">
        <f t="shared" si="12"/>
        <v>741.19370452382202</v>
      </c>
      <c r="AO5" s="3">
        <f t="shared" si="13"/>
        <v>224736009</v>
      </c>
      <c r="AP5" s="6">
        <f t="shared" si="14"/>
        <v>303208.20000000007</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25</v>
      </c>
      <c r="B6" s="15"/>
      <c r="C6" s="15"/>
      <c r="D6" s="3">
        <f t="shared" si="0"/>
        <v>790.51236202331427</v>
      </c>
      <c r="E6" s="3">
        <v>2298889</v>
      </c>
      <c r="F6" s="6">
        <v>2908.1</v>
      </c>
      <c r="G6" s="3">
        <f t="shared" si="1"/>
        <v>760.93507615452518</v>
      </c>
      <c r="H6" s="3">
        <v>8103502</v>
      </c>
      <c r="I6" s="6">
        <v>10649.4</v>
      </c>
      <c r="J6" s="3">
        <f t="shared" si="2"/>
        <v>724.58512650687373</v>
      </c>
      <c r="K6" s="3">
        <v>14900441</v>
      </c>
      <c r="L6" s="6">
        <v>20564.099999999999</v>
      </c>
      <c r="M6" s="3">
        <f t="shared" si="3"/>
        <v>731.47987070694364</v>
      </c>
      <c r="N6" s="3">
        <v>9300986</v>
      </c>
      <c r="O6" s="6">
        <v>12715.3</v>
      </c>
      <c r="P6" s="3">
        <f t="shared" si="4"/>
        <v>759.99961518850944</v>
      </c>
      <c r="Q6" s="3">
        <v>15799936</v>
      </c>
      <c r="R6" s="6">
        <v>20789.400000000001</v>
      </c>
      <c r="S6" s="3">
        <f t="shared" si="5"/>
        <v>759.99938013967517</v>
      </c>
      <c r="T6" s="3">
        <v>3678245</v>
      </c>
      <c r="U6" s="6">
        <v>4839.8</v>
      </c>
      <c r="V6" s="3">
        <f t="shared" si="6"/>
        <v>651.77347953415517</v>
      </c>
      <c r="W6" s="3">
        <v>10526989</v>
      </c>
      <c r="X6" s="6">
        <v>16151.3</v>
      </c>
      <c r="Y6" s="3">
        <f t="shared" si="7"/>
        <v>704.99012491976498</v>
      </c>
      <c r="Z6" s="3">
        <v>5711266</v>
      </c>
      <c r="AA6" s="6">
        <v>8101.2</v>
      </c>
      <c r="AB6" s="3">
        <f t="shared" si="8"/>
        <v>810.49781552975571</v>
      </c>
      <c r="AC6" s="3">
        <v>18625564</v>
      </c>
      <c r="AD6" s="6">
        <v>22980.400000000001</v>
      </c>
      <c r="AE6" s="3">
        <f t="shared" si="9"/>
        <v>802.32622006122824</v>
      </c>
      <c r="AF6" s="3">
        <v>7128508</v>
      </c>
      <c r="AG6" s="6">
        <v>8884.7999999999993</v>
      </c>
      <c r="AH6" s="3">
        <f t="shared" si="10"/>
        <v>826.02405754158633</v>
      </c>
      <c r="AI6" s="3">
        <v>10760698</v>
      </c>
      <c r="AJ6" s="6">
        <v>13027.1</v>
      </c>
      <c r="AK6" s="3">
        <f t="shared" si="11"/>
        <v>913.26027166591837</v>
      </c>
      <c r="AL6" s="3">
        <v>13016516</v>
      </c>
      <c r="AM6" s="6">
        <v>14252.8</v>
      </c>
      <c r="AN6" s="3">
        <f t="shared" si="12"/>
        <v>768.95094880976148</v>
      </c>
      <c r="AO6" s="3">
        <f t="shared" si="13"/>
        <v>119851540</v>
      </c>
      <c r="AP6" s="6">
        <f t="shared" si="14"/>
        <v>155863.69999999998</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42</v>
      </c>
      <c r="B7" s="15"/>
      <c r="C7" s="15"/>
      <c r="D7" s="3" t="e">
        <f t="shared" si="0"/>
        <v>#DIV/0!</v>
      </c>
      <c r="E7" s="3">
        <v>0</v>
      </c>
      <c r="F7" s="6">
        <v>0</v>
      </c>
      <c r="G7" s="3">
        <f t="shared" si="1"/>
        <v>769.9969089223049</v>
      </c>
      <c r="H7" s="3">
        <v>4234752</v>
      </c>
      <c r="I7" s="6">
        <v>5499.7</v>
      </c>
      <c r="J7" s="3">
        <f t="shared" si="2"/>
        <v>790.3605520100366</v>
      </c>
      <c r="K7" s="3">
        <v>4346904</v>
      </c>
      <c r="L7" s="6">
        <v>5499.9</v>
      </c>
      <c r="M7" s="3">
        <f t="shared" si="3"/>
        <v>710.30087477676545</v>
      </c>
      <c r="N7" s="3">
        <v>11733105</v>
      </c>
      <c r="O7" s="6">
        <v>16518.5</v>
      </c>
      <c r="P7" s="3" t="e">
        <f t="shared" si="4"/>
        <v>#DIV/0!</v>
      </c>
      <c r="Q7" s="3">
        <v>0</v>
      </c>
      <c r="R7" s="6">
        <v>0</v>
      </c>
      <c r="S7" s="3">
        <f t="shared" si="5"/>
        <v>760.00384415784117</v>
      </c>
      <c r="T7" s="3">
        <v>3954072</v>
      </c>
      <c r="U7" s="6">
        <v>5202.7</v>
      </c>
      <c r="V7" s="3" t="e">
        <f t="shared" si="6"/>
        <v>#DIV/0!</v>
      </c>
      <c r="W7" s="3">
        <v>0</v>
      </c>
      <c r="X7" s="6">
        <v>0</v>
      </c>
      <c r="Y7" s="3">
        <f t="shared" si="7"/>
        <v>690.69728821506715</v>
      </c>
      <c r="Z7" s="3">
        <v>10605795</v>
      </c>
      <c r="AA7" s="6">
        <v>15355.2</v>
      </c>
      <c r="AB7" s="3" t="e">
        <f t="shared" si="8"/>
        <v>#DIV/0!</v>
      </c>
      <c r="AC7" s="3">
        <v>0</v>
      </c>
      <c r="AD7" s="6">
        <v>0</v>
      </c>
      <c r="AE7" s="3">
        <f t="shared" si="9"/>
        <v>834.81715519682803</v>
      </c>
      <c r="AF7" s="3">
        <v>4716383</v>
      </c>
      <c r="AG7" s="6">
        <v>5649.6</v>
      </c>
      <c r="AH7" s="3">
        <f t="shared" si="10"/>
        <v>830.71617904476113</v>
      </c>
      <c r="AI7" s="3">
        <v>3322034</v>
      </c>
      <c r="AJ7" s="6">
        <v>3999</v>
      </c>
      <c r="AK7" s="3">
        <f t="shared" si="11"/>
        <v>882.68079012424698</v>
      </c>
      <c r="AL7" s="3">
        <v>11032892</v>
      </c>
      <c r="AM7" s="6">
        <v>12499.3</v>
      </c>
      <c r="AN7" s="3">
        <f t="shared" si="12"/>
        <v>768.19910315433924</v>
      </c>
      <c r="AO7" s="3">
        <f t="shared" si="13"/>
        <v>53945937</v>
      </c>
      <c r="AP7" s="6">
        <f t="shared" si="14"/>
        <v>70223.899999999994</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34</v>
      </c>
      <c r="B8" s="15"/>
      <c r="C8" s="15"/>
      <c r="D8" s="3">
        <f t="shared" si="0"/>
        <v>712.7557738309448</v>
      </c>
      <c r="E8" s="3">
        <v>3366987</v>
      </c>
      <c r="F8" s="6">
        <v>4723.8999999999996</v>
      </c>
      <c r="G8" s="3">
        <f t="shared" si="1"/>
        <v>813.9</v>
      </c>
      <c r="H8" s="3">
        <v>4069500</v>
      </c>
      <c r="I8" s="6">
        <v>5000</v>
      </c>
      <c r="J8" s="3">
        <f t="shared" si="2"/>
        <v>735.97957461593819</v>
      </c>
      <c r="K8" s="3">
        <v>5930965</v>
      </c>
      <c r="L8" s="6">
        <v>8058.6</v>
      </c>
      <c r="M8" s="3">
        <f t="shared" si="3"/>
        <v>733.41130306828711</v>
      </c>
      <c r="N8" s="3">
        <v>6728682</v>
      </c>
      <c r="O8" s="6">
        <v>9174.5</v>
      </c>
      <c r="P8" s="3">
        <f t="shared" si="4"/>
        <v>728.29112645651594</v>
      </c>
      <c r="Q8" s="3">
        <v>11538025</v>
      </c>
      <c r="R8" s="6">
        <v>15842.6</v>
      </c>
      <c r="S8" s="3">
        <f t="shared" si="5"/>
        <v>724.67079925570124</v>
      </c>
      <c r="T8" s="3">
        <v>13397134</v>
      </c>
      <c r="U8" s="6">
        <v>18487.2</v>
      </c>
      <c r="V8" s="3">
        <f t="shared" si="6"/>
        <v>675.94062279719708</v>
      </c>
      <c r="W8" s="3">
        <v>1630166</v>
      </c>
      <c r="X8" s="6">
        <v>2411.6999999999998</v>
      </c>
      <c r="Y8" s="3">
        <f t="shared" si="7"/>
        <v>675.97509957496857</v>
      </c>
      <c r="Z8" s="3">
        <v>10115021</v>
      </c>
      <c r="AA8" s="6">
        <v>14963.6</v>
      </c>
      <c r="AB8" s="3">
        <f t="shared" si="8"/>
        <v>731.29934559052663</v>
      </c>
      <c r="AC8" s="3">
        <v>5866849</v>
      </c>
      <c r="AD8" s="6">
        <v>8022.5</v>
      </c>
      <c r="AE8" s="3">
        <f t="shared" si="9"/>
        <v>763.65615040802038</v>
      </c>
      <c r="AF8" s="3">
        <v>11669506</v>
      </c>
      <c r="AG8" s="6">
        <v>15281.1</v>
      </c>
      <c r="AH8" s="3" t="e">
        <f t="shared" si="10"/>
        <v>#DIV/0!</v>
      </c>
      <c r="AI8" s="3">
        <v>0</v>
      </c>
      <c r="AJ8" s="6">
        <v>0</v>
      </c>
      <c r="AK8" s="3">
        <f t="shared" si="11"/>
        <v>848.89093859044738</v>
      </c>
      <c r="AL8" s="3">
        <v>3819415</v>
      </c>
      <c r="AM8" s="6">
        <v>4499.3</v>
      </c>
      <c r="AN8" s="3">
        <f t="shared" si="12"/>
        <v>733.8773305781242</v>
      </c>
      <c r="AO8" s="3">
        <f t="shared" si="13"/>
        <v>78132250</v>
      </c>
      <c r="AP8" s="6">
        <f t="shared" si="14"/>
        <v>106465.00000000001</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24</v>
      </c>
      <c r="B9" s="15"/>
      <c r="C9" s="15"/>
      <c r="D9" s="3">
        <f t="shared" si="0"/>
        <v>785.23216411759324</v>
      </c>
      <c r="E9" s="3">
        <v>4286975</v>
      </c>
      <c r="F9" s="6">
        <v>5459.5</v>
      </c>
      <c r="G9" s="3">
        <f t="shared" si="1"/>
        <v>758.18242605658008</v>
      </c>
      <c r="H9" s="3">
        <v>12132511</v>
      </c>
      <c r="I9" s="6">
        <v>16002.1</v>
      </c>
      <c r="J9" s="3">
        <f t="shared" si="2"/>
        <v>714.81697881528078</v>
      </c>
      <c r="K9" s="3">
        <v>15659710</v>
      </c>
      <c r="L9" s="6">
        <v>21907.3</v>
      </c>
      <c r="M9" s="3">
        <f t="shared" si="3"/>
        <v>754.11415496225061</v>
      </c>
      <c r="N9" s="3">
        <v>7151717</v>
      </c>
      <c r="O9" s="6">
        <v>9483.6</v>
      </c>
      <c r="P9" s="3">
        <f t="shared" si="4"/>
        <v>668.02299838796341</v>
      </c>
      <c r="Q9" s="3">
        <v>6215954</v>
      </c>
      <c r="R9" s="6">
        <v>9305</v>
      </c>
      <c r="S9" s="3">
        <f t="shared" si="5"/>
        <v>752.26098866441998</v>
      </c>
      <c r="T9" s="3">
        <v>8348442</v>
      </c>
      <c r="U9" s="6">
        <v>11097.8</v>
      </c>
      <c r="V9" s="3">
        <f t="shared" si="6"/>
        <v>660.00310277340202</v>
      </c>
      <c r="W9" s="3">
        <v>2765281</v>
      </c>
      <c r="X9" s="6">
        <v>4189.8</v>
      </c>
      <c r="Y9" s="3" t="e">
        <f t="shared" si="7"/>
        <v>#DIV/0!</v>
      </c>
      <c r="Z9" s="3">
        <v>0</v>
      </c>
      <c r="AA9" s="6">
        <v>0</v>
      </c>
      <c r="AB9" s="3">
        <f t="shared" si="8"/>
        <v>768.50046418624584</v>
      </c>
      <c r="AC9" s="3">
        <v>5380656</v>
      </c>
      <c r="AD9" s="6">
        <v>7001.5</v>
      </c>
      <c r="AE9" s="3">
        <f t="shared" si="9"/>
        <v>723.42757146449821</v>
      </c>
      <c r="AF9" s="3">
        <v>3451907</v>
      </c>
      <c r="AG9" s="6">
        <v>4771.6000000000004</v>
      </c>
      <c r="AH9" s="3" t="e">
        <f t="shared" si="10"/>
        <v>#DIV/0!</v>
      </c>
      <c r="AI9" s="3">
        <v>0</v>
      </c>
      <c r="AJ9" s="6">
        <v>0</v>
      </c>
      <c r="AK9" s="3">
        <f t="shared" si="11"/>
        <v>1029.4963190184048</v>
      </c>
      <c r="AL9" s="3">
        <v>3356158</v>
      </c>
      <c r="AM9" s="6">
        <v>3260</v>
      </c>
      <c r="AN9" s="3">
        <f t="shared" si="12"/>
        <v>743.41099848396709</v>
      </c>
      <c r="AO9" s="3">
        <f t="shared" si="13"/>
        <v>68749311</v>
      </c>
      <c r="AP9" s="6">
        <f t="shared" si="14"/>
        <v>92478.2</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19</v>
      </c>
      <c r="B10" s="15"/>
      <c r="C10" s="15"/>
      <c r="D10" s="3" t="e">
        <f t="shared" si="0"/>
        <v>#DIV/0!</v>
      </c>
      <c r="E10" s="3">
        <v>0</v>
      </c>
      <c r="F10" s="6">
        <v>0</v>
      </c>
      <c r="G10" s="3" t="e">
        <f t="shared" si="1"/>
        <v>#DIV/0!</v>
      </c>
      <c r="H10" s="3">
        <v>0</v>
      </c>
      <c r="I10" s="6">
        <v>0</v>
      </c>
      <c r="J10" s="3">
        <f t="shared" si="2"/>
        <v>744.79</v>
      </c>
      <c r="K10" s="3">
        <v>1489580</v>
      </c>
      <c r="L10" s="6">
        <v>2000</v>
      </c>
      <c r="M10" s="3" t="e">
        <f t="shared" si="3"/>
        <v>#DIV/0!</v>
      </c>
      <c r="N10" s="3">
        <v>0</v>
      </c>
      <c r="O10" s="6">
        <v>0</v>
      </c>
      <c r="P10" s="3">
        <f t="shared" si="4"/>
        <v>759.99643338353007</v>
      </c>
      <c r="Q10" s="3">
        <v>1917775</v>
      </c>
      <c r="R10" s="6">
        <v>2523.4</v>
      </c>
      <c r="S10" s="3" t="e">
        <f t="shared" si="5"/>
        <v>#DIV/0!</v>
      </c>
      <c r="T10" s="3">
        <v>0</v>
      </c>
      <c r="U10" s="6">
        <v>0</v>
      </c>
      <c r="V10" s="3" t="e">
        <f t="shared" si="6"/>
        <v>#DIV/0!</v>
      </c>
      <c r="W10" s="3">
        <v>0</v>
      </c>
      <c r="X10" s="6">
        <v>0</v>
      </c>
      <c r="Y10" s="3" t="e">
        <f t="shared" si="7"/>
        <v>#DIV/0!</v>
      </c>
      <c r="Z10" s="3">
        <v>0</v>
      </c>
      <c r="AA10" s="6">
        <v>0</v>
      </c>
      <c r="AB10" s="3" t="e">
        <f t="shared" si="8"/>
        <v>#DIV/0!</v>
      </c>
      <c r="AC10" s="3">
        <v>0</v>
      </c>
      <c r="AD10" s="6">
        <v>0</v>
      </c>
      <c r="AE10" s="3">
        <f t="shared" si="9"/>
        <v>844.29584852875053</v>
      </c>
      <c r="AF10" s="3">
        <v>1690027</v>
      </c>
      <c r="AG10" s="6">
        <v>2001.7</v>
      </c>
      <c r="AH10" s="3" t="e">
        <f t="shared" si="10"/>
        <v>#DIV/0!</v>
      </c>
      <c r="AI10" s="3">
        <v>0</v>
      </c>
      <c r="AJ10" s="6">
        <v>0</v>
      </c>
      <c r="AK10" s="3">
        <f t="shared" si="11"/>
        <v>958.67553422008871</v>
      </c>
      <c r="AL10" s="3">
        <v>2875739</v>
      </c>
      <c r="AM10" s="6">
        <v>2999.7</v>
      </c>
      <c r="AN10" s="3">
        <f t="shared" si="12"/>
        <v>837.09064757265253</v>
      </c>
      <c r="AO10" s="3">
        <f t="shared" si="13"/>
        <v>7973121</v>
      </c>
      <c r="AP10" s="6">
        <f t="shared" si="14"/>
        <v>9524.7999999999993</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33</v>
      </c>
      <c r="B11" s="15"/>
      <c r="C11" s="15"/>
      <c r="D11" s="3" t="e">
        <f t="shared" si="0"/>
        <v>#DIV/0!</v>
      </c>
      <c r="E11" s="3">
        <v>0</v>
      </c>
      <c r="F11" s="6">
        <v>0</v>
      </c>
      <c r="G11" s="3">
        <f t="shared" si="1"/>
        <v>784.71038990308762</v>
      </c>
      <c r="H11" s="3">
        <v>1740880</v>
      </c>
      <c r="I11" s="6">
        <v>2218.5</v>
      </c>
      <c r="J11" s="3">
        <f t="shared" si="2"/>
        <v>769.10999650064161</v>
      </c>
      <c r="K11" s="3">
        <v>1318716</v>
      </c>
      <c r="L11" s="6">
        <v>1714.6</v>
      </c>
      <c r="M11" s="3">
        <f t="shared" si="3"/>
        <v>760.00527518902766</v>
      </c>
      <c r="N11" s="3">
        <v>2161075</v>
      </c>
      <c r="O11" s="6">
        <v>2843.5</v>
      </c>
      <c r="P11" s="3">
        <f t="shared" si="4"/>
        <v>759.98481726493867</v>
      </c>
      <c r="Q11" s="3">
        <v>700782</v>
      </c>
      <c r="R11" s="6">
        <v>922.1</v>
      </c>
      <c r="S11" s="3" t="e">
        <f t="shared" si="5"/>
        <v>#DIV/0!</v>
      </c>
      <c r="T11" s="3">
        <v>0</v>
      </c>
      <c r="U11" s="6">
        <v>0</v>
      </c>
      <c r="V11" s="3">
        <f t="shared" si="6"/>
        <v>682.78962050634243</v>
      </c>
      <c r="W11" s="3">
        <v>1297232</v>
      </c>
      <c r="X11" s="6">
        <v>1899.9</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f t="shared" si="11"/>
        <v>857.27527303276395</v>
      </c>
      <c r="AL11" s="3">
        <v>2142931</v>
      </c>
      <c r="AM11" s="6">
        <v>2499.6999999999998</v>
      </c>
      <c r="AN11" s="3">
        <f t="shared" si="12"/>
        <v>773.79598786606391</v>
      </c>
      <c r="AO11" s="3">
        <f t="shared" si="13"/>
        <v>9361616</v>
      </c>
      <c r="AP11" s="6">
        <f t="shared" si="14"/>
        <v>12098.3</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28</v>
      </c>
      <c r="B12" s="15"/>
      <c r="C12" s="15"/>
      <c r="D12" s="3">
        <f>E12/F12</f>
        <v>753.70970644004922</v>
      </c>
      <c r="E12" s="3">
        <v>5445628</v>
      </c>
      <c r="F12" s="6">
        <v>7225.1</v>
      </c>
      <c r="G12" s="3">
        <f>H12/I12</f>
        <v>790.98964723101085</v>
      </c>
      <c r="H12" s="3">
        <v>3675017</v>
      </c>
      <c r="I12" s="6">
        <v>4646.1000000000004</v>
      </c>
      <c r="J12" s="3">
        <f>K12/L12</f>
        <v>756.56232365665551</v>
      </c>
      <c r="K12" s="3">
        <v>4826565</v>
      </c>
      <c r="L12" s="6">
        <v>6379.6</v>
      </c>
      <c r="M12" s="3">
        <f>N12/O12</f>
        <v>722.9540344865153</v>
      </c>
      <c r="N12" s="3">
        <v>7299450</v>
      </c>
      <c r="O12" s="6">
        <v>10096.700000000001</v>
      </c>
      <c r="P12" s="3">
        <f>Q12/R12</f>
        <v>739.32956410724057</v>
      </c>
      <c r="Q12" s="3">
        <v>2026872</v>
      </c>
      <c r="R12" s="6">
        <v>2741.5</v>
      </c>
      <c r="S12" s="3">
        <f>T12/U12</f>
        <v>732.45022970903517</v>
      </c>
      <c r="T12" s="3">
        <v>478290</v>
      </c>
      <c r="U12" s="6">
        <v>653</v>
      </c>
      <c r="V12" s="3">
        <f>W12/X12</f>
        <v>701.97162361129699</v>
      </c>
      <c r="W12" s="3">
        <v>524443</v>
      </c>
      <c r="X12" s="6">
        <v>747.1</v>
      </c>
      <c r="Y12" s="3">
        <f>Z12/AA12</f>
        <v>709.06734771093454</v>
      </c>
      <c r="Z12" s="3">
        <v>374813</v>
      </c>
      <c r="AA12" s="6">
        <v>528.6</v>
      </c>
      <c r="AB12" s="3">
        <f>AC12/AD12</f>
        <v>762.16094410630478</v>
      </c>
      <c r="AC12" s="3">
        <v>1640399</v>
      </c>
      <c r="AD12" s="6">
        <v>2152.3000000000002</v>
      </c>
      <c r="AE12" s="3">
        <f>AF12/AG12</f>
        <v>743.84242805472559</v>
      </c>
      <c r="AF12" s="3">
        <v>2365047</v>
      </c>
      <c r="AG12" s="6">
        <v>3179.5</v>
      </c>
      <c r="AH12" s="3">
        <f>AI12/AJ12</f>
        <v>762.18806077281977</v>
      </c>
      <c r="AI12" s="3">
        <v>1274226</v>
      </c>
      <c r="AJ12" s="6">
        <v>1671.8</v>
      </c>
      <c r="AK12" s="3">
        <f>AL12/AM12</f>
        <v>932.33574935702597</v>
      </c>
      <c r="AL12" s="3">
        <v>398760</v>
      </c>
      <c r="AM12" s="6">
        <v>427.7</v>
      </c>
      <c r="AN12" s="3">
        <f t="shared" si="12"/>
        <v>749.82100917204366</v>
      </c>
      <c r="AO12" s="3">
        <f t="shared" si="13"/>
        <v>30329510</v>
      </c>
      <c r="AP12" s="6">
        <f t="shared" si="14"/>
        <v>40449.000000000007</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29</v>
      </c>
      <c r="B13" s="15"/>
      <c r="C13" s="15"/>
      <c r="D13" s="3" t="e">
        <f t="shared" ref="D13:D35" si="15">E13/F13</f>
        <v>#DIV/0!</v>
      </c>
      <c r="E13" s="3">
        <v>0</v>
      </c>
      <c r="F13" s="6">
        <v>0</v>
      </c>
      <c r="G13" s="3" t="e">
        <f t="shared" ref="G13:G35" si="16">H13/I13</f>
        <v>#DIV/0!</v>
      </c>
      <c r="H13" s="3">
        <v>0</v>
      </c>
      <c r="I13" s="6">
        <v>0</v>
      </c>
      <c r="J13" s="3" t="e">
        <f t="shared" ref="J13:J35" si="17">K13/L13</f>
        <v>#DIV/0!</v>
      </c>
      <c r="K13" s="3">
        <v>0</v>
      </c>
      <c r="L13" s="6">
        <v>0</v>
      </c>
      <c r="M13" s="3" t="e">
        <f t="shared" ref="M13:M35" si="18">N13/O13</f>
        <v>#DIV/0!</v>
      </c>
      <c r="N13" s="3">
        <v>0</v>
      </c>
      <c r="O13" s="6">
        <v>0</v>
      </c>
      <c r="P13" s="3" t="e">
        <f t="shared" ref="P13:P35" si="19">Q13/R13</f>
        <v>#DIV/0!</v>
      </c>
      <c r="Q13" s="3">
        <v>0</v>
      </c>
      <c r="R13" s="6">
        <v>0</v>
      </c>
      <c r="S13" s="3" t="e">
        <f t="shared" ref="S13:S35" si="20">T13/U13</f>
        <v>#DIV/0!</v>
      </c>
      <c r="T13" s="3">
        <v>0</v>
      </c>
      <c r="U13" s="6">
        <v>0</v>
      </c>
      <c r="V13" s="3" t="e">
        <f t="shared" ref="V13:V35" si="21">W13/X13</f>
        <v>#DIV/0!</v>
      </c>
      <c r="W13" s="3">
        <v>0</v>
      </c>
      <c r="X13" s="6">
        <v>0</v>
      </c>
      <c r="Y13" s="3" t="e">
        <f t="shared" ref="Y13:Y35" si="22">Z13/AA13</f>
        <v>#DIV/0!</v>
      </c>
      <c r="Z13" s="3">
        <v>0</v>
      </c>
      <c r="AA13" s="6">
        <v>0</v>
      </c>
      <c r="AB13" s="3">
        <f t="shared" ref="AB13:AB35" si="23">AC13/AD13</f>
        <v>1069.6680497925311</v>
      </c>
      <c r="AC13" s="3">
        <v>25779</v>
      </c>
      <c r="AD13" s="6">
        <v>24.1</v>
      </c>
      <c r="AE13" s="3">
        <f t="shared" ref="AE13:AE35" si="24">AF13/AG13</f>
        <v>964.50340136054422</v>
      </c>
      <c r="AF13" s="3">
        <v>70891</v>
      </c>
      <c r="AG13" s="6">
        <v>73.5</v>
      </c>
      <c r="AH13" s="3">
        <f t="shared" ref="AH13:AH35" si="25">AI13/AJ13</f>
        <v>1074.125</v>
      </c>
      <c r="AI13" s="3">
        <v>25779</v>
      </c>
      <c r="AJ13" s="6">
        <v>24</v>
      </c>
      <c r="AK13" s="3">
        <f t="shared" ref="AK13:AK35" si="26">AL13/AM13</f>
        <v>1157.2793354101766</v>
      </c>
      <c r="AL13" s="3">
        <v>111446</v>
      </c>
      <c r="AM13" s="6">
        <v>96.3</v>
      </c>
      <c r="AN13" s="3">
        <f t="shared" si="12"/>
        <v>1073.405231757687</v>
      </c>
      <c r="AO13" s="3">
        <f t="shared" si="13"/>
        <v>233895</v>
      </c>
      <c r="AP13" s="6">
        <f t="shared" si="14"/>
        <v>217.89999999999998</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41</v>
      </c>
      <c r="B14" s="15"/>
      <c r="C14" s="15"/>
      <c r="D14" s="3" t="e">
        <f t="shared" si="15"/>
        <v>#DIV/0!</v>
      </c>
      <c r="E14" s="3">
        <v>0</v>
      </c>
      <c r="F14" s="6">
        <v>0</v>
      </c>
      <c r="G14" s="3" t="e">
        <f t="shared" si="16"/>
        <v>#DIV/0!</v>
      </c>
      <c r="H14" s="3">
        <v>0</v>
      </c>
      <c r="I14" s="6">
        <v>0</v>
      </c>
      <c r="J14" s="3">
        <f t="shared" si="17"/>
        <v>806.05653912050263</v>
      </c>
      <c r="K14" s="3">
        <v>564562</v>
      </c>
      <c r="L14" s="6">
        <v>700.4</v>
      </c>
      <c r="M14" s="3" t="e">
        <f t="shared" si="18"/>
        <v>#DIV/0!</v>
      </c>
      <c r="N14" s="3">
        <v>0</v>
      </c>
      <c r="O14" s="6">
        <v>0</v>
      </c>
      <c r="P14" s="3" t="e">
        <f t="shared" si="19"/>
        <v>#DIV/0!</v>
      </c>
      <c r="Q14" s="3">
        <v>0</v>
      </c>
      <c r="R14" s="6">
        <v>0</v>
      </c>
      <c r="S14" s="3" t="e">
        <f t="shared" si="20"/>
        <v>#DIV/0!</v>
      </c>
      <c r="T14" s="3">
        <v>0</v>
      </c>
      <c r="U14" s="6">
        <v>0</v>
      </c>
      <c r="V14" s="3">
        <f t="shared" si="21"/>
        <v>697.35247892556083</v>
      </c>
      <c r="W14" s="3">
        <v>488077</v>
      </c>
      <c r="X14" s="6">
        <v>699.9</v>
      </c>
      <c r="Y14" s="3" t="e">
        <f t="shared" si="22"/>
        <v>#DIV/0!</v>
      </c>
      <c r="Z14" s="3">
        <v>0</v>
      </c>
      <c r="AA14" s="6">
        <v>0</v>
      </c>
      <c r="AB14" s="3">
        <f t="shared" si="23"/>
        <v>1041.3934426229509</v>
      </c>
      <c r="AC14" s="3">
        <v>25410</v>
      </c>
      <c r="AD14" s="6">
        <v>24.4</v>
      </c>
      <c r="AE14" s="3" t="e">
        <f t="shared" si="24"/>
        <v>#DIV/0!</v>
      </c>
      <c r="AF14" s="3">
        <v>0</v>
      </c>
      <c r="AG14" s="6">
        <v>0</v>
      </c>
      <c r="AH14" s="3">
        <f t="shared" si="25"/>
        <v>781.91158242666302</v>
      </c>
      <c r="AI14" s="3">
        <v>567746</v>
      </c>
      <c r="AJ14" s="6">
        <v>726.1</v>
      </c>
      <c r="AK14" s="3">
        <f t="shared" si="26"/>
        <v>802.63618677042803</v>
      </c>
      <c r="AL14" s="3">
        <v>82511</v>
      </c>
      <c r="AM14" s="6">
        <v>102.8</v>
      </c>
      <c r="AN14" s="3">
        <f t="shared" si="12"/>
        <v>766.90894568690078</v>
      </c>
      <c r="AO14" s="3">
        <f t="shared" si="13"/>
        <v>1728306</v>
      </c>
      <c r="AP14" s="6">
        <f t="shared" si="14"/>
        <v>2253.6000000000004</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22</v>
      </c>
      <c r="B15" s="15"/>
      <c r="C15" s="15"/>
      <c r="D15" s="3">
        <f t="shared" si="15"/>
        <v>1380.0246913580247</v>
      </c>
      <c r="E15" s="3">
        <v>55891</v>
      </c>
      <c r="F15" s="6">
        <v>40.5</v>
      </c>
      <c r="G15" s="3">
        <f t="shared" si="16"/>
        <v>953.85856079404471</v>
      </c>
      <c r="H15" s="3">
        <v>153762</v>
      </c>
      <c r="I15" s="6">
        <v>161.19999999999999</v>
      </c>
      <c r="J15" s="3">
        <f t="shared" si="17"/>
        <v>1019.093567251462</v>
      </c>
      <c r="K15" s="3">
        <v>174265</v>
      </c>
      <c r="L15" s="6">
        <v>171</v>
      </c>
      <c r="M15" s="3">
        <f t="shared" si="18"/>
        <v>1041.375939849624</v>
      </c>
      <c r="N15" s="3">
        <v>138503</v>
      </c>
      <c r="O15" s="6">
        <v>133</v>
      </c>
      <c r="P15" s="3">
        <f t="shared" si="19"/>
        <v>1115.0960854092527</v>
      </c>
      <c r="Q15" s="3">
        <v>156671</v>
      </c>
      <c r="R15" s="6">
        <v>140.5</v>
      </c>
      <c r="S15" s="3">
        <f t="shared" si="20"/>
        <v>912.14655172413791</v>
      </c>
      <c r="T15" s="3">
        <v>105809</v>
      </c>
      <c r="U15" s="6">
        <v>116</v>
      </c>
      <c r="V15" s="3">
        <f t="shared" si="21"/>
        <v>948.92483349191252</v>
      </c>
      <c r="W15" s="3">
        <v>99732</v>
      </c>
      <c r="X15" s="6">
        <v>105.1</v>
      </c>
      <c r="Y15" s="3">
        <f t="shared" si="22"/>
        <v>1132.3196881091619</v>
      </c>
      <c r="Z15" s="3">
        <v>116176</v>
      </c>
      <c r="AA15" s="6">
        <v>102.6</v>
      </c>
      <c r="AB15" s="3">
        <f t="shared" si="23"/>
        <v>967.98165137614671</v>
      </c>
      <c r="AC15" s="3">
        <v>21102</v>
      </c>
      <c r="AD15" s="6">
        <v>21.8</v>
      </c>
      <c r="AE15" s="3">
        <f t="shared" si="24"/>
        <v>1041.6037735849056</v>
      </c>
      <c r="AF15" s="3">
        <v>22082</v>
      </c>
      <c r="AG15" s="6">
        <v>21.2</v>
      </c>
      <c r="AH15" s="3">
        <f t="shared" si="25"/>
        <v>1788.5590778097981</v>
      </c>
      <c r="AI15" s="3">
        <v>62063</v>
      </c>
      <c r="AJ15" s="6">
        <v>34.700000000000003</v>
      </c>
      <c r="AK15" s="3">
        <f t="shared" si="26"/>
        <v>1785.3890489913542</v>
      </c>
      <c r="AL15" s="3">
        <v>61953</v>
      </c>
      <c r="AM15" s="6">
        <v>34.700000000000003</v>
      </c>
      <c r="AN15" s="3">
        <f t="shared" si="12"/>
        <v>1079.1915365425482</v>
      </c>
      <c r="AO15" s="3">
        <f t="shared" si="13"/>
        <v>1168009</v>
      </c>
      <c r="AP15" s="6">
        <f t="shared" si="14"/>
        <v>1082.3000000000002</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31</v>
      </c>
      <c r="B16" s="15"/>
      <c r="C16" s="15"/>
      <c r="D16" s="3" t="e">
        <f t="shared" si="15"/>
        <v>#DIV/0!</v>
      </c>
      <c r="E16" s="3">
        <v>0</v>
      </c>
      <c r="F16" s="6">
        <v>0</v>
      </c>
      <c r="G16" s="3" t="e">
        <f t="shared" si="16"/>
        <v>#DIV/0!</v>
      </c>
      <c r="H16" s="3">
        <v>0</v>
      </c>
      <c r="I16" s="6">
        <v>0</v>
      </c>
      <c r="J16" s="3" t="e">
        <f t="shared" si="17"/>
        <v>#DIV/0!</v>
      </c>
      <c r="K16" s="3">
        <v>0</v>
      </c>
      <c r="L16" s="6">
        <v>0</v>
      </c>
      <c r="M16" s="3" t="e">
        <f t="shared" si="18"/>
        <v>#DIV/0!</v>
      </c>
      <c r="N16" s="3">
        <v>0</v>
      </c>
      <c r="O16" s="6">
        <v>0</v>
      </c>
      <c r="P16" s="3" t="e">
        <f t="shared" si="19"/>
        <v>#DIV/0!</v>
      </c>
      <c r="Q16" s="3">
        <v>0</v>
      </c>
      <c r="R16" s="6">
        <v>0</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f t="shared" si="26"/>
        <v>760.234375</v>
      </c>
      <c r="AL16" s="3">
        <v>9731</v>
      </c>
      <c r="AM16" s="6">
        <v>12.8</v>
      </c>
      <c r="AN16" s="3">
        <f t="shared" si="12"/>
        <v>760.234375</v>
      </c>
      <c r="AO16" s="3">
        <f t="shared" si="13"/>
        <v>9731</v>
      </c>
      <c r="AP16" s="6">
        <f t="shared" si="14"/>
        <v>12.8</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23</v>
      </c>
      <c r="B17" s="15"/>
      <c r="C17" s="15"/>
      <c r="D17" s="3" t="e">
        <f t="shared" si="15"/>
        <v>#DIV/0!</v>
      </c>
      <c r="E17" s="3">
        <v>0</v>
      </c>
      <c r="F17" s="6">
        <v>0</v>
      </c>
      <c r="G17" s="3" t="e">
        <f t="shared" si="16"/>
        <v>#DIV/0!</v>
      </c>
      <c r="H17" s="3">
        <v>0</v>
      </c>
      <c r="I17" s="6">
        <v>0</v>
      </c>
      <c r="J17" s="3" t="e">
        <f t="shared" si="17"/>
        <v>#DIV/0!</v>
      </c>
      <c r="K17" s="3">
        <v>0</v>
      </c>
      <c r="L17" s="6">
        <v>0</v>
      </c>
      <c r="M17" s="3" t="e">
        <f t="shared" si="18"/>
        <v>#DIV/0!</v>
      </c>
      <c r="N17" s="3">
        <v>0</v>
      </c>
      <c r="O17" s="6">
        <v>0</v>
      </c>
      <c r="P17" s="3" t="e">
        <f t="shared" si="19"/>
        <v>#DIV/0!</v>
      </c>
      <c r="Q17" s="3">
        <v>0</v>
      </c>
      <c r="R17" s="6">
        <v>0</v>
      </c>
      <c r="S17" s="3" t="e">
        <f t="shared" si="20"/>
        <v>#DIV/0!</v>
      </c>
      <c r="T17" s="3">
        <v>0</v>
      </c>
      <c r="U17" s="6">
        <v>0</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t="e">
        <f t="shared" si="25"/>
        <v>#DIV/0!</v>
      </c>
      <c r="AI17" s="3">
        <v>0</v>
      </c>
      <c r="AJ17" s="6">
        <v>0</v>
      </c>
      <c r="AK17" s="3">
        <f t="shared" si="26"/>
        <v>758.68686868686871</v>
      </c>
      <c r="AL17" s="3">
        <v>7511</v>
      </c>
      <c r="AM17" s="6">
        <v>9.9</v>
      </c>
      <c r="AN17" s="3">
        <f t="shared" si="12"/>
        <v>758.68686868686871</v>
      </c>
      <c r="AO17" s="3">
        <f t="shared" si="13"/>
        <v>7511</v>
      </c>
      <c r="AP17" s="6">
        <f t="shared" si="14"/>
        <v>9.9</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54</v>
      </c>
      <c r="B18" s="15"/>
      <c r="C18" s="15"/>
      <c r="D18" s="3" t="e">
        <f t="shared" si="15"/>
        <v>#DIV/0!</v>
      </c>
      <c r="E18" s="3">
        <v>0</v>
      </c>
      <c r="F18" s="6">
        <v>0</v>
      </c>
      <c r="G18" s="3" t="e">
        <f t="shared" si="16"/>
        <v>#DIV/0!</v>
      </c>
      <c r="H18" s="3">
        <v>0</v>
      </c>
      <c r="I18" s="6">
        <v>0</v>
      </c>
      <c r="J18" s="3" t="e">
        <f t="shared" si="17"/>
        <v>#DIV/0!</v>
      </c>
      <c r="K18" s="3">
        <v>0</v>
      </c>
      <c r="L18" s="6">
        <v>0</v>
      </c>
      <c r="M18" s="3">
        <f t="shared" si="18"/>
        <v>759.9981363999907</v>
      </c>
      <c r="N18" s="3">
        <v>9787484</v>
      </c>
      <c r="O18" s="6">
        <v>12878.3</v>
      </c>
      <c r="P18" s="3" t="e">
        <f t="shared" si="19"/>
        <v>#DIV/0!</v>
      </c>
      <c r="Q18" s="3">
        <v>0</v>
      </c>
      <c r="R18" s="6">
        <v>0</v>
      </c>
      <c r="S18" s="3" t="e">
        <f t="shared" si="20"/>
        <v>#DIV/0!</v>
      </c>
      <c r="T18" s="3">
        <v>0</v>
      </c>
      <c r="U18" s="6">
        <v>0</v>
      </c>
      <c r="V18" s="3" t="e">
        <f t="shared" si="21"/>
        <v>#DIV/0!</v>
      </c>
      <c r="W18" s="3">
        <v>0</v>
      </c>
      <c r="X18" s="6">
        <v>0</v>
      </c>
      <c r="Y18" s="3">
        <f t="shared" si="22"/>
        <v>712.31339253570138</v>
      </c>
      <c r="Z18" s="3">
        <v>7122849</v>
      </c>
      <c r="AA18" s="6">
        <v>9999.6</v>
      </c>
      <c r="AB18" s="3" t="e">
        <f t="shared" si="23"/>
        <v>#DIV/0!</v>
      </c>
      <c r="AC18" s="3">
        <v>0</v>
      </c>
      <c r="AD18" s="6">
        <v>0</v>
      </c>
      <c r="AE18" s="3" t="e">
        <f t="shared" si="24"/>
        <v>#DIV/0!</v>
      </c>
      <c r="AF18" s="3">
        <v>0</v>
      </c>
      <c r="AG18" s="6">
        <v>0</v>
      </c>
      <c r="AH18" s="3" t="e">
        <f t="shared" si="25"/>
        <v>#DIV/0!</v>
      </c>
      <c r="AI18" s="3">
        <v>0</v>
      </c>
      <c r="AJ18" s="6">
        <v>0</v>
      </c>
      <c r="AK18" s="3" t="e">
        <f t="shared" si="26"/>
        <v>#DIV/0!</v>
      </c>
      <c r="AL18" s="3">
        <v>0</v>
      </c>
      <c r="AM18" s="6">
        <v>0</v>
      </c>
      <c r="AN18" s="3">
        <f t="shared" si="12"/>
        <v>739.15582286835763</v>
      </c>
      <c r="AO18" s="3">
        <f t="shared" si="13"/>
        <v>16910333</v>
      </c>
      <c r="AP18" s="6">
        <f t="shared" si="14"/>
        <v>22877.9</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30</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t="e">
        <f t="shared" si="19"/>
        <v>#DIV/0!</v>
      </c>
      <c r="Q19" s="3">
        <v>0</v>
      </c>
      <c r="R19" s="6">
        <v>0</v>
      </c>
      <c r="S19" s="3" t="e">
        <f t="shared" si="20"/>
        <v>#DIV/0!</v>
      </c>
      <c r="T19" s="3">
        <v>0</v>
      </c>
      <c r="U19" s="6">
        <v>0</v>
      </c>
      <c r="V19" s="3" t="e">
        <f t="shared" si="21"/>
        <v>#DIV/0!</v>
      </c>
      <c r="W19" s="3">
        <v>0</v>
      </c>
      <c r="X19" s="6">
        <v>0</v>
      </c>
      <c r="Y19" s="3">
        <f t="shared" si="22"/>
        <v>1142.8571428571429</v>
      </c>
      <c r="Z19" s="3">
        <v>4800</v>
      </c>
      <c r="AA19" s="6">
        <v>4.2</v>
      </c>
      <c r="AB19" s="3" t="e">
        <f t="shared" si="23"/>
        <v>#DIV/0!</v>
      </c>
      <c r="AC19" s="3">
        <v>0</v>
      </c>
      <c r="AD19" s="6">
        <v>0</v>
      </c>
      <c r="AE19" s="3" t="e">
        <f t="shared" si="24"/>
        <v>#DIV/0!</v>
      </c>
      <c r="AF19" s="3">
        <v>0</v>
      </c>
      <c r="AG19" s="6">
        <v>0</v>
      </c>
      <c r="AH19" s="3">
        <f t="shared" si="25"/>
        <v>1032.1100917431193</v>
      </c>
      <c r="AI19" s="3">
        <v>22500</v>
      </c>
      <c r="AJ19" s="6">
        <v>21.8</v>
      </c>
      <c r="AK19" s="3" t="e">
        <f t="shared" si="26"/>
        <v>#DIV/0!</v>
      </c>
      <c r="AL19" s="3">
        <v>0</v>
      </c>
      <c r="AM19" s="6">
        <v>0</v>
      </c>
      <c r="AN19" s="3">
        <f t="shared" si="12"/>
        <v>1050</v>
      </c>
      <c r="AO19" s="3">
        <f t="shared" si="13"/>
        <v>27300</v>
      </c>
      <c r="AP19" s="6">
        <f t="shared" si="14"/>
        <v>26</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32</v>
      </c>
      <c r="B20" s="15"/>
      <c r="C20" s="15"/>
      <c r="D20" s="3" t="e">
        <f t="shared" si="15"/>
        <v>#DIV/0!</v>
      </c>
      <c r="E20" s="3">
        <v>0</v>
      </c>
      <c r="F20" s="6">
        <v>0</v>
      </c>
      <c r="G20" s="3" t="e">
        <f t="shared" si="16"/>
        <v>#DIV/0!</v>
      </c>
      <c r="H20" s="3">
        <v>0</v>
      </c>
      <c r="I20" s="6">
        <v>0</v>
      </c>
      <c r="J20" s="3" t="e">
        <f t="shared" si="17"/>
        <v>#DIV/0!</v>
      </c>
      <c r="K20" s="3">
        <v>0</v>
      </c>
      <c r="L20" s="6">
        <v>0</v>
      </c>
      <c r="M20" s="3" t="e">
        <f t="shared" si="18"/>
        <v>#DIV/0!</v>
      </c>
      <c r="N20" s="3">
        <v>0</v>
      </c>
      <c r="O20" s="6">
        <v>0</v>
      </c>
      <c r="P20" s="3" t="e">
        <f t="shared" si="19"/>
        <v>#DIV/0!</v>
      </c>
      <c r="Q20" s="3">
        <v>0</v>
      </c>
      <c r="R20" s="6">
        <v>0</v>
      </c>
      <c r="S20" s="3" t="e">
        <f t="shared" si="20"/>
        <v>#DIV/0!</v>
      </c>
      <c r="T20" s="3">
        <v>0</v>
      </c>
      <c r="U20" s="6">
        <v>0</v>
      </c>
      <c r="V20" s="3">
        <f t="shared" si="21"/>
        <v>632.15697450589232</v>
      </c>
      <c r="W20" s="3">
        <v>12643582</v>
      </c>
      <c r="X20" s="6">
        <v>20000.7</v>
      </c>
      <c r="Y20" s="3" t="e">
        <f t="shared" si="22"/>
        <v>#DIV/0!</v>
      </c>
      <c r="Z20" s="3">
        <v>0</v>
      </c>
      <c r="AA20" s="6">
        <v>0</v>
      </c>
      <c r="AB20" s="3" t="e">
        <f t="shared" si="23"/>
        <v>#DIV/0!</v>
      </c>
      <c r="AC20" s="3">
        <v>0</v>
      </c>
      <c r="AD20" s="6">
        <v>0</v>
      </c>
      <c r="AE20" s="3" t="e">
        <f t="shared" si="24"/>
        <v>#DIV/0!</v>
      </c>
      <c r="AF20" s="3">
        <v>0</v>
      </c>
      <c r="AG20" s="6">
        <v>0</v>
      </c>
      <c r="AH20" s="3">
        <f t="shared" si="25"/>
        <v>914.28187284003218</v>
      </c>
      <c r="AI20" s="3">
        <v>9656188</v>
      </c>
      <c r="AJ20" s="6">
        <v>10561.5</v>
      </c>
      <c r="AK20" s="3" t="e">
        <f t="shared" si="26"/>
        <v>#DIV/0!</v>
      </c>
      <c r="AL20" s="3">
        <v>0</v>
      </c>
      <c r="AM20" s="6">
        <v>0</v>
      </c>
      <c r="AN20" s="3">
        <f t="shared" si="12"/>
        <v>729.65198840397613</v>
      </c>
      <c r="AO20" s="3">
        <f t="shared" si="13"/>
        <v>22299770</v>
      </c>
      <c r="AP20" s="6">
        <f t="shared" si="14"/>
        <v>30562.2</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55</v>
      </c>
      <c r="B21" s="15"/>
      <c r="C21" s="15"/>
      <c r="D21" s="3" t="e">
        <f t="shared" si="15"/>
        <v>#DIV/0!</v>
      </c>
      <c r="E21" s="3">
        <v>0</v>
      </c>
      <c r="F21" s="6">
        <v>0</v>
      </c>
      <c r="G21" s="3">
        <f t="shared" si="16"/>
        <v>739.63951612903224</v>
      </c>
      <c r="H21" s="3">
        <v>22928825</v>
      </c>
      <c r="I21" s="6">
        <v>31000</v>
      </c>
      <c r="J21" s="3" t="e">
        <f t="shared" si="17"/>
        <v>#DIV/0!</v>
      </c>
      <c r="K21" s="3">
        <v>0</v>
      </c>
      <c r="L21" s="6">
        <v>0</v>
      </c>
      <c r="M21" s="3" t="e">
        <f t="shared" si="18"/>
        <v>#DIV/0!</v>
      </c>
      <c r="N21" s="3">
        <v>0</v>
      </c>
      <c r="O21" s="6">
        <v>0</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t="e">
        <f t="shared" si="23"/>
        <v>#DIV/0!</v>
      </c>
      <c r="AC21" s="3">
        <v>0</v>
      </c>
      <c r="AD21" s="6">
        <v>0</v>
      </c>
      <c r="AE21" s="3" t="e">
        <f t="shared" si="24"/>
        <v>#DIV/0!</v>
      </c>
      <c r="AF21" s="3">
        <v>0</v>
      </c>
      <c r="AG21" s="6">
        <v>0</v>
      </c>
      <c r="AH21" s="3" t="e">
        <f t="shared" si="25"/>
        <v>#DIV/0!</v>
      </c>
      <c r="AI21" s="3">
        <v>0</v>
      </c>
      <c r="AJ21" s="6">
        <v>0</v>
      </c>
      <c r="AK21" s="3" t="e">
        <f t="shared" si="26"/>
        <v>#DIV/0!</v>
      </c>
      <c r="AL21" s="3">
        <v>0</v>
      </c>
      <c r="AM21" s="6">
        <v>0</v>
      </c>
      <c r="AN21" s="3">
        <f t="shared" si="12"/>
        <v>739.63951612903224</v>
      </c>
      <c r="AO21" s="3">
        <f t="shared" si="13"/>
        <v>22928825</v>
      </c>
      <c r="AP21" s="6">
        <f t="shared" si="14"/>
        <v>31000</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56</v>
      </c>
      <c r="B22" s="15"/>
      <c r="C22" s="15"/>
      <c r="D22" s="3" t="e">
        <f t="shared" si="15"/>
        <v>#DIV/0!</v>
      </c>
      <c r="E22" s="3">
        <v>0</v>
      </c>
      <c r="F22" s="6">
        <v>0</v>
      </c>
      <c r="G22" s="3" t="e">
        <f t="shared" si="16"/>
        <v>#DIV/0!</v>
      </c>
      <c r="H22" s="3">
        <v>0</v>
      </c>
      <c r="I22" s="6">
        <v>0</v>
      </c>
      <c r="J22" s="3" t="e">
        <f t="shared" si="17"/>
        <v>#DIV/0!</v>
      </c>
      <c r="K22" s="3">
        <v>0</v>
      </c>
      <c r="L22" s="6">
        <v>0</v>
      </c>
      <c r="M22" s="3" t="e">
        <f t="shared" si="18"/>
        <v>#DIV/0!</v>
      </c>
      <c r="N22" s="3">
        <v>0</v>
      </c>
      <c r="O22" s="6">
        <v>0</v>
      </c>
      <c r="P22" s="3" t="e">
        <f t="shared" si="19"/>
        <v>#DIV/0!</v>
      </c>
      <c r="Q22" s="3">
        <v>0</v>
      </c>
      <c r="R22" s="6">
        <v>0</v>
      </c>
      <c r="S22" s="3" t="e">
        <f t="shared" si="20"/>
        <v>#DIV/0!</v>
      </c>
      <c r="T22" s="3">
        <v>0</v>
      </c>
      <c r="U22" s="6">
        <v>0</v>
      </c>
      <c r="V22" s="3" t="e">
        <f t="shared" si="21"/>
        <v>#DIV/0!</v>
      </c>
      <c r="W22" s="3">
        <v>0</v>
      </c>
      <c r="X22" s="6">
        <v>0</v>
      </c>
      <c r="Y22" s="3">
        <f t="shared" si="22"/>
        <v>1250</v>
      </c>
      <c r="Z22" s="3">
        <v>3250</v>
      </c>
      <c r="AA22" s="6">
        <v>2.6</v>
      </c>
      <c r="AB22" s="3" t="e">
        <f t="shared" si="23"/>
        <v>#DIV/0!</v>
      </c>
      <c r="AC22" s="3">
        <v>0</v>
      </c>
      <c r="AD22" s="6">
        <v>0</v>
      </c>
      <c r="AE22" s="3" t="e">
        <f t="shared" si="24"/>
        <v>#DIV/0!</v>
      </c>
      <c r="AF22" s="3">
        <v>0</v>
      </c>
      <c r="AG22" s="6">
        <v>0</v>
      </c>
      <c r="AH22" s="3" t="e">
        <f t="shared" si="25"/>
        <v>#DIV/0!</v>
      </c>
      <c r="AI22" s="3">
        <v>0</v>
      </c>
      <c r="AJ22" s="6">
        <v>0</v>
      </c>
      <c r="AK22" s="3" t="e">
        <f t="shared" si="26"/>
        <v>#DIV/0!</v>
      </c>
      <c r="AL22" s="3">
        <v>0</v>
      </c>
      <c r="AM22" s="6">
        <v>0</v>
      </c>
      <c r="AN22" s="3">
        <f t="shared" si="12"/>
        <v>1250</v>
      </c>
      <c r="AO22" s="3">
        <f t="shared" si="13"/>
        <v>3250</v>
      </c>
      <c r="AP22" s="6">
        <f t="shared" si="14"/>
        <v>2.6</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35</v>
      </c>
      <c r="B23" s="15"/>
      <c r="C23" s="15"/>
      <c r="D23" s="3" t="e">
        <f t="shared" si="15"/>
        <v>#DIV/0!</v>
      </c>
      <c r="E23" s="3">
        <v>0</v>
      </c>
      <c r="F23" s="6">
        <v>0</v>
      </c>
      <c r="G23" s="3">
        <f t="shared" si="16"/>
        <v>2000</v>
      </c>
      <c r="H23" s="3">
        <v>1000000</v>
      </c>
      <c r="I23" s="6">
        <v>500</v>
      </c>
      <c r="J23" s="3" t="e">
        <f t="shared" si="17"/>
        <v>#DIV/0!</v>
      </c>
      <c r="K23" s="3">
        <v>0</v>
      </c>
      <c r="L23" s="6">
        <v>0</v>
      </c>
      <c r="M23" s="3">
        <f t="shared" si="18"/>
        <v>760.01565029681592</v>
      </c>
      <c r="N23" s="3">
        <v>1408309</v>
      </c>
      <c r="O23" s="6">
        <v>1853</v>
      </c>
      <c r="P23" s="3" t="e">
        <f t="shared" si="19"/>
        <v>#DIV/0!</v>
      </c>
      <c r="Q23" s="3">
        <v>0</v>
      </c>
      <c r="R23" s="6">
        <v>0</v>
      </c>
      <c r="S23" s="3" t="e">
        <f t="shared" si="20"/>
        <v>#DIV/0!</v>
      </c>
      <c r="T23" s="3">
        <v>0</v>
      </c>
      <c r="U23" s="6">
        <v>0</v>
      </c>
      <c r="V23" s="3" t="e">
        <f t="shared" si="21"/>
        <v>#DIV/0!</v>
      </c>
      <c r="W23" s="3">
        <v>0</v>
      </c>
      <c r="X23" s="6">
        <v>0</v>
      </c>
      <c r="Y23" s="3" t="e">
        <f t="shared" si="22"/>
        <v>#DIV/0!</v>
      </c>
      <c r="Z23" s="3">
        <v>0</v>
      </c>
      <c r="AA23" s="6">
        <v>0</v>
      </c>
      <c r="AB23" s="3" t="e">
        <f t="shared" si="23"/>
        <v>#DIV/0!</v>
      </c>
      <c r="AC23" s="3">
        <v>0</v>
      </c>
      <c r="AD23" s="6">
        <v>0</v>
      </c>
      <c r="AE23" s="3" t="e">
        <f t="shared" si="24"/>
        <v>#DIV/0!</v>
      </c>
      <c r="AF23" s="3">
        <v>0</v>
      </c>
      <c r="AG23" s="6">
        <v>0</v>
      </c>
      <c r="AH23" s="3" t="e">
        <f t="shared" si="25"/>
        <v>#DIV/0!</v>
      </c>
      <c r="AI23" s="3">
        <v>0</v>
      </c>
      <c r="AJ23" s="6">
        <v>0</v>
      </c>
      <c r="AK23" s="3" t="e">
        <f t="shared" si="26"/>
        <v>#DIV/0!</v>
      </c>
      <c r="AL23" s="3">
        <v>0</v>
      </c>
      <c r="AM23" s="6">
        <v>0</v>
      </c>
      <c r="AN23" s="3">
        <f t="shared" si="12"/>
        <v>1023.5057373565661</v>
      </c>
      <c r="AO23" s="3">
        <f t="shared" si="13"/>
        <v>2408309</v>
      </c>
      <c r="AP23" s="6">
        <f t="shared" si="14"/>
        <v>2353</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27</v>
      </c>
      <c r="B24" s="15"/>
      <c r="C24" s="15"/>
      <c r="D24" s="3">
        <f t="shared" si="15"/>
        <v>827.13881748071981</v>
      </c>
      <c r="E24" s="3">
        <v>2895813</v>
      </c>
      <c r="F24" s="6">
        <v>3501</v>
      </c>
      <c r="G24" s="3" t="e">
        <f t="shared" si="16"/>
        <v>#DIV/0!</v>
      </c>
      <c r="H24" s="3">
        <v>0</v>
      </c>
      <c r="I24" s="6">
        <v>0</v>
      </c>
      <c r="J24" s="3">
        <f t="shared" si="17"/>
        <v>822.12142857142862</v>
      </c>
      <c r="K24" s="3">
        <v>2877425</v>
      </c>
      <c r="L24" s="6">
        <v>3500</v>
      </c>
      <c r="M24" s="3" t="e">
        <f t="shared" si="18"/>
        <v>#DIV/0!</v>
      </c>
      <c r="N24" s="3">
        <v>0</v>
      </c>
      <c r="O24" s="6">
        <v>0</v>
      </c>
      <c r="P24" s="3">
        <f t="shared" si="19"/>
        <v>725.38962708958422</v>
      </c>
      <c r="Q24" s="3">
        <v>2538501</v>
      </c>
      <c r="R24" s="6">
        <v>3499.5</v>
      </c>
      <c r="S24" s="3">
        <f t="shared" si="20"/>
        <v>728.44411127769445</v>
      </c>
      <c r="T24" s="3">
        <v>2186425</v>
      </c>
      <c r="U24" s="6">
        <v>3001.5</v>
      </c>
      <c r="V24" s="3" t="e">
        <f t="shared" si="21"/>
        <v>#DIV/0!</v>
      </c>
      <c r="W24" s="3">
        <v>0</v>
      </c>
      <c r="X24" s="6">
        <v>0</v>
      </c>
      <c r="Y24" s="3">
        <f t="shared" si="22"/>
        <v>725.48551575895419</v>
      </c>
      <c r="Z24" s="3">
        <v>2902595</v>
      </c>
      <c r="AA24" s="6">
        <v>4000.9</v>
      </c>
      <c r="AB24" s="3" t="e">
        <f t="shared" si="23"/>
        <v>#DIV/0!</v>
      </c>
      <c r="AC24" s="3">
        <v>0</v>
      </c>
      <c r="AD24" s="6">
        <v>0</v>
      </c>
      <c r="AE24" s="3">
        <f t="shared" si="24"/>
        <v>723.42132453421323</v>
      </c>
      <c r="AF24" s="3">
        <v>2170481</v>
      </c>
      <c r="AG24" s="6">
        <v>3000.3</v>
      </c>
      <c r="AH24" s="3">
        <f t="shared" si="25"/>
        <v>725.33901482018337</v>
      </c>
      <c r="AI24" s="3">
        <v>2902299</v>
      </c>
      <c r="AJ24" s="6">
        <v>4001.3</v>
      </c>
      <c r="AK24" s="3" t="e">
        <f t="shared" si="26"/>
        <v>#DIV/0!</v>
      </c>
      <c r="AL24" s="3">
        <v>0</v>
      </c>
      <c r="AM24" s="6">
        <v>0</v>
      </c>
      <c r="AN24" s="3">
        <f t="shared" si="12"/>
        <v>753.88353159623739</v>
      </c>
      <c r="AO24" s="3">
        <f t="shared" si="13"/>
        <v>18473539</v>
      </c>
      <c r="AP24" s="6">
        <f t="shared" si="14"/>
        <v>24504.5</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57</v>
      </c>
      <c r="B25" s="15"/>
      <c r="C25" s="15"/>
      <c r="D25" s="3" t="e">
        <f t="shared" si="15"/>
        <v>#DIV/0!</v>
      </c>
      <c r="E25" s="3">
        <v>0</v>
      </c>
      <c r="F25" s="6">
        <v>0</v>
      </c>
      <c r="G25" s="3" t="e">
        <f t="shared" si="16"/>
        <v>#DIV/0!</v>
      </c>
      <c r="H25" s="3">
        <v>0</v>
      </c>
      <c r="I25" s="6">
        <v>0</v>
      </c>
      <c r="J25" s="3">
        <f t="shared" si="17"/>
        <v>1643.9473684210527</v>
      </c>
      <c r="K25" s="3">
        <v>6247</v>
      </c>
      <c r="L25" s="6">
        <v>3.8</v>
      </c>
      <c r="M25" s="3" t="e">
        <f t="shared" si="18"/>
        <v>#DIV/0!</v>
      </c>
      <c r="N25" s="3">
        <v>0</v>
      </c>
      <c r="O25" s="6">
        <v>0</v>
      </c>
      <c r="P25" s="3" t="e">
        <f t="shared" si="19"/>
        <v>#DIV/0!</v>
      </c>
      <c r="Q25" s="3">
        <v>0</v>
      </c>
      <c r="R25" s="6">
        <v>0</v>
      </c>
      <c r="S25" s="3" t="e">
        <f t="shared" si="20"/>
        <v>#DIV/0!</v>
      </c>
      <c r="T25" s="3">
        <v>0</v>
      </c>
      <c r="U25" s="6">
        <v>0</v>
      </c>
      <c r="V25" s="3" t="e">
        <f t="shared" si="21"/>
        <v>#DIV/0!</v>
      </c>
      <c r="W25" s="3">
        <v>0</v>
      </c>
      <c r="X25" s="6">
        <v>0</v>
      </c>
      <c r="Y25" s="3" t="e">
        <f t="shared" si="22"/>
        <v>#DIV/0!</v>
      </c>
      <c r="Z25" s="3">
        <v>0</v>
      </c>
      <c r="AA25" s="6">
        <v>0</v>
      </c>
      <c r="AB25" s="3" t="e">
        <f t="shared" si="23"/>
        <v>#DIV/0!</v>
      </c>
      <c r="AC25" s="3">
        <v>0</v>
      </c>
      <c r="AD25" s="6">
        <v>0</v>
      </c>
      <c r="AE25" s="3" t="e">
        <f t="shared" si="24"/>
        <v>#DIV/0!</v>
      </c>
      <c r="AF25" s="3">
        <v>0</v>
      </c>
      <c r="AG25" s="6">
        <v>0</v>
      </c>
      <c r="AH25" s="3" t="e">
        <f t="shared" si="25"/>
        <v>#DIV/0!</v>
      </c>
      <c r="AI25" s="3">
        <v>0</v>
      </c>
      <c r="AJ25" s="6">
        <v>0</v>
      </c>
      <c r="AK25" s="3" t="e">
        <f t="shared" si="26"/>
        <v>#DIV/0!</v>
      </c>
      <c r="AL25" s="3">
        <v>0</v>
      </c>
      <c r="AM25" s="6">
        <v>0</v>
      </c>
      <c r="AN25" s="3">
        <f t="shared" si="12"/>
        <v>1643.9473684210527</v>
      </c>
      <c r="AO25" s="3">
        <f t="shared" si="13"/>
        <v>6247</v>
      </c>
      <c r="AP25" s="6">
        <f t="shared" si="14"/>
        <v>3.8</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36</v>
      </c>
      <c r="B26" s="15"/>
      <c r="C26" s="15"/>
      <c r="D26" s="3">
        <f t="shared" si="15"/>
        <v>791.45199464728762</v>
      </c>
      <c r="E26" s="3">
        <v>16619463</v>
      </c>
      <c r="F26" s="6">
        <v>20998.7</v>
      </c>
      <c r="G26" s="3">
        <f t="shared" si="16"/>
        <v>753.96859900838967</v>
      </c>
      <c r="H26" s="3">
        <v>14324951</v>
      </c>
      <c r="I26" s="6">
        <v>18999.400000000001</v>
      </c>
      <c r="J26" s="3">
        <f t="shared" si="17"/>
        <v>743.47137563941658</v>
      </c>
      <c r="K26" s="3">
        <v>14868461</v>
      </c>
      <c r="L26" s="6">
        <v>19998.7</v>
      </c>
      <c r="M26" s="3" t="e">
        <f t="shared" si="18"/>
        <v>#DIV/0!</v>
      </c>
      <c r="N26" s="3">
        <v>0</v>
      </c>
      <c r="O26" s="6">
        <v>0</v>
      </c>
      <c r="P26" s="3">
        <f t="shared" si="19"/>
        <v>653.82551866663084</v>
      </c>
      <c r="Q26" s="3">
        <v>9744354</v>
      </c>
      <c r="R26" s="6">
        <v>14903.6</v>
      </c>
      <c r="S26" s="3" t="e">
        <f t="shared" si="20"/>
        <v>#DIV/0!</v>
      </c>
      <c r="T26" s="3">
        <v>0</v>
      </c>
      <c r="U26" s="6">
        <v>0</v>
      </c>
      <c r="V26" s="3" t="e">
        <f t="shared" si="21"/>
        <v>#DIV/0!</v>
      </c>
      <c r="W26" s="3">
        <v>0</v>
      </c>
      <c r="X26" s="6">
        <v>0</v>
      </c>
      <c r="Y26" s="3">
        <f t="shared" si="22"/>
        <v>712.3142407120356</v>
      </c>
      <c r="Z26" s="3">
        <v>5698229</v>
      </c>
      <c r="AA26" s="6">
        <v>7999.6</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738.90781664656197</v>
      </c>
      <c r="AO26" s="3">
        <f t="shared" si="13"/>
        <v>61255458</v>
      </c>
      <c r="AP26" s="6">
        <f t="shared" si="14"/>
        <v>82900.000000000015</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37</v>
      </c>
      <c r="B27" s="15"/>
      <c r="C27" s="15"/>
      <c r="D27" s="3" t="e">
        <f t="shared" si="15"/>
        <v>#DIV/0!</v>
      </c>
      <c r="E27" s="3">
        <v>0</v>
      </c>
      <c r="F27" s="6">
        <v>0</v>
      </c>
      <c r="G27" s="3" t="e">
        <f t="shared" si="16"/>
        <v>#DIV/0!</v>
      </c>
      <c r="H27" s="3">
        <v>0</v>
      </c>
      <c r="I27" s="6">
        <v>0</v>
      </c>
      <c r="J27" s="3">
        <f t="shared" si="17"/>
        <v>774.98272570233655</v>
      </c>
      <c r="K27" s="3">
        <v>1704807</v>
      </c>
      <c r="L27" s="6">
        <v>2199.8000000000002</v>
      </c>
      <c r="M27" s="3">
        <f t="shared" si="18"/>
        <v>738.37286265857699</v>
      </c>
      <c r="N27" s="3">
        <v>1338670</v>
      </c>
      <c r="O27" s="6">
        <v>1813</v>
      </c>
      <c r="P27" s="3">
        <f t="shared" si="19"/>
        <v>678.48356044505567</v>
      </c>
      <c r="Q27" s="3">
        <v>542719</v>
      </c>
      <c r="R27" s="6">
        <v>799.9</v>
      </c>
      <c r="S27" s="3" t="e">
        <f t="shared" si="20"/>
        <v>#DIV/0!</v>
      </c>
      <c r="T27" s="3">
        <v>0</v>
      </c>
      <c r="U27" s="6">
        <v>0</v>
      </c>
      <c r="V27" s="3">
        <f t="shared" si="21"/>
        <v>666.01686035435318</v>
      </c>
      <c r="W27" s="3">
        <v>1398369</v>
      </c>
      <c r="X27" s="6">
        <v>2099.6</v>
      </c>
      <c r="Y27" s="3" t="e">
        <f t="shared" si="22"/>
        <v>#DIV/0!</v>
      </c>
      <c r="Z27" s="3">
        <v>0</v>
      </c>
      <c r="AA27" s="6">
        <v>0</v>
      </c>
      <c r="AB27" s="3" t="e">
        <f t="shared" si="23"/>
        <v>#DIV/0!</v>
      </c>
      <c r="AC27" s="3">
        <v>0</v>
      </c>
      <c r="AD27" s="6">
        <v>0</v>
      </c>
      <c r="AE27" s="3">
        <f t="shared" si="24"/>
        <v>793.07003517748649</v>
      </c>
      <c r="AF27" s="3">
        <v>1983944</v>
      </c>
      <c r="AG27" s="6">
        <v>2501.6</v>
      </c>
      <c r="AH27" s="3" t="e">
        <f t="shared" si="25"/>
        <v>#DIV/0!</v>
      </c>
      <c r="AI27" s="3">
        <v>0</v>
      </c>
      <c r="AJ27" s="6">
        <v>0</v>
      </c>
      <c r="AK27" s="3" t="e">
        <f t="shared" si="26"/>
        <v>#DIV/0!</v>
      </c>
      <c r="AL27" s="3">
        <v>0</v>
      </c>
      <c r="AM27" s="6">
        <v>0</v>
      </c>
      <c r="AN27" s="3">
        <f t="shared" si="12"/>
        <v>740.23614017569764</v>
      </c>
      <c r="AO27" s="3">
        <f t="shared" si="13"/>
        <v>6968509</v>
      </c>
      <c r="AP27" s="6">
        <f t="shared" si="14"/>
        <v>9413.9</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38</v>
      </c>
      <c r="B28" s="15"/>
      <c r="C28" s="15"/>
      <c r="D28" s="3" t="e">
        <f t="shared" si="15"/>
        <v>#DIV/0!</v>
      </c>
      <c r="E28" s="3">
        <v>0</v>
      </c>
      <c r="F28" s="6">
        <v>0</v>
      </c>
      <c r="G28" s="3">
        <f t="shared" si="16"/>
        <v>765.00100398182974</v>
      </c>
      <c r="H28" s="3">
        <v>20192125</v>
      </c>
      <c r="I28" s="6">
        <v>26394.9</v>
      </c>
      <c r="J28" s="3" t="e">
        <f t="shared" si="17"/>
        <v>#DIV/0!</v>
      </c>
      <c r="K28" s="3">
        <v>0</v>
      </c>
      <c r="L28" s="6">
        <v>0</v>
      </c>
      <c r="M28" s="3" t="e">
        <f t="shared" si="18"/>
        <v>#DIV/0!</v>
      </c>
      <c r="N28" s="3">
        <v>0</v>
      </c>
      <c r="O28" s="6">
        <v>0</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t="e">
        <f t="shared" si="25"/>
        <v>#DIV/0!</v>
      </c>
      <c r="AI28" s="3">
        <v>0</v>
      </c>
      <c r="AJ28" s="6">
        <v>0</v>
      </c>
      <c r="AK28" s="3" t="e">
        <f t="shared" si="26"/>
        <v>#DIV/0!</v>
      </c>
      <c r="AL28" s="3">
        <v>0</v>
      </c>
      <c r="AM28" s="6">
        <v>0</v>
      </c>
      <c r="AN28" s="3">
        <f t="shared" si="12"/>
        <v>765.00100398182974</v>
      </c>
      <c r="AO28" s="3">
        <f t="shared" si="13"/>
        <v>20192125</v>
      </c>
      <c r="AP28" s="6">
        <f t="shared" si="14"/>
        <v>26394.9</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39</v>
      </c>
      <c r="B29" s="15"/>
      <c r="C29" s="15"/>
      <c r="D29" s="3" t="e">
        <f t="shared" si="15"/>
        <v>#DIV/0!</v>
      </c>
      <c r="E29" s="3">
        <v>0</v>
      </c>
      <c r="F29" s="6">
        <v>0</v>
      </c>
      <c r="G29" s="3">
        <f t="shared" si="16"/>
        <v>1129.7368421052631</v>
      </c>
      <c r="H29" s="3">
        <v>17172</v>
      </c>
      <c r="I29" s="6">
        <v>15.2</v>
      </c>
      <c r="J29" s="3" t="e">
        <f t="shared" si="17"/>
        <v>#DIV/0!</v>
      </c>
      <c r="K29" s="3">
        <v>0</v>
      </c>
      <c r="L29" s="6">
        <v>0</v>
      </c>
      <c r="M29" s="3" t="e">
        <f t="shared" si="18"/>
        <v>#DIV/0!</v>
      </c>
      <c r="N29" s="3">
        <v>0</v>
      </c>
      <c r="O29" s="6">
        <v>0</v>
      </c>
      <c r="P29" s="3" t="e">
        <f t="shared" si="19"/>
        <v>#DIV/0!</v>
      </c>
      <c r="Q29" s="3">
        <v>0</v>
      </c>
      <c r="R29" s="6">
        <v>0</v>
      </c>
      <c r="S29" s="3" t="e">
        <f t="shared" si="20"/>
        <v>#DIV/0!</v>
      </c>
      <c r="T29" s="3">
        <v>0</v>
      </c>
      <c r="U29" s="6">
        <v>0</v>
      </c>
      <c r="V29" s="3" t="e">
        <f t="shared" si="21"/>
        <v>#DIV/0!</v>
      </c>
      <c r="W29" s="3">
        <v>0</v>
      </c>
      <c r="X29" s="6">
        <v>0</v>
      </c>
      <c r="Y29" s="3" t="e">
        <f t="shared" si="22"/>
        <v>#DIV/0!</v>
      </c>
      <c r="Z29" s="3">
        <v>0</v>
      </c>
      <c r="AA29" s="6">
        <v>0</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1129.7368421052631</v>
      </c>
      <c r="AO29" s="3">
        <f t="shared" si="13"/>
        <v>17172</v>
      </c>
      <c r="AP29" s="6">
        <f t="shared" si="14"/>
        <v>15.2</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20</v>
      </c>
      <c r="B30" s="15"/>
      <c r="C30" s="15"/>
      <c r="D30" s="3" t="e">
        <f t="shared" si="15"/>
        <v>#DIV/0!</v>
      </c>
      <c r="E30" s="3">
        <v>0</v>
      </c>
      <c r="F30" s="6">
        <v>0</v>
      </c>
      <c r="G30" s="3" t="e">
        <f t="shared" si="16"/>
        <v>#DIV/0!</v>
      </c>
      <c r="H30" s="3">
        <v>0</v>
      </c>
      <c r="I30" s="6">
        <v>0</v>
      </c>
      <c r="J30" s="3" t="e">
        <f t="shared" si="17"/>
        <v>#DIV/0!</v>
      </c>
      <c r="K30" s="3">
        <v>0</v>
      </c>
      <c r="L30" s="6">
        <v>0</v>
      </c>
      <c r="M30" s="3" t="e">
        <f t="shared" si="18"/>
        <v>#DIV/0!</v>
      </c>
      <c r="N30" s="3">
        <v>0</v>
      </c>
      <c r="O30" s="6">
        <v>0</v>
      </c>
      <c r="P30" s="3" t="e">
        <f t="shared" si="19"/>
        <v>#DIV/0!</v>
      </c>
      <c r="Q30" s="3">
        <v>0</v>
      </c>
      <c r="R30" s="6">
        <v>0</v>
      </c>
      <c r="S30" s="3" t="e">
        <f t="shared" si="20"/>
        <v>#DIV/0!</v>
      </c>
      <c r="T30" s="3">
        <v>0</v>
      </c>
      <c r="U30" s="6">
        <v>0</v>
      </c>
      <c r="V30" s="3" t="e">
        <f t="shared" si="21"/>
        <v>#DIV/0!</v>
      </c>
      <c r="W30" s="3">
        <v>0</v>
      </c>
      <c r="X30" s="6">
        <v>0</v>
      </c>
      <c r="Y30" s="3" t="e">
        <f t="shared" si="22"/>
        <v>#DIV/0!</v>
      </c>
      <c r="Z30" s="3">
        <v>0</v>
      </c>
      <c r="AA30" s="6">
        <v>0</v>
      </c>
      <c r="AB30" s="3" t="e">
        <f t="shared" si="23"/>
        <v>#DIV/0!</v>
      </c>
      <c r="AC30" s="3">
        <v>0</v>
      </c>
      <c r="AD30" s="6">
        <v>0</v>
      </c>
      <c r="AE30" s="3">
        <f t="shared" si="24"/>
        <v>1109.8689956331878</v>
      </c>
      <c r="AF30" s="3">
        <v>25416</v>
      </c>
      <c r="AG30" s="6">
        <v>22.9</v>
      </c>
      <c r="AH30" s="3" t="e">
        <f t="shared" si="25"/>
        <v>#DIV/0!</v>
      </c>
      <c r="AI30" s="3">
        <v>0</v>
      </c>
      <c r="AJ30" s="6">
        <v>0</v>
      </c>
      <c r="AK30" s="3" t="e">
        <f t="shared" si="26"/>
        <v>#DIV/0!</v>
      </c>
      <c r="AL30" s="3">
        <v>0</v>
      </c>
      <c r="AM30" s="6">
        <v>0</v>
      </c>
      <c r="AN30" s="3">
        <f t="shared" si="12"/>
        <v>1109.8689956331878</v>
      </c>
      <c r="AO30" s="3">
        <f t="shared" si="13"/>
        <v>25416</v>
      </c>
      <c r="AP30" s="6">
        <f t="shared" si="14"/>
        <v>22.9</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58</v>
      </c>
      <c r="B31" s="15"/>
      <c r="C31" s="15"/>
      <c r="D31" s="3" t="e">
        <f t="shared" si="15"/>
        <v>#DIV/0!</v>
      </c>
      <c r="E31" s="3">
        <v>0</v>
      </c>
      <c r="F31" s="6">
        <v>0</v>
      </c>
      <c r="G31" s="3" t="e">
        <f t="shared" si="16"/>
        <v>#DIV/0!</v>
      </c>
      <c r="H31" s="3">
        <v>0</v>
      </c>
      <c r="I31" s="6">
        <v>0</v>
      </c>
      <c r="J31" s="3" t="e">
        <f t="shared" si="17"/>
        <v>#DIV/0!</v>
      </c>
      <c r="K31" s="3">
        <v>0</v>
      </c>
      <c r="L31" s="6">
        <v>0</v>
      </c>
      <c r="M31" s="3" t="e">
        <f t="shared" si="18"/>
        <v>#DIV/0!</v>
      </c>
      <c r="N31" s="3">
        <v>0</v>
      </c>
      <c r="O31" s="6">
        <v>0</v>
      </c>
      <c r="P31" s="3" t="e">
        <f t="shared" si="19"/>
        <v>#DIV/0!</v>
      </c>
      <c r="Q31" s="3">
        <v>0</v>
      </c>
      <c r="R31" s="6">
        <v>0</v>
      </c>
      <c r="S31" s="3" t="e">
        <f t="shared" si="20"/>
        <v>#DIV/0!</v>
      </c>
      <c r="T31" s="3">
        <v>0</v>
      </c>
      <c r="U31" s="6">
        <v>0</v>
      </c>
      <c r="V31" s="3">
        <f t="shared" si="21"/>
        <v>1166.7368421052631</v>
      </c>
      <c r="W31" s="3">
        <v>22168</v>
      </c>
      <c r="X31" s="6">
        <v>19</v>
      </c>
      <c r="Y31" s="3" t="e">
        <f t="shared" si="22"/>
        <v>#DIV/0!</v>
      </c>
      <c r="Z31" s="3">
        <v>0</v>
      </c>
      <c r="AA31" s="6">
        <v>0</v>
      </c>
      <c r="AB31" s="3" t="e">
        <f t="shared" si="23"/>
        <v>#DIV/0!</v>
      </c>
      <c r="AC31" s="3">
        <v>0</v>
      </c>
      <c r="AD31" s="6">
        <v>0</v>
      </c>
      <c r="AE31" s="3" t="e">
        <f t="shared" si="24"/>
        <v>#DIV/0!</v>
      </c>
      <c r="AF31" s="3">
        <v>0</v>
      </c>
      <c r="AG31" s="6">
        <v>0</v>
      </c>
      <c r="AH31" s="3" t="e">
        <f t="shared" si="25"/>
        <v>#DIV/0!</v>
      </c>
      <c r="AI31" s="3">
        <v>0</v>
      </c>
      <c r="AJ31" s="6">
        <v>0</v>
      </c>
      <c r="AK31" s="3" t="e">
        <f t="shared" si="26"/>
        <v>#DIV/0!</v>
      </c>
      <c r="AL31" s="3">
        <v>0</v>
      </c>
      <c r="AM31" s="6">
        <v>0</v>
      </c>
      <c r="AN31" s="3">
        <f t="shared" si="12"/>
        <v>1166.7368421052631</v>
      </c>
      <c r="AO31" s="3">
        <f t="shared" si="13"/>
        <v>22168</v>
      </c>
      <c r="AP31" s="6">
        <f t="shared" si="14"/>
        <v>19</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40</v>
      </c>
      <c r="B32" s="15"/>
      <c r="C32" s="15"/>
      <c r="D32" s="3">
        <f t="shared" si="15"/>
        <v>1127.9166666666667</v>
      </c>
      <c r="E32" s="3">
        <v>2707</v>
      </c>
      <c r="F32" s="6">
        <v>2.4</v>
      </c>
      <c r="G32" s="3">
        <f t="shared" si="16"/>
        <v>1166.2222222222222</v>
      </c>
      <c r="H32" s="3">
        <v>5248</v>
      </c>
      <c r="I32" s="6">
        <v>4.5</v>
      </c>
      <c r="J32" s="3" t="e">
        <f t="shared" si="17"/>
        <v>#DIV/0!</v>
      </c>
      <c r="K32" s="3">
        <v>0</v>
      </c>
      <c r="L32" s="6">
        <v>0</v>
      </c>
      <c r="M32" s="3" t="e">
        <f t="shared" si="18"/>
        <v>#DIV/0!</v>
      </c>
      <c r="N32" s="3">
        <v>0</v>
      </c>
      <c r="O32" s="6">
        <v>0</v>
      </c>
      <c r="P32" s="3" t="e">
        <f t="shared" si="19"/>
        <v>#DIV/0!</v>
      </c>
      <c r="Q32" s="3">
        <v>0</v>
      </c>
      <c r="R32" s="6">
        <v>0</v>
      </c>
      <c r="S32" s="3" t="e">
        <f t="shared" si="20"/>
        <v>#DIV/0!</v>
      </c>
      <c r="T32" s="3">
        <v>0</v>
      </c>
      <c r="U32" s="6">
        <v>0</v>
      </c>
      <c r="V32" s="3" t="e">
        <f t="shared" si="21"/>
        <v>#DIV/0!</v>
      </c>
      <c r="W32" s="3">
        <v>0</v>
      </c>
      <c r="X32" s="6">
        <v>0</v>
      </c>
      <c r="Y32" s="3" t="e">
        <f t="shared" si="22"/>
        <v>#DIV/0!</v>
      </c>
      <c r="Z32" s="3">
        <v>0</v>
      </c>
      <c r="AA32" s="6">
        <v>0</v>
      </c>
      <c r="AB32" s="3" t="e">
        <f t="shared" si="23"/>
        <v>#DIV/0!</v>
      </c>
      <c r="AC32" s="3">
        <v>0</v>
      </c>
      <c r="AD32" s="6">
        <v>0</v>
      </c>
      <c r="AE32" s="3" t="e">
        <f t="shared" si="24"/>
        <v>#DIV/0!</v>
      </c>
      <c r="AF32" s="3">
        <v>0</v>
      </c>
      <c r="AG32" s="6">
        <v>0</v>
      </c>
      <c r="AH32" s="3" t="e">
        <f t="shared" si="25"/>
        <v>#DIV/0!</v>
      </c>
      <c r="AI32" s="3">
        <v>0</v>
      </c>
      <c r="AJ32" s="6">
        <v>0</v>
      </c>
      <c r="AK32" s="3" t="e">
        <f t="shared" si="26"/>
        <v>#DIV/0!</v>
      </c>
      <c r="AL32" s="3">
        <v>0</v>
      </c>
      <c r="AM32" s="6">
        <v>0</v>
      </c>
      <c r="AN32" s="3">
        <f t="shared" si="12"/>
        <v>1152.8985507246375</v>
      </c>
      <c r="AO32" s="3">
        <f t="shared" si="13"/>
        <v>7955</v>
      </c>
      <c r="AP32" s="6">
        <f t="shared" si="14"/>
        <v>6.9</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59</v>
      </c>
      <c r="B33" s="15"/>
      <c r="C33" s="15"/>
      <c r="D33" s="3" t="e">
        <f t="shared" si="15"/>
        <v>#DIV/0!</v>
      </c>
      <c r="E33" s="3">
        <v>0</v>
      </c>
      <c r="F33" s="6">
        <v>0</v>
      </c>
      <c r="G33" s="3" t="e">
        <f t="shared" si="16"/>
        <v>#DIV/0!</v>
      </c>
      <c r="H33" s="3">
        <v>0</v>
      </c>
      <c r="I33" s="6">
        <v>0</v>
      </c>
      <c r="J33" s="3" t="e">
        <f t="shared" si="17"/>
        <v>#DIV/0!</v>
      </c>
      <c r="K33" s="3">
        <v>0</v>
      </c>
      <c r="L33" s="6">
        <v>0</v>
      </c>
      <c r="M33" s="3" t="e">
        <f t="shared" si="18"/>
        <v>#DIV/0!</v>
      </c>
      <c r="N33" s="3">
        <v>0</v>
      </c>
      <c r="O33" s="6">
        <v>0</v>
      </c>
      <c r="P33" s="3">
        <f t="shared" si="19"/>
        <v>583.4243248352991</v>
      </c>
      <c r="Q33" s="3">
        <v>4011684</v>
      </c>
      <c r="R33" s="6">
        <v>6876.1</v>
      </c>
      <c r="S33" s="3" t="e">
        <f t="shared" si="20"/>
        <v>#DIV/0!</v>
      </c>
      <c r="T33" s="3">
        <v>0</v>
      </c>
      <c r="U33" s="6">
        <v>0</v>
      </c>
      <c r="V33" s="3" t="e">
        <f t="shared" si="21"/>
        <v>#DIV/0!</v>
      </c>
      <c r="W33" s="3">
        <v>0</v>
      </c>
      <c r="X33" s="6">
        <v>0</v>
      </c>
      <c r="Y33" s="3" t="e">
        <f t="shared" si="22"/>
        <v>#DIV/0!</v>
      </c>
      <c r="Z33" s="3">
        <v>0</v>
      </c>
      <c r="AA33" s="6">
        <v>0</v>
      </c>
      <c r="AB33" s="3" t="e">
        <f t="shared" si="23"/>
        <v>#DIV/0!</v>
      </c>
      <c r="AC33" s="3">
        <v>0</v>
      </c>
      <c r="AD33" s="6">
        <v>0</v>
      </c>
      <c r="AE33" s="3" t="e">
        <f t="shared" si="24"/>
        <v>#DIV/0!</v>
      </c>
      <c r="AF33" s="3">
        <v>0</v>
      </c>
      <c r="AG33" s="6">
        <v>0</v>
      </c>
      <c r="AH33" s="3" t="e">
        <f t="shared" si="25"/>
        <v>#DIV/0!</v>
      </c>
      <c r="AI33" s="3">
        <v>0</v>
      </c>
      <c r="AJ33" s="6">
        <v>0</v>
      </c>
      <c r="AK33" s="3" t="e">
        <f t="shared" si="26"/>
        <v>#DIV/0!</v>
      </c>
      <c r="AL33" s="3">
        <v>0</v>
      </c>
      <c r="AM33" s="6">
        <v>0</v>
      </c>
      <c r="AN33" s="3">
        <f t="shared" si="12"/>
        <v>583.4243248352991</v>
      </c>
      <c r="AO33" s="3">
        <f t="shared" si="13"/>
        <v>4011684</v>
      </c>
      <c r="AP33" s="6">
        <f t="shared" si="14"/>
        <v>6876.1</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43</v>
      </c>
      <c r="B34" s="15"/>
      <c r="C34" s="15"/>
      <c r="D34" s="3" t="e">
        <f t="shared" si="15"/>
        <v>#DIV/0!</v>
      </c>
      <c r="E34" s="3">
        <v>0</v>
      </c>
      <c r="F34" s="6">
        <v>0</v>
      </c>
      <c r="G34" s="3" t="e">
        <f t="shared" si="16"/>
        <v>#DIV/0!</v>
      </c>
      <c r="H34" s="3">
        <v>0</v>
      </c>
      <c r="I34" s="6">
        <v>0</v>
      </c>
      <c r="J34" s="3" t="e">
        <f t="shared" si="17"/>
        <v>#DIV/0!</v>
      </c>
      <c r="K34" s="3">
        <v>0</v>
      </c>
      <c r="L34" s="6">
        <v>0</v>
      </c>
      <c r="M34" s="3" t="e">
        <f t="shared" si="18"/>
        <v>#DIV/0!</v>
      </c>
      <c r="N34" s="3">
        <v>0</v>
      </c>
      <c r="O34" s="6">
        <v>0</v>
      </c>
      <c r="P34" s="3" t="e">
        <f t="shared" si="19"/>
        <v>#DIV/0!</v>
      </c>
      <c r="Q34" s="3">
        <v>0</v>
      </c>
      <c r="R34" s="6">
        <v>0</v>
      </c>
      <c r="S34" s="3" t="e">
        <f t="shared" si="20"/>
        <v>#DIV/0!</v>
      </c>
      <c r="T34" s="3">
        <v>0</v>
      </c>
      <c r="U34" s="6">
        <v>0</v>
      </c>
      <c r="V34" s="3" t="e">
        <f t="shared" si="21"/>
        <v>#DIV/0!</v>
      </c>
      <c r="W34" s="3">
        <v>0</v>
      </c>
      <c r="X34" s="6">
        <v>0</v>
      </c>
      <c r="Y34" s="3" t="e">
        <f t="shared" si="22"/>
        <v>#DIV/0!</v>
      </c>
      <c r="Z34" s="3">
        <v>0</v>
      </c>
      <c r="AA34" s="6">
        <v>0</v>
      </c>
      <c r="AB34" s="3">
        <f t="shared" si="23"/>
        <v>3847.826086956522</v>
      </c>
      <c r="AC34" s="3">
        <v>8850</v>
      </c>
      <c r="AD34" s="6">
        <v>2.2999999999999998</v>
      </c>
      <c r="AE34" s="3" t="e">
        <f t="shared" si="24"/>
        <v>#DIV/0!</v>
      </c>
      <c r="AF34" s="3">
        <v>0</v>
      </c>
      <c r="AG34" s="6">
        <v>0</v>
      </c>
      <c r="AH34" s="3" t="e">
        <f t="shared" si="25"/>
        <v>#DIV/0!</v>
      </c>
      <c r="AI34" s="3">
        <v>0</v>
      </c>
      <c r="AJ34" s="6">
        <v>0</v>
      </c>
      <c r="AK34" s="3" t="e">
        <f t="shared" si="26"/>
        <v>#DIV/0!</v>
      </c>
      <c r="AL34" s="3">
        <v>0</v>
      </c>
      <c r="AM34" s="6">
        <v>0</v>
      </c>
      <c r="AN34" s="3">
        <f t="shared" si="12"/>
        <v>3847.826086956522</v>
      </c>
      <c r="AO34" s="3">
        <f t="shared" si="13"/>
        <v>8850</v>
      </c>
      <c r="AP34" s="6">
        <f t="shared" si="14"/>
        <v>2.2999999999999998</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0" t="s">
        <v>21</v>
      </c>
      <c r="B35" s="16"/>
      <c r="C35" s="16"/>
      <c r="D35" s="7" t="e">
        <f t="shared" si="15"/>
        <v>#DIV/0!</v>
      </c>
      <c r="E35" s="8">
        <v>0</v>
      </c>
      <c r="F35" s="9">
        <v>0</v>
      </c>
      <c r="G35" s="7" t="e">
        <f t="shared" si="16"/>
        <v>#DIV/0!</v>
      </c>
      <c r="H35" s="8">
        <v>0</v>
      </c>
      <c r="I35" s="9">
        <v>0</v>
      </c>
      <c r="J35" s="8" t="e">
        <f t="shared" si="17"/>
        <v>#DIV/0!</v>
      </c>
      <c r="K35" s="8">
        <v>0</v>
      </c>
      <c r="L35" s="9">
        <v>0</v>
      </c>
      <c r="M35" s="8">
        <f t="shared" si="18"/>
        <v>873.97371998187589</v>
      </c>
      <c r="N35" s="8">
        <v>192886</v>
      </c>
      <c r="O35" s="9">
        <v>220.7</v>
      </c>
      <c r="P35" s="8" t="e">
        <f t="shared" si="19"/>
        <v>#DIV/0!</v>
      </c>
      <c r="Q35" s="8">
        <v>0</v>
      </c>
      <c r="R35" s="9">
        <v>0</v>
      </c>
      <c r="S35" s="8">
        <f t="shared" si="20"/>
        <v>930.00479156684241</v>
      </c>
      <c r="T35" s="8">
        <v>194092</v>
      </c>
      <c r="U35" s="9">
        <v>208.7</v>
      </c>
      <c r="V35" s="8" t="e">
        <f t="shared" si="21"/>
        <v>#DIV/0!</v>
      </c>
      <c r="W35" s="8">
        <v>0</v>
      </c>
      <c r="X35" s="9">
        <v>0</v>
      </c>
      <c r="Y35" s="8" t="e">
        <f t="shared" si="22"/>
        <v>#DIV/0!</v>
      </c>
      <c r="Z35" s="8">
        <v>0</v>
      </c>
      <c r="AA35" s="9">
        <v>0</v>
      </c>
      <c r="AB35" s="8" t="e">
        <f t="shared" si="23"/>
        <v>#DIV/0!</v>
      </c>
      <c r="AC35" s="8">
        <v>0</v>
      </c>
      <c r="AD35" s="9">
        <v>0</v>
      </c>
      <c r="AE35" s="8" t="e">
        <f t="shared" si="24"/>
        <v>#DIV/0!</v>
      </c>
      <c r="AF35" s="8">
        <v>0</v>
      </c>
      <c r="AG35" s="9">
        <v>0</v>
      </c>
      <c r="AH35" s="8" t="e">
        <f t="shared" si="25"/>
        <v>#DIV/0!</v>
      </c>
      <c r="AI35" s="8">
        <v>0</v>
      </c>
      <c r="AJ35" s="9">
        <v>0</v>
      </c>
      <c r="AK35" s="8" t="e">
        <f t="shared" si="26"/>
        <v>#DIV/0!</v>
      </c>
      <c r="AL35" s="8">
        <v>0</v>
      </c>
      <c r="AM35" s="9">
        <v>0</v>
      </c>
      <c r="AN35" s="8">
        <f t="shared" si="12"/>
        <v>901.20633442012115</v>
      </c>
      <c r="AO35" s="8">
        <f t="shared" si="13"/>
        <v>386978</v>
      </c>
      <c r="AP35" s="9">
        <f t="shared" si="14"/>
        <v>429.4</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 t="s">
        <v>44</v>
      </c>
    </row>
    <row r="37" spans="1:66" x14ac:dyDescent="0.3">
      <c r="A37" s="1" t="s">
        <v>47</v>
      </c>
    </row>
    <row r="38" spans="1:66" x14ac:dyDescent="0.3">
      <c r="A38" s="1" t="s">
        <v>45</v>
      </c>
    </row>
    <row r="39" spans="1:66" x14ac:dyDescent="0.3">
      <c r="A39" s="1" t="s">
        <v>46</v>
      </c>
    </row>
    <row r="40" spans="1:66" x14ac:dyDescent="0.3">
      <c r="A40" s="1" t="s">
        <v>52</v>
      </c>
    </row>
    <row r="41" spans="1:66" x14ac:dyDescent="0.3">
      <c r="A41" s="1" t="s">
        <v>53</v>
      </c>
    </row>
  </sheetData>
  <mergeCells count="15">
    <mergeCell ref="B3:B35"/>
    <mergeCell ref="C3:C35"/>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2026-06-16T01:49:03Z</dcterms:modified>
</cp:coreProperties>
</file>