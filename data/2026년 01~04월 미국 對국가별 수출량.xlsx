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100000\"/>
    </mc:Choice>
  </mc:AlternateContent>
  <bookViews>
    <workbookView xWindow="0" yWindow="0" windowWidth="25125" windowHeight="11640"/>
  </bookViews>
  <sheets>
    <sheet name="2026년" sheetId="1" r:id="rId1"/>
  </sheets>
  <calcPr calcId="162913"/>
</workbook>
</file>

<file path=xl/calcChain.xml><?xml version="1.0" encoding="utf-8"?>
<calcChain xmlns="http://schemas.openxmlformats.org/spreadsheetml/2006/main">
  <c r="AM3" i="1" l="1"/>
  <c r="AL3" i="1"/>
  <c r="AK3" i="1"/>
  <c r="AJ3" i="1"/>
  <c r="AI3" i="1"/>
  <c r="AH3" i="1" s="1"/>
  <c r="AG3" i="1"/>
  <c r="AF3" i="1"/>
  <c r="AE3" i="1"/>
  <c r="AD3" i="1"/>
  <c r="AC3" i="1"/>
  <c r="AB3" i="1"/>
  <c r="AA3" i="1"/>
  <c r="Z3" i="1"/>
  <c r="X3" i="1"/>
  <c r="W3" i="1"/>
  <c r="V3" i="1"/>
  <c r="U3" i="1"/>
  <c r="T3" i="1"/>
  <c r="S3" i="1"/>
  <c r="R3" i="1"/>
  <c r="Q3" i="1"/>
  <c r="O3" i="1"/>
  <c r="N3" i="1"/>
  <c r="M3" i="1"/>
  <c r="L3" i="1"/>
  <c r="K3" i="1"/>
  <c r="J3" i="1"/>
  <c r="I3" i="1"/>
  <c r="H3" i="1"/>
  <c r="F3" i="1"/>
  <c r="E3" i="1"/>
  <c r="D3" i="1" s="1"/>
  <c r="AO21" i="1"/>
  <c r="AN21" i="1" s="1"/>
  <c r="AO20" i="1"/>
  <c r="AO19" i="1"/>
  <c r="AO18" i="1"/>
  <c r="AO17" i="1"/>
  <c r="AO16" i="1"/>
  <c r="AO15" i="1"/>
  <c r="AO14" i="1"/>
  <c r="AO13" i="1"/>
  <c r="AN13" i="1" s="1"/>
  <c r="AO12" i="1"/>
  <c r="AO11" i="1"/>
  <c r="AO10" i="1"/>
  <c r="AO9" i="1"/>
  <c r="AO8" i="1"/>
  <c r="AO7" i="1"/>
  <c r="AO6" i="1"/>
  <c r="AO5" i="1"/>
  <c r="AO4" i="1"/>
  <c r="AK21" i="1"/>
  <c r="AK20" i="1"/>
  <c r="AK19" i="1"/>
  <c r="AK18" i="1"/>
  <c r="AK17" i="1"/>
  <c r="AK16" i="1"/>
  <c r="AK15" i="1"/>
  <c r="AK14" i="1"/>
  <c r="AK13" i="1"/>
  <c r="AK12" i="1"/>
  <c r="AK11" i="1"/>
  <c r="AK10" i="1"/>
  <c r="AK9" i="1"/>
  <c r="AK8" i="1"/>
  <c r="AK7" i="1"/>
  <c r="AK6" i="1"/>
  <c r="AK5" i="1"/>
  <c r="AK4" i="1"/>
  <c r="AH21" i="1"/>
  <c r="AH20" i="1"/>
  <c r="AH19" i="1"/>
  <c r="AH18" i="1"/>
  <c r="AH17" i="1"/>
  <c r="AH16" i="1"/>
  <c r="AH15" i="1"/>
  <c r="AH14" i="1"/>
  <c r="AH13" i="1"/>
  <c r="AH12" i="1"/>
  <c r="AH11" i="1"/>
  <c r="AH10" i="1"/>
  <c r="AH9" i="1"/>
  <c r="AH8" i="1"/>
  <c r="AH7" i="1"/>
  <c r="AH6" i="1"/>
  <c r="AH5" i="1"/>
  <c r="AH4" i="1"/>
  <c r="AE21" i="1"/>
  <c r="AE20" i="1"/>
  <c r="AE19" i="1"/>
  <c r="AE18" i="1"/>
  <c r="AE17" i="1"/>
  <c r="AE16" i="1"/>
  <c r="AE15" i="1"/>
  <c r="AE14" i="1"/>
  <c r="AE13" i="1"/>
  <c r="AE12" i="1"/>
  <c r="AE11" i="1"/>
  <c r="AE10" i="1"/>
  <c r="AE9" i="1"/>
  <c r="AE8" i="1"/>
  <c r="AE7" i="1"/>
  <c r="AE6" i="1"/>
  <c r="AE5" i="1"/>
  <c r="AE4" i="1"/>
  <c r="AB21" i="1"/>
  <c r="AB20" i="1"/>
  <c r="AB19" i="1"/>
  <c r="AB18" i="1"/>
  <c r="AB17" i="1"/>
  <c r="AB16" i="1"/>
  <c r="AB15" i="1"/>
  <c r="AB14" i="1"/>
  <c r="AB13" i="1"/>
  <c r="AB12" i="1"/>
  <c r="AB11" i="1"/>
  <c r="AB10" i="1"/>
  <c r="AB9" i="1"/>
  <c r="AB8" i="1"/>
  <c r="AB7" i="1"/>
  <c r="AB6" i="1"/>
  <c r="AB5" i="1"/>
  <c r="AB4" i="1"/>
  <c r="Y21" i="1"/>
  <c r="Y20" i="1"/>
  <c r="Y19" i="1"/>
  <c r="Y18" i="1"/>
  <c r="Y17" i="1"/>
  <c r="Y16" i="1"/>
  <c r="Y15" i="1"/>
  <c r="Y14" i="1"/>
  <c r="Y13" i="1"/>
  <c r="Y12" i="1"/>
  <c r="Y11" i="1"/>
  <c r="Y10" i="1"/>
  <c r="Y9" i="1"/>
  <c r="Y8" i="1"/>
  <c r="Y7" i="1"/>
  <c r="Y6" i="1"/>
  <c r="Y5" i="1"/>
  <c r="Y4" i="1"/>
  <c r="V21" i="1"/>
  <c r="V20" i="1"/>
  <c r="V19" i="1"/>
  <c r="V18" i="1"/>
  <c r="V17" i="1"/>
  <c r="V16" i="1"/>
  <c r="V15" i="1"/>
  <c r="V14" i="1"/>
  <c r="V13" i="1"/>
  <c r="V12" i="1"/>
  <c r="V11" i="1"/>
  <c r="V10" i="1"/>
  <c r="V9" i="1"/>
  <c r="V8" i="1"/>
  <c r="V7" i="1"/>
  <c r="V6" i="1"/>
  <c r="V5" i="1"/>
  <c r="V4" i="1"/>
  <c r="S21" i="1"/>
  <c r="S20" i="1"/>
  <c r="S19" i="1"/>
  <c r="S18" i="1"/>
  <c r="S17" i="1"/>
  <c r="S16" i="1"/>
  <c r="S15" i="1"/>
  <c r="S14" i="1"/>
  <c r="S13" i="1"/>
  <c r="S12" i="1"/>
  <c r="S11" i="1"/>
  <c r="S10" i="1"/>
  <c r="S9" i="1"/>
  <c r="S8" i="1"/>
  <c r="S7" i="1"/>
  <c r="S6" i="1"/>
  <c r="S5" i="1"/>
  <c r="S4" i="1"/>
  <c r="P21" i="1"/>
  <c r="P20" i="1"/>
  <c r="P19" i="1"/>
  <c r="P18" i="1"/>
  <c r="P17" i="1"/>
  <c r="P16" i="1"/>
  <c r="P15" i="1"/>
  <c r="P14" i="1"/>
  <c r="P13" i="1"/>
  <c r="P12" i="1"/>
  <c r="P11" i="1"/>
  <c r="P10" i="1"/>
  <c r="P9" i="1"/>
  <c r="P8" i="1"/>
  <c r="P7" i="1"/>
  <c r="P6" i="1"/>
  <c r="P5" i="1"/>
  <c r="P4" i="1"/>
  <c r="M21" i="1"/>
  <c r="M20" i="1"/>
  <c r="M19" i="1"/>
  <c r="M18" i="1"/>
  <c r="M17" i="1"/>
  <c r="M16" i="1"/>
  <c r="M15" i="1"/>
  <c r="M14" i="1"/>
  <c r="M13" i="1"/>
  <c r="M12" i="1"/>
  <c r="M11" i="1"/>
  <c r="M10" i="1"/>
  <c r="M9" i="1"/>
  <c r="M8" i="1"/>
  <c r="M7" i="1"/>
  <c r="M6" i="1"/>
  <c r="M5" i="1"/>
  <c r="M4" i="1"/>
  <c r="J21" i="1"/>
  <c r="J20" i="1"/>
  <c r="J19" i="1"/>
  <c r="J18" i="1"/>
  <c r="J17" i="1"/>
  <c r="J16" i="1"/>
  <c r="J15" i="1"/>
  <c r="J14" i="1"/>
  <c r="J13" i="1"/>
  <c r="J12" i="1"/>
  <c r="J11" i="1"/>
  <c r="J10" i="1"/>
  <c r="J9" i="1"/>
  <c r="J8" i="1"/>
  <c r="J7" i="1"/>
  <c r="J6" i="1"/>
  <c r="J5" i="1"/>
  <c r="J4" i="1"/>
  <c r="G21" i="1"/>
  <c r="G20" i="1"/>
  <c r="G19" i="1"/>
  <c r="G18" i="1"/>
  <c r="G17" i="1"/>
  <c r="G16" i="1"/>
  <c r="G15" i="1"/>
  <c r="G14" i="1"/>
  <c r="G13" i="1"/>
  <c r="G12" i="1"/>
  <c r="G11" i="1"/>
  <c r="G10" i="1"/>
  <c r="G9" i="1"/>
  <c r="G8" i="1"/>
  <c r="G7" i="1"/>
  <c r="G6" i="1"/>
  <c r="G5" i="1"/>
  <c r="G4" i="1"/>
  <c r="D21" i="1"/>
  <c r="D20" i="1"/>
  <c r="D19" i="1"/>
  <c r="D18" i="1"/>
  <c r="D17" i="1"/>
  <c r="D16" i="1"/>
  <c r="D15" i="1"/>
  <c r="D14" i="1"/>
  <c r="D13" i="1"/>
  <c r="D11" i="1"/>
  <c r="D10" i="1"/>
  <c r="D9" i="1"/>
  <c r="D8" i="1"/>
  <c r="D7" i="1"/>
  <c r="D6" i="1"/>
  <c r="D5" i="1"/>
  <c r="D4" i="1"/>
  <c r="D12" i="1"/>
  <c r="AP21" i="1"/>
  <c r="AP20" i="1"/>
  <c r="AP19" i="1"/>
  <c r="AP18" i="1"/>
  <c r="AP17" i="1"/>
  <c r="AP16" i="1"/>
  <c r="AP15" i="1"/>
  <c r="AN15" i="1" s="1"/>
  <c r="AP14" i="1"/>
  <c r="AP13" i="1"/>
  <c r="AP11" i="1"/>
  <c r="AP10" i="1"/>
  <c r="AP9" i="1"/>
  <c r="AP8" i="1"/>
  <c r="AP7" i="1"/>
  <c r="AN7" i="1" s="1"/>
  <c r="AP6" i="1"/>
  <c r="AP5" i="1"/>
  <c r="AP4" i="1"/>
  <c r="Y3" i="1" l="1"/>
  <c r="P3" i="1"/>
  <c r="G3" i="1"/>
  <c r="AN10" i="1"/>
  <c r="AN18" i="1"/>
  <c r="AN11" i="1"/>
  <c r="AO3" i="1"/>
  <c r="AN20" i="1"/>
  <c r="AN14" i="1"/>
  <c r="AN5" i="1"/>
  <c r="AN8" i="1"/>
  <c r="AN16" i="1"/>
  <c r="AN6" i="1"/>
  <c r="AN9" i="1"/>
  <c r="AN17" i="1"/>
  <c r="AN19" i="1"/>
  <c r="AN4" i="1"/>
  <c r="AP12" i="1"/>
  <c r="AP3" i="1" s="1"/>
  <c r="AN3" i="1" l="1"/>
  <c r="AN12" i="1"/>
</calcChain>
</file>

<file path=xl/sharedStrings.xml><?xml version="1.0" encoding="utf-8"?>
<sst xmlns="http://schemas.openxmlformats.org/spreadsheetml/2006/main" count="82" uniqueCount="46">
  <si>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</si>
  <si>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</si>
  <si>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</si>
  <si>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</si>
  <si>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</si>
  <si>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</si>
  <si>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</si>
  <si>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</si>
  <si>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</si>
  <si>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</si>
  <si>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</si>
  <si>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</si>
  <si>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</si>
  <si>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</si>
  <si>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</si>
  <si>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</si>
  <si>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</si>
  <si>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</si>
  <si>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Canada</t>
  </si>
  <si>
    <t>Colombia</t>
  </si>
  <si>
    <t>Dominican Republic</t>
  </si>
  <si>
    <t>Jamaica</t>
  </si>
  <si>
    <t>Mexico</t>
  </si>
  <si>
    <t>Barbados</t>
  </si>
  <si>
    <t>Bahamas, The</t>
  </si>
  <si>
    <t>Ecuador</t>
  </si>
  <si>
    <t>Guatemala</t>
  </si>
  <si>
    <t>Honduras</t>
  </si>
  <si>
    <t>Japan</t>
  </si>
  <si>
    <t>Morocco</t>
  </si>
  <si>
    <t>Spain</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</si>
  <si>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</si>
  <si>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</si>
  <si>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</si>
  <si>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</si>
  <si>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</si>
  <si>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1. Data Source: U.S. Census Bureau Trade Data</t>
    <phoneticPr fontId="18" type="noConversion"/>
  </si>
  <si>
    <t>Country</t>
    <phoneticPr fontId="18" type="noConversion"/>
  </si>
  <si>
    <t>Value</t>
    <phoneticPr fontId="18" type="noConversion"/>
  </si>
  <si>
    <t>USD</t>
    <phoneticPr fontId="18" type="noConversion"/>
  </si>
  <si>
    <t>Value</t>
    <phoneticPr fontId="18" type="noConversion"/>
  </si>
  <si>
    <t>4. The Unit Value is calculated by dividing the sum of the value by the sum of the quantity converted to the selected unit of measure to three decimal places. (9999/99.999)</t>
    <phoneticPr fontId="18" type="noConversion"/>
  </si>
  <si>
    <t>5. Product Group: Harmonized</t>
    <phoneticPr fontId="18" type="noConversion"/>
  </si>
  <si>
    <t>Belgium-Luxembourg(*)</t>
  </si>
  <si>
    <t>Chile</t>
  </si>
  <si>
    <t>Egypt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</si>
</sst>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0">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7"/>
  <sheetViews>
    <sheetView showGridLines="0" tabSelected="1" workbookViewId="0">
      <pane ySplit="2" topLeftCell="A3" activePane="bottomLeft" state="frozen"/>
      <selection pane="bottomLeft" activeCell="C30" sqref="C29:C30"/>
    </sheetView>
  </sheetViews>
  <sheetFormatPr defaultRowHeight="16.5" x14ac:dyDescent="0.3"/>
  <cols>
    <col min="2" max="2" width="16" bestFit="1" customWidth="1"/>
    <col min="3" max="3" width="16" customWidth="1"/>
    <col min="4" max="4" width="9.125" bestFit="1" customWidth="1"/>
    <col min="5" max="5" width="12.5" bestFit="1" customWidth="1"/>
    <col min="6" max="7" width="9.125" bestFit="1" customWidth="1"/>
    <col min="8" max="8" width="12.5" bestFit="1" customWidth="1"/>
    <col min="9" max="10" width="9.125" bestFit="1" customWidth="1"/>
    <col min="11" max="11" width="12.5" bestFit="1" customWidth="1"/>
    <col min="12" max="13" width="9.125" bestFit="1" customWidth="1"/>
    <col min="14" max="14" width="12.5" bestFit="1" customWidth="1"/>
    <col min="15" max="15" width="9.125" bestFit="1" customWidth="1"/>
    <col min="16" max="16" width="9.875" bestFit="1" customWidth="1"/>
    <col min="17" max="17" width="12.5" bestFit="1" customWidth="1"/>
    <col min="18" max="19" width="9.125" bestFit="1" customWidth="1"/>
    <col min="20" max="20" width="12.5" bestFit="1" customWidth="1"/>
    <col min="21" max="22" width="9.125" bestFit="1" customWidth="1"/>
    <col min="23" max="23" width="12.5" bestFit="1" customWidth="1"/>
    <col min="24" max="25" width="9.125" bestFit="1" customWidth="1"/>
    <col min="26" max="26" width="12.5" bestFit="1" customWidth="1"/>
    <col min="27" max="28" width="9.125" bestFit="1" customWidth="1"/>
    <col min="29" max="29" width="11.375" bestFit="1" customWidth="1"/>
    <col min="30" max="31" width="9.125" bestFit="1" customWidth="1"/>
    <col min="32" max="32" width="12.5" bestFit="1" customWidth="1"/>
    <col min="33" max="34" width="9.125" bestFit="1" customWidth="1"/>
    <col min="35" max="35" width="12.5" bestFit="1" customWidth="1"/>
    <col min="36" max="37" width="9.125" bestFit="1" customWidth="1"/>
    <col min="38" max="38" width="11.375" bestFit="1" customWidth="1"/>
    <col min="39" max="39" width="9.125" bestFit="1" customWidth="1"/>
    <col min="40" max="40" width="10.75" bestFit="1" customWidth="1"/>
    <col min="41" max="41" width="13.625" bestFit="1" customWidth="1"/>
    <col min="42" max="42" width="9.125" bestFit="1" customWidth="1"/>
  </cols>
  <sheetData>
    <row r="1" spans="1:66" x14ac:dyDescent="0.3">
      <c r="A1" s="1"/>
      <c r="B1" s="1"/>
      <c r="C1" s="1"/>
      <c r="D1" s="17" t="s">
        <v>0</v>
      </c>
      <c r="E1" s="18"/>
      <c r="F1" s="19"/>
      <c r="G1" s="11" t="s">
        <v>1</v>
      </c>
      <c r="H1" s="12"/>
      <c r="I1" s="13"/>
      <c r="J1" s="11" t="s">
        <v>2</v>
      </c>
      <c r="K1" s="12"/>
      <c r="L1" s="13"/>
      <c r="M1" s="11" t="s">
        <v>3</v>
      </c>
      <c r="N1" s="12"/>
      <c r="O1" s="13"/>
      <c r="P1" s="11" t="s">
        <v>4</v>
      </c>
      <c r="Q1" s="12"/>
      <c r="R1" s="13"/>
      <c r="S1" s="11" t="s">
        <v>5</v>
      </c>
      <c r="T1" s="12"/>
      <c r="U1" s="13"/>
      <c r="V1" s="11" t="s">
        <v>6</v>
      </c>
      <c r="W1" s="12"/>
      <c r="X1" s="13"/>
      <c r="Y1" s="11" t="s">
        <v>7</v>
      </c>
      <c r="Z1" s="12"/>
      <c r="AA1" s="13"/>
      <c r="AB1" s="11" t="s">
        <v>8</v>
      </c>
      <c r="AC1" s="12"/>
      <c r="AD1" s="13"/>
      <c r="AE1" s="11" t="s">
        <v>9</v>
      </c>
      <c r="AF1" s="12"/>
      <c r="AG1" s="13"/>
      <c r="AH1" s="11" t="s">
        <v>10</v>
      </c>
      <c r="AI1" s="12"/>
      <c r="AJ1" s="13"/>
      <c r="AK1" s="11" t="s">
        <v>11</v>
      </c>
      <c r="AL1" s="12"/>
      <c r="AM1" s="13"/>
      <c r="AN1" s="11" t="s">
        <v>12</v>
      </c>
      <c r="AO1" s="12"/>
      <c r="AP1" s="13"/>
    </row>
    <row r="2" spans="1:66" x14ac:dyDescent="0.3">
      <c r="A2" s="2" t="s">
        <v>37</v>
      </c>
      <c r="B2" s="2" t="s">
        <v>13</v>
      </c>
      <c r="C2" s="2" t="s">
        <v>38</v>
      </c>
      <c r="D2" s="4" t="s">
        <v>14</v>
      </c>
      <c r="E2" s="2" t="s">
        <v>38</v>
      </c>
      <c r="F2" s="5" t="s">
        <v>15</v>
      </c>
      <c r="G2" s="2" t="s">
        <v>14</v>
      </c>
      <c r="H2" s="2" t="s">
        <v>38</v>
      </c>
      <c r="I2" s="5" t="s">
        <v>15</v>
      </c>
      <c r="J2" s="2" t="s">
        <v>14</v>
      </c>
      <c r="K2" s="2" t="s">
        <v>38</v>
      </c>
      <c r="L2" s="5" t="s">
        <v>15</v>
      </c>
      <c r="M2" s="2" t="s">
        <v>14</v>
      </c>
      <c r="N2" s="2" t="s">
        <v>38</v>
      </c>
      <c r="O2" s="5" t="s">
        <v>15</v>
      </c>
      <c r="P2" s="2" t="s">
        <v>14</v>
      </c>
      <c r="Q2" s="2" t="s">
        <v>38</v>
      </c>
      <c r="R2" s="5" t="s">
        <v>15</v>
      </c>
      <c r="S2" s="2" t="s">
        <v>14</v>
      </c>
      <c r="T2" s="2" t="s">
        <v>38</v>
      </c>
      <c r="U2" s="5" t="s">
        <v>15</v>
      </c>
      <c r="V2" s="2" t="s">
        <v>14</v>
      </c>
      <c r="W2" s="2" t="s">
        <v>38</v>
      </c>
      <c r="X2" s="5" t="s">
        <v>15</v>
      </c>
      <c r="Y2" s="2" t="s">
        <v>14</v>
      </c>
      <c r="Z2" s="2" t="s">
        <v>38</v>
      </c>
      <c r="AA2" s="5" t="s">
        <v>15</v>
      </c>
      <c r="AB2" s="2" t="s">
        <v>14</v>
      </c>
      <c r="AC2" s="2" t="s">
        <v>38</v>
      </c>
      <c r="AD2" s="5" t="s">
        <v>15</v>
      </c>
      <c r="AE2" s="2" t="s">
        <v>14</v>
      </c>
      <c r="AF2" s="2" t="s">
        <v>38</v>
      </c>
      <c r="AG2" s="5" t="s">
        <v>15</v>
      </c>
      <c r="AH2" s="2" t="s">
        <v>14</v>
      </c>
      <c r="AI2" s="2" t="s">
        <v>38</v>
      </c>
      <c r="AJ2" s="5" t="s">
        <v>15</v>
      </c>
      <c r="AK2" s="2" t="s">
        <v>14</v>
      </c>
      <c r="AL2" s="2" t="s">
        <v>38</v>
      </c>
      <c r="AM2" s="5" t="s">
        <v>15</v>
      </c>
      <c r="AN2" s="2" t="s">
        <v>14</v>
      </c>
      <c r="AO2" s="2" t="s">
        <v>40</v>
      </c>
      <c r="AP2" s="5" t="s">
        <v>15</v>
      </c>
    </row>
    <row r="3" spans="1:66" ht="15" customHeight="1" x14ac:dyDescent="0.3">
      <c r="A3" s="1" t="s">
        <v>16</v>
      </c>
      <c r="B3" s="14" t="s">
        <v>17</v>
      </c>
      <c r="C3" s="14" t="s">
        <v>39</v>
      </c>
      <c r="D3" s="3">
        <f>E3/F3</f>
        <v>1111.9744833114989</v>
      </c>
      <c r="E3" s="3">
        <f>SUM(E4:E21)</f>
        <v>56869711</v>
      </c>
      <c r="F3" s="6">
        <f>SUM(F4:F21)</f>
        <v>51143.000000000007</v>
      </c>
      <c r="G3" s="3">
        <f>H3/I3</f>
        <v>1249.6471829299282</v>
      </c>
      <c r="H3" s="3">
        <f>SUM(H4:H21)</f>
        <v>68351827</v>
      </c>
      <c r="I3" s="6">
        <f>SUM(I4:I21)</f>
        <v>54696.9</v>
      </c>
      <c r="J3" s="3">
        <f>K3/L3</f>
        <v>1254.8878875523942</v>
      </c>
      <c r="K3" s="3">
        <f>SUM(K4:K21)</f>
        <v>60655508</v>
      </c>
      <c r="L3" s="6">
        <f>SUM(L4:L21)</f>
        <v>48335.4</v>
      </c>
      <c r="M3" s="3">
        <f>N3/O3</f>
        <v>1327.2165214252566</v>
      </c>
      <c r="N3" s="3">
        <f>SUM(N4:N21)</f>
        <v>10295484</v>
      </c>
      <c r="O3" s="6">
        <f>SUM(O4:O21)</f>
        <v>7757.2</v>
      </c>
      <c r="P3" s="3" t="e">
        <f>Q3/R3</f>
        <v>#DIV/0!</v>
      </c>
      <c r="Q3" s="3">
        <f>SUM(Q4:Q21)</f>
        <v>0</v>
      </c>
      <c r="R3" s="6">
        <f>SUM(R4:R21)</f>
        <v>0</v>
      </c>
      <c r="S3" s="3" t="e">
        <f>T3/U3</f>
        <v>#DIV/0!</v>
      </c>
      <c r="T3" s="3">
        <f>SUM(T4:T21)</f>
        <v>0</v>
      </c>
      <c r="U3" s="6">
        <f>SUM(U4:U21)</f>
        <v>0</v>
      </c>
      <c r="V3" s="3" t="e">
        <f>W3/X3</f>
        <v>#DIV/0!</v>
      </c>
      <c r="W3" s="3">
        <f>SUM(W4:W21)</f>
        <v>0</v>
      </c>
      <c r="X3" s="6">
        <f>SUM(X4:X21)</f>
        <v>0</v>
      </c>
      <c r="Y3" s="3" t="e">
        <f>Z3/AA3</f>
        <v>#DIV/0!</v>
      </c>
      <c r="Z3" s="3">
        <f>SUM(Z4:Z21)</f>
        <v>0</v>
      </c>
      <c r="AA3" s="6">
        <f>SUM(AA4:AA21)</f>
        <v>0</v>
      </c>
      <c r="AB3" s="3" t="e">
        <f>AC3/AD3</f>
        <v>#DIV/0!</v>
      </c>
      <c r="AC3" s="3">
        <f>SUM(AC4:AC21)</f>
        <v>0</v>
      </c>
      <c r="AD3" s="6">
        <f>SUM(AD4:AD21)</f>
        <v>0</v>
      </c>
      <c r="AE3" s="3" t="e">
        <f>AF3/AG3</f>
        <v>#DIV/0!</v>
      </c>
      <c r="AF3" s="3">
        <f>SUM(AF4:AF21)</f>
        <v>0</v>
      </c>
      <c r="AG3" s="6">
        <f>SUM(AG4:AG21)</f>
        <v>0</v>
      </c>
      <c r="AH3" s="3" t="e">
        <f>AI3/AJ3</f>
        <v>#DIV/0!</v>
      </c>
      <c r="AI3" s="3">
        <f>SUM(AI4:AI21)</f>
        <v>0</v>
      </c>
      <c r="AJ3" s="6">
        <f>SUM(AJ4:AJ21)</f>
        <v>0</v>
      </c>
      <c r="AK3" s="3" t="e">
        <f>AL3/AM3</f>
        <v>#DIV/0!</v>
      </c>
      <c r="AL3" s="3">
        <f>SUM(AL4:AL21)</f>
        <v>0</v>
      </c>
      <c r="AM3" s="6">
        <f>SUM(AM4:AM21)</f>
        <v>0</v>
      </c>
      <c r="AN3" s="3">
        <f>AO3/AP3</f>
        <v>1211.4463125067543</v>
      </c>
      <c r="AO3" s="3">
        <f>SUM(AO4:AO21)</f>
        <v>196172530</v>
      </c>
      <c r="AP3" s="6">
        <f>SUM(AP4:AP21)</f>
        <v>161932.5</v>
      </c>
      <c r="AQ3" s="3"/>
      <c r="AR3" s="3"/>
      <c r="AS3" s="3"/>
      <c r="AT3" s="3"/>
      <c r="AU3" s="3"/>
      <c r="AV3" s="3"/>
      <c r="AW3" s="3"/>
      <c r="AX3" s="3"/>
      <c r="AY3" s="3"/>
      <c r="AZ3" s="3"/>
      <c r="BA3" s="3"/>
      <c r="BB3" s="3"/>
      <c r="BC3" s="3"/>
      <c r="BD3" s="3"/>
      <c r="BE3" s="3"/>
      <c r="BF3" s="3"/>
      <c r="BG3" s="3"/>
      <c r="BH3" s="3"/>
      <c r="BI3" s="3"/>
      <c r="BJ3" s="3"/>
      <c r="BK3" s="3"/>
      <c r="BL3" s="3"/>
      <c r="BM3" s="3"/>
      <c r="BN3" s="3"/>
    </row>
    <row r="4" spans="1:66" ht="15" customHeight="1" x14ac:dyDescent="0.3">
      <c r="A4" s="1" t="s">
        <v>31</v>
      </c>
      <c r="B4" s="15"/>
      <c r="C4" s="15"/>
      <c r="D4" s="3">
        <f t="shared" ref="D4:D11" si="0">E4/F4</f>
        <v>1102.0343007915567</v>
      </c>
      <c r="E4" s="3">
        <v>18377524</v>
      </c>
      <c r="F4" s="6">
        <v>16676</v>
      </c>
      <c r="G4" s="3">
        <f t="shared" ref="G4:G11" si="1">H4/I4</f>
        <v>1226.2218541104726</v>
      </c>
      <c r="H4" s="3">
        <v>16729590</v>
      </c>
      <c r="I4" s="6">
        <v>13643.2</v>
      </c>
      <c r="J4" s="3">
        <f t="shared" ref="J4:J11" si="2">K4/L4</f>
        <v>1221.4777033100829</v>
      </c>
      <c r="K4" s="3">
        <v>21469425</v>
      </c>
      <c r="L4" s="6">
        <v>17576.599999999999</v>
      </c>
      <c r="M4" s="3">
        <f t="shared" ref="M4:M11" si="3">N4/O4</f>
        <v>1328.2751585221931</v>
      </c>
      <c r="N4" s="3">
        <v>6640446</v>
      </c>
      <c r="O4" s="6">
        <v>4999.3</v>
      </c>
      <c r="P4" s="3" t="e">
        <f t="shared" ref="P4:P11" si="4">Q4/R4</f>
        <v>#DIV/0!</v>
      </c>
      <c r="Q4" s="3"/>
      <c r="R4" s="6"/>
      <c r="S4" s="3" t="e">
        <f t="shared" ref="S4:S11" si="5">T4/U4</f>
        <v>#DIV/0!</v>
      </c>
      <c r="T4" s="3"/>
      <c r="U4" s="6"/>
      <c r="V4" s="3" t="e">
        <f t="shared" ref="V4:V11" si="6">W4/X4</f>
        <v>#DIV/0!</v>
      </c>
      <c r="W4" s="3"/>
      <c r="X4" s="6"/>
      <c r="Y4" s="3" t="e">
        <f t="shared" ref="Y4:Y11" si="7">Z4/AA4</f>
        <v>#DIV/0!</v>
      </c>
      <c r="Z4" s="3"/>
      <c r="AA4" s="6"/>
      <c r="AB4" s="3" t="e">
        <f t="shared" ref="AB4:AB11" si="8">AC4/AD4</f>
        <v>#DIV/0!</v>
      </c>
      <c r="AC4" s="3"/>
      <c r="AD4" s="6"/>
      <c r="AE4" s="3" t="e">
        <f t="shared" ref="AE4:AE11" si="9">AF4/AG4</f>
        <v>#DIV/0!</v>
      </c>
      <c r="AF4" s="3"/>
      <c r="AG4" s="6"/>
      <c r="AH4" s="3" t="e">
        <f t="shared" ref="AH4:AH11" si="10">AI4/AJ4</f>
        <v>#DIV/0!</v>
      </c>
      <c r="AI4" s="3"/>
      <c r="AJ4" s="6"/>
      <c r="AK4" s="3" t="e">
        <f t="shared" ref="AK4:AK11" si="11">AL4/AM4</f>
        <v>#DIV/0!</v>
      </c>
      <c r="AL4" s="3"/>
      <c r="AM4" s="6"/>
      <c r="AN4" s="3">
        <f t="shared" ref="AN4:AN21" si="12">AO4/AP4</f>
        <v>1195.1387746691091</v>
      </c>
      <c r="AO4" s="3">
        <f t="shared" ref="AO4:AO21" si="13">SUM(E4,H4,K4,N4,Q4,T4,W4,Z4,AC4,AF4,AI4,AL4)</f>
        <v>63216985</v>
      </c>
      <c r="AP4" s="6">
        <f t="shared" ref="AP4:AP21" si="14">SUM(F4,I4,L4,O4,R4,U4,X4,AA4,AD4,AG4,AJ4,AM4)</f>
        <v>52895.100000000006</v>
      </c>
      <c r="AQ4" s="3"/>
      <c r="AR4" s="3"/>
      <c r="AS4" s="3"/>
      <c r="AT4" s="3"/>
      <c r="AU4" s="3"/>
      <c r="AV4" s="3"/>
      <c r="AW4" s="3"/>
      <c r="AX4" s="3"/>
      <c r="AY4" s="3"/>
      <c r="AZ4" s="3"/>
      <c r="BA4" s="3"/>
      <c r="BB4" s="3"/>
      <c r="BC4" s="3"/>
      <c r="BD4" s="3"/>
      <c r="BE4" s="3"/>
      <c r="BF4" s="3"/>
      <c r="BG4" s="3"/>
      <c r="BH4" s="3"/>
      <c r="BI4" s="3"/>
      <c r="BJ4" s="3"/>
      <c r="BK4" s="3"/>
      <c r="BL4" s="3"/>
      <c r="BM4" s="3"/>
      <c r="BN4" s="3"/>
    </row>
    <row r="5" spans="1:66" ht="15" customHeight="1" x14ac:dyDescent="0.3">
      <c r="A5" s="1" t="s">
        <v>19</v>
      </c>
      <c r="B5" s="15"/>
      <c r="C5" s="15"/>
      <c r="D5" s="3">
        <f t="shared" si="0"/>
        <v>1074.74</v>
      </c>
      <c r="E5" s="3">
        <v>1074740</v>
      </c>
      <c r="F5" s="6">
        <v>1000</v>
      </c>
      <c r="G5" s="3">
        <f t="shared" si="1"/>
        <v>1294.0766550522649</v>
      </c>
      <c r="H5" s="3">
        <v>1299900</v>
      </c>
      <c r="I5" s="6">
        <v>1004.5</v>
      </c>
      <c r="J5" s="3">
        <f t="shared" si="2"/>
        <v>1270.2696771060937</v>
      </c>
      <c r="K5" s="3">
        <v>13080602</v>
      </c>
      <c r="L5" s="6">
        <v>10297.5</v>
      </c>
      <c r="M5" s="3">
        <f t="shared" si="3"/>
        <v>1328.2697191227396</v>
      </c>
      <c r="N5" s="3">
        <v>3452173</v>
      </c>
      <c r="O5" s="6">
        <v>2599</v>
      </c>
      <c r="P5" s="3" t="e">
        <f t="shared" si="4"/>
        <v>#DIV/0!</v>
      </c>
      <c r="Q5" s="3"/>
      <c r="R5" s="6"/>
      <c r="S5" s="3" t="e">
        <f t="shared" si="5"/>
        <v>#DIV/0!</v>
      </c>
      <c r="T5" s="3"/>
      <c r="U5" s="6"/>
      <c r="V5" s="3" t="e">
        <f t="shared" si="6"/>
        <v>#DIV/0!</v>
      </c>
      <c r="W5" s="3"/>
      <c r="X5" s="6"/>
      <c r="Y5" s="3" t="e">
        <f t="shared" si="7"/>
        <v>#DIV/0!</v>
      </c>
      <c r="Z5" s="3"/>
      <c r="AA5" s="6"/>
      <c r="AB5" s="3" t="e">
        <f t="shared" si="8"/>
        <v>#DIV/0!</v>
      </c>
      <c r="AC5" s="3"/>
      <c r="AD5" s="6"/>
      <c r="AE5" s="3" t="e">
        <f t="shared" si="9"/>
        <v>#DIV/0!</v>
      </c>
      <c r="AF5" s="3"/>
      <c r="AG5" s="6"/>
      <c r="AH5" s="3" t="e">
        <f t="shared" si="10"/>
        <v>#DIV/0!</v>
      </c>
      <c r="AI5" s="3"/>
      <c r="AJ5" s="6"/>
      <c r="AK5" s="3" t="e">
        <f t="shared" si="11"/>
        <v>#DIV/0!</v>
      </c>
      <c r="AL5" s="3"/>
      <c r="AM5" s="6"/>
      <c r="AN5" s="3">
        <f t="shared" si="12"/>
        <v>1268.8688678612173</v>
      </c>
      <c r="AO5" s="3">
        <f t="shared" si="13"/>
        <v>18907415</v>
      </c>
      <c r="AP5" s="6">
        <f t="shared" si="14"/>
        <v>14901</v>
      </c>
      <c r="AQ5" s="3"/>
      <c r="AR5" s="3"/>
      <c r="AS5" s="3"/>
      <c r="AT5" s="3"/>
      <c r="AU5" s="3"/>
      <c r="AV5" s="3"/>
      <c r="AW5" s="3"/>
      <c r="AX5" s="3"/>
      <c r="AY5" s="3"/>
      <c r="AZ5" s="3"/>
      <c r="BA5" s="3"/>
      <c r="BB5" s="3"/>
      <c r="BC5" s="3"/>
      <c r="BD5" s="3"/>
      <c r="BE5" s="3"/>
      <c r="BF5" s="3"/>
      <c r="BG5" s="3"/>
      <c r="BH5" s="3"/>
      <c r="BI5" s="3"/>
      <c r="BJ5" s="3"/>
      <c r="BK5" s="3"/>
      <c r="BL5" s="3"/>
      <c r="BM5" s="3"/>
      <c r="BN5" s="3"/>
    </row>
    <row r="6" spans="1:66" ht="15" customHeight="1" x14ac:dyDescent="0.3">
      <c r="A6" s="1" t="s">
        <v>18</v>
      </c>
      <c r="B6" s="15"/>
      <c r="C6" s="15"/>
      <c r="D6" s="3">
        <f t="shared" si="0"/>
        <v>1194.572564612326</v>
      </c>
      <c r="E6" s="3">
        <v>180261</v>
      </c>
      <c r="F6" s="6">
        <v>150.9</v>
      </c>
      <c r="G6" s="3">
        <f t="shared" si="1"/>
        <v>759.80099502487553</v>
      </c>
      <c r="H6" s="3">
        <v>122176</v>
      </c>
      <c r="I6" s="6">
        <v>160.80000000000001</v>
      </c>
      <c r="J6" s="3">
        <f t="shared" si="2"/>
        <v>977.34845360824738</v>
      </c>
      <c r="K6" s="3">
        <v>237007</v>
      </c>
      <c r="L6" s="6">
        <v>242.5</v>
      </c>
      <c r="M6" s="3">
        <f t="shared" si="3"/>
        <v>1726.3823529411766</v>
      </c>
      <c r="N6" s="3">
        <v>117394</v>
      </c>
      <c r="O6" s="6">
        <v>68</v>
      </c>
      <c r="P6" s="3" t="e">
        <f t="shared" si="4"/>
        <v>#DIV/0!</v>
      </c>
      <c r="Q6" s="3"/>
      <c r="R6" s="6"/>
      <c r="S6" s="3" t="e">
        <f t="shared" si="5"/>
        <v>#DIV/0!</v>
      </c>
      <c r="T6" s="3"/>
      <c r="U6" s="6"/>
      <c r="V6" s="3" t="e">
        <f t="shared" si="6"/>
        <v>#DIV/0!</v>
      </c>
      <c r="W6" s="3"/>
      <c r="X6" s="6"/>
      <c r="Y6" s="3" t="e">
        <f t="shared" si="7"/>
        <v>#DIV/0!</v>
      </c>
      <c r="Z6" s="3"/>
      <c r="AA6" s="6"/>
      <c r="AB6" s="3" t="e">
        <f t="shared" si="8"/>
        <v>#DIV/0!</v>
      </c>
      <c r="AC6" s="3"/>
      <c r="AD6" s="6"/>
      <c r="AE6" s="3" t="e">
        <f t="shared" si="9"/>
        <v>#DIV/0!</v>
      </c>
      <c r="AF6" s="3"/>
      <c r="AG6" s="6"/>
      <c r="AH6" s="3" t="e">
        <f t="shared" si="10"/>
        <v>#DIV/0!</v>
      </c>
      <c r="AI6" s="3"/>
      <c r="AJ6" s="6"/>
      <c r="AK6" s="3" t="e">
        <f t="shared" si="11"/>
        <v>#DIV/0!</v>
      </c>
      <c r="AL6" s="3"/>
      <c r="AM6" s="6"/>
      <c r="AN6" s="3">
        <f t="shared" si="12"/>
        <v>1055.6702025072323</v>
      </c>
      <c r="AO6" s="3">
        <f t="shared" si="13"/>
        <v>656838</v>
      </c>
      <c r="AP6" s="6">
        <f t="shared" si="14"/>
        <v>622.20000000000005</v>
      </c>
      <c r="AQ6" s="3"/>
      <c r="AR6" s="3"/>
      <c r="AS6" s="3"/>
      <c r="AT6" s="3"/>
      <c r="AU6" s="3"/>
      <c r="AV6" s="3"/>
      <c r="AW6" s="3"/>
      <c r="AX6" s="3"/>
      <c r="AY6" s="3"/>
      <c r="AZ6" s="3"/>
      <c r="BA6" s="3"/>
      <c r="BB6" s="3"/>
      <c r="BC6" s="3"/>
      <c r="BD6" s="3"/>
      <c r="BE6" s="3"/>
      <c r="BF6" s="3"/>
      <c r="BG6" s="3"/>
      <c r="BH6" s="3"/>
      <c r="BI6" s="3"/>
      <c r="BJ6" s="3"/>
      <c r="BK6" s="3"/>
      <c r="BL6" s="3"/>
      <c r="BM6" s="3"/>
      <c r="BN6" s="3"/>
    </row>
    <row r="7" spans="1:66" ht="15" customHeight="1" x14ac:dyDescent="0.3">
      <c r="A7" s="1" t="s">
        <v>28</v>
      </c>
      <c r="B7" s="15"/>
      <c r="C7" s="15"/>
      <c r="D7" s="3" t="e">
        <f t="shared" si="0"/>
        <v>#DIV/0!</v>
      </c>
      <c r="E7" s="3">
        <v>0</v>
      </c>
      <c r="F7" s="6">
        <v>0</v>
      </c>
      <c r="G7" s="3" t="e">
        <f t="shared" si="1"/>
        <v>#DIV/0!</v>
      </c>
      <c r="H7" s="3">
        <v>0</v>
      </c>
      <c r="I7" s="6">
        <v>0</v>
      </c>
      <c r="J7" s="3" t="e">
        <f t="shared" si="2"/>
        <v>#DIV/0!</v>
      </c>
      <c r="K7" s="3">
        <v>0</v>
      </c>
      <c r="L7" s="6">
        <v>0</v>
      </c>
      <c r="M7" s="3">
        <f t="shared" si="3"/>
        <v>833.33333333333337</v>
      </c>
      <c r="N7" s="3">
        <v>60000</v>
      </c>
      <c r="O7" s="6">
        <v>72</v>
      </c>
      <c r="P7" s="3" t="e">
        <f t="shared" si="4"/>
        <v>#DIV/0!</v>
      </c>
      <c r="Q7" s="3"/>
      <c r="R7" s="6"/>
      <c r="S7" s="3" t="e">
        <f t="shared" si="5"/>
        <v>#DIV/0!</v>
      </c>
      <c r="T7" s="3"/>
      <c r="U7" s="6"/>
      <c r="V7" s="3" t="e">
        <f t="shared" si="6"/>
        <v>#DIV/0!</v>
      </c>
      <c r="W7" s="3"/>
      <c r="X7" s="6"/>
      <c r="Y7" s="3" t="e">
        <f t="shared" si="7"/>
        <v>#DIV/0!</v>
      </c>
      <c r="Z7" s="3"/>
      <c r="AA7" s="6"/>
      <c r="AB7" s="3" t="e">
        <f t="shared" si="8"/>
        <v>#DIV/0!</v>
      </c>
      <c r="AC7" s="3"/>
      <c r="AD7" s="6"/>
      <c r="AE7" s="3" t="e">
        <f t="shared" si="9"/>
        <v>#DIV/0!</v>
      </c>
      <c r="AF7" s="3"/>
      <c r="AG7" s="6"/>
      <c r="AH7" s="3" t="e">
        <f t="shared" si="10"/>
        <v>#DIV/0!</v>
      </c>
      <c r="AI7" s="3"/>
      <c r="AJ7" s="6"/>
      <c r="AK7" s="3" t="e">
        <f t="shared" si="11"/>
        <v>#DIV/0!</v>
      </c>
      <c r="AL7" s="3"/>
      <c r="AM7" s="6"/>
      <c r="AN7" s="3">
        <f t="shared" si="12"/>
        <v>833.33333333333337</v>
      </c>
      <c r="AO7" s="3">
        <f t="shared" si="13"/>
        <v>60000</v>
      </c>
      <c r="AP7" s="6">
        <f t="shared" si="14"/>
        <v>72</v>
      </c>
      <c r="AQ7" s="3"/>
      <c r="AR7" s="3"/>
      <c r="AS7" s="3"/>
      <c r="AT7" s="3"/>
      <c r="AU7" s="3"/>
      <c r="AV7" s="3"/>
      <c r="AW7" s="3"/>
      <c r="AX7" s="3"/>
      <c r="AY7" s="3"/>
      <c r="AZ7" s="3"/>
      <c r="BA7" s="3"/>
      <c r="BB7" s="3"/>
      <c r="BC7" s="3"/>
      <c r="BD7" s="3"/>
      <c r="BE7" s="3"/>
      <c r="BF7" s="3"/>
      <c r="BG7" s="3"/>
      <c r="BH7" s="3"/>
      <c r="BI7" s="3"/>
      <c r="BJ7" s="3"/>
      <c r="BK7" s="3"/>
      <c r="BL7" s="3"/>
      <c r="BM7" s="3"/>
      <c r="BN7" s="3"/>
    </row>
    <row r="8" spans="1:66" ht="15" customHeight="1" x14ac:dyDescent="0.3">
      <c r="A8" s="1" t="s">
        <v>32</v>
      </c>
      <c r="B8" s="15"/>
      <c r="C8" s="15"/>
      <c r="D8" s="3" t="e">
        <f t="shared" si="0"/>
        <v>#DIV/0!</v>
      </c>
      <c r="E8" s="3">
        <v>0</v>
      </c>
      <c r="F8" s="6">
        <v>0</v>
      </c>
      <c r="G8" s="3">
        <f t="shared" si="1"/>
        <v>1672.7118644067796</v>
      </c>
      <c r="H8" s="3">
        <v>9869</v>
      </c>
      <c r="I8" s="6">
        <v>5.9</v>
      </c>
      <c r="J8" s="3">
        <f t="shared" si="2"/>
        <v>1013.265306122449</v>
      </c>
      <c r="K8" s="3">
        <v>14895</v>
      </c>
      <c r="L8" s="6">
        <v>14.7</v>
      </c>
      <c r="M8" s="3">
        <f t="shared" si="3"/>
        <v>1113.5928143712576</v>
      </c>
      <c r="N8" s="3">
        <v>18597</v>
      </c>
      <c r="O8" s="6">
        <v>16.7</v>
      </c>
      <c r="P8" s="3" t="e">
        <f t="shared" si="4"/>
        <v>#DIV/0!</v>
      </c>
      <c r="Q8" s="3"/>
      <c r="R8" s="6"/>
      <c r="S8" s="3" t="e">
        <f t="shared" si="5"/>
        <v>#DIV/0!</v>
      </c>
      <c r="T8" s="3"/>
      <c r="U8" s="6"/>
      <c r="V8" s="3" t="e">
        <f t="shared" si="6"/>
        <v>#DIV/0!</v>
      </c>
      <c r="W8" s="3"/>
      <c r="X8" s="6"/>
      <c r="Y8" s="3" t="e">
        <f t="shared" si="7"/>
        <v>#DIV/0!</v>
      </c>
      <c r="Z8" s="3"/>
      <c r="AA8" s="6"/>
      <c r="AB8" s="3" t="e">
        <f t="shared" si="8"/>
        <v>#DIV/0!</v>
      </c>
      <c r="AC8" s="3"/>
      <c r="AD8" s="6"/>
      <c r="AE8" s="3" t="e">
        <f t="shared" si="9"/>
        <v>#DIV/0!</v>
      </c>
      <c r="AF8" s="3"/>
      <c r="AG8" s="6"/>
      <c r="AH8" s="3" t="e">
        <f t="shared" si="10"/>
        <v>#DIV/0!</v>
      </c>
      <c r="AI8" s="3"/>
      <c r="AJ8" s="6"/>
      <c r="AK8" s="3" t="e">
        <f t="shared" si="11"/>
        <v>#DIV/0!</v>
      </c>
      <c r="AL8" s="3"/>
      <c r="AM8" s="6"/>
      <c r="AN8" s="3">
        <f t="shared" si="12"/>
        <v>1162.4932975871316</v>
      </c>
      <c r="AO8" s="3">
        <f t="shared" si="13"/>
        <v>43361</v>
      </c>
      <c r="AP8" s="6">
        <f t="shared" si="14"/>
        <v>37.299999999999997</v>
      </c>
      <c r="AQ8" s="3"/>
      <c r="AR8" s="3"/>
      <c r="AS8" s="3"/>
      <c r="AT8" s="3"/>
      <c r="AU8" s="3"/>
      <c r="AV8" s="3"/>
      <c r="AW8" s="3"/>
      <c r="AX8" s="3"/>
      <c r="AY8" s="3"/>
      <c r="AZ8" s="3"/>
      <c r="BA8" s="3"/>
      <c r="BB8" s="3"/>
      <c r="BC8" s="3"/>
      <c r="BD8" s="3"/>
      <c r="BE8" s="3"/>
      <c r="BF8" s="3"/>
      <c r="BG8" s="3"/>
      <c r="BH8" s="3"/>
      <c r="BI8" s="3"/>
      <c r="BJ8" s="3"/>
      <c r="BK8" s="3"/>
      <c r="BL8" s="3"/>
      <c r="BM8" s="3"/>
      <c r="BN8" s="3"/>
    </row>
    <row r="9" spans="1:66" ht="15" customHeight="1" x14ac:dyDescent="0.3">
      <c r="A9" s="1" t="s">
        <v>25</v>
      </c>
      <c r="B9" s="15"/>
      <c r="C9" s="15"/>
      <c r="D9" s="3">
        <f t="shared" si="0"/>
        <v>2992.6315789473688</v>
      </c>
      <c r="E9" s="3">
        <v>5686</v>
      </c>
      <c r="F9" s="6">
        <v>1.9</v>
      </c>
      <c r="G9" s="3" t="e">
        <f t="shared" si="1"/>
        <v>#DIV/0!</v>
      </c>
      <c r="H9" s="3">
        <v>0</v>
      </c>
      <c r="I9" s="6">
        <v>0</v>
      </c>
      <c r="J9" s="3" t="e">
        <f t="shared" si="2"/>
        <v>#DIV/0!</v>
      </c>
      <c r="K9" s="3">
        <v>0</v>
      </c>
      <c r="L9" s="6">
        <v>0</v>
      </c>
      <c r="M9" s="3">
        <f t="shared" si="3"/>
        <v>3124.5454545454545</v>
      </c>
      <c r="N9" s="3">
        <v>6874</v>
      </c>
      <c r="O9" s="6">
        <v>2.2000000000000002</v>
      </c>
      <c r="P9" s="3" t="e">
        <f t="shared" si="4"/>
        <v>#DIV/0!</v>
      </c>
      <c r="Q9" s="3"/>
      <c r="R9" s="6"/>
      <c r="S9" s="3" t="e">
        <f t="shared" si="5"/>
        <v>#DIV/0!</v>
      </c>
      <c r="T9" s="3"/>
      <c r="U9" s="6"/>
      <c r="V9" s="3" t="e">
        <f t="shared" si="6"/>
        <v>#DIV/0!</v>
      </c>
      <c r="W9" s="3"/>
      <c r="X9" s="6"/>
      <c r="Y9" s="3" t="e">
        <f t="shared" si="7"/>
        <v>#DIV/0!</v>
      </c>
      <c r="Z9" s="3"/>
      <c r="AA9" s="6"/>
      <c r="AB9" s="3" t="e">
        <f t="shared" si="8"/>
        <v>#DIV/0!</v>
      </c>
      <c r="AC9" s="3"/>
      <c r="AD9" s="6"/>
      <c r="AE9" s="3" t="e">
        <f t="shared" si="9"/>
        <v>#DIV/0!</v>
      </c>
      <c r="AF9" s="3"/>
      <c r="AG9" s="6"/>
      <c r="AH9" s="3" t="e">
        <f t="shared" si="10"/>
        <v>#DIV/0!</v>
      </c>
      <c r="AI9" s="3"/>
      <c r="AJ9" s="6"/>
      <c r="AK9" s="3" t="e">
        <f t="shared" si="11"/>
        <v>#DIV/0!</v>
      </c>
      <c r="AL9" s="3"/>
      <c r="AM9" s="6"/>
      <c r="AN9" s="3">
        <f t="shared" si="12"/>
        <v>3063.4146341463415</v>
      </c>
      <c r="AO9" s="3">
        <f t="shared" si="13"/>
        <v>12560</v>
      </c>
      <c r="AP9" s="6">
        <f t="shared" si="14"/>
        <v>4.0999999999999996</v>
      </c>
      <c r="AQ9" s="3"/>
      <c r="AR9" s="3"/>
      <c r="AS9" s="3"/>
      <c r="AT9" s="3"/>
      <c r="AU9" s="3"/>
      <c r="AV9" s="3"/>
      <c r="AW9" s="3"/>
      <c r="AX9" s="3"/>
      <c r="AY9" s="3"/>
      <c r="AZ9" s="3"/>
      <c r="BA9" s="3"/>
      <c r="BB9" s="3"/>
      <c r="BC9" s="3"/>
      <c r="BD9" s="3"/>
      <c r="BE9" s="3"/>
      <c r="BF9" s="3"/>
      <c r="BG9" s="3"/>
      <c r="BH9" s="3"/>
      <c r="BI9" s="3"/>
      <c r="BJ9" s="3"/>
      <c r="BK9" s="3"/>
      <c r="BL9" s="3"/>
      <c r="BM9" s="3"/>
      <c r="BN9" s="3"/>
    </row>
    <row r="10" spans="1:66" ht="15" customHeight="1" x14ac:dyDescent="0.3">
      <c r="A10" s="1" t="s">
        <v>23</v>
      </c>
      <c r="B10" s="15"/>
      <c r="C10" s="15"/>
      <c r="D10" s="3" t="e">
        <f t="shared" si="0"/>
        <v>#DIV/0!</v>
      </c>
      <c r="E10" s="3">
        <v>0</v>
      </c>
      <c r="F10" s="6">
        <v>0</v>
      </c>
      <c r="G10" s="3">
        <f t="shared" si="1"/>
        <v>1294.0694117647058</v>
      </c>
      <c r="H10" s="3">
        <v>1099959</v>
      </c>
      <c r="I10" s="6">
        <v>850</v>
      </c>
      <c r="J10" s="3" t="e">
        <f t="shared" si="2"/>
        <v>#DIV/0!</v>
      </c>
      <c r="K10" s="3">
        <v>0</v>
      </c>
      <c r="L10" s="6">
        <v>0</v>
      </c>
      <c r="M10" s="3" t="e">
        <f t="shared" si="3"/>
        <v>#DIV/0!</v>
      </c>
      <c r="N10" s="3">
        <v>0</v>
      </c>
      <c r="O10" s="6">
        <v>0</v>
      </c>
      <c r="P10" s="3" t="e">
        <f t="shared" si="4"/>
        <v>#DIV/0!</v>
      </c>
      <c r="Q10" s="3"/>
      <c r="R10" s="6"/>
      <c r="S10" s="3" t="e">
        <f t="shared" si="5"/>
        <v>#DIV/0!</v>
      </c>
      <c r="T10" s="3"/>
      <c r="U10" s="6"/>
      <c r="V10" s="3" t="e">
        <f t="shared" si="6"/>
        <v>#DIV/0!</v>
      </c>
      <c r="W10" s="3"/>
      <c r="X10" s="6"/>
      <c r="Y10" s="3" t="e">
        <f t="shared" si="7"/>
        <v>#DIV/0!</v>
      </c>
      <c r="Z10" s="3"/>
      <c r="AA10" s="6"/>
      <c r="AB10" s="3" t="e">
        <f t="shared" si="8"/>
        <v>#DIV/0!</v>
      </c>
      <c r="AC10" s="3"/>
      <c r="AD10" s="6"/>
      <c r="AE10" s="3" t="e">
        <f t="shared" si="9"/>
        <v>#DIV/0!</v>
      </c>
      <c r="AF10" s="3"/>
      <c r="AG10" s="6"/>
      <c r="AH10" s="3" t="e">
        <f t="shared" si="10"/>
        <v>#DIV/0!</v>
      </c>
      <c r="AI10" s="3"/>
      <c r="AJ10" s="6"/>
      <c r="AK10" s="3" t="e">
        <f t="shared" si="11"/>
        <v>#DIV/0!</v>
      </c>
      <c r="AL10" s="3"/>
      <c r="AM10" s="6"/>
      <c r="AN10" s="3">
        <f t="shared" si="12"/>
        <v>1294.0694117647058</v>
      </c>
      <c r="AO10" s="3">
        <f t="shared" si="13"/>
        <v>1099959</v>
      </c>
      <c r="AP10" s="6">
        <f t="shared" si="14"/>
        <v>850</v>
      </c>
      <c r="AQ10" s="3"/>
      <c r="AR10" s="3"/>
      <c r="AS10" s="3"/>
      <c r="AT10" s="3"/>
      <c r="AU10" s="3"/>
      <c r="AV10" s="3"/>
      <c r="AW10" s="3"/>
      <c r="AX10" s="3"/>
      <c r="AY10" s="3"/>
      <c r="AZ10" s="3"/>
      <c r="BA10" s="3"/>
      <c r="BB10" s="3"/>
      <c r="BC10" s="3"/>
      <c r="BD10" s="3"/>
      <c r="BE10" s="3"/>
      <c r="BF10" s="3"/>
      <c r="BG10" s="3"/>
      <c r="BH10" s="3"/>
      <c r="BI10" s="3"/>
      <c r="BJ10" s="3"/>
      <c r="BK10" s="3"/>
      <c r="BL10" s="3"/>
      <c r="BM10" s="3"/>
      <c r="BN10" s="3"/>
    </row>
    <row r="11" spans="1:66" ht="15" customHeight="1" x14ac:dyDescent="0.3">
      <c r="A11" s="1" t="s">
        <v>43</v>
      </c>
      <c r="B11" s="15"/>
      <c r="C11" s="15"/>
      <c r="D11" s="3">
        <f t="shared" si="0"/>
        <v>4356</v>
      </c>
      <c r="E11" s="3">
        <v>4356</v>
      </c>
      <c r="F11" s="6">
        <v>1</v>
      </c>
      <c r="G11" s="3">
        <f t="shared" si="1"/>
        <v>4356</v>
      </c>
      <c r="H11" s="3">
        <v>4356</v>
      </c>
      <c r="I11" s="6">
        <v>1</v>
      </c>
      <c r="J11" s="3" t="e">
        <f t="shared" si="2"/>
        <v>#DIV/0!</v>
      </c>
      <c r="K11" s="3">
        <v>0</v>
      </c>
      <c r="L11" s="6">
        <v>0</v>
      </c>
      <c r="M11" s="3" t="e">
        <f t="shared" si="3"/>
        <v>#DIV/0!</v>
      </c>
      <c r="N11" s="3">
        <v>0</v>
      </c>
      <c r="O11" s="6">
        <v>0</v>
      </c>
      <c r="P11" s="3" t="e">
        <f t="shared" si="4"/>
        <v>#DIV/0!</v>
      </c>
      <c r="Q11" s="3"/>
      <c r="R11" s="6"/>
      <c r="S11" s="3" t="e">
        <f t="shared" si="5"/>
        <v>#DIV/0!</v>
      </c>
      <c r="T11" s="3"/>
      <c r="U11" s="6"/>
      <c r="V11" s="3" t="e">
        <f t="shared" si="6"/>
        <v>#DIV/0!</v>
      </c>
      <c r="W11" s="3"/>
      <c r="X11" s="6"/>
      <c r="Y11" s="3" t="e">
        <f t="shared" si="7"/>
        <v>#DIV/0!</v>
      </c>
      <c r="Z11" s="3"/>
      <c r="AA11" s="6"/>
      <c r="AB11" s="3" t="e">
        <f t="shared" si="8"/>
        <v>#DIV/0!</v>
      </c>
      <c r="AC11" s="3"/>
      <c r="AD11" s="6"/>
      <c r="AE11" s="3" t="e">
        <f t="shared" si="9"/>
        <v>#DIV/0!</v>
      </c>
      <c r="AF11" s="3"/>
      <c r="AG11" s="6"/>
      <c r="AH11" s="3" t="e">
        <f t="shared" si="10"/>
        <v>#DIV/0!</v>
      </c>
      <c r="AI11" s="3"/>
      <c r="AJ11" s="6"/>
      <c r="AK11" s="3" t="e">
        <f t="shared" si="11"/>
        <v>#DIV/0!</v>
      </c>
      <c r="AL11" s="3"/>
      <c r="AM11" s="6"/>
      <c r="AN11" s="3">
        <f t="shared" si="12"/>
        <v>4356</v>
      </c>
      <c r="AO11" s="3">
        <f t="shared" si="13"/>
        <v>8712</v>
      </c>
      <c r="AP11" s="6">
        <f t="shared" si="14"/>
        <v>2</v>
      </c>
      <c r="AQ11" s="3"/>
      <c r="AR11" s="3"/>
      <c r="AS11" s="3"/>
      <c r="AT11" s="3"/>
      <c r="AU11" s="3"/>
      <c r="AV11" s="3"/>
      <c r="AW11" s="3"/>
      <c r="AX11" s="3"/>
      <c r="AY11" s="3"/>
      <c r="AZ11" s="3"/>
      <c r="BA11" s="3"/>
      <c r="BB11" s="3"/>
      <c r="BC11" s="3"/>
      <c r="BD11" s="3"/>
      <c r="BE11" s="3"/>
      <c r="BF11" s="3"/>
      <c r="BG11" s="3"/>
      <c r="BH11" s="3"/>
      <c r="BI11" s="3"/>
      <c r="BJ11" s="3"/>
      <c r="BK11" s="3"/>
      <c r="BL11" s="3"/>
      <c r="BM11" s="3"/>
      <c r="BN11" s="3"/>
    </row>
    <row r="12" spans="1:66" ht="15" customHeight="1" x14ac:dyDescent="0.3">
      <c r="A12" s="1" t="s">
        <v>24</v>
      </c>
      <c r="B12" s="15"/>
      <c r="C12" s="15"/>
      <c r="D12" s="3">
        <f>E12/F12</f>
        <v>1728.5927152317881</v>
      </c>
      <c r="E12" s="3">
        <v>104407</v>
      </c>
      <c r="F12" s="6">
        <v>60.4</v>
      </c>
      <c r="G12" s="3" t="e">
        <f>H12/I12</f>
        <v>#DIV/0!</v>
      </c>
      <c r="H12" s="3">
        <v>0</v>
      </c>
      <c r="I12" s="6">
        <v>0</v>
      </c>
      <c r="J12" s="3">
        <f>K12/L12</f>
        <v>1895.5555555555554</v>
      </c>
      <c r="K12" s="3">
        <v>3412</v>
      </c>
      <c r="L12" s="6">
        <v>1.8</v>
      </c>
      <c r="M12" s="3" t="e">
        <f>N12/O12</f>
        <v>#DIV/0!</v>
      </c>
      <c r="N12" s="3">
        <v>0</v>
      </c>
      <c r="O12" s="6">
        <v>0</v>
      </c>
      <c r="P12" s="3" t="e">
        <f>Q12/R12</f>
        <v>#DIV/0!</v>
      </c>
      <c r="Q12" s="3"/>
      <c r="R12" s="6"/>
      <c r="S12" s="3" t="e">
        <f>T12/U12</f>
        <v>#DIV/0!</v>
      </c>
      <c r="T12" s="3"/>
      <c r="U12" s="6"/>
      <c r="V12" s="3" t="e">
        <f>W12/X12</f>
        <v>#DIV/0!</v>
      </c>
      <c r="W12" s="3"/>
      <c r="X12" s="6"/>
      <c r="Y12" s="3" t="e">
        <f>Z12/AA12</f>
        <v>#DIV/0!</v>
      </c>
      <c r="Z12" s="3"/>
      <c r="AA12" s="6"/>
      <c r="AB12" s="3" t="e">
        <f>AC12/AD12</f>
        <v>#DIV/0!</v>
      </c>
      <c r="AC12" s="3"/>
      <c r="AD12" s="6"/>
      <c r="AE12" s="3" t="e">
        <f>AF12/AG12</f>
        <v>#DIV/0!</v>
      </c>
      <c r="AF12" s="3"/>
      <c r="AG12" s="6"/>
      <c r="AH12" s="3" t="e">
        <f>AI12/AJ12</f>
        <v>#DIV/0!</v>
      </c>
      <c r="AI12" s="3"/>
      <c r="AJ12" s="6"/>
      <c r="AK12" s="3" t="e">
        <f>AL12/AM12</f>
        <v>#DIV/0!</v>
      </c>
      <c r="AL12" s="3"/>
      <c r="AM12" s="6"/>
      <c r="AN12" s="3">
        <f t="shared" si="12"/>
        <v>1733.4244372990354</v>
      </c>
      <c r="AO12" s="3">
        <f t="shared" si="13"/>
        <v>107819</v>
      </c>
      <c r="AP12" s="6">
        <f t="shared" si="14"/>
        <v>62.199999999999996</v>
      </c>
      <c r="AQ12" s="3"/>
      <c r="AR12" s="3"/>
      <c r="AS12" s="3"/>
      <c r="AT12" s="3"/>
      <c r="AU12" s="3"/>
      <c r="AV12" s="3"/>
      <c r="AW12" s="3"/>
      <c r="AX12" s="3"/>
      <c r="AY12" s="3"/>
      <c r="AZ12" s="3"/>
      <c r="BA12" s="3"/>
      <c r="BB12" s="3"/>
      <c r="BC12" s="3"/>
      <c r="BD12" s="3"/>
      <c r="BE12" s="3"/>
      <c r="BF12" s="3"/>
      <c r="BG12" s="3"/>
      <c r="BH12" s="3"/>
      <c r="BI12" s="3"/>
      <c r="BJ12" s="3"/>
      <c r="BK12" s="3"/>
      <c r="BL12" s="3"/>
      <c r="BM12" s="3"/>
      <c r="BN12" s="3"/>
    </row>
    <row r="13" spans="1:66" ht="15" customHeight="1" x14ac:dyDescent="0.3">
      <c r="A13" s="1" t="s">
        <v>44</v>
      </c>
      <c r="B13" s="15"/>
      <c r="C13" s="15"/>
      <c r="D13" s="3" t="e">
        <f t="shared" ref="D13:D21" si="15">E13/F13</f>
        <v>#DIV/0!</v>
      </c>
      <c r="E13" s="3">
        <v>0</v>
      </c>
      <c r="F13" s="6">
        <v>0</v>
      </c>
      <c r="G13" s="3">
        <f t="shared" ref="G13:G21" si="16">H13/I13</f>
        <v>1751.5789473684208</v>
      </c>
      <c r="H13" s="3">
        <v>29952</v>
      </c>
      <c r="I13" s="6">
        <v>17.100000000000001</v>
      </c>
      <c r="J13" s="3" t="e">
        <f t="shared" ref="J13:J21" si="17">K13/L13</f>
        <v>#DIV/0!</v>
      </c>
      <c r="K13" s="3">
        <v>0</v>
      </c>
      <c r="L13" s="6">
        <v>0</v>
      </c>
      <c r="M13" s="3" t="e">
        <f t="shared" ref="M13:M21" si="18">N13/O13</f>
        <v>#DIV/0!</v>
      </c>
      <c r="N13" s="3">
        <v>0</v>
      </c>
      <c r="O13" s="6">
        <v>0</v>
      </c>
      <c r="P13" s="3" t="e">
        <f t="shared" ref="P13:P21" si="19">Q13/R13</f>
        <v>#DIV/0!</v>
      </c>
      <c r="Q13" s="3"/>
      <c r="R13" s="6"/>
      <c r="S13" s="3" t="e">
        <f t="shared" ref="S13:S21" si="20">T13/U13</f>
        <v>#DIV/0!</v>
      </c>
      <c r="T13" s="3"/>
      <c r="U13" s="6"/>
      <c r="V13" s="3" t="e">
        <f t="shared" ref="V13:V21" si="21">W13/X13</f>
        <v>#DIV/0!</v>
      </c>
      <c r="W13" s="3"/>
      <c r="X13" s="6"/>
      <c r="Y13" s="3" t="e">
        <f t="shared" ref="Y13:Y21" si="22">Z13/AA13</f>
        <v>#DIV/0!</v>
      </c>
      <c r="Z13" s="3"/>
      <c r="AA13" s="6"/>
      <c r="AB13" s="3" t="e">
        <f t="shared" ref="AB13:AB21" si="23">AC13/AD13</f>
        <v>#DIV/0!</v>
      </c>
      <c r="AC13" s="3"/>
      <c r="AD13" s="6"/>
      <c r="AE13" s="3" t="e">
        <f t="shared" ref="AE13:AE21" si="24">AF13/AG13</f>
        <v>#DIV/0!</v>
      </c>
      <c r="AF13" s="3"/>
      <c r="AG13" s="6"/>
      <c r="AH13" s="3" t="e">
        <f t="shared" ref="AH13:AH21" si="25">AI13/AJ13</f>
        <v>#DIV/0!</v>
      </c>
      <c r="AI13" s="3"/>
      <c r="AJ13" s="6"/>
      <c r="AK13" s="3" t="e">
        <f t="shared" ref="AK13:AK21" si="26">AL13/AM13</f>
        <v>#DIV/0!</v>
      </c>
      <c r="AL13" s="3"/>
      <c r="AM13" s="6"/>
      <c r="AN13" s="3">
        <f t="shared" si="12"/>
        <v>1751.5789473684208</v>
      </c>
      <c r="AO13" s="3">
        <f t="shared" si="13"/>
        <v>29952</v>
      </c>
      <c r="AP13" s="6">
        <f t="shared" si="14"/>
        <v>17.100000000000001</v>
      </c>
      <c r="AQ13" s="3"/>
      <c r="AR13" s="3"/>
      <c r="AS13" s="3"/>
      <c r="AT13" s="3"/>
      <c r="AU13" s="3"/>
      <c r="AV13" s="3"/>
      <c r="AW13" s="3"/>
      <c r="AX13" s="3"/>
      <c r="AY13" s="3"/>
      <c r="AZ13" s="3"/>
      <c r="BA13" s="3"/>
      <c r="BB13" s="3"/>
      <c r="BC13" s="3"/>
      <c r="BD13" s="3"/>
      <c r="BE13" s="3"/>
      <c r="BF13" s="3"/>
      <c r="BG13" s="3"/>
      <c r="BH13" s="3"/>
      <c r="BI13" s="3"/>
      <c r="BJ13" s="3"/>
      <c r="BK13" s="3"/>
      <c r="BL13" s="3"/>
      <c r="BM13" s="3"/>
      <c r="BN13" s="3"/>
    </row>
    <row r="14" spans="1:66" ht="15" customHeight="1" x14ac:dyDescent="0.3">
      <c r="A14" s="1" t="s">
        <v>20</v>
      </c>
      <c r="B14" s="15"/>
      <c r="C14" s="15"/>
      <c r="D14" s="3">
        <f t="shared" si="15"/>
        <v>1114.1285401991743</v>
      </c>
      <c r="E14" s="3">
        <v>11467168</v>
      </c>
      <c r="F14" s="6">
        <v>10292.5</v>
      </c>
      <c r="G14" s="3">
        <f t="shared" si="16"/>
        <v>1255.6262566791456</v>
      </c>
      <c r="H14" s="3">
        <v>11303022</v>
      </c>
      <c r="I14" s="6">
        <v>9001.9</v>
      </c>
      <c r="J14" s="3">
        <f t="shared" si="17"/>
        <v>1299.2389040798219</v>
      </c>
      <c r="K14" s="3">
        <v>7174787</v>
      </c>
      <c r="L14" s="6">
        <v>5522.3</v>
      </c>
      <c r="M14" s="3" t="e">
        <f t="shared" si="18"/>
        <v>#DIV/0!</v>
      </c>
      <c r="N14" s="3">
        <v>0</v>
      </c>
      <c r="O14" s="6">
        <v>0</v>
      </c>
      <c r="P14" s="3" t="e">
        <f t="shared" si="19"/>
        <v>#DIV/0!</v>
      </c>
      <c r="Q14" s="3"/>
      <c r="R14" s="6"/>
      <c r="S14" s="3" t="e">
        <f t="shared" si="20"/>
        <v>#DIV/0!</v>
      </c>
      <c r="T14" s="3"/>
      <c r="U14" s="6"/>
      <c r="V14" s="3" t="e">
        <f t="shared" si="21"/>
        <v>#DIV/0!</v>
      </c>
      <c r="W14" s="3"/>
      <c r="X14" s="6"/>
      <c r="Y14" s="3" t="e">
        <f t="shared" si="22"/>
        <v>#DIV/0!</v>
      </c>
      <c r="Z14" s="3"/>
      <c r="AA14" s="6"/>
      <c r="AB14" s="3" t="e">
        <f t="shared" si="23"/>
        <v>#DIV/0!</v>
      </c>
      <c r="AC14" s="3"/>
      <c r="AD14" s="6"/>
      <c r="AE14" s="3" t="e">
        <f t="shared" si="24"/>
        <v>#DIV/0!</v>
      </c>
      <c r="AF14" s="3"/>
      <c r="AG14" s="6"/>
      <c r="AH14" s="3" t="e">
        <f t="shared" si="25"/>
        <v>#DIV/0!</v>
      </c>
      <c r="AI14" s="3"/>
      <c r="AJ14" s="6"/>
      <c r="AK14" s="3" t="e">
        <f t="shared" si="26"/>
        <v>#DIV/0!</v>
      </c>
      <c r="AL14" s="3"/>
      <c r="AM14" s="6"/>
      <c r="AN14" s="3">
        <f t="shared" si="12"/>
        <v>1206.6462100118065</v>
      </c>
      <c r="AO14" s="3">
        <f t="shared" si="13"/>
        <v>29944977</v>
      </c>
      <c r="AP14" s="6">
        <f t="shared" si="14"/>
        <v>24816.7</v>
      </c>
      <c r="AQ14" s="3"/>
      <c r="AR14" s="3"/>
      <c r="AS14" s="3"/>
      <c r="AT14" s="3"/>
      <c r="AU14" s="3"/>
      <c r="AV14" s="3"/>
      <c r="AW14" s="3"/>
      <c r="AX14" s="3"/>
      <c r="AY14" s="3"/>
      <c r="AZ14" s="3"/>
      <c r="BA14" s="3"/>
      <c r="BB14" s="3"/>
      <c r="BC14" s="3"/>
      <c r="BD14" s="3"/>
      <c r="BE14" s="3"/>
      <c r="BF14" s="3"/>
      <c r="BG14" s="3"/>
      <c r="BH14" s="3"/>
      <c r="BI14" s="3"/>
      <c r="BJ14" s="3"/>
      <c r="BK14" s="3"/>
      <c r="BL14" s="3"/>
      <c r="BM14" s="3"/>
      <c r="BN14" s="3"/>
    </row>
    <row r="15" spans="1:66" ht="15" customHeight="1" x14ac:dyDescent="0.3">
      <c r="A15" s="1" t="s">
        <v>45</v>
      </c>
      <c r="B15" s="15"/>
      <c r="C15" s="15"/>
      <c r="D15" s="3">
        <f t="shared" si="15"/>
        <v>1069.2404051505578</v>
      </c>
      <c r="E15" s="3">
        <v>8561301</v>
      </c>
      <c r="F15" s="6">
        <v>8006.9</v>
      </c>
      <c r="G15" s="3" t="e">
        <f t="shared" si="16"/>
        <v>#DIV/0!</v>
      </c>
      <c r="H15" s="3">
        <v>0</v>
      </c>
      <c r="I15" s="6">
        <v>0</v>
      </c>
      <c r="J15" s="3" t="e">
        <f t="shared" si="17"/>
        <v>#DIV/0!</v>
      </c>
      <c r="K15" s="3">
        <v>0</v>
      </c>
      <c r="L15" s="6">
        <v>0</v>
      </c>
      <c r="M15" s="3" t="e">
        <f t="shared" si="18"/>
        <v>#DIV/0!</v>
      </c>
      <c r="N15" s="3">
        <v>0</v>
      </c>
      <c r="O15" s="6">
        <v>0</v>
      </c>
      <c r="P15" s="3" t="e">
        <f t="shared" si="19"/>
        <v>#DIV/0!</v>
      </c>
      <c r="Q15" s="3"/>
      <c r="R15" s="6"/>
      <c r="S15" s="3" t="e">
        <f t="shared" si="20"/>
        <v>#DIV/0!</v>
      </c>
      <c r="T15" s="3"/>
      <c r="U15" s="6"/>
      <c r="V15" s="3" t="e">
        <f t="shared" si="21"/>
        <v>#DIV/0!</v>
      </c>
      <c r="W15" s="3"/>
      <c r="X15" s="6"/>
      <c r="Y15" s="3" t="e">
        <f t="shared" si="22"/>
        <v>#DIV/0!</v>
      </c>
      <c r="Z15" s="3"/>
      <c r="AA15" s="6"/>
      <c r="AB15" s="3" t="e">
        <f t="shared" si="23"/>
        <v>#DIV/0!</v>
      </c>
      <c r="AC15" s="3"/>
      <c r="AD15" s="6"/>
      <c r="AE15" s="3" t="e">
        <f t="shared" si="24"/>
        <v>#DIV/0!</v>
      </c>
      <c r="AF15" s="3"/>
      <c r="AG15" s="6"/>
      <c r="AH15" s="3" t="e">
        <f t="shared" si="25"/>
        <v>#DIV/0!</v>
      </c>
      <c r="AI15" s="3"/>
      <c r="AJ15" s="6"/>
      <c r="AK15" s="3" t="e">
        <f t="shared" si="26"/>
        <v>#DIV/0!</v>
      </c>
      <c r="AL15" s="3"/>
      <c r="AM15" s="6"/>
      <c r="AN15" s="3">
        <f t="shared" si="12"/>
        <v>1069.2404051505578</v>
      </c>
      <c r="AO15" s="3">
        <f t="shared" si="13"/>
        <v>8561301</v>
      </c>
      <c r="AP15" s="6">
        <f t="shared" si="14"/>
        <v>8006.9</v>
      </c>
      <c r="AQ15" s="3"/>
      <c r="AR15" s="3"/>
      <c r="AS15" s="3"/>
      <c r="AT15" s="3"/>
      <c r="AU15" s="3"/>
      <c r="AV15" s="3"/>
      <c r="AW15" s="3"/>
      <c r="AX15" s="3"/>
      <c r="AY15" s="3"/>
      <c r="AZ15" s="3"/>
      <c r="BA15" s="3"/>
      <c r="BB15" s="3"/>
      <c r="BC15" s="3"/>
      <c r="BD15" s="3"/>
      <c r="BE15" s="3"/>
      <c r="BF15" s="3"/>
      <c r="BG15" s="3"/>
      <c r="BH15" s="3"/>
      <c r="BI15" s="3"/>
      <c r="BJ15" s="3"/>
      <c r="BK15" s="3"/>
      <c r="BL15" s="3"/>
      <c r="BM15" s="3"/>
      <c r="BN15" s="3"/>
    </row>
    <row r="16" spans="1:66" ht="15" customHeight="1" x14ac:dyDescent="0.3">
      <c r="A16" s="1" t="s">
        <v>26</v>
      </c>
      <c r="B16" s="15"/>
      <c r="C16" s="15"/>
      <c r="D16" s="3">
        <f t="shared" si="15"/>
        <v>1118.7433816900254</v>
      </c>
      <c r="E16" s="3">
        <v>6824894</v>
      </c>
      <c r="F16" s="6">
        <v>6100.5</v>
      </c>
      <c r="G16" s="3" t="e">
        <f t="shared" si="16"/>
        <v>#DIV/0!</v>
      </c>
      <c r="H16" s="3">
        <v>0</v>
      </c>
      <c r="I16" s="6">
        <v>0</v>
      </c>
      <c r="J16" s="3">
        <f t="shared" si="17"/>
        <v>1299.9985740767147</v>
      </c>
      <c r="K16" s="3">
        <v>9116890</v>
      </c>
      <c r="L16" s="6">
        <v>7013</v>
      </c>
      <c r="M16" s="3" t="e">
        <f t="shared" si="18"/>
        <v>#DIV/0!</v>
      </c>
      <c r="N16" s="3">
        <v>0</v>
      </c>
      <c r="O16" s="6">
        <v>0</v>
      </c>
      <c r="P16" s="3" t="e">
        <f t="shared" si="19"/>
        <v>#DIV/0!</v>
      </c>
      <c r="Q16" s="3"/>
      <c r="R16" s="6"/>
      <c r="S16" s="3" t="e">
        <f t="shared" si="20"/>
        <v>#DIV/0!</v>
      </c>
      <c r="T16" s="3"/>
      <c r="U16" s="6"/>
      <c r="V16" s="3" t="e">
        <f t="shared" si="21"/>
        <v>#DIV/0!</v>
      </c>
      <c r="W16" s="3"/>
      <c r="X16" s="6"/>
      <c r="Y16" s="3" t="e">
        <f t="shared" si="22"/>
        <v>#DIV/0!</v>
      </c>
      <c r="Z16" s="3"/>
      <c r="AA16" s="6"/>
      <c r="AB16" s="3" t="e">
        <f t="shared" si="23"/>
        <v>#DIV/0!</v>
      </c>
      <c r="AC16" s="3"/>
      <c r="AD16" s="6"/>
      <c r="AE16" s="3" t="e">
        <f t="shared" si="24"/>
        <v>#DIV/0!</v>
      </c>
      <c r="AF16" s="3"/>
      <c r="AG16" s="6"/>
      <c r="AH16" s="3" t="e">
        <f t="shared" si="25"/>
        <v>#DIV/0!</v>
      </c>
      <c r="AI16" s="3"/>
      <c r="AJ16" s="6"/>
      <c r="AK16" s="3" t="e">
        <f t="shared" si="26"/>
        <v>#DIV/0!</v>
      </c>
      <c r="AL16" s="3"/>
      <c r="AM16" s="6"/>
      <c r="AN16" s="3">
        <f t="shared" si="12"/>
        <v>1215.6772791398178</v>
      </c>
      <c r="AO16" s="3">
        <f t="shared" si="13"/>
        <v>15941784</v>
      </c>
      <c r="AP16" s="6">
        <f t="shared" si="14"/>
        <v>13113.5</v>
      </c>
      <c r="AQ16" s="3"/>
      <c r="AR16" s="3"/>
      <c r="AS16" s="3"/>
      <c r="AT16" s="3"/>
      <c r="AU16" s="3"/>
      <c r="AV16" s="3"/>
      <c r="AW16" s="3"/>
      <c r="AX16" s="3"/>
      <c r="AY16" s="3"/>
      <c r="AZ16" s="3"/>
      <c r="BA16" s="3"/>
      <c r="BB16" s="3"/>
      <c r="BC16" s="3"/>
      <c r="BD16" s="3"/>
      <c r="BE16" s="3"/>
      <c r="BF16" s="3"/>
      <c r="BG16" s="3"/>
      <c r="BH16" s="3"/>
      <c r="BI16" s="3"/>
      <c r="BJ16" s="3"/>
      <c r="BK16" s="3"/>
      <c r="BL16" s="3"/>
      <c r="BM16" s="3"/>
      <c r="BN16" s="3"/>
    </row>
    <row r="17" spans="1:66" ht="15" customHeight="1" x14ac:dyDescent="0.3">
      <c r="A17" s="1" t="s">
        <v>27</v>
      </c>
      <c r="B17" s="15"/>
      <c r="C17" s="15"/>
      <c r="D17" s="3">
        <f t="shared" si="15"/>
        <v>1117.3071633954244</v>
      </c>
      <c r="E17" s="3">
        <v>893734</v>
      </c>
      <c r="F17" s="6">
        <v>799.9</v>
      </c>
      <c r="G17" s="3">
        <f t="shared" si="16"/>
        <v>3871.25</v>
      </c>
      <c r="H17" s="3">
        <v>3097</v>
      </c>
      <c r="I17" s="6">
        <v>0.8</v>
      </c>
      <c r="J17" s="3">
        <f t="shared" si="17"/>
        <v>1300.0163107947806</v>
      </c>
      <c r="K17" s="3">
        <v>3506924</v>
      </c>
      <c r="L17" s="6">
        <v>2697.6</v>
      </c>
      <c r="M17" s="3" t="e">
        <f t="shared" si="18"/>
        <v>#DIV/0!</v>
      </c>
      <c r="N17" s="3">
        <v>0</v>
      </c>
      <c r="O17" s="6">
        <v>0</v>
      </c>
      <c r="P17" s="3" t="e">
        <f t="shared" si="19"/>
        <v>#DIV/0!</v>
      </c>
      <c r="Q17" s="3"/>
      <c r="R17" s="6"/>
      <c r="S17" s="3" t="e">
        <f t="shared" si="20"/>
        <v>#DIV/0!</v>
      </c>
      <c r="T17" s="3"/>
      <c r="U17" s="6"/>
      <c r="V17" s="3" t="e">
        <f t="shared" si="21"/>
        <v>#DIV/0!</v>
      </c>
      <c r="W17" s="3"/>
      <c r="X17" s="6"/>
      <c r="Y17" s="3" t="e">
        <f t="shared" si="22"/>
        <v>#DIV/0!</v>
      </c>
      <c r="Z17" s="3"/>
      <c r="AA17" s="6"/>
      <c r="AB17" s="3" t="e">
        <f t="shared" si="23"/>
        <v>#DIV/0!</v>
      </c>
      <c r="AC17" s="3"/>
      <c r="AD17" s="6"/>
      <c r="AE17" s="3" t="e">
        <f t="shared" si="24"/>
        <v>#DIV/0!</v>
      </c>
      <c r="AF17" s="3"/>
      <c r="AG17" s="6"/>
      <c r="AH17" s="3" t="e">
        <f t="shared" si="25"/>
        <v>#DIV/0!</v>
      </c>
      <c r="AI17" s="3"/>
      <c r="AJ17" s="6"/>
      <c r="AK17" s="3" t="e">
        <f t="shared" si="26"/>
        <v>#DIV/0!</v>
      </c>
      <c r="AL17" s="3"/>
      <c r="AM17" s="6"/>
      <c r="AN17" s="3">
        <f t="shared" si="12"/>
        <v>1258.827144613098</v>
      </c>
      <c r="AO17" s="3">
        <f t="shared" si="13"/>
        <v>4403755</v>
      </c>
      <c r="AP17" s="6">
        <f t="shared" si="14"/>
        <v>3498.2999999999997</v>
      </c>
      <c r="AQ17" s="3"/>
      <c r="AR17" s="3"/>
      <c r="AS17" s="3"/>
      <c r="AT17" s="3"/>
      <c r="AU17" s="3"/>
      <c r="AV17" s="3"/>
      <c r="AW17" s="3"/>
      <c r="AX17" s="3"/>
      <c r="AY17" s="3"/>
      <c r="AZ17" s="3"/>
      <c r="BA17" s="3"/>
      <c r="BB17" s="3"/>
      <c r="BC17" s="3"/>
      <c r="BD17" s="3"/>
      <c r="BE17" s="3"/>
      <c r="BF17" s="3"/>
      <c r="BG17" s="3"/>
      <c r="BH17" s="3"/>
      <c r="BI17" s="3"/>
      <c r="BJ17" s="3"/>
      <c r="BK17" s="3"/>
      <c r="BL17" s="3"/>
      <c r="BM17" s="3"/>
      <c r="BN17" s="3"/>
    </row>
    <row r="18" spans="1:66" ht="15" customHeight="1" x14ac:dyDescent="0.3">
      <c r="A18" s="1" t="s">
        <v>21</v>
      </c>
      <c r="B18" s="15"/>
      <c r="C18" s="15"/>
      <c r="D18" s="3">
        <f t="shared" si="15"/>
        <v>1144.7636479727573</v>
      </c>
      <c r="E18" s="3">
        <v>5378672</v>
      </c>
      <c r="F18" s="6">
        <v>4698.5</v>
      </c>
      <c r="G18" s="3" t="e">
        <f t="shared" si="16"/>
        <v>#DIV/0!</v>
      </c>
      <c r="H18" s="3">
        <v>0</v>
      </c>
      <c r="I18" s="6">
        <v>0</v>
      </c>
      <c r="J18" s="3">
        <f t="shared" si="17"/>
        <v>1299.1414969796376</v>
      </c>
      <c r="K18" s="3">
        <v>3247464</v>
      </c>
      <c r="L18" s="6">
        <v>2499.6999999999998</v>
      </c>
      <c r="M18" s="3" t="e">
        <f t="shared" si="18"/>
        <v>#DIV/0!</v>
      </c>
      <c r="N18" s="3">
        <v>0</v>
      </c>
      <c r="O18" s="6">
        <v>0</v>
      </c>
      <c r="P18" s="3" t="e">
        <f t="shared" si="19"/>
        <v>#DIV/0!</v>
      </c>
      <c r="Q18" s="3"/>
      <c r="R18" s="6"/>
      <c r="S18" s="3" t="e">
        <f t="shared" si="20"/>
        <v>#DIV/0!</v>
      </c>
      <c r="T18" s="3"/>
      <c r="U18" s="6"/>
      <c r="V18" s="3" t="e">
        <f t="shared" si="21"/>
        <v>#DIV/0!</v>
      </c>
      <c r="W18" s="3"/>
      <c r="X18" s="6"/>
      <c r="Y18" s="3" t="e">
        <f t="shared" si="22"/>
        <v>#DIV/0!</v>
      </c>
      <c r="Z18" s="3"/>
      <c r="AA18" s="6"/>
      <c r="AB18" s="3" t="e">
        <f t="shared" si="23"/>
        <v>#DIV/0!</v>
      </c>
      <c r="AC18" s="3"/>
      <c r="AD18" s="6"/>
      <c r="AE18" s="3" t="e">
        <f t="shared" si="24"/>
        <v>#DIV/0!</v>
      </c>
      <c r="AF18" s="3"/>
      <c r="AG18" s="6"/>
      <c r="AH18" s="3" t="e">
        <f t="shared" si="25"/>
        <v>#DIV/0!</v>
      </c>
      <c r="AI18" s="3"/>
      <c r="AJ18" s="6"/>
      <c r="AK18" s="3" t="e">
        <f t="shared" si="26"/>
        <v>#DIV/0!</v>
      </c>
      <c r="AL18" s="3"/>
      <c r="AM18" s="6"/>
      <c r="AN18" s="3">
        <f t="shared" si="12"/>
        <v>1198.3740379539329</v>
      </c>
      <c r="AO18" s="3">
        <f t="shared" si="13"/>
        <v>8626136</v>
      </c>
      <c r="AP18" s="6">
        <f t="shared" si="14"/>
        <v>7198.2</v>
      </c>
      <c r="AQ18" s="3"/>
      <c r="AR18" s="3"/>
      <c r="AS18" s="3"/>
      <c r="AT18" s="3"/>
      <c r="AU18" s="3"/>
      <c r="AV18" s="3"/>
      <c r="AW18" s="3"/>
      <c r="AX18" s="3"/>
      <c r="AY18" s="3"/>
      <c r="AZ18" s="3"/>
      <c r="BA18" s="3"/>
      <c r="BB18" s="3"/>
      <c r="BC18" s="3"/>
      <c r="BD18" s="3"/>
      <c r="BE18" s="3"/>
      <c r="BF18" s="3"/>
      <c r="BG18" s="3"/>
      <c r="BH18" s="3"/>
      <c r="BI18" s="3"/>
      <c r="BJ18" s="3"/>
      <c r="BK18" s="3"/>
      <c r="BL18" s="3"/>
      <c r="BM18" s="3"/>
      <c r="BN18" s="3"/>
    </row>
    <row r="19" spans="1:66" ht="15" customHeight="1" x14ac:dyDescent="0.3">
      <c r="A19" s="1" t="s">
        <v>29</v>
      </c>
      <c r="B19" s="15"/>
      <c r="C19" s="15"/>
      <c r="D19" s="3" t="e">
        <f t="shared" si="15"/>
        <v>#DIV/0!</v>
      </c>
      <c r="E19" s="3">
        <v>0</v>
      </c>
      <c r="F19" s="6">
        <v>0</v>
      </c>
      <c r="G19" s="3">
        <f t="shared" si="16"/>
        <v>1257.7254112699804</v>
      </c>
      <c r="H19" s="3">
        <v>37745220</v>
      </c>
      <c r="I19" s="6">
        <v>30010.7</v>
      </c>
      <c r="J19" s="3" t="e">
        <f t="shared" si="17"/>
        <v>#DIV/0!</v>
      </c>
      <c r="K19" s="3">
        <v>0</v>
      </c>
      <c r="L19" s="6">
        <v>0</v>
      </c>
      <c r="M19" s="3" t="e">
        <f t="shared" si="18"/>
        <v>#DIV/0!</v>
      </c>
      <c r="N19" s="3">
        <v>0</v>
      </c>
      <c r="O19" s="6">
        <v>0</v>
      </c>
      <c r="P19" s="3" t="e">
        <f t="shared" si="19"/>
        <v>#DIV/0!</v>
      </c>
      <c r="Q19" s="3"/>
      <c r="R19" s="6"/>
      <c r="S19" s="3" t="e">
        <f t="shared" si="20"/>
        <v>#DIV/0!</v>
      </c>
      <c r="T19" s="3"/>
      <c r="U19" s="6"/>
      <c r="V19" s="3" t="e">
        <f t="shared" si="21"/>
        <v>#DIV/0!</v>
      </c>
      <c r="W19" s="3"/>
      <c r="X19" s="6"/>
      <c r="Y19" s="3" t="e">
        <f t="shared" si="22"/>
        <v>#DIV/0!</v>
      </c>
      <c r="Z19" s="3"/>
      <c r="AA19" s="6"/>
      <c r="AB19" s="3" t="e">
        <f t="shared" si="23"/>
        <v>#DIV/0!</v>
      </c>
      <c r="AC19" s="3"/>
      <c r="AD19" s="6"/>
      <c r="AE19" s="3" t="e">
        <f t="shared" si="24"/>
        <v>#DIV/0!</v>
      </c>
      <c r="AF19" s="3"/>
      <c r="AG19" s="6"/>
      <c r="AH19" s="3" t="e">
        <f t="shared" si="25"/>
        <v>#DIV/0!</v>
      </c>
      <c r="AI19" s="3"/>
      <c r="AJ19" s="6"/>
      <c r="AK19" s="3" t="e">
        <f t="shared" si="26"/>
        <v>#DIV/0!</v>
      </c>
      <c r="AL19" s="3"/>
      <c r="AM19" s="6"/>
      <c r="AN19" s="3">
        <f t="shared" si="12"/>
        <v>1257.7254112699804</v>
      </c>
      <c r="AO19" s="3">
        <f t="shared" si="13"/>
        <v>37745220</v>
      </c>
      <c r="AP19" s="6">
        <f t="shared" si="14"/>
        <v>30010.7</v>
      </c>
      <c r="AQ19" s="3"/>
      <c r="AR19" s="3"/>
      <c r="AS19" s="3"/>
      <c r="AT19" s="3"/>
      <c r="AU19" s="3"/>
      <c r="AV19" s="3"/>
      <c r="AW19" s="3"/>
      <c r="AX19" s="3"/>
      <c r="AY19" s="3"/>
      <c r="AZ19" s="3"/>
      <c r="BA19" s="3"/>
      <c r="BB19" s="3"/>
      <c r="BC19" s="3"/>
      <c r="BD19" s="3"/>
      <c r="BE19" s="3"/>
      <c r="BF19" s="3"/>
      <c r="BG19" s="3"/>
      <c r="BH19" s="3"/>
      <c r="BI19" s="3"/>
      <c r="BJ19" s="3"/>
      <c r="BK19" s="3"/>
      <c r="BL19" s="3"/>
      <c r="BM19" s="3"/>
      <c r="BN19" s="3"/>
    </row>
    <row r="20" spans="1:66" x14ac:dyDescent="0.3">
      <c r="A20" s="1" t="s">
        <v>22</v>
      </c>
      <c r="B20" s="15"/>
      <c r="C20" s="15"/>
      <c r="D20" s="3">
        <f t="shared" si="15"/>
        <v>1191.5242211954092</v>
      </c>
      <c r="E20" s="3">
        <v>3996968</v>
      </c>
      <c r="F20" s="6">
        <v>3354.5</v>
      </c>
      <c r="G20" s="3">
        <f t="shared" si="16"/>
        <v>4686</v>
      </c>
      <c r="H20" s="3">
        <v>4686</v>
      </c>
      <c r="I20" s="6">
        <v>1</v>
      </c>
      <c r="J20" s="3">
        <f t="shared" si="17"/>
        <v>1135.9266918055387</v>
      </c>
      <c r="K20" s="3">
        <v>2801536</v>
      </c>
      <c r="L20" s="6">
        <v>2466.3000000000002</v>
      </c>
      <c r="M20" s="3" t="e">
        <f t="shared" si="18"/>
        <v>#DIV/0!</v>
      </c>
      <c r="N20" s="3">
        <v>0</v>
      </c>
      <c r="O20" s="6">
        <v>0</v>
      </c>
      <c r="P20" s="3" t="e">
        <f t="shared" si="19"/>
        <v>#DIV/0!</v>
      </c>
      <c r="Q20" s="3"/>
      <c r="R20" s="6"/>
      <c r="S20" s="3" t="e">
        <f t="shared" si="20"/>
        <v>#DIV/0!</v>
      </c>
      <c r="T20" s="3"/>
      <c r="U20" s="6"/>
      <c r="V20" s="3" t="e">
        <f t="shared" si="21"/>
        <v>#DIV/0!</v>
      </c>
      <c r="W20" s="3"/>
      <c r="X20" s="6"/>
      <c r="Y20" s="3" t="e">
        <f t="shared" si="22"/>
        <v>#DIV/0!</v>
      </c>
      <c r="Z20" s="3"/>
      <c r="AA20" s="6"/>
      <c r="AB20" s="3" t="e">
        <f t="shared" si="23"/>
        <v>#DIV/0!</v>
      </c>
      <c r="AC20" s="3"/>
      <c r="AD20" s="6"/>
      <c r="AE20" s="3" t="e">
        <f t="shared" si="24"/>
        <v>#DIV/0!</v>
      </c>
      <c r="AF20" s="3"/>
      <c r="AG20" s="6"/>
      <c r="AH20" s="3" t="e">
        <f t="shared" si="25"/>
        <v>#DIV/0!</v>
      </c>
      <c r="AI20" s="3"/>
      <c r="AJ20" s="6"/>
      <c r="AK20" s="3" t="e">
        <f t="shared" si="26"/>
        <v>#DIV/0!</v>
      </c>
      <c r="AL20" s="3"/>
      <c r="AM20" s="6"/>
      <c r="AN20" s="3">
        <f t="shared" si="12"/>
        <v>1168.5715758012984</v>
      </c>
      <c r="AO20" s="3">
        <f t="shared" si="13"/>
        <v>6803190</v>
      </c>
      <c r="AP20" s="6">
        <f t="shared" si="14"/>
        <v>5821.8</v>
      </c>
      <c r="AQ20" s="3"/>
      <c r="AR20" s="3"/>
      <c r="AS20" s="3"/>
      <c r="AT20" s="3"/>
      <c r="AU20" s="3"/>
      <c r="AV20" s="3"/>
      <c r="AW20" s="3"/>
      <c r="AX20" s="3"/>
      <c r="AY20" s="3"/>
      <c r="AZ20" s="3"/>
      <c r="BA20" s="3"/>
      <c r="BB20" s="3"/>
      <c r="BC20" s="3"/>
      <c r="BD20" s="3"/>
      <c r="BE20" s="3"/>
      <c r="BF20" s="3"/>
      <c r="BG20" s="3"/>
      <c r="BH20" s="3"/>
      <c r="BI20" s="3"/>
      <c r="BJ20" s="3"/>
      <c r="BK20" s="3"/>
      <c r="BL20" s="3"/>
      <c r="BM20" s="3"/>
      <c r="BN20" s="3"/>
    </row>
    <row r="21" spans="1:66" x14ac:dyDescent="0.3">
      <c r="A21" s="10" t="s">
        <v>30</v>
      </c>
      <c r="B21" s="16"/>
      <c r="C21" s="16"/>
      <c r="D21" s="7" t="e">
        <f t="shared" si="15"/>
        <v>#DIV/0!</v>
      </c>
      <c r="E21" s="8">
        <v>0</v>
      </c>
      <c r="F21" s="9">
        <v>0</v>
      </c>
      <c r="G21" s="8" t="e">
        <f t="shared" si="16"/>
        <v>#DIV/0!</v>
      </c>
      <c r="H21" s="8">
        <v>0</v>
      </c>
      <c r="I21" s="9">
        <v>0</v>
      </c>
      <c r="J21" s="8">
        <f t="shared" si="17"/>
        <v>754.70588235294122</v>
      </c>
      <c r="K21" s="8">
        <v>2566</v>
      </c>
      <c r="L21" s="9">
        <v>3.4</v>
      </c>
      <c r="M21" s="8" t="e">
        <f t="shared" si="18"/>
        <v>#DIV/0!</v>
      </c>
      <c r="N21" s="8">
        <v>0</v>
      </c>
      <c r="O21" s="9">
        <v>0</v>
      </c>
      <c r="P21" s="8" t="e">
        <f t="shared" si="19"/>
        <v>#DIV/0!</v>
      </c>
      <c r="Q21" s="8"/>
      <c r="R21" s="9"/>
      <c r="S21" s="8" t="e">
        <f t="shared" si="20"/>
        <v>#DIV/0!</v>
      </c>
      <c r="T21" s="8"/>
      <c r="U21" s="9"/>
      <c r="V21" s="8" t="e">
        <f t="shared" si="21"/>
        <v>#DIV/0!</v>
      </c>
      <c r="W21" s="8"/>
      <c r="X21" s="9"/>
      <c r="Y21" s="8" t="e">
        <f t="shared" si="22"/>
        <v>#DIV/0!</v>
      </c>
      <c r="Z21" s="8"/>
      <c r="AA21" s="9"/>
      <c r="AB21" s="8" t="e">
        <f t="shared" si="23"/>
        <v>#DIV/0!</v>
      </c>
      <c r="AC21" s="8"/>
      <c r="AD21" s="9"/>
      <c r="AE21" s="8" t="e">
        <f t="shared" si="24"/>
        <v>#DIV/0!</v>
      </c>
      <c r="AF21" s="8"/>
      <c r="AG21" s="9"/>
      <c r="AH21" s="8" t="e">
        <f t="shared" si="25"/>
        <v>#DIV/0!</v>
      </c>
      <c r="AI21" s="8"/>
      <c r="AJ21" s="9"/>
      <c r="AK21" s="8" t="e">
        <f t="shared" si="26"/>
        <v>#DIV/0!</v>
      </c>
      <c r="AL21" s="8"/>
      <c r="AM21" s="9"/>
      <c r="AN21" s="8">
        <f t="shared" si="12"/>
        <v>754.70588235294122</v>
      </c>
      <c r="AO21" s="8">
        <f t="shared" si="13"/>
        <v>2566</v>
      </c>
      <c r="AP21" s="9">
        <f t="shared" si="14"/>
        <v>3.4</v>
      </c>
      <c r="AQ21" s="3"/>
      <c r="AR21" s="3"/>
      <c r="AS21" s="3"/>
      <c r="AT21" s="3"/>
      <c r="AU21" s="3"/>
      <c r="AV21" s="3"/>
      <c r="AW21" s="3"/>
      <c r="AX21" s="3"/>
      <c r="AY21" s="3"/>
      <c r="AZ21" s="3"/>
      <c r="BA21" s="3"/>
      <c r="BB21" s="3"/>
      <c r="BC21" s="3"/>
      <c r="BD21" s="3"/>
      <c r="BE21" s="3"/>
      <c r="BF21" s="3"/>
      <c r="BG21" s="3"/>
      <c r="BH21" s="3"/>
      <c r="BI21" s="3"/>
      <c r="BJ21" s="3"/>
      <c r="BK21" s="3"/>
      <c r="BL21" s="3"/>
      <c r="BM21" s="3"/>
      <c r="BN21" s="3"/>
    </row>
    <row r="22" spans="1:66" x14ac:dyDescent="0.3">
      <c r="A22" s="1" t="s">
        <v>33</v>
      </c>
    </row>
    <row r="23" spans="1:66" x14ac:dyDescent="0.3">
      <c r="A23" s="1" t="s">
        <v>36</v>
      </c>
    </row>
    <row r="24" spans="1:66" x14ac:dyDescent="0.3">
      <c r="A24" s="1" t="s">
        <v>34</v>
      </c>
    </row>
    <row r="25" spans="1:66" x14ac:dyDescent="0.3">
      <c r="A25" s="1" t="s">
        <v>35</v>
      </c>
    </row>
    <row r="26" spans="1:66" x14ac:dyDescent="0.3">
      <c r="A26" s="1" t="s">
        <v>41</v>
      </c>
    </row>
    <row r="27" spans="1:66" x14ac:dyDescent="0.3">
      <c r="A27" s="1" t="s">
        <v>42</v>
      </c>
    </row>
  </sheetData>
  <mergeCells count="15">
    <mergeCell ref="B3:B21"/>
    <mergeCell ref="C3:C21"/>
    <mergeCell ref="D1:F1"/>
    <mergeCell ref="G1:I1"/>
    <mergeCell ref="J1:L1"/>
    <mergeCell ref="M1:O1"/>
    <mergeCell ref="P1:R1"/>
    <mergeCell ref="S1:U1"/>
    <mergeCell ref="AK1:AM1"/>
    <mergeCell ref="AN1:AP1"/>
    <mergeCell ref="V1:X1"/>
    <mergeCell ref="Y1:AA1"/>
    <mergeCell ref="AB1:AD1"/>
    <mergeCell ref="AE1:AG1"/>
    <mergeCell ref="AH1:AJ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2026년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2026-06-16T02:10:35Z</dcterms:modified>
</cp:coreProperties>
</file>