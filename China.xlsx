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식용 대두(.3000)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<sst xmlns="http://schemas.openxmlformats.org/spreadsheetml/2006/main" count="306" uniqueCount="18">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</sst>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-154753</v>
      </c>
      <c r="C3" s="2">
        <v>4480</v>
      </c>
      <c r="D3" s="2">
        <v>20100</v>
      </c>
      <c r="E3" s="2">
        <v>159233</v>
      </c>
      <c r="F3" s="2">
        <v>137166</v>
      </c>
    </row>
    <row r="4" spans="1:6" x14ac:dyDescent="0.3">
      <c r="A4" s="1" t="s">
        <v>1</v>
      </c>
      <c r="B4" s="2">
        <f t="shared" ref="B4:B14" si="0">C4-E4</f>
        <v>-4079905</v>
      </c>
      <c r="C4" s="2">
        <v>0</v>
      </c>
      <c r="D4" s="2">
        <v>0</v>
      </c>
      <c r="E4" s="2">
        <v>4079905</v>
      </c>
      <c r="F4" s="2">
        <v>3201000</v>
      </c>
    </row>
    <row r="5" spans="1:6" x14ac:dyDescent="0.3">
      <c r="A5" s="1" t="s">
        <v>2</v>
      </c>
      <c r="B5" s="2">
        <f t="shared" si="0"/>
        <v>-684648</v>
      </c>
      <c r="C5" s="2">
        <v>0</v>
      </c>
      <c r="D5" s="2">
        <v>0</v>
      </c>
      <c r="E5" s="2">
        <v>684648</v>
      </c>
      <c r="F5" s="2">
        <v>440000</v>
      </c>
    </row>
    <row r="6" spans="1:6" x14ac:dyDescent="0.3">
      <c r="A6" s="1" t="s">
        <v>3</v>
      </c>
      <c r="B6" s="2">
        <f t="shared" si="0"/>
        <v>-9710962</v>
      </c>
      <c r="C6" s="2">
        <v>30922</v>
      </c>
      <c r="D6" s="2">
        <v>19950</v>
      </c>
      <c r="E6" s="2">
        <v>9741884</v>
      </c>
      <c r="F6" s="2">
        <v>7445000</v>
      </c>
    </row>
    <row r="7" spans="1:6" x14ac:dyDescent="0.3">
      <c r="A7" s="1" t="s">
        <v>4</v>
      </c>
      <c r="B7" s="2">
        <f t="shared" si="0"/>
        <v>-10841264</v>
      </c>
      <c r="C7" s="2">
        <v>20180</v>
      </c>
      <c r="D7" s="2">
        <v>20000</v>
      </c>
      <c r="E7" s="2">
        <v>10861444</v>
      </c>
      <c r="F7" s="2">
        <v>8380595</v>
      </c>
    </row>
    <row r="8" spans="1:6" x14ac:dyDescent="0.3">
      <c r="A8" s="1" t="s">
        <v>5</v>
      </c>
      <c r="B8" s="2">
        <f t="shared" si="0"/>
        <v>-2049558</v>
      </c>
      <c r="C8" s="2">
        <v>0</v>
      </c>
      <c r="D8" s="2">
        <v>0</v>
      </c>
      <c r="E8" s="2">
        <v>2049558</v>
      </c>
      <c r="F8" s="2">
        <v>1957207</v>
      </c>
    </row>
    <row r="9" spans="1:6" x14ac:dyDescent="0.3">
      <c r="A9" s="1" t="s">
        <v>6</v>
      </c>
      <c r="B9" s="2">
        <f t="shared" si="0"/>
        <v>-512460</v>
      </c>
      <c r="C9" s="2">
        <v>0</v>
      </c>
      <c r="D9" s="2">
        <v>0</v>
      </c>
      <c r="E9" s="2">
        <v>512460</v>
      </c>
      <c r="F9" s="2">
        <v>436150</v>
      </c>
    </row>
    <row r="10" spans="1:6" x14ac:dyDescent="0.3">
      <c r="A10" s="1" t="s">
        <v>7</v>
      </c>
      <c r="B10" s="2">
        <f t="shared" si="0"/>
        <v>-221055</v>
      </c>
      <c r="C10" s="2">
        <v>0</v>
      </c>
      <c r="D10" s="2">
        <v>0</v>
      </c>
      <c r="E10" s="2">
        <v>221055</v>
      </c>
      <c r="F10" s="2">
        <v>175488</v>
      </c>
    </row>
    <row r="11" spans="1:6" x14ac:dyDescent="0.3">
      <c r="A11" s="1" t="s">
        <v>8</v>
      </c>
      <c r="B11" s="2">
        <f t="shared" si="0"/>
        <v>-113962</v>
      </c>
      <c r="C11" s="2">
        <v>0</v>
      </c>
      <c r="D11" s="2">
        <v>0</v>
      </c>
      <c r="E11" s="2">
        <v>113962</v>
      </c>
      <c r="F11" s="2">
        <v>88021</v>
      </c>
    </row>
    <row r="12" spans="1:6" x14ac:dyDescent="0.3">
      <c r="A12" s="1" t="s">
        <v>9</v>
      </c>
      <c r="B12" s="2">
        <f t="shared" si="0"/>
        <v>-1033</v>
      </c>
      <c r="C12" s="2">
        <v>0</v>
      </c>
      <c r="D12" s="2">
        <v>0</v>
      </c>
      <c r="E12" s="2">
        <v>1033</v>
      </c>
      <c r="F12" s="2">
        <v>4133</v>
      </c>
    </row>
    <row r="13" spans="1:6" x14ac:dyDescent="0.3">
      <c r="A13" s="1" t="s">
        <v>10</v>
      </c>
      <c r="B13" s="2">
        <f t="shared" si="0"/>
        <v>-10096747</v>
      </c>
      <c r="C13" s="2">
        <v>0</v>
      </c>
      <c r="D13" s="2">
        <v>0</v>
      </c>
      <c r="E13" s="2">
        <v>10096747</v>
      </c>
      <c r="F13" s="2">
        <v>7271230</v>
      </c>
    </row>
    <row r="14" spans="1:6" x14ac:dyDescent="0.3">
      <c r="A14" s="1" t="s">
        <v>11</v>
      </c>
      <c r="B14" s="2">
        <f t="shared" si="0"/>
        <v>-10897975</v>
      </c>
      <c r="C14" s="2">
        <v>33273</v>
      </c>
      <c r="D14" s="2">
        <v>19725</v>
      </c>
      <c r="E14" s="2">
        <v>10931248</v>
      </c>
      <c r="F14" s="2">
        <v>7620000</v>
      </c>
    </row>
    <row r="15" spans="1:6" ht="17.25" thickBot="1" x14ac:dyDescent="0.35">
      <c r="A15" s="4" t="s">
        <v>13</v>
      </c>
      <c r="B15" s="5">
        <f>SUM(B3:B14)</f>
        <v>-49364322</v>
      </c>
      <c r="C15" s="5">
        <f t="shared" ref="C15:F15" si="1">SUM(C3:C14)</f>
        <v>88855</v>
      </c>
      <c r="D15" s="5">
        <f t="shared" si="1"/>
        <v>79775</v>
      </c>
      <c r="E15" s="5">
        <f t="shared" si="1"/>
        <v>49453177</v>
      </c>
      <c r="F15" s="5">
        <f t="shared" si="1"/>
        <v>37155990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-6356171</v>
      </c>
      <c r="C3" s="2">
        <v>65160</v>
      </c>
      <c r="D3" s="2">
        <v>40000</v>
      </c>
      <c r="E3" s="2">
        <v>6421331</v>
      </c>
      <c r="F3" s="2">
        <v>5426248</v>
      </c>
    </row>
    <row r="4" spans="1:6" x14ac:dyDescent="0.3">
      <c r="A4" s="1" t="s">
        <v>1</v>
      </c>
      <c r="B4" s="2">
        <f t="shared" si="0"/>
        <v>-6070585</v>
      </c>
      <c r="C4" s="2">
        <v>0</v>
      </c>
      <c r="D4" s="2">
        <v>0</v>
      </c>
      <c r="E4" s="2">
        <v>6070585</v>
      </c>
      <c r="F4" s="2">
        <v>4800000</v>
      </c>
    </row>
    <row r="5" spans="1:6" x14ac:dyDescent="0.3">
      <c r="A5" s="1" t="s">
        <v>2</v>
      </c>
      <c r="B5" s="2">
        <f t="shared" si="0"/>
        <v>-1362095</v>
      </c>
      <c r="C5" s="2">
        <v>0</v>
      </c>
      <c r="D5" s="2">
        <v>0</v>
      </c>
      <c r="E5" s="2">
        <v>1362095</v>
      </c>
      <c r="F5" s="2">
        <v>1030000</v>
      </c>
    </row>
    <row r="6" spans="1:6" x14ac:dyDescent="0.3">
      <c r="A6" s="1" t="s">
        <v>3</v>
      </c>
      <c r="B6" s="2">
        <f t="shared" si="0"/>
        <v>-8306401</v>
      </c>
      <c r="C6" s="2">
        <v>0</v>
      </c>
      <c r="D6" s="2">
        <v>0</v>
      </c>
      <c r="E6" s="2">
        <v>8306401</v>
      </c>
      <c r="F6" s="2">
        <v>6320000</v>
      </c>
    </row>
    <row r="7" spans="1:6" x14ac:dyDescent="0.3">
      <c r="A7" s="1" t="s">
        <v>4</v>
      </c>
      <c r="B7" s="2">
        <f t="shared" si="0"/>
        <v>-6604813</v>
      </c>
      <c r="C7" s="2">
        <v>60720</v>
      </c>
      <c r="D7" s="2">
        <v>60000</v>
      </c>
      <c r="E7" s="2">
        <v>6665533</v>
      </c>
      <c r="F7" s="2">
        <v>5680000</v>
      </c>
    </row>
    <row r="8" spans="1:6" x14ac:dyDescent="0.3">
      <c r="A8" s="1" t="s">
        <v>5</v>
      </c>
      <c r="B8" s="2">
        <f t="shared" si="0"/>
        <v>70368</v>
      </c>
      <c r="C8" s="2">
        <v>202877</v>
      </c>
      <c r="D8" s="2">
        <v>200000</v>
      </c>
      <c r="E8" s="2">
        <v>132509</v>
      </c>
      <c r="F8" s="2">
        <v>102600</v>
      </c>
    </row>
    <row r="9" spans="1:6" x14ac:dyDescent="0.3">
      <c r="A9" s="1" t="s">
        <v>6</v>
      </c>
      <c r="B9" s="2">
        <f t="shared" si="0"/>
        <v>-96680</v>
      </c>
      <c r="C9" s="2">
        <v>20240</v>
      </c>
      <c r="D9" s="2">
        <v>20000</v>
      </c>
      <c r="E9" s="2">
        <v>116920</v>
      </c>
      <c r="F9" s="2">
        <v>91000</v>
      </c>
    </row>
    <row r="10" spans="1:6" x14ac:dyDescent="0.3">
      <c r="A10" s="1" t="s">
        <v>7</v>
      </c>
      <c r="B10" s="2">
        <f t="shared" si="0"/>
        <v>-96729</v>
      </c>
      <c r="C10" s="2">
        <v>0</v>
      </c>
      <c r="D10" s="2">
        <v>0</v>
      </c>
      <c r="E10" s="2">
        <v>96729</v>
      </c>
      <c r="F10" s="2">
        <v>82000</v>
      </c>
    </row>
    <row r="11" spans="1:6" x14ac:dyDescent="0.3">
      <c r="A11" s="1" t="s">
        <v>8</v>
      </c>
      <c r="B11" s="2">
        <f t="shared" si="0"/>
        <v>-162000</v>
      </c>
      <c r="C11" s="2">
        <v>0</v>
      </c>
      <c r="D11" s="2">
        <v>0</v>
      </c>
      <c r="E11" s="2">
        <v>162000</v>
      </c>
      <c r="F11" s="2">
        <v>100000</v>
      </c>
    </row>
    <row r="12" spans="1:6" x14ac:dyDescent="0.3">
      <c r="A12" s="1" t="s">
        <v>9</v>
      </c>
      <c r="B12" s="2">
        <f t="shared" si="0"/>
        <v>-467528</v>
      </c>
      <c r="C12" s="2">
        <v>0</v>
      </c>
      <c r="D12" s="2">
        <v>0</v>
      </c>
      <c r="E12" s="2">
        <v>467528</v>
      </c>
      <c r="F12" s="2">
        <v>295000</v>
      </c>
    </row>
    <row r="13" spans="1:6" x14ac:dyDescent="0.3">
      <c r="A13" s="1" t="s">
        <v>10</v>
      </c>
      <c r="B13" s="2">
        <f t="shared" si="0"/>
        <v>-2429049</v>
      </c>
      <c r="C13" s="2">
        <v>0</v>
      </c>
      <c r="D13" s="2">
        <v>0</v>
      </c>
      <c r="E13" s="2">
        <v>2429049</v>
      </c>
      <c r="F13" s="2">
        <v>1835000</v>
      </c>
    </row>
    <row r="14" spans="1:6" x14ac:dyDescent="0.3">
      <c r="A14" s="1" t="s">
        <v>11</v>
      </c>
      <c r="B14" s="2">
        <f t="shared" si="0"/>
        <v>-7421176</v>
      </c>
      <c r="C14" s="2">
        <v>0</v>
      </c>
      <c r="D14" s="2">
        <v>0</v>
      </c>
      <c r="E14" s="2">
        <v>7421176</v>
      </c>
      <c r="F14" s="2">
        <v>5771940</v>
      </c>
    </row>
    <row r="15" spans="1:6" ht="17.25" thickBot="1" x14ac:dyDescent="0.35">
      <c r="A15" s="4" t="s">
        <v>13</v>
      </c>
      <c r="B15" s="5">
        <f>SUM(B3:B14)</f>
        <v>-39302859</v>
      </c>
      <c r="C15" s="5">
        <f t="shared" ref="C15:F15" si="1">SUM(C3:C14)</f>
        <v>348997</v>
      </c>
      <c r="D15" s="5">
        <f t="shared" si="1"/>
        <v>320000</v>
      </c>
      <c r="E15" s="5">
        <f t="shared" si="1"/>
        <v>39651856</v>
      </c>
      <c r="F15" s="5">
        <f t="shared" si="1"/>
        <v>31533788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-4553771</v>
      </c>
      <c r="C3" s="2">
        <v>0</v>
      </c>
      <c r="D3" s="2">
        <v>0</v>
      </c>
      <c r="E3" s="2">
        <v>4553771</v>
      </c>
      <c r="F3" s="2">
        <v>3740000</v>
      </c>
    </row>
    <row r="4" spans="1:6" x14ac:dyDescent="0.3">
      <c r="A4" s="1" t="s">
        <v>1</v>
      </c>
      <c r="B4" s="2">
        <f t="shared" si="0"/>
        <v>-2252191</v>
      </c>
      <c r="C4" s="2">
        <v>47880</v>
      </c>
      <c r="D4" s="2">
        <v>40000</v>
      </c>
      <c r="E4" s="2">
        <v>2300071</v>
      </c>
      <c r="F4" s="2">
        <v>1860000</v>
      </c>
    </row>
    <row r="5" spans="1:6" x14ac:dyDescent="0.3">
      <c r="A5" s="1" t="s">
        <v>2</v>
      </c>
      <c r="B5" s="2">
        <f t="shared" si="0"/>
        <v>-6137697</v>
      </c>
      <c r="C5" s="2">
        <v>0</v>
      </c>
      <c r="D5" s="2">
        <v>0</v>
      </c>
      <c r="E5" s="2">
        <v>6137697</v>
      </c>
      <c r="F5" s="2">
        <v>4900000</v>
      </c>
    </row>
    <row r="6" spans="1:6" x14ac:dyDescent="0.3">
      <c r="A6" s="1" t="s">
        <v>3</v>
      </c>
      <c r="B6" s="2">
        <f t="shared" si="0"/>
        <v>-12030348</v>
      </c>
      <c r="C6" s="2">
        <v>0</v>
      </c>
      <c r="D6" s="2">
        <v>0</v>
      </c>
      <c r="E6" s="2">
        <v>12030348</v>
      </c>
      <c r="F6" s="2">
        <v>9170000</v>
      </c>
    </row>
    <row r="7" spans="1:6" x14ac:dyDescent="0.3">
      <c r="A7" s="1" t="s">
        <v>4</v>
      </c>
      <c r="B7" s="2">
        <f t="shared" si="0"/>
        <v>-7367452</v>
      </c>
      <c r="C7" s="2">
        <v>0</v>
      </c>
      <c r="D7" s="2">
        <v>0</v>
      </c>
      <c r="E7" s="2">
        <v>7367452</v>
      </c>
      <c r="F7" s="2">
        <v>5750000</v>
      </c>
    </row>
    <row r="8" spans="1:6" x14ac:dyDescent="0.3">
      <c r="A8" s="1" t="s">
        <v>5</v>
      </c>
      <c r="B8" s="2">
        <f t="shared" si="0"/>
        <v>-2048200</v>
      </c>
      <c r="C8" s="2">
        <v>0</v>
      </c>
      <c r="D8" s="2">
        <v>0</v>
      </c>
      <c r="E8" s="2">
        <v>2048200</v>
      </c>
      <c r="F8" s="2">
        <v>1560000</v>
      </c>
    </row>
    <row r="9" spans="1:6" x14ac:dyDescent="0.3">
      <c r="A9" s="1" t="s">
        <v>6</v>
      </c>
      <c r="B9" s="2">
        <f t="shared" si="0"/>
        <v>-938000</v>
      </c>
      <c r="C9" s="2">
        <v>0</v>
      </c>
      <c r="D9" s="2">
        <v>0</v>
      </c>
      <c r="E9" s="2">
        <v>938000</v>
      </c>
      <c r="F9" s="2">
        <v>700000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-56662</v>
      </c>
      <c r="C11" s="2">
        <v>0</v>
      </c>
      <c r="D11" s="2">
        <v>0</v>
      </c>
      <c r="E11" s="2">
        <v>56662</v>
      </c>
      <c r="F11" s="2">
        <v>40000</v>
      </c>
    </row>
    <row r="12" spans="1:6" x14ac:dyDescent="0.3">
      <c r="A12" s="1" t="s">
        <v>9</v>
      </c>
      <c r="B12" s="2">
        <f t="shared" si="0"/>
        <v>-112400</v>
      </c>
      <c r="C12" s="2">
        <v>0</v>
      </c>
      <c r="D12" s="2">
        <v>0</v>
      </c>
      <c r="E12" s="2">
        <v>112400</v>
      </c>
      <c r="F12" s="2">
        <v>80000</v>
      </c>
    </row>
    <row r="13" spans="1:6" x14ac:dyDescent="0.3">
      <c r="A13" s="1" t="s">
        <v>10</v>
      </c>
      <c r="B13" s="2">
        <f t="shared" si="0"/>
        <v>-1145558</v>
      </c>
      <c r="C13" s="2">
        <v>0</v>
      </c>
      <c r="D13" s="2">
        <v>0</v>
      </c>
      <c r="E13" s="2">
        <v>1145558</v>
      </c>
      <c r="F13" s="2">
        <v>880000</v>
      </c>
    </row>
    <row r="14" spans="1:6" x14ac:dyDescent="0.3">
      <c r="A14" s="1" t="s">
        <v>11</v>
      </c>
      <c r="B14" s="2">
        <f t="shared" si="0"/>
        <v>-10429831</v>
      </c>
      <c r="C14" s="2">
        <v>0</v>
      </c>
      <c r="D14" s="2">
        <v>0</v>
      </c>
      <c r="E14" s="2">
        <v>10429831</v>
      </c>
      <c r="F14" s="2">
        <v>8580000</v>
      </c>
    </row>
    <row r="15" spans="1:6" ht="17.25" thickBot="1" x14ac:dyDescent="0.35">
      <c r="A15" s="4" t="s">
        <v>13</v>
      </c>
      <c r="B15" s="5">
        <f>SUM(B3:B14)</f>
        <v>-47072110</v>
      </c>
      <c r="C15" s="5">
        <f t="shared" ref="C15:F15" si="1">SUM(C3:C14)</f>
        <v>47880</v>
      </c>
      <c r="D15" s="5">
        <f t="shared" si="1"/>
        <v>40000</v>
      </c>
      <c r="E15" s="5">
        <f t="shared" si="1"/>
        <v>47119990</v>
      </c>
      <c r="F15" s="5">
        <f t="shared" si="1"/>
        <v>37260000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234180</v>
      </c>
      <c r="C3" s="2">
        <v>234180</v>
      </c>
      <c r="D3" s="2">
        <v>200000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-4859613</v>
      </c>
      <c r="C4" s="2">
        <v>72900</v>
      </c>
      <c r="D4" s="2">
        <v>60000</v>
      </c>
      <c r="E4" s="2">
        <v>4932513</v>
      </c>
      <c r="F4" s="2">
        <v>3980000</v>
      </c>
    </row>
    <row r="5" spans="1:6" x14ac:dyDescent="0.3">
      <c r="A5" s="1" t="s">
        <v>2</v>
      </c>
      <c r="B5" s="2">
        <f t="shared" si="0"/>
        <v>-2903201</v>
      </c>
      <c r="C5" s="2">
        <v>0</v>
      </c>
      <c r="D5" s="2">
        <v>0</v>
      </c>
      <c r="E5" s="2">
        <v>2903201</v>
      </c>
      <c r="F5" s="2">
        <v>2320000</v>
      </c>
    </row>
    <row r="6" spans="1:6" x14ac:dyDescent="0.3">
      <c r="A6" s="1" t="s">
        <v>3</v>
      </c>
      <c r="B6" s="2">
        <f t="shared" si="0"/>
        <v>-7070221</v>
      </c>
      <c r="C6" s="2">
        <v>24780</v>
      </c>
      <c r="D6" s="2">
        <v>20000</v>
      </c>
      <c r="E6" s="2">
        <v>7095001</v>
      </c>
      <c r="F6" s="2">
        <v>5799960</v>
      </c>
    </row>
    <row r="7" spans="1:6" x14ac:dyDescent="0.3">
      <c r="A7" s="1" t="s">
        <v>4</v>
      </c>
      <c r="B7" s="2">
        <f t="shared" si="0"/>
        <v>-7357052</v>
      </c>
      <c r="C7" s="2">
        <v>26343</v>
      </c>
      <c r="D7" s="2">
        <v>20000</v>
      </c>
      <c r="E7" s="2">
        <v>7383395</v>
      </c>
      <c r="F7" s="2">
        <v>6150000</v>
      </c>
    </row>
    <row r="8" spans="1:6" x14ac:dyDescent="0.3">
      <c r="A8" s="1" t="s">
        <v>5</v>
      </c>
      <c r="B8" s="2">
        <f t="shared" si="0"/>
        <v>-2776157</v>
      </c>
      <c r="C8" s="2">
        <v>0</v>
      </c>
      <c r="D8" s="2">
        <v>0</v>
      </c>
      <c r="E8" s="2">
        <v>2776157</v>
      </c>
      <c r="F8" s="2">
        <v>2300000</v>
      </c>
    </row>
    <row r="9" spans="1:6" x14ac:dyDescent="0.3">
      <c r="A9" s="1" t="s">
        <v>6</v>
      </c>
      <c r="B9" s="2">
        <f t="shared" si="0"/>
        <v>-443853</v>
      </c>
      <c r="C9" s="2">
        <v>0</v>
      </c>
      <c r="D9" s="2">
        <v>0</v>
      </c>
      <c r="E9" s="2">
        <v>443853</v>
      </c>
      <c r="F9" s="2">
        <v>341175</v>
      </c>
    </row>
    <row r="10" spans="1:6" x14ac:dyDescent="0.3">
      <c r="A10" s="1" t="s">
        <v>7</v>
      </c>
      <c r="B10" s="2">
        <f t="shared" si="0"/>
        <v>-86503</v>
      </c>
      <c r="C10" s="2">
        <v>0</v>
      </c>
      <c r="D10" s="2">
        <v>0</v>
      </c>
      <c r="E10" s="2">
        <v>86503</v>
      </c>
      <c r="F10" s="2">
        <v>60000</v>
      </c>
    </row>
    <row r="11" spans="1:6" x14ac:dyDescent="0.3">
      <c r="A11" s="1" t="s">
        <v>8</v>
      </c>
      <c r="B11" s="2">
        <f t="shared" si="0"/>
        <v>-7</v>
      </c>
      <c r="C11" s="2">
        <v>0</v>
      </c>
      <c r="D11" s="2">
        <v>0</v>
      </c>
      <c r="E11" s="2">
        <v>7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-1664259</v>
      </c>
      <c r="C14" s="2">
        <v>0</v>
      </c>
      <c r="D14" s="2">
        <v>0</v>
      </c>
      <c r="E14" s="2">
        <v>1664259</v>
      </c>
      <c r="F14" s="2">
        <v>1440000</v>
      </c>
    </row>
    <row r="15" spans="1:6" ht="17.25" thickBot="1" x14ac:dyDescent="0.35">
      <c r="A15" s="4" t="s">
        <v>13</v>
      </c>
      <c r="B15" s="5">
        <f>SUM(B3:B14)</f>
        <v>-26926686</v>
      </c>
      <c r="C15" s="5">
        <f t="shared" ref="C15:F15" si="1">SUM(C3:C14)</f>
        <v>358203</v>
      </c>
      <c r="D15" s="5">
        <f t="shared" si="1"/>
        <v>300000</v>
      </c>
      <c r="E15" s="5">
        <f t="shared" si="1"/>
        <v>27284889</v>
      </c>
      <c r="F15" s="5">
        <f t="shared" si="1"/>
        <v>22391137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-2363477</v>
      </c>
      <c r="C3" s="2">
        <v>0</v>
      </c>
      <c r="D3" s="2">
        <v>0</v>
      </c>
      <c r="E3" s="2">
        <v>2363477</v>
      </c>
      <c r="F3" s="2">
        <v>2500000</v>
      </c>
    </row>
    <row r="4" spans="1:6" x14ac:dyDescent="0.3">
      <c r="A4" s="1" t="s">
        <v>1</v>
      </c>
      <c r="B4" s="2">
        <f t="shared" si="0"/>
        <v>-1823039</v>
      </c>
      <c r="C4" s="2">
        <v>0</v>
      </c>
      <c r="D4" s="2">
        <v>0</v>
      </c>
      <c r="E4" s="2">
        <v>1823039</v>
      </c>
      <c r="F4" s="2">
        <v>2000000</v>
      </c>
    </row>
    <row r="5" spans="1:6" x14ac:dyDescent="0.3">
      <c r="A5" s="1" t="s">
        <v>2</v>
      </c>
      <c r="B5" s="2">
        <f t="shared" si="0"/>
        <v>-1438508</v>
      </c>
      <c r="C5" s="2">
        <v>0</v>
      </c>
      <c r="D5" s="2">
        <v>0</v>
      </c>
      <c r="E5" s="2">
        <v>1438508</v>
      </c>
      <c r="F5" s="2">
        <v>1615000</v>
      </c>
    </row>
    <row r="6" spans="1:6" x14ac:dyDescent="0.3">
      <c r="A6" s="1" t="s">
        <v>3</v>
      </c>
      <c r="B6" s="2">
        <f t="shared" si="0"/>
        <v>-2818420</v>
      </c>
      <c r="C6" s="2">
        <v>0</v>
      </c>
      <c r="D6" s="2">
        <v>0</v>
      </c>
      <c r="E6" s="2">
        <v>2818420</v>
      </c>
      <c r="F6" s="2">
        <v>2102000</v>
      </c>
    </row>
    <row r="7" spans="1:6" x14ac:dyDescent="0.3">
      <c r="A7" s="1" t="s">
        <v>4</v>
      </c>
      <c r="B7" s="2">
        <f t="shared" si="0"/>
        <v>-5780904</v>
      </c>
      <c r="C7" s="2">
        <v>0</v>
      </c>
      <c r="D7" s="2">
        <v>0</v>
      </c>
      <c r="E7" s="2">
        <v>5780904</v>
      </c>
      <c r="F7" s="2">
        <v>4636000</v>
      </c>
    </row>
    <row r="8" spans="1:6" x14ac:dyDescent="0.3">
      <c r="A8" s="1" t="s">
        <v>5</v>
      </c>
      <c r="B8" s="2">
        <f t="shared" si="0"/>
        <v>-2437339</v>
      </c>
      <c r="C8" s="2">
        <v>0</v>
      </c>
      <c r="D8" s="2">
        <v>0</v>
      </c>
      <c r="E8" s="2">
        <v>2437339</v>
      </c>
      <c r="F8" s="2">
        <v>2505000</v>
      </c>
    </row>
    <row r="9" spans="1:6" x14ac:dyDescent="0.3">
      <c r="A9" s="1" t="s">
        <v>6</v>
      </c>
      <c r="B9" s="2">
        <f t="shared" si="0"/>
        <v>-84000</v>
      </c>
      <c r="C9" s="2">
        <v>0</v>
      </c>
      <c r="D9" s="2">
        <v>0</v>
      </c>
      <c r="E9" s="2">
        <v>84000</v>
      </c>
      <c r="F9" s="2">
        <v>50000</v>
      </c>
    </row>
    <row r="10" spans="1:6" x14ac:dyDescent="0.3">
      <c r="A10" s="1" t="s">
        <v>7</v>
      </c>
      <c r="B10" s="2">
        <f t="shared" si="0"/>
        <v>-847980</v>
      </c>
      <c r="C10" s="2">
        <v>0</v>
      </c>
      <c r="D10" s="2">
        <v>0</v>
      </c>
      <c r="E10" s="2">
        <v>847980</v>
      </c>
      <c r="F10" s="2">
        <v>709975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-578700</v>
      </c>
      <c r="C12" s="2">
        <v>0</v>
      </c>
      <c r="D12" s="2">
        <v>0</v>
      </c>
      <c r="E12" s="2">
        <v>578700</v>
      </c>
      <c r="F12" s="2">
        <v>520000</v>
      </c>
    </row>
    <row r="13" spans="1:6" x14ac:dyDescent="0.3">
      <c r="A13" s="1" t="s">
        <v>10</v>
      </c>
      <c r="B13" s="2">
        <f t="shared" si="0"/>
        <v>-6059344</v>
      </c>
      <c r="C13" s="2">
        <v>0</v>
      </c>
      <c r="D13" s="2">
        <v>0</v>
      </c>
      <c r="E13" s="2">
        <v>6059344</v>
      </c>
      <c r="F13" s="2">
        <v>6002690</v>
      </c>
    </row>
    <row r="14" spans="1:6" x14ac:dyDescent="0.3">
      <c r="A14" s="1" t="s">
        <v>11</v>
      </c>
      <c r="B14" s="2">
        <f t="shared" si="0"/>
        <v>-4261736</v>
      </c>
      <c r="C14" s="2">
        <v>0</v>
      </c>
      <c r="D14" s="2">
        <v>0</v>
      </c>
      <c r="E14" s="2">
        <v>4261736</v>
      </c>
      <c r="F14" s="2">
        <v>4535000</v>
      </c>
    </row>
    <row r="15" spans="1:6" ht="17.25" thickBot="1" x14ac:dyDescent="0.35">
      <c r="A15" s="4" t="s">
        <v>13</v>
      </c>
      <c r="B15" s="5">
        <f>SUM(B3:B14)</f>
        <v>-28493447</v>
      </c>
      <c r="C15" s="5">
        <f t="shared" ref="C15:F15" si="1">SUM(C3:C14)</f>
        <v>0</v>
      </c>
      <c r="D15" s="5">
        <f t="shared" si="1"/>
        <v>0</v>
      </c>
      <c r="E15" s="5">
        <f t="shared" si="1"/>
        <v>28493447</v>
      </c>
      <c r="F15" s="5">
        <f t="shared" si="1"/>
        <v>27175665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2969711</v>
      </c>
      <c r="C3" s="2">
        <v>32402</v>
      </c>
      <c r="D3" s="2">
        <v>31550</v>
      </c>
      <c r="E3" s="2">
        <v>3002113</v>
      </c>
      <c r="F3" s="2">
        <v>3770000</v>
      </c>
    </row>
    <row r="4" spans="1:6" x14ac:dyDescent="0.3">
      <c r="A4" s="1" t="s">
        <v>1</v>
      </c>
      <c r="B4" s="2">
        <f t="shared" ref="B4:B15" si="0">E4-C4</f>
        <v>3876449</v>
      </c>
      <c r="C4" s="2">
        <v>0</v>
      </c>
      <c r="D4" s="2">
        <v>0</v>
      </c>
      <c r="E4" s="2">
        <v>3876449</v>
      </c>
      <c r="F4" s="2">
        <v>4520030</v>
      </c>
    </row>
    <row r="5" spans="1:6" x14ac:dyDescent="0.3">
      <c r="A5" s="1" t="s">
        <v>2</v>
      </c>
      <c r="B5" s="2">
        <f t="shared" si="0"/>
        <v>2736419</v>
      </c>
      <c r="C5" s="2">
        <v>0</v>
      </c>
      <c r="D5" s="2">
        <v>0</v>
      </c>
      <c r="E5" s="2">
        <v>2736419</v>
      </c>
      <c r="F5" s="2">
        <v>3100000</v>
      </c>
    </row>
    <row r="6" spans="1:6" x14ac:dyDescent="0.3">
      <c r="A6" s="1" t="s">
        <v>3</v>
      </c>
      <c r="B6" s="2">
        <f t="shared" si="0"/>
        <v>3933077</v>
      </c>
      <c r="C6" s="2">
        <v>0</v>
      </c>
      <c r="D6" s="2">
        <v>0</v>
      </c>
      <c r="E6" s="2">
        <v>3933077</v>
      </c>
      <c r="F6" s="2">
        <v>3640000</v>
      </c>
    </row>
    <row r="7" spans="1:6" x14ac:dyDescent="0.3">
      <c r="A7" s="1" t="s">
        <v>4</v>
      </c>
      <c r="B7" s="2">
        <f t="shared" si="0"/>
        <v>4169962</v>
      </c>
      <c r="C7" s="2">
        <v>0</v>
      </c>
      <c r="D7" s="2">
        <v>0</v>
      </c>
      <c r="E7" s="2">
        <v>4169962</v>
      </c>
      <c r="F7" s="2">
        <v>3970000</v>
      </c>
    </row>
    <row r="8" spans="1:6" x14ac:dyDescent="0.3">
      <c r="A8" s="1" t="s">
        <v>5</v>
      </c>
      <c r="B8" s="2">
        <f t="shared" si="0"/>
        <v>2762420</v>
      </c>
      <c r="C8" s="2">
        <v>0</v>
      </c>
      <c r="D8" s="2">
        <v>0</v>
      </c>
      <c r="E8" s="2">
        <v>2762420</v>
      </c>
      <c r="F8" s="2">
        <v>2488000</v>
      </c>
    </row>
    <row r="9" spans="1:6" x14ac:dyDescent="0.3">
      <c r="A9" s="1" t="s">
        <v>6</v>
      </c>
      <c r="B9" s="2">
        <f t="shared" si="0"/>
        <v>783725</v>
      </c>
      <c r="C9" s="2">
        <v>0</v>
      </c>
      <c r="D9" s="2">
        <v>0</v>
      </c>
      <c r="E9" s="2">
        <v>783725</v>
      </c>
      <c r="F9" s="2">
        <v>603800</v>
      </c>
    </row>
    <row r="10" spans="1:6" x14ac:dyDescent="0.3">
      <c r="A10" s="1" t="s">
        <v>7</v>
      </c>
      <c r="B10" s="2">
        <f t="shared" si="0"/>
        <v>92000</v>
      </c>
      <c r="C10" s="2">
        <v>0</v>
      </c>
      <c r="D10" s="2">
        <v>0</v>
      </c>
      <c r="E10" s="2">
        <v>92000</v>
      </c>
      <c r="F10" s="2">
        <v>80000</v>
      </c>
    </row>
    <row r="11" spans="1:6" x14ac:dyDescent="0.3">
      <c r="A11" s="1" t="s">
        <v>8</v>
      </c>
      <c r="B11" s="2">
        <f t="shared" si="0"/>
        <v>46000</v>
      </c>
      <c r="C11" s="2">
        <v>0</v>
      </c>
      <c r="D11" s="2">
        <v>0</v>
      </c>
      <c r="E11" s="2">
        <v>46000</v>
      </c>
      <c r="F11" s="2">
        <v>40000</v>
      </c>
    </row>
    <row r="12" spans="1:6" x14ac:dyDescent="0.3">
      <c r="A12" s="1" t="s">
        <v>9</v>
      </c>
      <c r="B12" s="2">
        <f t="shared" si="0"/>
        <v>308640</v>
      </c>
      <c r="C12" s="2">
        <v>0</v>
      </c>
      <c r="D12" s="2">
        <v>0</v>
      </c>
      <c r="E12" s="2">
        <v>308640</v>
      </c>
      <c r="F12" s="2">
        <v>280000</v>
      </c>
    </row>
    <row r="13" spans="1:6" x14ac:dyDescent="0.3">
      <c r="A13" s="1" t="s">
        <v>10</v>
      </c>
      <c r="B13" s="2">
        <f t="shared" si="0"/>
        <v>4515916</v>
      </c>
      <c r="C13" s="2">
        <v>0</v>
      </c>
      <c r="D13" s="2">
        <v>0</v>
      </c>
      <c r="E13" s="2">
        <v>4515916</v>
      </c>
      <c r="F13" s="2">
        <v>5060000</v>
      </c>
    </row>
    <row r="14" spans="1:6" x14ac:dyDescent="0.3">
      <c r="A14" s="1" t="s">
        <v>11</v>
      </c>
      <c r="B14" s="2">
        <f t="shared" si="0"/>
        <v>4343801</v>
      </c>
      <c r="C14" s="2">
        <v>0</v>
      </c>
      <c r="D14" s="2">
        <v>0</v>
      </c>
      <c r="E14" s="2">
        <v>4343801</v>
      </c>
      <c r="F14" s="2">
        <v>4422000</v>
      </c>
    </row>
    <row r="15" spans="1:6" ht="17.25" thickBot="1" x14ac:dyDescent="0.35">
      <c r="A15" s="4" t="s">
        <v>13</v>
      </c>
      <c r="B15" s="5">
        <f t="shared" si="0"/>
        <v>30538120</v>
      </c>
      <c r="C15" s="5">
        <f t="shared" ref="C15" si="1">SUM(C3:C14)</f>
        <v>32402</v>
      </c>
      <c r="D15" s="5">
        <f t="shared" ref="D15" si="2">SUM(D3:D14)</f>
        <v>31550</v>
      </c>
      <c r="E15" s="5">
        <f t="shared" ref="E15:F15" si="3">SUM(E3:E14)</f>
        <v>30570522</v>
      </c>
      <c r="F15" s="5">
        <f t="shared" si="3"/>
        <v>31973830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-4875610</v>
      </c>
      <c r="C3" s="2">
        <v>0</v>
      </c>
      <c r="D3" s="2">
        <v>0</v>
      </c>
      <c r="E3" s="2">
        <v>4875610</v>
      </c>
      <c r="F3" s="2">
        <v>5980000</v>
      </c>
    </row>
    <row r="4" spans="1:6" x14ac:dyDescent="0.3">
      <c r="A4" s="1" t="s">
        <v>1</v>
      </c>
      <c r="B4" s="2">
        <f t="shared" ref="B4:B14" si="0">C4-E4</f>
        <v>-3535398</v>
      </c>
      <c r="C4" s="2">
        <v>28760</v>
      </c>
      <c r="D4" s="2">
        <v>40000</v>
      </c>
      <c r="E4" s="2">
        <v>3564158</v>
      </c>
      <c r="F4" s="2">
        <v>4480000</v>
      </c>
    </row>
    <row r="5" spans="1:6" x14ac:dyDescent="0.3">
      <c r="A5" s="1" t="s">
        <v>2</v>
      </c>
      <c r="B5" s="2">
        <f t="shared" si="0"/>
        <v>-1223977</v>
      </c>
      <c r="C5" s="2">
        <v>0</v>
      </c>
      <c r="D5" s="2">
        <v>0</v>
      </c>
      <c r="E5" s="2">
        <v>1223977</v>
      </c>
      <c r="F5" s="2">
        <v>1540000</v>
      </c>
    </row>
    <row r="6" spans="1:6" x14ac:dyDescent="0.3">
      <c r="A6" s="1" t="s">
        <v>3</v>
      </c>
      <c r="B6" s="2">
        <f t="shared" si="0"/>
        <v>-4337056</v>
      </c>
      <c r="C6" s="2">
        <v>0</v>
      </c>
      <c r="D6" s="2">
        <v>0</v>
      </c>
      <c r="E6" s="2">
        <v>4337056</v>
      </c>
      <c r="F6" s="2">
        <v>5380000</v>
      </c>
    </row>
    <row r="7" spans="1:6" x14ac:dyDescent="0.3">
      <c r="A7" s="1" t="s">
        <v>4</v>
      </c>
      <c r="B7" s="2">
        <f t="shared" si="0"/>
        <v>-4687044</v>
      </c>
      <c r="C7" s="2">
        <v>0</v>
      </c>
      <c r="D7" s="2">
        <v>0</v>
      </c>
      <c r="E7" s="2">
        <v>4687044</v>
      </c>
      <c r="F7" s="2">
        <v>4767000</v>
      </c>
    </row>
    <row r="8" spans="1:6" x14ac:dyDescent="0.3">
      <c r="A8" s="1" t="s">
        <v>5</v>
      </c>
      <c r="B8" s="2">
        <f t="shared" si="0"/>
        <v>-2190451</v>
      </c>
      <c r="C8" s="2">
        <v>0</v>
      </c>
      <c r="D8" s="2">
        <v>0</v>
      </c>
      <c r="E8" s="2">
        <v>2190451</v>
      </c>
      <c r="F8" s="2">
        <v>2365000</v>
      </c>
    </row>
    <row r="9" spans="1:6" x14ac:dyDescent="0.3">
      <c r="A9" s="1" t="s">
        <v>6</v>
      </c>
      <c r="B9" s="2">
        <f t="shared" si="0"/>
        <v>-1154161</v>
      </c>
      <c r="C9" s="2">
        <v>0</v>
      </c>
      <c r="D9" s="2">
        <v>0</v>
      </c>
      <c r="E9" s="2">
        <v>1154161</v>
      </c>
      <c r="F9" s="2">
        <v>1260000</v>
      </c>
    </row>
    <row r="10" spans="1:6" x14ac:dyDescent="0.3">
      <c r="A10" s="1" t="s">
        <v>7</v>
      </c>
      <c r="B10" s="2">
        <f t="shared" si="0"/>
        <v>-35439</v>
      </c>
      <c r="C10" s="2">
        <v>0</v>
      </c>
      <c r="D10" s="2">
        <v>0</v>
      </c>
      <c r="E10" s="2">
        <v>35439</v>
      </c>
      <c r="F10" s="2">
        <v>40000</v>
      </c>
    </row>
    <row r="11" spans="1:6" x14ac:dyDescent="0.3">
      <c r="A11" s="1" t="s">
        <v>8</v>
      </c>
      <c r="B11" s="2">
        <f t="shared" si="0"/>
        <v>-511180</v>
      </c>
      <c r="C11" s="2">
        <v>0</v>
      </c>
      <c r="D11" s="2">
        <v>0</v>
      </c>
      <c r="E11" s="2">
        <v>511180</v>
      </c>
      <c r="F11" s="2">
        <v>640000</v>
      </c>
    </row>
    <row r="12" spans="1:6" x14ac:dyDescent="0.3">
      <c r="A12" s="1" t="s">
        <v>9</v>
      </c>
      <c r="B12" s="2">
        <f t="shared" si="0"/>
        <v>-55280</v>
      </c>
      <c r="C12" s="2">
        <v>0</v>
      </c>
      <c r="D12" s="2">
        <v>0</v>
      </c>
      <c r="E12" s="2">
        <v>55280</v>
      </c>
      <c r="F12" s="2">
        <v>60000</v>
      </c>
    </row>
    <row r="13" spans="1:6" x14ac:dyDescent="0.3">
      <c r="A13" s="1" t="s">
        <v>10</v>
      </c>
      <c r="B13" s="2">
        <f t="shared" si="0"/>
        <v>-2729143</v>
      </c>
      <c r="C13" s="2">
        <v>0</v>
      </c>
      <c r="D13" s="2">
        <v>0</v>
      </c>
      <c r="E13" s="2">
        <v>2729143</v>
      </c>
      <c r="F13" s="2">
        <v>2770000</v>
      </c>
    </row>
    <row r="14" spans="1:6" x14ac:dyDescent="0.3">
      <c r="A14" s="1" t="s">
        <v>11</v>
      </c>
      <c r="B14" s="2">
        <f t="shared" si="0"/>
        <v>-1977343</v>
      </c>
      <c r="C14" s="2">
        <v>0</v>
      </c>
      <c r="D14" s="2">
        <v>0</v>
      </c>
      <c r="E14" s="2">
        <v>1977343</v>
      </c>
      <c r="F14" s="2">
        <v>1458000</v>
      </c>
    </row>
    <row r="15" spans="1:6" ht="17.25" thickBot="1" x14ac:dyDescent="0.35">
      <c r="A15" s="4" t="s">
        <v>13</v>
      </c>
      <c r="B15" s="5">
        <f>SUM(B3:B14)</f>
        <v>-27312082</v>
      </c>
      <c r="C15" s="5">
        <f t="shared" ref="C15:F15" si="1">SUM(C3:C14)</f>
        <v>28760</v>
      </c>
      <c r="D15" s="5">
        <f t="shared" si="1"/>
        <v>40000</v>
      </c>
      <c r="E15" s="5">
        <f t="shared" si="1"/>
        <v>27340842</v>
      </c>
      <c r="F15" s="5">
        <f t="shared" si="1"/>
        <v>30740000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-633903</v>
      </c>
      <c r="C3" s="2">
        <v>0</v>
      </c>
      <c r="D3" s="2">
        <v>0</v>
      </c>
      <c r="E3" s="2">
        <v>633903</v>
      </c>
      <c r="F3" s="2">
        <v>500500</v>
      </c>
    </row>
    <row r="4" spans="1:6" x14ac:dyDescent="0.3">
      <c r="A4" s="1" t="s">
        <v>1</v>
      </c>
      <c r="B4" s="2">
        <f t="shared" si="0"/>
        <v>-5290532</v>
      </c>
      <c r="C4" s="2">
        <v>0</v>
      </c>
      <c r="D4" s="2">
        <v>0</v>
      </c>
      <c r="E4" s="2">
        <v>5290532</v>
      </c>
      <c r="F4" s="2">
        <v>5000000</v>
      </c>
    </row>
    <row r="5" spans="1:6" x14ac:dyDescent="0.3">
      <c r="A5" s="1" t="s">
        <v>2</v>
      </c>
      <c r="B5" s="2">
        <f t="shared" si="0"/>
        <v>-3412213</v>
      </c>
      <c r="C5" s="2">
        <v>0</v>
      </c>
      <c r="D5" s="2">
        <v>0</v>
      </c>
      <c r="E5" s="2">
        <v>3412213</v>
      </c>
      <c r="F5" s="2">
        <v>3520000</v>
      </c>
    </row>
    <row r="6" spans="1:6" x14ac:dyDescent="0.3">
      <c r="A6" s="1" t="s">
        <v>3</v>
      </c>
      <c r="B6" s="2">
        <f t="shared" si="0"/>
        <v>-2674457</v>
      </c>
      <c r="C6" s="2">
        <v>0</v>
      </c>
      <c r="D6" s="2">
        <v>0</v>
      </c>
      <c r="E6" s="2">
        <v>2674457</v>
      </c>
      <c r="F6" s="2">
        <v>2420000</v>
      </c>
    </row>
    <row r="7" spans="1:6" x14ac:dyDescent="0.3">
      <c r="A7" s="1" t="s">
        <v>4</v>
      </c>
      <c r="B7" s="2">
        <f t="shared" si="0"/>
        <v>-2281523</v>
      </c>
      <c r="C7" s="2">
        <v>0</v>
      </c>
      <c r="D7" s="2">
        <v>0</v>
      </c>
      <c r="E7" s="2">
        <v>2281523</v>
      </c>
      <c r="F7" s="2">
        <v>1700000</v>
      </c>
    </row>
    <row r="8" spans="1:6" x14ac:dyDescent="0.3">
      <c r="A8" s="1" t="s">
        <v>5</v>
      </c>
      <c r="B8" s="2">
        <f t="shared" si="0"/>
        <v>-3671882</v>
      </c>
      <c r="C8" s="2">
        <v>0</v>
      </c>
      <c r="D8" s="2">
        <v>0</v>
      </c>
      <c r="E8" s="2">
        <v>3671882</v>
      </c>
      <c r="F8" s="2">
        <v>3485000</v>
      </c>
    </row>
    <row r="9" spans="1:6" x14ac:dyDescent="0.3">
      <c r="A9" s="1" t="s">
        <v>6</v>
      </c>
      <c r="B9" s="2">
        <f t="shared" si="0"/>
        <v>-401829</v>
      </c>
      <c r="C9" s="2">
        <v>0</v>
      </c>
      <c r="D9" s="2">
        <v>0</v>
      </c>
      <c r="E9" s="2">
        <v>401829</v>
      </c>
      <c r="F9" s="2">
        <v>295000</v>
      </c>
    </row>
    <row r="10" spans="1:6" x14ac:dyDescent="0.3">
      <c r="A10" s="1" t="s">
        <v>7</v>
      </c>
      <c r="B10" s="2">
        <f t="shared" si="0"/>
        <v>-29040</v>
      </c>
      <c r="C10" s="2">
        <v>0</v>
      </c>
      <c r="D10" s="2">
        <v>0</v>
      </c>
      <c r="E10" s="2">
        <v>29040</v>
      </c>
      <c r="F10" s="2">
        <v>20000</v>
      </c>
    </row>
    <row r="11" spans="1:6" x14ac:dyDescent="0.3">
      <c r="A11" s="1" t="s">
        <v>8</v>
      </c>
      <c r="B11" s="2">
        <f t="shared" si="0"/>
        <v>-53720</v>
      </c>
      <c r="C11" s="2">
        <v>0</v>
      </c>
      <c r="D11" s="2">
        <v>0</v>
      </c>
      <c r="E11" s="2">
        <v>53720</v>
      </c>
      <c r="F11" s="2">
        <v>40000</v>
      </c>
    </row>
    <row r="12" spans="1:6" x14ac:dyDescent="0.3">
      <c r="A12" s="1" t="s">
        <v>9</v>
      </c>
      <c r="B12" s="2">
        <f t="shared" si="0"/>
        <v>-1071491</v>
      </c>
      <c r="C12" s="2">
        <v>0</v>
      </c>
      <c r="D12" s="2">
        <v>0</v>
      </c>
      <c r="E12" s="2">
        <v>1071491</v>
      </c>
      <c r="F12" s="2">
        <v>1040000</v>
      </c>
    </row>
    <row r="13" spans="1:6" x14ac:dyDescent="0.3">
      <c r="A13" s="1" t="s">
        <v>10</v>
      </c>
      <c r="B13" s="2">
        <f t="shared" si="0"/>
        <v>-4811698</v>
      </c>
      <c r="C13" s="2">
        <v>0</v>
      </c>
      <c r="D13" s="2">
        <v>0</v>
      </c>
      <c r="E13" s="2">
        <v>4811698</v>
      </c>
      <c r="F13" s="2">
        <v>5980100</v>
      </c>
    </row>
    <row r="14" spans="1:6" x14ac:dyDescent="0.3">
      <c r="A14" s="1" t="s">
        <v>11</v>
      </c>
      <c r="B14" s="2">
        <f t="shared" si="0"/>
        <v>-6517272</v>
      </c>
      <c r="C14" s="2">
        <v>0</v>
      </c>
      <c r="D14" s="2">
        <v>0</v>
      </c>
      <c r="E14" s="2">
        <v>6517272</v>
      </c>
      <c r="F14" s="2">
        <v>7762000</v>
      </c>
    </row>
    <row r="15" spans="1:6" ht="17.25" thickBot="1" x14ac:dyDescent="0.35">
      <c r="A15" s="4" t="s">
        <v>13</v>
      </c>
      <c r="B15" s="5">
        <f>SUM(B3:B14)</f>
        <v>-30849560</v>
      </c>
      <c r="C15" s="5">
        <f t="shared" ref="C15:F15" si="1">SUM(C3:C14)</f>
        <v>0</v>
      </c>
      <c r="D15" s="5">
        <f t="shared" si="1"/>
        <v>0</v>
      </c>
      <c r="E15" s="5">
        <f t="shared" si="1"/>
        <v>30849560</v>
      </c>
      <c r="F15" s="5">
        <f t="shared" si="1"/>
        <v>31762600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-3014697</v>
      </c>
      <c r="C3" s="2">
        <v>13730</v>
      </c>
      <c r="D3" s="2">
        <v>20000</v>
      </c>
      <c r="E3" s="2">
        <v>3028427</v>
      </c>
      <c r="F3" s="2">
        <v>3580000</v>
      </c>
    </row>
    <row r="4" spans="1:6" x14ac:dyDescent="0.3">
      <c r="A4" s="1" t="s">
        <v>1</v>
      </c>
      <c r="B4" s="2">
        <f t="shared" si="0"/>
        <v>-4351674</v>
      </c>
      <c r="C4" s="2">
        <v>0</v>
      </c>
      <c r="D4" s="2">
        <v>0</v>
      </c>
      <c r="E4" s="2">
        <v>4351674</v>
      </c>
      <c r="F4" s="2">
        <v>5100000</v>
      </c>
    </row>
    <row r="5" spans="1:6" x14ac:dyDescent="0.3">
      <c r="A5" s="1" t="s">
        <v>2</v>
      </c>
      <c r="B5" s="2">
        <f t="shared" si="0"/>
        <v>-2952389</v>
      </c>
      <c r="C5" s="2">
        <v>16900</v>
      </c>
      <c r="D5" s="2">
        <v>20000</v>
      </c>
      <c r="E5" s="2">
        <v>2969289</v>
      </c>
      <c r="F5" s="2">
        <v>3400000</v>
      </c>
    </row>
    <row r="6" spans="1:6" x14ac:dyDescent="0.3">
      <c r="A6" s="1" t="s">
        <v>3</v>
      </c>
      <c r="B6" s="2">
        <f t="shared" si="0"/>
        <v>-2382188</v>
      </c>
      <c r="C6" s="2">
        <v>50136</v>
      </c>
      <c r="D6" s="2">
        <v>60000</v>
      </c>
      <c r="E6" s="2">
        <v>2432324</v>
      </c>
      <c r="F6" s="2">
        <v>2540000</v>
      </c>
    </row>
    <row r="7" spans="1:6" x14ac:dyDescent="0.3">
      <c r="A7" s="1" t="s">
        <v>4</v>
      </c>
      <c r="B7" s="2">
        <f t="shared" si="0"/>
        <v>-2274254</v>
      </c>
      <c r="C7" s="2">
        <v>57840</v>
      </c>
      <c r="D7" s="2">
        <v>60000</v>
      </c>
      <c r="E7" s="2">
        <v>2332094</v>
      </c>
      <c r="F7" s="2">
        <v>2111000</v>
      </c>
    </row>
    <row r="8" spans="1:6" x14ac:dyDescent="0.3">
      <c r="A8" s="1" t="s">
        <v>5</v>
      </c>
      <c r="B8" s="2">
        <f t="shared" si="0"/>
        <v>-2794569</v>
      </c>
      <c r="C8" s="2">
        <v>18680</v>
      </c>
      <c r="D8" s="2">
        <v>20000</v>
      </c>
      <c r="E8" s="2">
        <v>2813249</v>
      </c>
      <c r="F8" s="2">
        <v>2610020</v>
      </c>
    </row>
    <row r="9" spans="1:6" x14ac:dyDescent="0.3">
      <c r="A9" s="1" t="s">
        <v>6</v>
      </c>
      <c r="B9" s="2">
        <f t="shared" si="0"/>
        <v>-50059</v>
      </c>
      <c r="C9" s="2">
        <v>0</v>
      </c>
      <c r="D9" s="2">
        <v>0</v>
      </c>
      <c r="E9" s="2">
        <v>50059</v>
      </c>
      <c r="F9" s="2">
        <v>50020</v>
      </c>
    </row>
    <row r="10" spans="1:6" x14ac:dyDescent="0.3">
      <c r="A10" s="1" t="s">
        <v>7</v>
      </c>
      <c r="B10" s="2">
        <f t="shared" si="0"/>
        <v>-443971</v>
      </c>
      <c r="C10" s="2">
        <v>0</v>
      </c>
      <c r="D10" s="2">
        <v>0</v>
      </c>
      <c r="E10" s="2">
        <v>443971</v>
      </c>
      <c r="F10" s="2">
        <v>460004</v>
      </c>
    </row>
    <row r="11" spans="1:6" x14ac:dyDescent="0.3">
      <c r="A11" s="1" t="s">
        <v>8</v>
      </c>
      <c r="B11" s="2">
        <f t="shared" si="0"/>
        <v>-138608</v>
      </c>
      <c r="C11" s="2">
        <v>0</v>
      </c>
      <c r="D11" s="2">
        <v>0</v>
      </c>
      <c r="E11" s="2">
        <v>138608</v>
      </c>
      <c r="F11" s="2">
        <v>130000</v>
      </c>
    </row>
    <row r="12" spans="1:6" x14ac:dyDescent="0.3">
      <c r="A12" s="1" t="s">
        <v>9</v>
      </c>
      <c r="B12" s="2">
        <f t="shared" si="0"/>
        <v>-532482</v>
      </c>
      <c r="C12" s="2">
        <v>0</v>
      </c>
      <c r="D12" s="2">
        <v>0</v>
      </c>
      <c r="E12" s="2">
        <v>532482</v>
      </c>
      <c r="F12" s="2">
        <v>495000</v>
      </c>
    </row>
    <row r="13" spans="1:6" x14ac:dyDescent="0.3">
      <c r="A13" s="1" t="s">
        <v>10</v>
      </c>
      <c r="B13" s="2">
        <f t="shared" si="0"/>
        <v>-2683446</v>
      </c>
      <c r="C13" s="2">
        <v>0</v>
      </c>
      <c r="D13" s="2">
        <v>0</v>
      </c>
      <c r="E13" s="2">
        <v>2683446</v>
      </c>
      <c r="F13" s="2">
        <v>2299000</v>
      </c>
    </row>
    <row r="14" spans="1:6" x14ac:dyDescent="0.3">
      <c r="A14" s="1" t="s">
        <v>11</v>
      </c>
      <c r="B14" s="2">
        <f t="shared" si="0"/>
        <v>-6937955</v>
      </c>
      <c r="C14" s="2">
        <v>0</v>
      </c>
      <c r="D14" s="2">
        <v>0</v>
      </c>
      <c r="E14" s="2">
        <v>6937955</v>
      </c>
      <c r="F14" s="2">
        <v>5941150</v>
      </c>
    </row>
    <row r="15" spans="1:6" ht="17.25" thickBot="1" x14ac:dyDescent="0.35">
      <c r="A15" s="4" t="s">
        <v>13</v>
      </c>
      <c r="B15" s="5">
        <f>SUM(B3:B14)</f>
        <v>-28556292</v>
      </c>
      <c r="C15" s="5">
        <f t="shared" ref="C15:F15" si="1">SUM(C3:C14)</f>
        <v>157286</v>
      </c>
      <c r="D15" s="5">
        <f t="shared" si="1"/>
        <v>180000</v>
      </c>
      <c r="E15" s="5">
        <f t="shared" si="1"/>
        <v>28713578</v>
      </c>
      <c r="F15" s="5">
        <f t="shared" si="1"/>
        <v>28716194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-1129861</v>
      </c>
      <c r="C3" s="2">
        <v>0</v>
      </c>
      <c r="D3" s="2">
        <v>0</v>
      </c>
      <c r="E3" s="2">
        <v>1129861</v>
      </c>
      <c r="F3" s="2">
        <v>1000000</v>
      </c>
    </row>
    <row r="4" spans="1:6" x14ac:dyDescent="0.3">
      <c r="A4" s="1" t="s">
        <v>1</v>
      </c>
      <c r="B4" s="2">
        <f t="shared" si="0"/>
        <v>-3996376</v>
      </c>
      <c r="C4" s="2">
        <v>0</v>
      </c>
      <c r="D4" s="2">
        <v>0</v>
      </c>
      <c r="E4" s="2">
        <v>3996376</v>
      </c>
      <c r="F4" s="2">
        <v>3500001</v>
      </c>
    </row>
    <row r="5" spans="1:6" x14ac:dyDescent="0.3">
      <c r="A5" s="1" t="s">
        <v>2</v>
      </c>
      <c r="B5" s="2">
        <f t="shared" si="0"/>
        <v>-3472169</v>
      </c>
      <c r="C5" s="2">
        <v>149240</v>
      </c>
      <c r="D5" s="2">
        <v>140000</v>
      </c>
      <c r="E5" s="2">
        <v>3621409</v>
      </c>
      <c r="F5" s="2">
        <v>3018850</v>
      </c>
    </row>
    <row r="6" spans="1:6" x14ac:dyDescent="0.3">
      <c r="A6" s="1" t="s">
        <v>3</v>
      </c>
      <c r="B6" s="2">
        <f t="shared" si="0"/>
        <v>-3222468</v>
      </c>
      <c r="C6" s="2">
        <v>44412</v>
      </c>
      <c r="D6" s="2">
        <v>40000</v>
      </c>
      <c r="E6" s="2">
        <v>3266880</v>
      </c>
      <c r="F6" s="2">
        <v>2440000</v>
      </c>
    </row>
    <row r="7" spans="1:6" x14ac:dyDescent="0.3">
      <c r="A7" s="1" t="s">
        <v>4</v>
      </c>
      <c r="B7" s="2">
        <f t="shared" si="0"/>
        <v>-4539973</v>
      </c>
      <c r="C7" s="2">
        <v>26280</v>
      </c>
      <c r="D7" s="2">
        <v>20000</v>
      </c>
      <c r="E7" s="2">
        <v>4566253</v>
      </c>
      <c r="F7" s="2">
        <v>3350000</v>
      </c>
    </row>
    <row r="8" spans="1:6" x14ac:dyDescent="0.3">
      <c r="A8" s="1" t="s">
        <v>5</v>
      </c>
      <c r="B8" s="2">
        <f t="shared" si="0"/>
        <v>-1491363</v>
      </c>
      <c r="C8" s="2">
        <v>0</v>
      </c>
      <c r="D8" s="2">
        <v>0</v>
      </c>
      <c r="E8" s="2">
        <v>1491363</v>
      </c>
      <c r="F8" s="2">
        <v>1141000</v>
      </c>
    </row>
    <row r="9" spans="1:6" x14ac:dyDescent="0.3">
      <c r="A9" s="1" t="s">
        <v>6</v>
      </c>
      <c r="B9" s="2">
        <f t="shared" si="0"/>
        <v>-246877</v>
      </c>
      <c r="C9" s="2">
        <v>0</v>
      </c>
      <c r="D9" s="2">
        <v>0</v>
      </c>
      <c r="E9" s="2">
        <v>246877</v>
      </c>
      <c r="F9" s="2">
        <v>190000</v>
      </c>
    </row>
    <row r="10" spans="1:6" x14ac:dyDescent="0.3">
      <c r="A10" s="1" t="s">
        <v>7</v>
      </c>
      <c r="B10" s="2">
        <f t="shared" si="0"/>
        <v>-179590</v>
      </c>
      <c r="C10" s="2">
        <v>0</v>
      </c>
      <c r="D10" s="2">
        <v>0</v>
      </c>
      <c r="E10" s="2">
        <v>179590</v>
      </c>
      <c r="F10" s="2">
        <v>139000</v>
      </c>
    </row>
    <row r="11" spans="1:6" x14ac:dyDescent="0.3">
      <c r="A11" s="1" t="s">
        <v>8</v>
      </c>
      <c r="B11" s="2">
        <f t="shared" si="0"/>
        <v>-188777</v>
      </c>
      <c r="C11" s="2">
        <v>0</v>
      </c>
      <c r="D11" s="2">
        <v>0</v>
      </c>
      <c r="E11" s="2">
        <v>188777</v>
      </c>
      <c r="F11" s="2">
        <v>140000</v>
      </c>
    </row>
    <row r="12" spans="1:6" x14ac:dyDescent="0.3">
      <c r="A12" s="1" t="s">
        <v>9</v>
      </c>
      <c r="B12" s="2">
        <f t="shared" si="0"/>
        <v>-348856</v>
      </c>
      <c r="C12" s="2">
        <v>0</v>
      </c>
      <c r="D12" s="2">
        <v>0</v>
      </c>
      <c r="E12" s="2">
        <v>348856</v>
      </c>
      <c r="F12" s="2">
        <v>240000</v>
      </c>
    </row>
    <row r="13" spans="1:6" x14ac:dyDescent="0.3">
      <c r="A13" s="1" t="s">
        <v>10</v>
      </c>
      <c r="B13" s="2">
        <f t="shared" si="0"/>
        <v>-2798826</v>
      </c>
      <c r="C13" s="2">
        <v>0</v>
      </c>
      <c r="D13" s="2">
        <v>0</v>
      </c>
      <c r="E13" s="2">
        <v>2798826</v>
      </c>
      <c r="F13" s="2">
        <v>1920000</v>
      </c>
    </row>
    <row r="14" spans="1:6" x14ac:dyDescent="0.3">
      <c r="A14" s="1" t="s">
        <v>11</v>
      </c>
      <c r="B14" s="2">
        <f t="shared" si="0"/>
        <v>-7427681</v>
      </c>
      <c r="C14" s="2">
        <v>0</v>
      </c>
      <c r="D14" s="2">
        <v>0</v>
      </c>
      <c r="E14" s="2">
        <v>7427681</v>
      </c>
      <c r="F14" s="2">
        <v>4807000</v>
      </c>
    </row>
    <row r="15" spans="1:6" ht="17.25" thickBot="1" x14ac:dyDescent="0.35">
      <c r="A15" s="4" t="s">
        <v>13</v>
      </c>
      <c r="B15" s="5">
        <f>SUM(B3:B14)</f>
        <v>-29042817</v>
      </c>
      <c r="C15" s="5">
        <f t="shared" ref="C15:F15" si="1">SUM(C3:C14)</f>
        <v>219932</v>
      </c>
      <c r="D15" s="5">
        <f t="shared" si="1"/>
        <v>200000</v>
      </c>
      <c r="E15" s="5">
        <f t="shared" si="1"/>
        <v>29262749</v>
      </c>
      <c r="F15" s="5">
        <f t="shared" si="1"/>
        <v>21885851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-1590813</v>
      </c>
      <c r="C3" s="2">
        <v>0</v>
      </c>
      <c r="D3" s="2">
        <v>0</v>
      </c>
      <c r="E3" s="2">
        <v>1590813</v>
      </c>
      <c r="F3" s="2">
        <v>1000000</v>
      </c>
    </row>
    <row r="4" spans="1:6" x14ac:dyDescent="0.3">
      <c r="A4" s="1" t="s">
        <v>1</v>
      </c>
      <c r="B4" s="2">
        <f t="shared" si="0"/>
        <v>-5226140</v>
      </c>
      <c r="C4" s="2">
        <v>0</v>
      </c>
      <c r="D4" s="2">
        <v>0</v>
      </c>
      <c r="E4" s="2">
        <v>5226140</v>
      </c>
      <c r="F4" s="2">
        <v>3500000</v>
      </c>
    </row>
    <row r="5" spans="1:6" x14ac:dyDescent="0.3">
      <c r="A5" s="1" t="s">
        <v>2</v>
      </c>
      <c r="B5" s="2">
        <f t="shared" si="0"/>
        <v>-4427523</v>
      </c>
      <c r="C5" s="2">
        <v>0</v>
      </c>
      <c r="D5" s="2">
        <v>0</v>
      </c>
      <c r="E5" s="2">
        <v>4427523</v>
      </c>
      <c r="F5" s="2">
        <v>3000000</v>
      </c>
    </row>
    <row r="6" spans="1:6" x14ac:dyDescent="0.3">
      <c r="A6" s="1" t="s">
        <v>3</v>
      </c>
      <c r="B6" s="2">
        <f t="shared" si="0"/>
        <v>-5096809</v>
      </c>
      <c r="C6" s="2">
        <v>0</v>
      </c>
      <c r="D6" s="2">
        <v>0</v>
      </c>
      <c r="E6" s="2">
        <v>5096809</v>
      </c>
      <c r="F6" s="2">
        <v>3200000</v>
      </c>
    </row>
    <row r="7" spans="1:6" x14ac:dyDescent="0.3">
      <c r="A7" s="1" t="s">
        <v>4</v>
      </c>
      <c r="B7" s="2">
        <f t="shared" si="0"/>
        <v>-5241093</v>
      </c>
      <c r="C7" s="2">
        <v>114880</v>
      </c>
      <c r="D7" s="2">
        <v>80000</v>
      </c>
      <c r="E7" s="2">
        <v>5355973</v>
      </c>
      <c r="F7" s="2">
        <v>3310000</v>
      </c>
    </row>
    <row r="8" spans="1:6" x14ac:dyDescent="0.3">
      <c r="A8" s="1" t="s">
        <v>5</v>
      </c>
      <c r="B8" s="2">
        <f t="shared" si="0"/>
        <v>-1831470</v>
      </c>
      <c r="C8" s="2">
        <v>0</v>
      </c>
      <c r="D8" s="2">
        <v>0</v>
      </c>
      <c r="E8" s="2">
        <v>1831470</v>
      </c>
      <c r="F8" s="2">
        <v>1160000</v>
      </c>
    </row>
    <row r="9" spans="1:6" x14ac:dyDescent="0.3">
      <c r="A9" s="1" t="s">
        <v>6</v>
      </c>
      <c r="B9" s="2">
        <f t="shared" si="0"/>
        <v>-397650</v>
      </c>
      <c r="C9" s="2">
        <v>0</v>
      </c>
      <c r="D9" s="2">
        <v>0</v>
      </c>
      <c r="E9" s="2">
        <v>397650</v>
      </c>
      <c r="F9" s="2">
        <v>220001</v>
      </c>
    </row>
    <row r="10" spans="1:6" x14ac:dyDescent="0.3">
      <c r="A10" s="1" t="s">
        <v>7</v>
      </c>
      <c r="B10" s="2">
        <f t="shared" si="0"/>
        <v>-305308</v>
      </c>
      <c r="C10" s="2">
        <v>0</v>
      </c>
      <c r="D10" s="2">
        <v>0</v>
      </c>
      <c r="E10" s="2">
        <v>305308</v>
      </c>
      <c r="F10" s="2">
        <v>175000</v>
      </c>
    </row>
    <row r="11" spans="1:6" x14ac:dyDescent="0.3">
      <c r="A11" s="1" t="s">
        <v>8</v>
      </c>
      <c r="B11" s="2">
        <f t="shared" si="0"/>
        <v>-457536</v>
      </c>
      <c r="C11" s="2">
        <v>0</v>
      </c>
      <c r="D11" s="2">
        <v>0</v>
      </c>
      <c r="E11" s="2">
        <v>457536</v>
      </c>
      <c r="F11" s="2">
        <v>265001</v>
      </c>
    </row>
    <row r="12" spans="1:6" x14ac:dyDescent="0.3">
      <c r="A12" s="1" t="s">
        <v>9</v>
      </c>
      <c r="B12" s="2">
        <f t="shared" si="0"/>
        <v>-578054</v>
      </c>
      <c r="C12" s="2">
        <v>0</v>
      </c>
      <c r="D12" s="2">
        <v>0</v>
      </c>
      <c r="E12" s="2">
        <v>578054</v>
      </c>
      <c r="F12" s="2">
        <v>384000</v>
      </c>
    </row>
    <row r="13" spans="1:6" x14ac:dyDescent="0.3">
      <c r="A13" s="1" t="s">
        <v>10</v>
      </c>
      <c r="B13" s="2">
        <f t="shared" si="0"/>
        <v>-5458347</v>
      </c>
      <c r="C13" s="2">
        <v>0</v>
      </c>
      <c r="D13" s="2">
        <v>0</v>
      </c>
      <c r="E13" s="2">
        <v>5458347</v>
      </c>
      <c r="F13" s="2">
        <v>3730000</v>
      </c>
    </row>
    <row r="14" spans="1:6" x14ac:dyDescent="0.3">
      <c r="A14" s="1" t="s">
        <v>11</v>
      </c>
      <c r="B14" s="2">
        <f t="shared" si="0"/>
        <v>-9068992</v>
      </c>
      <c r="C14" s="2">
        <v>0</v>
      </c>
      <c r="D14" s="2">
        <v>0</v>
      </c>
      <c r="E14" s="2">
        <v>9068992</v>
      </c>
      <c r="F14" s="2">
        <v>6400000</v>
      </c>
    </row>
    <row r="15" spans="1:6" ht="17.25" thickBot="1" x14ac:dyDescent="0.35">
      <c r="A15" s="4" t="s">
        <v>13</v>
      </c>
      <c r="B15" s="5">
        <f>SUM(B3:B14)</f>
        <v>-39679735</v>
      </c>
      <c r="C15" s="5">
        <f t="shared" ref="C15:F15" si="1">SUM(C3:C14)</f>
        <v>114880</v>
      </c>
      <c r="D15" s="5">
        <f t="shared" si="1"/>
        <v>80000</v>
      </c>
      <c r="E15" s="5">
        <f t="shared" si="1"/>
        <v>39794615</v>
      </c>
      <c r="F15" s="5">
        <f t="shared" si="1"/>
        <v>26344002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-725919</v>
      </c>
      <c r="C3" s="2">
        <v>0</v>
      </c>
      <c r="D3" s="2">
        <v>0</v>
      </c>
      <c r="E3" s="2">
        <v>725919</v>
      </c>
      <c r="F3" s="2">
        <v>500000</v>
      </c>
    </row>
    <row r="4" spans="1:6" x14ac:dyDescent="0.3">
      <c r="A4" s="1" t="s">
        <v>1</v>
      </c>
      <c r="B4" s="2">
        <f t="shared" si="0"/>
        <v>-6341348</v>
      </c>
      <c r="C4" s="2">
        <v>0</v>
      </c>
      <c r="D4" s="2">
        <v>0</v>
      </c>
      <c r="E4" s="2">
        <v>6341348</v>
      </c>
      <c r="F4" s="2">
        <v>4500000</v>
      </c>
    </row>
    <row r="5" spans="1:6" x14ac:dyDescent="0.3">
      <c r="A5" s="1" t="s">
        <v>2</v>
      </c>
      <c r="B5" s="2">
        <f t="shared" si="0"/>
        <v>-1334886</v>
      </c>
      <c r="C5" s="2">
        <v>0</v>
      </c>
      <c r="D5" s="2">
        <v>0</v>
      </c>
      <c r="E5" s="2">
        <v>1334886</v>
      </c>
      <c r="F5" s="2">
        <v>1010000</v>
      </c>
    </row>
    <row r="6" spans="1:6" x14ac:dyDescent="0.3">
      <c r="A6" s="1" t="s">
        <v>3</v>
      </c>
      <c r="B6" s="2">
        <f t="shared" si="0"/>
        <v>-7592024</v>
      </c>
      <c r="C6" s="2">
        <v>0</v>
      </c>
      <c r="D6" s="2">
        <v>0</v>
      </c>
      <c r="E6" s="2">
        <v>7592024</v>
      </c>
      <c r="F6" s="2">
        <v>5610004</v>
      </c>
    </row>
    <row r="7" spans="1:6" x14ac:dyDescent="0.3">
      <c r="A7" s="1" t="s">
        <v>4</v>
      </c>
      <c r="B7" s="2">
        <f t="shared" si="0"/>
        <v>-6037951</v>
      </c>
      <c r="C7" s="2">
        <v>0</v>
      </c>
      <c r="D7" s="2">
        <v>0</v>
      </c>
      <c r="E7" s="2">
        <v>6037951</v>
      </c>
      <c r="F7" s="2">
        <v>4200000</v>
      </c>
    </row>
    <row r="8" spans="1:6" x14ac:dyDescent="0.3">
      <c r="A8" s="1" t="s">
        <v>5</v>
      </c>
      <c r="B8" s="2">
        <f t="shared" si="0"/>
        <v>-902833</v>
      </c>
      <c r="C8" s="2">
        <v>51980</v>
      </c>
      <c r="D8" s="2">
        <v>40000</v>
      </c>
      <c r="E8" s="2">
        <v>954813</v>
      </c>
      <c r="F8" s="2">
        <v>640000</v>
      </c>
    </row>
    <row r="9" spans="1:6" x14ac:dyDescent="0.3">
      <c r="A9" s="1" t="s">
        <v>6</v>
      </c>
      <c r="B9" s="2">
        <f t="shared" si="0"/>
        <v>-137558</v>
      </c>
      <c r="C9" s="2">
        <v>0</v>
      </c>
      <c r="D9" s="2">
        <v>0</v>
      </c>
      <c r="E9" s="2">
        <v>137558</v>
      </c>
      <c r="F9" s="2">
        <v>95000</v>
      </c>
    </row>
    <row r="10" spans="1:6" x14ac:dyDescent="0.3">
      <c r="A10" s="1" t="s">
        <v>7</v>
      </c>
      <c r="B10" s="2">
        <f t="shared" si="0"/>
        <v>-186283</v>
      </c>
      <c r="C10" s="2">
        <v>0</v>
      </c>
      <c r="D10" s="2">
        <v>0</v>
      </c>
      <c r="E10" s="2">
        <v>186283</v>
      </c>
      <c r="F10" s="2">
        <v>135000</v>
      </c>
    </row>
    <row r="11" spans="1:6" x14ac:dyDescent="0.3">
      <c r="A11" s="1" t="s">
        <v>8</v>
      </c>
      <c r="B11" s="2">
        <f t="shared" si="0"/>
        <v>-319494</v>
      </c>
      <c r="C11" s="2">
        <v>0</v>
      </c>
      <c r="D11" s="2">
        <v>0</v>
      </c>
      <c r="E11" s="2">
        <v>319494</v>
      </c>
      <c r="F11" s="2">
        <v>230000</v>
      </c>
    </row>
    <row r="12" spans="1:6" x14ac:dyDescent="0.3">
      <c r="A12" s="1" t="s">
        <v>9</v>
      </c>
      <c r="B12" s="2">
        <f t="shared" si="0"/>
        <v>-516948</v>
      </c>
      <c r="C12" s="2">
        <v>0</v>
      </c>
      <c r="D12" s="2">
        <v>0</v>
      </c>
      <c r="E12" s="2">
        <v>516948</v>
      </c>
      <c r="F12" s="2">
        <v>410000</v>
      </c>
    </row>
    <row r="13" spans="1:6" x14ac:dyDescent="0.3">
      <c r="A13" s="1" t="s">
        <v>10</v>
      </c>
      <c r="B13" s="2">
        <f t="shared" si="0"/>
        <v>-5265645</v>
      </c>
      <c r="C13" s="2">
        <v>0</v>
      </c>
      <c r="D13" s="2">
        <v>0</v>
      </c>
      <c r="E13" s="2">
        <v>5265645</v>
      </c>
      <c r="F13" s="2">
        <v>4467000</v>
      </c>
    </row>
    <row r="14" spans="1:6" x14ac:dyDescent="0.3">
      <c r="A14" s="1" t="s">
        <v>11</v>
      </c>
      <c r="B14" s="2">
        <f t="shared" si="0"/>
        <v>-6484743</v>
      </c>
      <c r="C14" s="2">
        <v>0</v>
      </c>
      <c r="D14" s="2">
        <v>0</v>
      </c>
      <c r="E14" s="2">
        <v>6484743</v>
      </c>
      <c r="F14" s="2">
        <v>5425000</v>
      </c>
    </row>
    <row r="15" spans="1:6" ht="17.25" thickBot="1" x14ac:dyDescent="0.35">
      <c r="A15" s="4" t="s">
        <v>13</v>
      </c>
      <c r="B15" s="5">
        <f>SUM(B3:B14)</f>
        <v>-35845632</v>
      </c>
      <c r="C15" s="5">
        <f t="shared" ref="C15:F15" si="1">SUM(C3:C14)</f>
        <v>51980</v>
      </c>
      <c r="D15" s="5">
        <f t="shared" si="1"/>
        <v>40000</v>
      </c>
      <c r="E15" s="5">
        <f t="shared" si="1"/>
        <v>35897612</v>
      </c>
      <c r="F15" s="5">
        <f t="shared" si="1"/>
        <v>27222004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-290341</v>
      </c>
      <c r="C3" s="2">
        <v>0</v>
      </c>
      <c r="D3" s="2">
        <v>0</v>
      </c>
      <c r="E3" s="2">
        <v>290341</v>
      </c>
      <c r="F3" s="2">
        <v>254005</v>
      </c>
    </row>
    <row r="4" spans="1:6" x14ac:dyDescent="0.3">
      <c r="A4" s="1" t="s">
        <v>1</v>
      </c>
      <c r="B4" s="2">
        <f t="shared" si="0"/>
        <v>-1374326</v>
      </c>
      <c r="C4" s="2">
        <v>0</v>
      </c>
      <c r="D4" s="2">
        <v>0</v>
      </c>
      <c r="E4" s="2">
        <v>1374326</v>
      </c>
      <c r="F4" s="2">
        <v>1180000</v>
      </c>
    </row>
    <row r="5" spans="1:6" x14ac:dyDescent="0.3">
      <c r="A5" s="1" t="s">
        <v>2</v>
      </c>
      <c r="B5" s="2">
        <f t="shared" si="0"/>
        <v>-2849975</v>
      </c>
      <c r="C5" s="2">
        <v>0</v>
      </c>
      <c r="D5" s="2">
        <v>0</v>
      </c>
      <c r="E5" s="2">
        <v>2849975</v>
      </c>
      <c r="F5" s="2">
        <v>2455000</v>
      </c>
    </row>
    <row r="6" spans="1:6" x14ac:dyDescent="0.3">
      <c r="A6" s="1" t="s">
        <v>3</v>
      </c>
      <c r="B6" s="2">
        <f t="shared" si="0"/>
        <v>-1513243</v>
      </c>
      <c r="C6" s="2">
        <v>0</v>
      </c>
      <c r="D6" s="2">
        <v>0</v>
      </c>
      <c r="E6" s="2">
        <v>1513243</v>
      </c>
      <c r="F6" s="2">
        <v>1235000</v>
      </c>
    </row>
    <row r="7" spans="1:6" x14ac:dyDescent="0.3">
      <c r="A7" s="1" t="s">
        <v>4</v>
      </c>
      <c r="B7" s="2">
        <f t="shared" si="0"/>
        <v>-2385250</v>
      </c>
      <c r="C7" s="2">
        <v>0</v>
      </c>
      <c r="D7" s="2">
        <v>0</v>
      </c>
      <c r="E7" s="2">
        <v>2385250</v>
      </c>
      <c r="F7" s="2">
        <v>2015000</v>
      </c>
    </row>
    <row r="8" spans="1:6" x14ac:dyDescent="0.3">
      <c r="A8" s="1" t="s">
        <v>5</v>
      </c>
      <c r="B8" s="2">
        <f t="shared" si="0"/>
        <v>-3551114</v>
      </c>
      <c r="C8" s="2">
        <v>0</v>
      </c>
      <c r="D8" s="2">
        <v>0</v>
      </c>
      <c r="E8" s="2">
        <v>3551114</v>
      </c>
      <c r="F8" s="2">
        <v>3130000</v>
      </c>
    </row>
    <row r="9" spans="1:6" x14ac:dyDescent="0.3">
      <c r="A9" s="1" t="s">
        <v>6</v>
      </c>
      <c r="B9" s="2">
        <f t="shared" si="0"/>
        <v>-1714892</v>
      </c>
      <c r="C9" s="2">
        <v>0</v>
      </c>
      <c r="D9" s="2">
        <v>0</v>
      </c>
      <c r="E9" s="2">
        <v>1714892</v>
      </c>
      <c r="F9" s="2">
        <v>1459000</v>
      </c>
    </row>
    <row r="10" spans="1:6" x14ac:dyDescent="0.3">
      <c r="A10" s="1" t="s">
        <v>7</v>
      </c>
      <c r="B10" s="2">
        <f t="shared" si="0"/>
        <v>-442990</v>
      </c>
      <c r="C10" s="2">
        <v>0</v>
      </c>
      <c r="D10" s="2">
        <v>0</v>
      </c>
      <c r="E10" s="2">
        <v>442990</v>
      </c>
      <c r="F10" s="2">
        <v>390000</v>
      </c>
    </row>
    <row r="11" spans="1:6" x14ac:dyDescent="0.3">
      <c r="A11" s="1" t="s">
        <v>8</v>
      </c>
      <c r="B11" s="2">
        <f t="shared" si="0"/>
        <v>-1026993</v>
      </c>
      <c r="C11" s="2">
        <v>0</v>
      </c>
      <c r="D11" s="2">
        <v>0</v>
      </c>
      <c r="E11" s="2">
        <v>1026993</v>
      </c>
      <c r="F11" s="2">
        <v>855000</v>
      </c>
    </row>
    <row r="12" spans="1:6" x14ac:dyDescent="0.3">
      <c r="A12" s="1" t="s">
        <v>9</v>
      </c>
      <c r="B12" s="2">
        <f t="shared" si="0"/>
        <v>-544192</v>
      </c>
      <c r="C12" s="2">
        <v>0</v>
      </c>
      <c r="D12" s="2">
        <v>0</v>
      </c>
      <c r="E12" s="2">
        <v>544192</v>
      </c>
      <c r="F12" s="2">
        <v>493000</v>
      </c>
    </row>
    <row r="13" spans="1:6" x14ac:dyDescent="0.3">
      <c r="A13" s="1" t="s">
        <v>10</v>
      </c>
      <c r="B13" s="2">
        <f t="shared" si="0"/>
        <v>-3714157</v>
      </c>
      <c r="C13" s="2">
        <v>0</v>
      </c>
      <c r="D13" s="2">
        <v>0</v>
      </c>
      <c r="E13" s="2">
        <v>3714157</v>
      </c>
      <c r="F13" s="2">
        <v>3373000</v>
      </c>
    </row>
    <row r="14" spans="1:6" x14ac:dyDescent="0.3">
      <c r="A14" s="1" t="s">
        <v>11</v>
      </c>
      <c r="B14" s="2">
        <f t="shared" si="0"/>
        <v>-4164595</v>
      </c>
      <c r="C14" s="2">
        <v>0</v>
      </c>
      <c r="D14" s="2">
        <v>0</v>
      </c>
      <c r="E14" s="2">
        <v>4164595</v>
      </c>
      <c r="F14" s="2">
        <v>3912005</v>
      </c>
    </row>
    <row r="15" spans="1:6" ht="17.25" thickBot="1" x14ac:dyDescent="0.35">
      <c r="A15" s="4" t="s">
        <v>13</v>
      </c>
      <c r="B15" s="5">
        <f>SUM(B3:B14)</f>
        <v>-23572068</v>
      </c>
      <c r="C15" s="5">
        <f t="shared" ref="C15:F15" si="1">SUM(C3:C14)</f>
        <v>0</v>
      </c>
      <c r="D15" s="5">
        <f t="shared" si="1"/>
        <v>0</v>
      </c>
      <c r="E15" s="5">
        <f t="shared" si="1"/>
        <v>23572068</v>
      </c>
      <c r="F15" s="5">
        <f t="shared" si="1"/>
        <v>20751010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-1841990</v>
      </c>
      <c r="C3" s="2">
        <v>0</v>
      </c>
      <c r="D3" s="2">
        <v>0</v>
      </c>
      <c r="E3" s="2">
        <v>1841990</v>
      </c>
      <c r="F3" s="2">
        <v>1620000</v>
      </c>
    </row>
    <row r="4" spans="1:6" x14ac:dyDescent="0.3">
      <c r="A4" s="1" t="s">
        <v>1</v>
      </c>
      <c r="B4" s="2">
        <f t="shared" si="0"/>
        <v>-1644757</v>
      </c>
      <c r="C4" s="2">
        <v>0</v>
      </c>
      <c r="D4" s="2">
        <v>0</v>
      </c>
      <c r="E4" s="2">
        <v>1644757</v>
      </c>
      <c r="F4" s="2">
        <v>1480000</v>
      </c>
    </row>
    <row r="5" spans="1:6" x14ac:dyDescent="0.3">
      <c r="A5" s="1" t="s">
        <v>2</v>
      </c>
      <c r="B5" s="2">
        <f t="shared" si="0"/>
        <v>-1872898</v>
      </c>
      <c r="C5" s="2">
        <v>0</v>
      </c>
      <c r="D5" s="2">
        <v>0</v>
      </c>
      <c r="E5" s="2">
        <v>1872898</v>
      </c>
      <c r="F5" s="2">
        <v>1710000</v>
      </c>
    </row>
    <row r="6" spans="1:6" x14ac:dyDescent="0.3">
      <c r="A6" s="1" t="s">
        <v>3</v>
      </c>
      <c r="B6" s="2">
        <f t="shared" si="0"/>
        <v>-1582267</v>
      </c>
      <c r="C6" s="2">
        <v>0</v>
      </c>
      <c r="D6" s="2">
        <v>0</v>
      </c>
      <c r="E6" s="2">
        <v>1582267</v>
      </c>
      <c r="F6" s="2">
        <v>1342000</v>
      </c>
    </row>
    <row r="7" spans="1:6" x14ac:dyDescent="0.3">
      <c r="A7" s="1" t="s">
        <v>4</v>
      </c>
      <c r="B7" s="2">
        <f t="shared" si="0"/>
        <v>-2057928</v>
      </c>
      <c r="C7" s="2">
        <v>0</v>
      </c>
      <c r="D7" s="2">
        <v>0</v>
      </c>
      <c r="E7" s="2">
        <v>2057928</v>
      </c>
      <c r="F7" s="2">
        <v>1842000</v>
      </c>
    </row>
    <row r="8" spans="1:6" x14ac:dyDescent="0.3">
      <c r="A8" s="1" t="s">
        <v>5</v>
      </c>
      <c r="B8" s="2">
        <f t="shared" si="0"/>
        <v>-1913964</v>
      </c>
      <c r="C8" s="2">
        <v>0</v>
      </c>
      <c r="D8" s="2">
        <v>0</v>
      </c>
      <c r="E8" s="2">
        <v>1913964</v>
      </c>
      <c r="F8" s="2">
        <v>1613000</v>
      </c>
    </row>
    <row r="9" spans="1:6" x14ac:dyDescent="0.3">
      <c r="A9" s="1" t="s">
        <v>6</v>
      </c>
      <c r="B9" s="2">
        <f t="shared" si="0"/>
        <v>-1440591</v>
      </c>
      <c r="C9" s="2">
        <v>0</v>
      </c>
      <c r="D9" s="2">
        <v>0</v>
      </c>
      <c r="E9" s="2">
        <v>1440591</v>
      </c>
      <c r="F9" s="2">
        <v>1307000</v>
      </c>
    </row>
    <row r="10" spans="1:6" x14ac:dyDescent="0.3">
      <c r="A10" s="1" t="s">
        <v>7</v>
      </c>
      <c r="B10" s="2">
        <f t="shared" si="0"/>
        <v>-453098</v>
      </c>
      <c r="C10" s="2">
        <v>0</v>
      </c>
      <c r="D10" s="2">
        <v>0</v>
      </c>
      <c r="E10" s="2">
        <v>453098</v>
      </c>
      <c r="F10" s="2">
        <v>397000</v>
      </c>
    </row>
    <row r="11" spans="1:6" x14ac:dyDescent="0.3">
      <c r="A11" s="1" t="s">
        <v>8</v>
      </c>
      <c r="B11" s="2">
        <f t="shared" si="0"/>
        <v>-1669296</v>
      </c>
      <c r="C11" s="2">
        <v>0</v>
      </c>
      <c r="D11" s="2">
        <v>0</v>
      </c>
      <c r="E11" s="2">
        <v>1669296</v>
      </c>
      <c r="F11" s="2">
        <v>1443000</v>
      </c>
    </row>
    <row r="12" spans="1:6" x14ac:dyDescent="0.3">
      <c r="A12" s="1" t="s">
        <v>9</v>
      </c>
      <c r="B12" s="2">
        <f t="shared" si="0"/>
        <v>-446780</v>
      </c>
      <c r="C12" s="2">
        <v>0</v>
      </c>
      <c r="D12" s="2">
        <v>0</v>
      </c>
      <c r="E12" s="2">
        <v>446780</v>
      </c>
      <c r="F12" s="2">
        <v>465001</v>
      </c>
    </row>
    <row r="13" spans="1:6" x14ac:dyDescent="0.3">
      <c r="A13" s="1" t="s">
        <v>10</v>
      </c>
      <c r="B13" s="2">
        <f t="shared" si="0"/>
        <v>-3265151</v>
      </c>
      <c r="C13" s="2">
        <v>0</v>
      </c>
      <c r="D13" s="2">
        <v>0</v>
      </c>
      <c r="E13" s="2">
        <v>3265151</v>
      </c>
      <c r="F13" s="2">
        <v>3710000</v>
      </c>
    </row>
    <row r="14" spans="1:6" x14ac:dyDescent="0.3">
      <c r="A14" s="1" t="s">
        <v>11</v>
      </c>
      <c r="B14" s="2">
        <f t="shared" si="0"/>
        <v>-4292157</v>
      </c>
      <c r="C14" s="2">
        <v>0</v>
      </c>
      <c r="D14" s="2">
        <v>0</v>
      </c>
      <c r="E14" s="2">
        <v>4292157</v>
      </c>
      <c r="F14" s="2">
        <v>4681004</v>
      </c>
    </row>
    <row r="15" spans="1:6" ht="17.25" thickBot="1" x14ac:dyDescent="0.35">
      <c r="A15" s="4" t="s">
        <v>13</v>
      </c>
      <c r="B15" s="5">
        <f>SUM(B3:B14)</f>
        <v>-22480877</v>
      </c>
      <c r="C15" s="5">
        <f t="shared" ref="C15:F15" si="1">SUM(C3:C14)</f>
        <v>0</v>
      </c>
      <c r="D15" s="5">
        <f t="shared" si="1"/>
        <v>0</v>
      </c>
      <c r="E15" s="5">
        <f t="shared" si="1"/>
        <v>22480877</v>
      </c>
      <c r="F15" s="5">
        <f t="shared" si="1"/>
        <v>21610005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-527763</v>
      </c>
      <c r="C3" s="2">
        <v>0</v>
      </c>
      <c r="D3" s="2">
        <v>0</v>
      </c>
      <c r="E3" s="2">
        <v>527763</v>
      </c>
      <c r="F3" s="2">
        <v>680001</v>
      </c>
    </row>
    <row r="4" spans="1:6" x14ac:dyDescent="0.3">
      <c r="A4" s="1" t="s">
        <v>1</v>
      </c>
      <c r="B4" s="2">
        <f t="shared" si="0"/>
        <v>-1347955</v>
      </c>
      <c r="C4" s="2">
        <v>0</v>
      </c>
      <c r="D4" s="2">
        <v>0</v>
      </c>
      <c r="E4" s="2">
        <v>1347955</v>
      </c>
      <c r="F4" s="2">
        <v>1250001</v>
      </c>
    </row>
    <row r="5" spans="1:6" x14ac:dyDescent="0.3">
      <c r="A5" s="1" t="s">
        <v>2</v>
      </c>
      <c r="B5" s="2">
        <f t="shared" si="0"/>
        <v>-2329004</v>
      </c>
      <c r="C5" s="2">
        <v>0</v>
      </c>
      <c r="D5" s="2">
        <v>0</v>
      </c>
      <c r="E5" s="2">
        <v>2329004</v>
      </c>
      <c r="F5" s="2">
        <v>2237713</v>
      </c>
    </row>
    <row r="6" spans="1:6" x14ac:dyDescent="0.3">
      <c r="A6" s="1" t="s">
        <v>3</v>
      </c>
      <c r="B6" s="2">
        <f t="shared" si="0"/>
        <v>-2206458</v>
      </c>
      <c r="C6" s="2">
        <v>0</v>
      </c>
      <c r="D6" s="2">
        <v>0</v>
      </c>
      <c r="E6" s="2">
        <v>2206458</v>
      </c>
      <c r="F6" s="2">
        <v>2178000</v>
      </c>
    </row>
    <row r="7" spans="1:6" x14ac:dyDescent="0.3">
      <c r="A7" s="1" t="s">
        <v>4</v>
      </c>
      <c r="B7" s="2">
        <f t="shared" si="0"/>
        <v>-1920357</v>
      </c>
      <c r="C7" s="2">
        <v>0</v>
      </c>
      <c r="D7" s="2">
        <v>0</v>
      </c>
      <c r="E7" s="2">
        <v>1920357</v>
      </c>
      <c r="F7" s="2">
        <v>1814000</v>
      </c>
    </row>
    <row r="8" spans="1:6" x14ac:dyDescent="0.3">
      <c r="A8" s="1" t="s">
        <v>5</v>
      </c>
      <c r="B8" s="2">
        <f t="shared" si="0"/>
        <v>-1181725</v>
      </c>
      <c r="C8" s="2">
        <v>0</v>
      </c>
      <c r="D8" s="2">
        <v>0</v>
      </c>
      <c r="E8" s="2">
        <v>1181725</v>
      </c>
      <c r="F8" s="2">
        <v>1119000</v>
      </c>
    </row>
    <row r="9" spans="1:6" x14ac:dyDescent="0.3">
      <c r="A9" s="1" t="s">
        <v>6</v>
      </c>
      <c r="B9" s="2">
        <f t="shared" si="0"/>
        <v>-2479005</v>
      </c>
      <c r="C9" s="2">
        <v>0</v>
      </c>
      <c r="D9" s="2">
        <v>0</v>
      </c>
      <c r="E9" s="2">
        <v>2479005</v>
      </c>
      <c r="F9" s="2">
        <v>2248000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-11992267</v>
      </c>
      <c r="C15" s="5">
        <f t="shared" ref="C15:F15" si="1">SUM(C3:C14)</f>
        <v>0</v>
      </c>
      <c r="D15" s="5">
        <f t="shared" si="1"/>
        <v>0</v>
      </c>
      <c r="E15" s="5">
        <f t="shared" si="1"/>
        <v>11992267</v>
      </c>
      <c r="F15" s="5">
        <f t="shared" si="1"/>
        <v>11526715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2026-08-24T07:07:23Z</dcterms:modified>
</cp:coreProperties>
</file>