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'Schedule'!$D$1:$DH$65</definedName>
  </definedNames>
  <calcPr calcId="162913" fullCalcOnLoad="1"/>
</workbook>
</file>

<file path=xl/styles.xml><?xml version="1.0" encoding="utf-8"?>
<styleSheet xmlns="http://schemas.openxmlformats.org/spreadsheetml/2006/main">
  <numFmts count="7">
    <numFmt numFmtId="164" formatCode="0.0_);[Red]\(0.0\)"/>
    <numFmt numFmtId="165" formatCode="0.0"/>
    <numFmt numFmtId="166" formatCode="0_);[Red]\(0\)"/>
    <numFmt numFmtId="167" formatCode="0.00_);[Red]\(0.00\)"/>
    <numFmt numFmtId="168" formatCode="yyyy\-mm\-dd"/>
    <numFmt numFmtId="169" formatCode="0_ "/>
    <numFmt numFmtId="170" formatCode="#,##0.0_ "/>
  </numFmts>
  <fonts count="64">
    <font>
      <name val="맑은 고딕"/>
      <family val="2"/>
      <color theme="1"/>
      <sz val="11"/>
      <scheme val="minor"/>
    </font>
    <font>
      <name val="맑은 고딕"/>
      <charset val="129"/>
      <family val="3"/>
      <sz val="8"/>
      <scheme val="minor"/>
    </font>
    <font>
      <name val="돋움"/>
      <charset val="129"/>
      <family val="3"/>
      <color theme="10"/>
      <sz val="11"/>
      <u val="single"/>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Calibri"/>
      <charset val="129"/>
      <family val="3"/>
      <sz val="11"/>
    </font>
    <font>
      <name val="맑은 고딕"/>
      <charset val="129"/>
      <family val="3"/>
      <color theme="1"/>
      <sz val="9"/>
      <scheme val="minor"/>
    </font>
    <font>
      <name val="맑은 고딕"/>
      <charset val="129"/>
      <family val="3"/>
      <color rgb="FFFF0000"/>
      <sz val="9"/>
      <scheme val="minor"/>
    </font>
    <font>
      <name val="Calibri"/>
      <family val="2"/>
      <b val="1"/>
      <color rgb="FFFF8800"/>
      <sz val="9"/>
    </font>
    <font>
      <name val="돋움"/>
      <charset val="129"/>
      <family val="3"/>
      <b val="1"/>
      <color rgb="FFFF8800"/>
      <sz val="9"/>
    </font>
  </fonts>
  <fills count="22">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s>
  <borders count="36">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style="thin">
        <color theme="0" tint="-0.1499069185460982"/>
      </top>
      <bottom/>
      <diagonal/>
    </border>
    <border>
      <left style="thin">
        <color indexed="64"/>
      </left>
      <right style="thin">
        <color indexed="64"/>
      </right>
      <top style="thin">
        <color indexed="64"/>
      </top>
      <bottom style="thin">
        <color indexed="64"/>
      </bottom>
      <diagonal/>
    </border>
    <border>
      <left/>
      <right/>
      <top/>
      <bottom style="thin">
        <color theme="0" tint="-0.1499374370555742"/>
      </bottom>
      <diagonal/>
    </border>
    <border>
      <left/>
      <right/>
      <top style="thin">
        <color theme="0" tint="-0.1499374370555742"/>
      </top>
      <bottom/>
      <diagonal/>
    </border>
    <border>
      <left/>
      <right/>
      <top/>
      <bottom style="thin">
        <color theme="0" tint="-0.1499069185460982"/>
      </bottom>
      <diagonal/>
    </border>
    <border>
      <left/>
      <right/>
      <top/>
      <bottom style="thin">
        <color theme="0" tint="-0.1498764000366222"/>
      </bottom>
      <diagonal/>
    </border>
    <border>
      <left/>
      <right/>
      <top style="thin">
        <color theme="0" tint="-0.1498764000366222"/>
      </top>
      <bottom/>
      <diagonal/>
    </border>
    <border>
      <left/>
      <right/>
      <top/>
      <bottom style="thin">
        <color theme="0" tint="-0.1498764000366222"/>
      </bottom>
      <diagonal/>
    </border>
    <border>
      <left style="thin">
        <color theme="0" tint="-0.1499069185460982"/>
      </left>
      <right style="thin">
        <color theme="0" tint="-0.1499069185460982"/>
      </right>
      <top style="thin">
        <color theme="0" tint="-0.1499069185460982"/>
      </top>
      <bottom style="thin">
        <color theme="0" tint="-0.1499069185460982"/>
      </bottom>
      <diagonal/>
    </border>
    <border>
      <left/>
      <right/>
      <top/>
      <bottom style="thin">
        <color indexed="64"/>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374370555742"/>
      </left>
      <right style="thin">
        <color theme="0" tint="-0.1499374370555742"/>
      </right>
      <top/>
      <bottom style="thin">
        <color theme="0" tint="-0.1499374370555742"/>
      </bottom>
      <diagonal/>
    </border>
    <border>
      <left/>
      <right style="thin">
        <color theme="0" tint="-0.1499069185460982"/>
      </right>
      <top style="thin">
        <color theme="0" tint="-0.1499069185460982"/>
      </top>
      <bottom style="thin">
        <color theme="0" tint="-0.1499069185460982"/>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069185460982"/>
      </right>
      <top style="thin">
        <color theme="0" tint="-0.1499069185460982"/>
      </top>
      <bottom/>
      <diagonal/>
    </border>
  </borders>
  <cellStyleXfs count="3">
    <xf numFmtId="0" fontId="28" fillId="0" borderId="0"/>
    <xf numFmtId="0" fontId="2" fillId="0" borderId="0"/>
    <xf numFmtId="9" fontId="28" fillId="0" borderId="0" applyAlignment="1">
      <alignment vertical="center"/>
    </xf>
  </cellStyleXfs>
  <cellXfs count="324">
    <xf numFmtId="0" fontId="0" fillId="0" borderId="0" pivotButton="0" quotePrefix="0" xfId="0"/>
    <xf numFmtId="0" fontId="3" fillId="0" borderId="0" applyAlignment="1" pivotButton="0" quotePrefix="0" xfId="0">
      <alignment vertical="center"/>
    </xf>
    <xf numFmtId="14" fontId="5" fillId="0" borderId="0" applyAlignment="1" pivotButton="0" quotePrefix="0" xfId="0">
      <alignment vertical="center"/>
    </xf>
    <xf numFmtId="14" fontId="6" fillId="0" borderId="0" applyAlignment="1" pivotButton="0" quotePrefix="0" xfId="0">
      <alignment vertical="center"/>
    </xf>
    <xf numFmtId="14" fontId="7" fillId="2" borderId="0" pivotButton="0" quotePrefix="1" xfId="0"/>
    <xf numFmtId="14" fontId="7" fillId="2" borderId="0" applyAlignment="1" pivotButton="0" quotePrefix="0" xfId="0">
      <alignment vertical="center"/>
    </xf>
    <xf numFmtId="0" fontId="7" fillId="2" borderId="0" pivotButton="0" quotePrefix="0" xfId="0"/>
    <xf numFmtId="14" fontId="8" fillId="2" borderId="0" applyAlignment="1" pivotButton="0" quotePrefix="0" xfId="0">
      <alignment vertical="center"/>
    </xf>
    <xf numFmtId="14" fontId="7" fillId="0" borderId="6" applyAlignment="1" applyProtection="1" pivotButton="0" quotePrefix="0" xfId="0">
      <alignment vertical="top"/>
      <protection locked="0" hidden="0"/>
    </xf>
    <xf numFmtId="14" fontId="7" fillId="0" borderId="6" applyAlignment="1" applyProtection="1" pivotButton="0" quotePrefix="0" xfId="0">
      <alignment vertical="center"/>
      <protection locked="0" hidden="0"/>
    </xf>
    <xf numFmtId="0" fontId="7" fillId="0" borderId="6" applyAlignment="1" applyProtection="1" pivotButton="0" quotePrefix="0" xfId="0">
      <alignment vertical="top"/>
      <protection locked="0" hidden="0"/>
    </xf>
    <xf numFmtId="0" fontId="7" fillId="0" borderId="6" applyAlignment="1" applyProtection="1" pivotButton="0" quotePrefix="0" xfId="0">
      <alignment vertical="center" wrapText="1"/>
      <protection locked="0" hidden="0"/>
    </xf>
    <xf numFmtId="0" fontId="7" fillId="0" borderId="6"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10" fillId="0" borderId="0" applyAlignment="1" applyProtection="1" pivotButton="0" quotePrefix="0" xfId="0">
      <alignment horizontal="right" vertical="top"/>
      <protection locked="0" hidden="0"/>
    </xf>
    <xf numFmtId="14" fontId="10" fillId="0" borderId="8" applyAlignment="1" applyProtection="1" pivotButton="0" quotePrefix="0" xfId="0">
      <alignment horizontal="right" vertical="top"/>
      <protection locked="0" hidden="0"/>
    </xf>
    <xf numFmtId="14" fontId="7" fillId="0" borderId="8" applyAlignment="1" applyProtection="1" pivotButton="0" quotePrefix="0" xfId="0">
      <alignment vertical="center"/>
      <protection locked="0" hidden="0"/>
    </xf>
    <xf numFmtId="0" fontId="7" fillId="0" borderId="8" applyAlignment="1" applyProtection="1" pivotButton="0" quotePrefix="0" xfId="0">
      <alignment vertical="top"/>
      <protection locked="0" hidden="0"/>
    </xf>
    <xf numFmtId="0" fontId="7" fillId="0" borderId="8" applyAlignment="1" applyProtection="1" pivotButton="0" quotePrefix="0" xfId="0">
      <alignment vertical="center"/>
      <protection locked="0" hidden="0"/>
    </xf>
    <xf numFmtId="14" fontId="10"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9" applyAlignment="1" applyProtection="1" pivotButton="0" quotePrefix="0" xfId="0">
      <alignment vertical="center" wrapText="1"/>
      <protection locked="0" hidden="0"/>
    </xf>
    <xf numFmtId="14" fontId="7" fillId="0" borderId="0" applyAlignment="1" applyProtection="1" pivotButton="0" quotePrefix="0" xfId="0">
      <alignment vertical="top"/>
      <protection locked="0" hidden="0"/>
    </xf>
    <xf numFmtId="14" fontId="10" fillId="0" borderId="8" applyAlignment="1" applyProtection="1" pivotButton="0" quotePrefix="0" xfId="0">
      <alignment vertical="top"/>
      <protection locked="0" hidden="0"/>
    </xf>
    <xf numFmtId="0" fontId="7" fillId="0" borderId="8" applyAlignment="1" applyProtection="1" pivotButton="0" quotePrefix="0" xfId="0">
      <alignment vertical="center" wrapText="1"/>
      <protection locked="0" hidden="0"/>
    </xf>
    <xf numFmtId="14" fontId="10" fillId="0" borderId="9" applyAlignment="1" applyProtection="1" pivotButton="0" quotePrefix="0" xfId="0">
      <alignment vertical="center" wrapText="1"/>
      <protection locked="0" hidden="0"/>
    </xf>
    <xf numFmtId="14" fontId="10" fillId="0" borderId="0" applyAlignment="1" applyProtection="1" pivotButton="0" quotePrefix="0" xfId="0">
      <alignment horizontal="right" vertical="center" wrapText="1"/>
      <protection locked="0" hidden="0"/>
    </xf>
    <xf numFmtId="14" fontId="10" fillId="0" borderId="8" applyAlignment="1" applyProtection="1" pivotButton="0" quotePrefix="0" xfId="0">
      <alignment vertical="center" wrapText="1"/>
      <protection locked="0" hidden="0"/>
    </xf>
    <xf numFmtId="0" fontId="7" fillId="0" borderId="8" applyProtection="1" pivotButton="0" quotePrefix="0" xfId="0">
      <protection locked="0" hidden="0"/>
    </xf>
    <xf numFmtId="0" fontId="7" fillId="0" borderId="0" applyProtection="1" pivotButton="0" quotePrefix="0" xfId="0">
      <protection locked="0" hidden="0"/>
    </xf>
    <xf numFmtId="14" fontId="7" fillId="0" borderId="0" applyProtection="1" pivotButton="0" quotePrefix="0" xfId="0">
      <protection locked="0" hidden="0"/>
    </xf>
    <xf numFmtId="14" fontId="7" fillId="0" borderId="9" applyAlignment="1" applyProtection="1" pivotButton="0" quotePrefix="0" xfId="0">
      <alignment vertical="center"/>
      <protection locked="0" hidden="0"/>
    </xf>
    <xf numFmtId="0" fontId="7" fillId="0" borderId="9" applyProtection="1" pivotButton="0" quotePrefix="0" xfId="0">
      <protection locked="0" hidden="0"/>
    </xf>
    <xf numFmtId="14" fontId="7" fillId="0" borderId="10" applyAlignment="1" applyProtection="1" pivotButton="0" quotePrefix="0" xfId="0">
      <alignment vertical="center"/>
      <protection locked="0" hidden="0"/>
    </xf>
    <xf numFmtId="0" fontId="7" fillId="0" borderId="10" applyAlignment="1" applyProtection="1" pivotButton="0" quotePrefix="0" xfId="0">
      <alignment vertical="top"/>
      <protection locked="0" hidden="0"/>
    </xf>
    <xf numFmtId="14" fontId="10" fillId="0" borderId="9" applyProtection="1" pivotButton="0" quotePrefix="0" xfId="0">
      <protection locked="0" hidden="0"/>
    </xf>
    <xf numFmtId="10" fontId="7" fillId="4" borderId="7" applyAlignment="1" applyProtection="1" pivotButton="0" quotePrefix="0" xfId="0">
      <alignment vertical="center"/>
      <protection locked="0" hidden="0"/>
    </xf>
    <xf numFmtId="14" fontId="10" fillId="0" borderId="10" applyAlignment="1" applyProtection="1" pivotButton="0" quotePrefix="0" xfId="0">
      <alignment horizontal="right" vertical="top"/>
      <protection locked="0" hidden="0"/>
    </xf>
    <xf numFmtId="14" fontId="10" fillId="0" borderId="6" applyAlignment="1" applyProtection="1" pivotButton="0" quotePrefix="0" xfId="0">
      <alignment horizontal="right" vertical="top"/>
      <protection locked="0" hidden="0"/>
    </xf>
    <xf numFmtId="14" fontId="10" fillId="0" borderId="11" applyAlignment="1" applyProtection="1" pivotButton="0" quotePrefix="0" xfId="0">
      <alignment horizontal="right" vertical="top"/>
      <protection locked="0" hidden="0"/>
    </xf>
    <xf numFmtId="14" fontId="7" fillId="0" borderId="11" applyAlignment="1" applyProtection="1" pivotButton="0" quotePrefix="0" xfId="0">
      <alignment vertical="center"/>
      <protection locked="0" hidden="0"/>
    </xf>
    <xf numFmtId="0" fontId="7" fillId="0" borderId="11" applyAlignment="1" applyProtection="1" pivotButton="0" quotePrefix="0" xfId="0">
      <alignment vertical="top"/>
      <protection locked="0" hidden="0"/>
    </xf>
    <xf numFmtId="14" fontId="10" fillId="0" borderId="12" applyAlignment="1" applyProtection="1" pivotButton="0" quotePrefix="0" xfId="0">
      <alignment vertical="top"/>
      <protection locked="0" hidden="0"/>
    </xf>
    <xf numFmtId="14" fontId="7" fillId="0" borderId="12" applyAlignment="1" applyProtection="1" pivotButton="0" quotePrefix="0" xfId="0">
      <alignment vertical="center"/>
      <protection locked="0" hidden="0"/>
    </xf>
    <xf numFmtId="0" fontId="7" fillId="0" borderId="12" applyAlignment="1" applyProtection="1" pivotButton="0" quotePrefix="0" xfId="0">
      <alignment vertical="top"/>
      <protection locked="0" hidden="0"/>
    </xf>
    <xf numFmtId="0" fontId="7" fillId="0" borderId="9" applyAlignment="1" applyProtection="1" pivotButton="0" quotePrefix="0" xfId="0">
      <alignment vertical="center"/>
      <protection locked="0" hidden="0"/>
    </xf>
    <xf numFmtId="10" fontId="7" fillId="4" borderId="7" applyAlignment="1" pivotButton="0" quotePrefix="0" xfId="0">
      <alignment vertical="center"/>
    </xf>
    <xf numFmtId="14" fontId="7" fillId="0" borderId="13" applyAlignment="1" applyProtection="1" pivotButton="0" quotePrefix="0" xfId="0">
      <alignment horizontal="right" vertical="top"/>
      <protection locked="0" hidden="0"/>
    </xf>
    <xf numFmtId="14" fontId="7" fillId="0" borderId="13" applyAlignment="1" applyProtection="1" pivotButton="0" quotePrefix="0" xfId="0">
      <alignment vertical="center"/>
      <protection locked="0" hidden="0"/>
    </xf>
    <xf numFmtId="0" fontId="7" fillId="0" borderId="13" applyAlignment="1" applyProtection="1" pivotButton="0" quotePrefix="0" xfId="0">
      <alignment vertical="top"/>
      <protection locked="0" hidden="0"/>
    </xf>
    <xf numFmtId="0" fontId="7" fillId="0" borderId="13" applyAlignment="1" applyProtection="1" pivotButton="0" quotePrefix="0" xfId="0">
      <alignment vertical="center"/>
      <protection locked="0" hidden="0"/>
    </xf>
    <xf numFmtId="14" fontId="6" fillId="0" borderId="0" applyAlignment="1" applyProtection="1" pivotButton="0" quotePrefix="0" xfId="0">
      <alignment vertical="top"/>
      <protection locked="0" hidden="0"/>
    </xf>
    <xf numFmtId="14" fontId="6" fillId="0" borderId="0" applyAlignment="1" applyProtection="1" pivotButton="0" quotePrefix="0" xfId="0">
      <alignment vertical="center"/>
      <protection locked="0" hidden="0"/>
    </xf>
    <xf numFmtId="0" fontId="6" fillId="0" borderId="0" applyAlignment="1" applyProtection="1" pivotButton="0" quotePrefix="0" xfId="0">
      <alignment vertical="top"/>
      <protection locked="0" hidden="0"/>
    </xf>
    <xf numFmtId="14" fontId="6" fillId="0" borderId="0" applyProtection="1" pivotButton="0" quotePrefix="0" xfId="0">
      <protection locked="0" hidden="0"/>
    </xf>
    <xf numFmtId="0" fontId="6" fillId="0" borderId="0" applyProtection="1" pivotButton="0" quotePrefix="0" xfId="0">
      <protection locked="0" hidden="0"/>
    </xf>
    <xf numFmtId="1" fontId="6" fillId="0" borderId="0" applyAlignment="1" applyProtection="1" pivotButton="0" quotePrefix="0" xfId="0">
      <alignment vertical="center"/>
      <protection locked="0" hidden="0"/>
    </xf>
    <xf numFmtId="14" fontId="6" fillId="0" borderId="0" pivotButton="0" quotePrefix="0" xfId="0"/>
    <xf numFmtId="14" fontId="6" fillId="2" borderId="0" applyAlignment="1" pivotButton="0" quotePrefix="0" xfId="0">
      <alignment vertical="top"/>
    </xf>
    <xf numFmtId="14" fontId="12" fillId="3" borderId="14" applyAlignment="1" pivotButton="0" quotePrefix="0" xfId="0">
      <alignment horizontal="center" vertical="center"/>
    </xf>
    <xf numFmtId="14" fontId="6" fillId="0" borderId="0" applyAlignment="1" pivotButton="0" quotePrefix="0" xfId="0">
      <alignment horizontal="center" vertical="center"/>
    </xf>
    <xf numFmtId="0" fontId="7" fillId="6" borderId="15" applyAlignment="1" pivotButton="0" quotePrefix="0" xfId="0">
      <alignment horizontal="left" vertical="top"/>
    </xf>
    <xf numFmtId="0" fontId="7" fillId="0" borderId="0" applyAlignment="1" pivotButton="0" quotePrefix="0" xfId="0">
      <alignment horizontal="left" vertical="top"/>
    </xf>
    <xf numFmtId="0" fontId="7" fillId="0" borderId="0" applyAlignment="1" pivotButton="0" quotePrefix="0" xfId="0">
      <alignment vertical="top"/>
    </xf>
    <xf numFmtId="14" fontId="7" fillId="0" borderId="0" applyAlignment="1" pivotButton="0" quotePrefix="0" xfId="0">
      <alignment horizontal="left" vertical="top"/>
    </xf>
    <xf numFmtId="22" fontId="7" fillId="0" borderId="0" applyAlignment="1" pivotButton="0" quotePrefix="0" xfId="0">
      <alignment horizontal="left" vertical="top"/>
    </xf>
    <xf numFmtId="14" fontId="14" fillId="5" borderId="14" applyProtection="1" pivotButton="0" quotePrefix="0" xfId="0">
      <protection locked="0" hidden="0"/>
    </xf>
    <xf numFmtId="14" fontId="14" fillId="0" borderId="14" applyProtection="1" pivotButton="0" quotePrefix="0" xfId="0">
      <protection locked="0" hidden="0"/>
    </xf>
    <xf numFmtId="14" fontId="14" fillId="0" borderId="0" pivotButton="0" quotePrefix="0" xfId="0"/>
    <xf numFmtId="0" fontId="17" fillId="0" borderId="0" pivotButton="0" quotePrefix="0" xfId="0"/>
    <xf numFmtId="14" fontId="14" fillId="0" borderId="14" pivotButton="0" quotePrefix="0" xfId="0"/>
    <xf numFmtId="0" fontId="19" fillId="0" borderId="0" pivotButton="0" quotePrefix="0" xfId="0"/>
    <xf numFmtId="0" fontId="7" fillId="0" borderId="0" applyAlignment="1" applyProtection="1" pivotButton="0" quotePrefix="0" xfId="0">
      <alignment horizontal="center"/>
      <protection locked="0" hidden="0"/>
    </xf>
    <xf numFmtId="0" fontId="20" fillId="0" borderId="0" applyAlignment="1" applyProtection="1" pivotButton="0" quotePrefix="0" xfId="0">
      <alignment horizontal="center"/>
      <protection locked="0" hidden="0"/>
    </xf>
    <xf numFmtId="0" fontId="21" fillId="0" borderId="0" applyProtection="1" pivotButton="0" quotePrefix="0" xfId="0">
      <protection locked="0" hidden="0"/>
    </xf>
    <xf numFmtId="0" fontId="7" fillId="0" borderId="0" applyAlignment="1" applyProtection="1" pivotButton="0" quotePrefix="0" xfId="0">
      <alignment vertical="center"/>
      <protection locked="0" hidden="0"/>
    </xf>
    <xf numFmtId="0" fontId="22" fillId="10" borderId="16" applyAlignment="1" applyProtection="1" pivotButton="0" quotePrefix="0" xfId="1">
      <alignment horizontal="center" vertical="center" wrapText="1"/>
      <protection locked="0" hidden="0"/>
    </xf>
    <xf numFmtId="0" fontId="22" fillId="9" borderId="16" applyAlignment="1" applyProtection="1" pivotButton="0" quotePrefix="0" xfId="1">
      <alignment horizontal="center" vertical="center" wrapText="1"/>
      <protection locked="0" hidden="0"/>
    </xf>
    <xf numFmtId="0" fontId="22" fillId="11" borderId="16" applyAlignment="1" applyProtection="1" pivotButton="0" quotePrefix="0" xfId="1">
      <alignment horizontal="center" vertical="center" wrapText="1"/>
      <protection locked="0" hidden="0"/>
    </xf>
    <xf numFmtId="0" fontId="22" fillId="12" borderId="16" applyAlignment="1" applyProtection="1" pivotButton="0" quotePrefix="0" xfId="1">
      <alignment horizontal="center" vertical="center" wrapText="1"/>
      <protection locked="0" hidden="0"/>
    </xf>
    <xf numFmtId="0" fontId="22" fillId="8" borderId="16" applyAlignment="1" applyProtection="1" pivotButton="0" quotePrefix="0" xfId="1">
      <alignment horizontal="center" vertical="center" wrapText="1"/>
      <protection locked="0" hidden="0"/>
    </xf>
    <xf numFmtId="0" fontId="23" fillId="8" borderId="16" applyAlignment="1" applyProtection="1" pivotButton="0" quotePrefix="0" xfId="1">
      <alignment horizontal="center" vertical="center" wrapText="1"/>
      <protection locked="0" hidden="0"/>
    </xf>
    <xf numFmtId="0" fontId="19" fillId="0" borderId="0" applyAlignment="1" pivotButton="0" quotePrefix="0" xfId="0">
      <alignment vertical="center"/>
    </xf>
    <xf numFmtId="0" fontId="19" fillId="0" borderId="0" applyAlignment="1" pivotButton="0" quotePrefix="0" xfId="0">
      <alignment horizontal="center" vertical="center"/>
    </xf>
    <xf numFmtId="0" fontId="6" fillId="0" borderId="0" applyAlignment="1" pivotButton="0" quotePrefix="0" xfId="0">
      <alignment vertical="center"/>
    </xf>
    <xf numFmtId="0" fontId="24" fillId="0" borderId="0" applyAlignment="1" applyProtection="1" pivotButton="0" quotePrefix="0" xfId="0">
      <alignment horizontal="center"/>
      <protection locked="0" hidden="0"/>
    </xf>
    <xf numFmtId="0" fontId="23" fillId="7" borderId="16" applyAlignment="1" applyProtection="1" pivotButton="0" quotePrefix="0" xfId="1">
      <alignment horizontal="center" vertical="center" wrapText="1"/>
      <protection locked="0" hidden="0"/>
    </xf>
    <xf numFmtId="0" fontId="21" fillId="0" borderId="0" applyAlignment="1" applyProtection="1" pivotButton="0" quotePrefix="0" xfId="0">
      <alignment horizontal="center"/>
      <protection locked="0" hidden="0"/>
    </xf>
    <xf numFmtId="0" fontId="24" fillId="13" borderId="0" applyAlignment="1" applyProtection="1" pivotButton="0" quotePrefix="0" xfId="0">
      <alignment horizontal="left"/>
      <protection locked="0" hidden="0"/>
    </xf>
    <xf numFmtId="0" fontId="7" fillId="13" borderId="0" applyProtection="1" pivotButton="0" quotePrefix="0" xfId="0">
      <protection locked="0" hidden="0"/>
    </xf>
    <xf numFmtId="0" fontId="21" fillId="13" borderId="0" applyProtection="1" pivotButton="0" quotePrefix="0" xfId="0">
      <protection locked="0" hidden="0"/>
    </xf>
    <xf numFmtId="0" fontId="7" fillId="13" borderId="0" applyAlignment="1" applyProtection="1" pivotButton="0" quotePrefix="0" xfId="0">
      <alignment vertical="center"/>
      <protection locked="0" hidden="0"/>
    </xf>
    <xf numFmtId="0" fontId="19" fillId="0" borderId="0" applyAlignment="1" pivotButton="0" quotePrefix="0" xfId="0">
      <alignment horizontal="center"/>
    </xf>
    <xf numFmtId="0" fontId="2" fillId="0" borderId="17" applyAlignment="1" applyProtection="1" pivotButton="0" quotePrefix="0" xfId="1">
      <alignment horizontal="center" vertical="center" wrapText="1"/>
      <protection locked="0" hidden="0"/>
    </xf>
    <xf numFmtId="0" fontId="16" fillId="0" borderId="4" applyAlignment="1" applyProtection="1" pivotButton="0" quotePrefix="0" xfId="0">
      <alignment horizontal="left" vertical="center"/>
      <protection locked="0" hidden="0"/>
    </xf>
    <xf numFmtId="0" fontId="16" fillId="15" borderId="0" applyAlignment="1" pivotButton="0" quotePrefix="0" xfId="0">
      <alignment horizontal="left" vertical="center"/>
    </xf>
    <xf numFmtId="0" fontId="16" fillId="0" borderId="22" applyAlignment="1" applyProtection="1" pivotButton="0" quotePrefix="0" xfId="0">
      <alignment vertical="top"/>
      <protection locked="0" hidden="0"/>
    </xf>
    <xf numFmtId="0" fontId="16" fillId="0" borderId="22" applyAlignment="1" applyProtection="1" pivotButton="0" quotePrefix="0" xfId="0">
      <alignment horizontal="left" vertical="top"/>
      <protection locked="0" hidden="0"/>
    </xf>
    <xf numFmtId="14" fontId="16" fillId="0" borderId="22" applyAlignment="1" applyProtection="1" pivotButton="0" quotePrefix="0" xfId="0">
      <alignment horizontal="center" vertical="top"/>
      <protection locked="0" hidden="0"/>
    </xf>
    <xf numFmtId="1" fontId="16" fillId="0" borderId="22" applyAlignment="1" applyProtection="1" pivotButton="0" quotePrefix="0" xfId="0">
      <alignment horizontal="center" vertical="top"/>
      <protection locked="0" hidden="0"/>
    </xf>
    <xf numFmtId="0" fontId="16" fillId="0" borderId="5" applyAlignment="1" applyProtection="1" pivotButton="0" quotePrefix="0" xfId="0">
      <alignment vertical="top"/>
      <protection locked="0" hidden="0"/>
    </xf>
    <xf numFmtId="0" fontId="16" fillId="0" borderId="5" applyAlignment="1" applyProtection="1" pivotButton="0" quotePrefix="0" xfId="0">
      <alignment horizontal="center" vertical="top"/>
      <protection locked="0" hidden="0"/>
    </xf>
    <xf numFmtId="0" fontId="16" fillId="0" borderId="5" applyAlignment="1" applyProtection="1" pivotButton="0" quotePrefix="0" xfId="0">
      <alignment horizontal="left" vertical="top"/>
      <protection locked="0" hidden="0"/>
    </xf>
    <xf numFmtId="14" fontId="16" fillId="0" borderId="5" applyAlignment="1" applyProtection="1" pivotButton="0" quotePrefix="0" xfId="0">
      <alignment horizontal="center" vertical="top"/>
      <protection locked="0" hidden="0"/>
    </xf>
    <xf numFmtId="1" fontId="16" fillId="0" borderId="5" applyAlignment="1" applyProtection="1" pivotButton="0" quotePrefix="0" xfId="0">
      <alignment horizontal="center" vertical="top"/>
      <protection locked="0" hidden="0"/>
    </xf>
    <xf numFmtId="10" fontId="16" fillId="0" borderId="5" applyAlignment="1" applyProtection="1" pivotButton="0" quotePrefix="0" xfId="0">
      <alignment horizontal="right" vertical="top" wrapText="1"/>
      <protection locked="0" hidden="0"/>
    </xf>
    <xf numFmtId="10" fontId="16" fillId="0" borderId="5" applyAlignment="1" applyProtection="1" pivotButton="0" quotePrefix="0" xfId="0">
      <alignment horizontal="right" vertical="top"/>
      <protection locked="0" hidden="0"/>
    </xf>
    <xf numFmtId="10" fontId="16" fillId="0" borderId="22" applyAlignment="1" applyProtection="1" pivotButton="0" quotePrefix="0" xfId="2">
      <alignment horizontal="right" vertical="top" wrapText="1"/>
      <protection locked="0" hidden="0"/>
    </xf>
    <xf numFmtId="0" fontId="16" fillId="0" borderId="22" applyAlignment="1" applyProtection="1" pivotButton="0" quotePrefix="1" xfId="0">
      <alignment horizontal="left" vertical="top"/>
      <protection locked="0" hidden="0"/>
    </xf>
    <xf numFmtId="0" fontId="16" fillId="0" borderId="23" applyAlignment="1" applyProtection="1" pivotButton="0" quotePrefix="0" xfId="0">
      <alignment horizontal="left" vertical="center"/>
      <protection locked="0" hidden="0"/>
    </xf>
    <xf numFmtId="0" fontId="16" fillId="0" borderId="27" applyAlignment="1" applyProtection="1" pivotButton="0" quotePrefix="0" xfId="0">
      <alignment horizontal="left" vertical="center"/>
      <protection locked="0" hidden="0"/>
    </xf>
    <xf numFmtId="0" fontId="16" fillId="0" borderId="28" applyAlignment="1" applyProtection="1" pivotButton="0" quotePrefix="0" xfId="0">
      <alignment horizontal="left" vertical="center"/>
      <protection locked="0" hidden="0"/>
    </xf>
    <xf numFmtId="0" fontId="7" fillId="18" borderId="0" applyAlignment="1" pivotButton="0" quotePrefix="0" xfId="0">
      <alignment vertical="top"/>
    </xf>
    <xf numFmtId="0" fontId="7" fillId="18" borderId="0" applyAlignment="1" pivotButton="0" quotePrefix="0" xfId="0">
      <alignment horizontal="left" vertical="top"/>
    </xf>
    <xf numFmtId="0" fontId="32" fillId="3" borderId="1" applyAlignment="1" pivotButton="0" quotePrefix="0" xfId="0">
      <alignment horizontal="center" vertical="center"/>
    </xf>
    <xf numFmtId="0" fontId="32" fillId="3" borderId="1" applyAlignment="1" pivotButton="0" quotePrefix="0" xfId="0">
      <alignment horizontal="center" vertical="center" wrapText="1"/>
    </xf>
    <xf numFmtId="0" fontId="33" fillId="0" borderId="0" applyAlignment="1" pivotButton="0" quotePrefix="0" xfId="0">
      <alignment vertical="top"/>
    </xf>
    <xf numFmtId="0" fontId="33" fillId="0" borderId="0" applyAlignment="1" pivotButton="0" quotePrefix="0" xfId="0">
      <alignment horizontal="center" vertical="top"/>
    </xf>
    <xf numFmtId="0" fontId="34" fillId="0" borderId="0" applyAlignment="1" pivotButton="0" quotePrefix="0" xfId="0">
      <alignment vertical="top"/>
    </xf>
    <xf numFmtId="0" fontId="33" fillId="0" borderId="0" applyAlignment="1" pivotButton="0" quotePrefix="0" xfId="0">
      <alignment vertical="top" wrapText="1"/>
    </xf>
    <xf numFmtId="0" fontId="33" fillId="0" borderId="0" applyAlignment="1" pivotButton="0" quotePrefix="0" xfId="0">
      <alignment horizontal="left" vertical="top" wrapText="1"/>
    </xf>
    <xf numFmtId="0" fontId="33" fillId="0" borderId="0" applyAlignment="1" pivotButton="0" quotePrefix="0" xfId="0">
      <alignment horizontal="left" vertical="top"/>
    </xf>
    <xf numFmtId="0" fontId="34" fillId="0" borderId="0" applyAlignment="1" pivotButton="0" quotePrefix="0" xfId="0">
      <alignment horizontal="left" vertical="top"/>
    </xf>
    <xf numFmtId="14" fontId="33" fillId="0" borderId="0" applyAlignment="1" pivotButton="0" quotePrefix="0" xfId="0">
      <alignment horizontal="left" vertical="top" wrapText="1"/>
    </xf>
    <xf numFmtId="0" fontId="33" fillId="0" borderId="0" pivotButton="0" quotePrefix="0" xfId="0"/>
    <xf numFmtId="0" fontId="31" fillId="0" borderId="0" applyAlignment="1" pivotButton="0" quotePrefix="0" xfId="0">
      <alignment horizontal="left" vertical="top"/>
    </xf>
    <xf numFmtId="0" fontId="34" fillId="0" borderId="0" applyAlignment="1" pivotButton="0" quotePrefix="0" xfId="0">
      <alignment horizontal="left" vertical="top" wrapText="1"/>
    </xf>
    <xf numFmtId="0" fontId="36" fillId="7" borderId="16" applyAlignment="1" applyProtection="1" pivotButton="0" quotePrefix="0" xfId="1">
      <alignment horizontal="center" vertical="center" wrapText="1"/>
      <protection locked="0" hidden="0"/>
    </xf>
    <xf numFmtId="0" fontId="13" fillId="18" borderId="0" pivotButton="0" quotePrefix="0" xfId="0"/>
    <xf numFmtId="0" fontId="2" fillId="18" borderId="0" applyAlignment="1" pivotButton="0" quotePrefix="0" xfId="1">
      <alignment horizontal="left" vertical="top"/>
    </xf>
    <xf numFmtId="14" fontId="7" fillId="18" borderId="0" applyAlignment="1" pivotButton="0" quotePrefix="0" xfId="0">
      <alignment horizontal="left" vertical="top"/>
    </xf>
    <xf numFmtId="0" fontId="7" fillId="16" borderId="0" applyAlignment="1" pivotButton="0" quotePrefix="0" xfId="0">
      <alignment vertical="top"/>
    </xf>
    <xf numFmtId="0" fontId="7" fillId="16" borderId="0" applyAlignment="1" pivotButton="0" quotePrefix="1" xfId="0">
      <alignment horizontal="left" vertical="top"/>
    </xf>
    <xf numFmtId="0" fontId="7" fillId="16" borderId="0" applyAlignment="1" pivotButton="0" quotePrefix="0" xfId="0">
      <alignment horizontal="left" vertical="top"/>
    </xf>
    <xf numFmtId="0" fontId="38" fillId="0" borderId="0" applyAlignment="1" pivotButton="0" quotePrefix="0" xfId="0">
      <alignment vertical="top" wrapText="1"/>
    </xf>
    <xf numFmtId="0" fontId="39" fillId="0" borderId="0" applyAlignment="1" pivotButton="0" quotePrefix="0" xfId="0">
      <alignment vertical="top" wrapText="1"/>
    </xf>
    <xf numFmtId="0" fontId="40" fillId="0" borderId="0" applyAlignment="1" pivotButton="0" quotePrefix="0" xfId="0">
      <alignment vertical="top" wrapText="1"/>
    </xf>
    <xf numFmtId="0" fontId="26" fillId="17" borderId="20" applyAlignment="1" pivotButton="0" quotePrefix="0" xfId="0">
      <alignment vertical="center"/>
    </xf>
    <xf numFmtId="0" fontId="26" fillId="17" borderId="21" applyAlignment="1" pivotButton="0" quotePrefix="0" xfId="0">
      <alignment vertical="center"/>
    </xf>
    <xf numFmtId="0" fontId="26" fillId="17" borderId="19" pivotButton="0" quotePrefix="0" xfId="0"/>
    <xf numFmtId="0" fontId="19" fillId="17" borderId="19" pivotButton="0" quotePrefix="0" xfId="0"/>
    <xf numFmtId="0" fontId="26" fillId="17" borderId="18" applyAlignment="1" pivotButton="0" quotePrefix="0" xfId="0">
      <alignment horizontal="left"/>
    </xf>
    <xf numFmtId="0" fontId="16" fillId="0" borderId="29" applyAlignment="1" applyProtection="1" pivotButton="0" quotePrefix="0" xfId="0">
      <alignment vertical="top"/>
      <protection locked="0" hidden="0"/>
    </xf>
    <xf numFmtId="0" fontId="16" fillId="0" borderId="29" applyAlignment="1" applyProtection="1" pivotButton="0" quotePrefix="0" xfId="0">
      <alignment horizontal="center" vertical="top"/>
      <protection locked="0" hidden="0"/>
    </xf>
    <xf numFmtId="0" fontId="16" fillId="0" borderId="29" applyAlignment="1" applyProtection="1" pivotButton="0" quotePrefix="0" xfId="0">
      <alignment horizontal="left" vertical="top"/>
      <protection locked="0" hidden="0"/>
    </xf>
    <xf numFmtId="14" fontId="16" fillId="0" borderId="29" applyAlignment="1" applyProtection="1" pivotButton="0" quotePrefix="0" xfId="0">
      <alignment horizontal="center" vertical="top"/>
      <protection locked="0" hidden="0"/>
    </xf>
    <xf numFmtId="1" fontId="16" fillId="0" borderId="29" applyAlignment="1" applyProtection="1" pivotButton="0" quotePrefix="0" xfId="0">
      <alignment horizontal="center" vertical="top"/>
      <protection locked="0" hidden="0"/>
    </xf>
    <xf numFmtId="10" fontId="16" fillId="0" borderId="29" applyAlignment="1" applyProtection="1" pivotButton="0" quotePrefix="0" xfId="0">
      <alignment horizontal="right" vertical="top" wrapText="1"/>
      <protection locked="0" hidden="0"/>
    </xf>
    <xf numFmtId="10" fontId="16" fillId="0" borderId="29" applyAlignment="1" applyProtection="1" pivotButton="0" quotePrefix="0" xfId="0">
      <alignment horizontal="right" vertical="top"/>
      <protection locked="0" hidden="0"/>
    </xf>
    <xf numFmtId="0" fontId="41" fillId="0" borderId="0" applyAlignment="1" pivotButton="0" quotePrefix="0" xfId="0">
      <alignment vertical="top" wrapText="1"/>
    </xf>
    <xf numFmtId="14" fontId="43" fillId="16" borderId="24" applyAlignment="1" pivotButton="0" quotePrefix="0" xfId="0">
      <alignment horizontal="center" vertical="center"/>
    </xf>
    <xf numFmtId="14" fontId="43" fillId="16" borderId="25" applyAlignment="1" pivotButton="0" quotePrefix="0" xfId="0">
      <alignment horizontal="center" vertical="center"/>
    </xf>
    <xf numFmtId="0" fontId="44" fillId="15" borderId="0" applyAlignment="1" pivotButton="0" quotePrefix="0" xfId="0">
      <alignment horizontal="left"/>
    </xf>
    <xf numFmtId="0" fontId="45" fillId="15" borderId="0" applyAlignment="1" pivotButton="0" quotePrefix="0" xfId="0">
      <alignment horizontal="left"/>
    </xf>
    <xf numFmtId="0" fontId="49" fillId="15" borderId="0" applyAlignment="1" pivotButton="0" quotePrefix="0" xfId="1">
      <alignment horizontal="right"/>
    </xf>
    <xf numFmtId="10" fontId="49" fillId="15" borderId="0" applyAlignment="1" pivotButton="0" quotePrefix="0" xfId="0">
      <alignment horizontal="right"/>
    </xf>
    <xf numFmtId="0" fontId="50" fillId="15" borderId="0" pivotButton="0" quotePrefix="0" xfId="1"/>
    <xf numFmtId="0" fontId="50" fillId="15" borderId="0" applyAlignment="1" pivotButton="0" quotePrefix="0" xfId="1">
      <alignment horizontal="right"/>
    </xf>
    <xf numFmtId="0" fontId="35" fillId="0" borderId="0" applyAlignment="1" pivotButton="0" quotePrefix="0" xfId="0">
      <alignment vertical="top" wrapText="1"/>
    </xf>
    <xf numFmtId="0" fontId="52" fillId="17" borderId="19" pivotButton="0" quotePrefix="0" xfId="0"/>
    <xf numFmtId="0" fontId="44" fillId="15" borderId="0" applyAlignment="1" pivotButton="0" quotePrefix="0" xfId="0">
      <alignment horizontal="left" vertical="top"/>
    </xf>
    <xf numFmtId="0" fontId="44" fillId="15" borderId="0" applyAlignment="1" pivotButton="0" quotePrefix="0" xfId="0">
      <alignment horizontal="left" vertical="center"/>
    </xf>
    <xf numFmtId="0" fontId="45" fillId="15" borderId="0" applyAlignment="1" pivotButton="0" quotePrefix="0" xfId="0">
      <alignment horizontal="left" vertical="top"/>
    </xf>
    <xf numFmtId="0" fontId="48" fillId="15" borderId="0" applyAlignment="1" pivotButton="0" quotePrefix="0" xfId="1">
      <alignment vertical="top" wrapText="1"/>
    </xf>
    <xf numFmtId="0" fontId="48" fillId="15" borderId="0" applyAlignment="1" pivotButton="0" quotePrefix="0" xfId="1">
      <alignment vertical="top"/>
    </xf>
    <xf numFmtId="0" fontId="49" fillId="15" borderId="0" applyAlignment="1" pivotButton="0" quotePrefix="0" xfId="0">
      <alignment horizontal="left" vertical="center"/>
    </xf>
    <xf numFmtId="0" fontId="46" fillId="15" borderId="0" applyAlignment="1" pivotButton="0" quotePrefix="0" xfId="0">
      <alignment horizontal="left" vertical="center"/>
    </xf>
    <xf numFmtId="0" fontId="46" fillId="15" borderId="0" applyAlignment="1" pivotButton="0" quotePrefix="0" xfId="0">
      <alignment vertical="center"/>
    </xf>
    <xf numFmtId="14" fontId="46" fillId="15" borderId="0" applyAlignment="1" pivotButton="0" quotePrefix="0" xfId="0">
      <alignment vertical="top"/>
    </xf>
    <xf numFmtId="14" fontId="47" fillId="15" borderId="0" applyAlignment="1" pivotButton="0" quotePrefix="0" xfId="0">
      <alignment horizontal="left" vertical="top" wrapText="1"/>
    </xf>
    <xf numFmtId="14" fontId="46" fillId="15" borderId="0" applyAlignment="1" pivotButton="0" quotePrefix="0" xfId="0">
      <alignment horizontal="center" vertical="top"/>
    </xf>
    <xf numFmtId="1" fontId="46" fillId="15" borderId="0" applyAlignment="1" pivotButton="0" quotePrefix="0" xfId="0">
      <alignment horizontal="center" vertical="top"/>
    </xf>
    <xf numFmtId="0" fontId="53" fillId="0" borderId="0" applyAlignment="1" pivotButton="0" quotePrefix="0" xfId="0">
      <alignment vertical="top" wrapText="1"/>
    </xf>
    <xf numFmtId="0" fontId="49" fillId="15" borderId="0" pivotButton="0" quotePrefix="0" xfId="0"/>
    <xf numFmtId="0" fontId="45" fillId="15" borderId="0" applyAlignment="1" pivotButton="0" quotePrefix="0" xfId="1">
      <alignment horizontal="right" vertical="center"/>
    </xf>
    <xf numFmtId="10" fontId="0" fillId="0" borderId="0" pivotButton="0" quotePrefix="0" xfId="0"/>
    <xf numFmtId="2" fontId="6" fillId="0" borderId="0" applyAlignment="1" applyProtection="1" pivotButton="0" quotePrefix="0" xfId="0">
      <alignment vertical="center"/>
      <protection locked="0" hidden="0"/>
    </xf>
    <xf numFmtId="0" fontId="4" fillId="15" borderId="0" applyAlignment="1" pivotButton="0" quotePrefix="0" xfId="0">
      <alignment horizontal="left" vertical="center"/>
    </xf>
    <xf numFmtId="0" fontId="53" fillId="0" borderId="0" applyAlignment="1" pivotButton="0" quotePrefix="1" xfId="0">
      <alignment vertical="top" wrapText="1"/>
    </xf>
    <xf numFmtId="0" fontId="38" fillId="0" borderId="0" applyAlignment="1" pivotButton="0" quotePrefix="1" xfId="0">
      <alignment vertical="top" wrapText="1"/>
    </xf>
    <xf numFmtId="10" fontId="16" fillId="15" borderId="22" applyAlignment="1" applyProtection="1" pivotButton="0" quotePrefix="0" xfId="2">
      <alignment horizontal="right" vertical="top"/>
      <protection locked="0" hidden="0"/>
    </xf>
    <xf numFmtId="0" fontId="6" fillId="19" borderId="1" applyAlignment="1" pivotButton="0" quotePrefix="0" xfId="0">
      <alignment horizontal="left" wrapText="1"/>
    </xf>
    <xf numFmtId="0" fontId="6" fillId="19" borderId="2" applyAlignment="1" pivotButton="0" quotePrefix="0" xfId="0">
      <alignment horizontal="left" wrapText="1"/>
    </xf>
    <xf numFmtId="0" fontId="55" fillId="20" borderId="7" pivotButton="0" quotePrefix="0" xfId="0"/>
    <xf numFmtId="1" fontId="0" fillId="0" borderId="0" pivotButton="0" quotePrefix="0" xfId="0"/>
    <xf numFmtId="4" fontId="0" fillId="0" borderId="0" pivotButton="0" quotePrefix="0" xfId="0"/>
    <xf numFmtId="10" fontId="54" fillId="15" borderId="22" applyAlignment="1" applyProtection="1" pivotButton="0" quotePrefix="0" xfId="2">
      <alignment horizontal="right" vertical="top"/>
      <protection locked="0" hidden="0"/>
    </xf>
    <xf numFmtId="0" fontId="43" fillId="16" borderId="26" applyAlignment="1" pivotButton="0" quotePrefix="0" xfId="0">
      <alignment horizontal="left" vertical="center"/>
    </xf>
    <xf numFmtId="0" fontId="56" fillId="0" borderId="0" applyAlignment="1" pivotButton="0" quotePrefix="0" xfId="0">
      <alignment horizontal="left" vertical="center"/>
    </xf>
    <xf numFmtId="0" fontId="58" fillId="18" borderId="0" applyAlignment="1" pivotButton="0" quotePrefix="0" xfId="0">
      <alignment vertical="top"/>
    </xf>
    <xf numFmtId="0" fontId="58" fillId="18" borderId="0" applyAlignment="1" pivotButton="0" quotePrefix="0" xfId="0">
      <alignment horizontal="left" vertical="top" wrapText="1"/>
    </xf>
    <xf numFmtId="0" fontId="16" fillId="0" borderId="22" applyAlignment="1" applyProtection="1" pivotButton="0" quotePrefix="0" xfId="0">
      <alignment horizontal="left" vertical="center"/>
      <protection locked="0" hidden="0"/>
    </xf>
    <xf numFmtId="0" fontId="60" fillId="0" borderId="0" applyAlignment="1" pivotButton="0" quotePrefix="0" xfId="0">
      <alignment vertical="top"/>
    </xf>
    <xf numFmtId="0" fontId="61" fillId="0" borderId="0" applyAlignment="1" pivotButton="0" quotePrefix="0" xfId="0">
      <alignment vertical="top"/>
    </xf>
    <xf numFmtId="0" fontId="60" fillId="0" borderId="0" applyAlignment="1" pivotButton="0" quotePrefix="0" xfId="0">
      <alignment vertical="top" wrapText="1"/>
    </xf>
    <xf numFmtId="10" fontId="6" fillId="19" borderId="2" applyAlignment="1" pivotButton="0" quotePrefix="0" xfId="0">
      <alignment horizontal="left" wrapText="1"/>
    </xf>
    <xf numFmtId="0" fontId="6" fillId="19" borderId="3" applyAlignment="1" pivotButton="0" quotePrefix="0" xfId="0">
      <alignment horizontal="left" wrapText="1"/>
    </xf>
    <xf numFmtId="0" fontId="4" fillId="0" borderId="0" applyAlignment="1" pivotButton="0" quotePrefix="0" xfId="0">
      <alignment vertical="center"/>
    </xf>
    <xf numFmtId="164" fontId="16" fillId="0" borderId="5" applyAlignment="1" applyProtection="1" pivotButton="0" quotePrefix="0" xfId="0">
      <alignment horizontal="center" vertical="top"/>
      <protection locked="0" hidden="0"/>
    </xf>
    <xf numFmtId="165" fontId="16" fillId="0" borderId="5" applyAlignment="1" applyProtection="1" pivotButton="0" quotePrefix="0" xfId="0">
      <alignment horizontal="center" vertical="top"/>
      <protection locked="0" hidden="0"/>
    </xf>
    <xf numFmtId="164" fontId="48" fillId="15" borderId="0" applyAlignment="1" pivotButton="0" quotePrefix="0" xfId="0">
      <alignment horizontal="center" vertical="top"/>
    </xf>
    <xf numFmtId="164" fontId="44" fillId="15" borderId="0" applyAlignment="1" pivotButton="0" quotePrefix="0" xfId="0">
      <alignment horizontal="center" vertical="top"/>
    </xf>
    <xf numFmtId="164" fontId="46" fillId="15" borderId="0" applyAlignment="1" pivotButton="0" quotePrefix="0" xfId="0">
      <alignment horizontal="center" vertical="top"/>
    </xf>
    <xf numFmtId="164" fontId="49" fillId="15" borderId="0" applyAlignment="1" pivotButton="0" quotePrefix="0" xfId="1">
      <alignment horizontal="right"/>
    </xf>
    <xf numFmtId="164" fontId="16" fillId="0" borderId="22" applyAlignment="1" applyProtection="1" pivotButton="0" quotePrefix="0" xfId="0">
      <alignment horizontal="center" vertical="top"/>
      <protection locked="0" hidden="0"/>
    </xf>
    <xf numFmtId="165" fontId="16" fillId="0" borderId="22" applyAlignment="1" applyProtection="1" pivotButton="0" quotePrefix="0" xfId="0">
      <alignment horizontal="center" vertical="top"/>
      <protection locked="0" hidden="0"/>
    </xf>
    <xf numFmtId="164" fontId="16" fillId="0" borderId="29" applyAlignment="1" applyProtection="1" pivotButton="0" quotePrefix="0" xfId="0">
      <alignment horizontal="center" vertical="top"/>
      <protection locked="0" hidden="0"/>
    </xf>
    <xf numFmtId="165" fontId="16" fillId="0" borderId="29" applyAlignment="1" applyProtection="1" pivotButton="0" quotePrefix="0" xfId="0">
      <alignment horizontal="center" vertical="top"/>
      <protection locked="0" hidden="0"/>
    </xf>
    <xf numFmtId="166" fontId="9" fillId="2" borderId="0" applyAlignment="1" applyProtection="1" pivotButton="0" quotePrefix="0" xfId="0">
      <alignment vertical="center"/>
      <protection locked="0" hidden="0"/>
    </xf>
    <xf numFmtId="167" fontId="7" fillId="4" borderId="7" applyAlignment="1" applyProtection="1" pivotButton="0" quotePrefix="0" xfId="0">
      <alignment vertical="center"/>
      <protection locked="0" hidden="0"/>
    </xf>
    <xf numFmtId="167" fontId="6" fillId="0" borderId="0" applyAlignment="1" applyProtection="1" pivotButton="0" quotePrefix="0" xfId="0">
      <alignment vertical="center"/>
      <protection locked="0" hidden="0"/>
    </xf>
    <xf numFmtId="166" fontId="6" fillId="0" borderId="0" applyAlignment="1" applyProtection="1" pivotButton="0" quotePrefix="0" xfId="0">
      <alignment vertical="center"/>
      <protection locked="0" hidden="0"/>
    </xf>
    <xf numFmtId="168" fontId="0" fillId="0" borderId="0" pivotButton="0" quotePrefix="0" xfId="0"/>
    <xf numFmtId="0" fontId="43" fillId="16" borderId="25" applyAlignment="1" pivotButton="0" quotePrefix="0" xfId="0">
      <alignment horizontal="left" vertical="center"/>
    </xf>
    <xf numFmtId="0" fontId="2" fillId="0" borderId="0" pivotButton="0" quotePrefix="0" xfId="1"/>
    <xf numFmtId="0" fontId="51" fillId="0" borderId="0" pivotButton="0" quotePrefix="0" xfId="1"/>
    <xf numFmtId="0" fontId="16" fillId="0" borderId="31" applyAlignment="1" applyProtection="1" pivotButton="0" quotePrefix="0" xfId="0">
      <alignment vertical="top"/>
      <protection locked="0" hidden="0"/>
    </xf>
    <xf numFmtId="0" fontId="16" fillId="0" borderId="31" applyAlignment="1" applyProtection="1" pivotButton="0" quotePrefix="1" xfId="0">
      <alignment horizontal="left" vertical="top"/>
      <protection locked="0" hidden="0"/>
    </xf>
    <xf numFmtId="0" fontId="16" fillId="0" borderId="31" applyAlignment="1" applyProtection="1" pivotButton="0" quotePrefix="0" xfId="0">
      <alignment horizontal="left" vertical="top"/>
      <protection locked="0" hidden="0"/>
    </xf>
    <xf numFmtId="14" fontId="16" fillId="0" borderId="31" applyAlignment="1" applyProtection="1" pivotButton="0" quotePrefix="0" xfId="0">
      <alignment horizontal="center" vertical="top"/>
      <protection locked="0" hidden="0"/>
    </xf>
    <xf numFmtId="164" fontId="16" fillId="0" borderId="31" applyAlignment="1" applyProtection="1" pivotButton="0" quotePrefix="0" xfId="0">
      <alignment horizontal="center" vertical="top"/>
      <protection locked="0" hidden="0"/>
    </xf>
    <xf numFmtId="165" fontId="16" fillId="0" borderId="31" applyAlignment="1" applyProtection="1" pivotButton="0" quotePrefix="0" xfId="0">
      <alignment horizontal="center" vertical="top"/>
      <protection locked="0" hidden="0"/>
    </xf>
    <xf numFmtId="1" fontId="16" fillId="0" borderId="31" applyAlignment="1" applyProtection="1" pivotButton="0" quotePrefix="0" xfId="0">
      <alignment horizontal="center" vertical="top"/>
      <protection locked="0" hidden="0"/>
    </xf>
    <xf numFmtId="10" fontId="16" fillId="0" borderId="31" applyAlignment="1" applyProtection="1" pivotButton="0" quotePrefix="0" xfId="2">
      <alignment horizontal="right" vertical="top" wrapText="1"/>
      <protection locked="0" hidden="0"/>
    </xf>
    <xf numFmtId="10" fontId="16" fillId="15" borderId="31" applyAlignment="1" applyProtection="1" pivotButton="0" quotePrefix="0" xfId="2">
      <alignment horizontal="right" vertical="top"/>
      <protection locked="0" hidden="0"/>
    </xf>
    <xf numFmtId="10" fontId="28" fillId="0" borderId="0" applyAlignment="1" pivotButton="0" quotePrefix="0" xfId="2">
      <alignment vertical="center"/>
    </xf>
    <xf numFmtId="10" fontId="28" fillId="15" borderId="0" applyAlignment="1" pivotButton="0" quotePrefix="0" xfId="2">
      <alignment vertical="center"/>
    </xf>
    <xf numFmtId="10" fontId="55" fillId="15" borderId="0" applyAlignment="1" pivotButton="0" quotePrefix="0" xfId="2">
      <alignment vertical="center"/>
    </xf>
    <xf numFmtId="0" fontId="6" fillId="0" borderId="0" pivotButton="0" quotePrefix="0" xfId="0"/>
    <xf numFmtId="10" fontId="6" fillId="0" borderId="0" pivotButton="0" quotePrefix="0" xfId="0"/>
    <xf numFmtId="0" fontId="4" fillId="0" borderId="0" applyAlignment="1" pivotButton="0" quotePrefix="0" xfId="0">
      <alignment vertical="center"/>
    </xf>
    <xf numFmtId="14" fontId="6" fillId="0" borderId="8" pivotButton="0" quotePrefix="0" xfId="0"/>
    <xf numFmtId="0" fontId="6" fillId="0" borderId="8" pivotButton="0" quotePrefix="0" xfId="0"/>
    <xf numFmtId="14" fontId="6" fillId="0" borderId="32" pivotButton="0" quotePrefix="0" xfId="0"/>
    <xf numFmtId="0" fontId="6" fillId="0" borderId="32" pivotButton="0" quotePrefix="0" xfId="0"/>
    <xf numFmtId="10" fontId="6" fillId="0" borderId="8" pivotButton="0" quotePrefix="0" xfId="0"/>
    <xf numFmtId="10" fontId="6" fillId="0" borderId="32" pivotButton="0" quotePrefix="0" xfId="0"/>
    <xf numFmtId="10" fontId="28" fillId="21" borderId="0" applyAlignment="1" pivotButton="0" quotePrefix="0" xfId="2">
      <alignment vertical="center"/>
    </xf>
    <xf numFmtId="0" fontId="16" fillId="0" borderId="22" applyAlignment="1" applyProtection="1" pivotButton="0" quotePrefix="0" xfId="0">
      <alignment horizontal="center" vertical="center"/>
      <protection locked="0" hidden="0"/>
    </xf>
    <xf numFmtId="0" fontId="0" fillId="0" borderId="22" pivotButton="0" quotePrefix="0" xfId="0"/>
    <xf numFmtId="0" fontId="0" fillId="0" borderId="22" applyAlignment="1" pivotButton="0" quotePrefix="0" xfId="0">
      <alignment horizontal="left"/>
    </xf>
    <xf numFmtId="10" fontId="55" fillId="21" borderId="0" applyAlignment="1" pivotButton="0" quotePrefix="0" xfId="2">
      <alignment vertical="center"/>
    </xf>
    <xf numFmtId="0" fontId="42" fillId="15" borderId="0" applyAlignment="1" pivotButton="0" quotePrefix="0" xfId="0">
      <alignment horizontal="left" vertical="center"/>
    </xf>
    <xf numFmtId="0" fontId="16" fillId="0" borderId="0" applyAlignment="1" pivotButton="0" quotePrefix="0" xfId="0">
      <alignment horizontal="left" vertical="center"/>
    </xf>
    <xf numFmtId="49" fontId="16" fillId="0" borderId="22" applyAlignment="1" applyProtection="1" pivotButton="0" quotePrefix="0" xfId="0">
      <alignment horizontal="left" vertical="top"/>
      <protection locked="0" hidden="0"/>
    </xf>
    <xf numFmtId="169" fontId="16" fillId="0" borderId="22" applyAlignment="1" applyProtection="1" pivotButton="0" quotePrefix="1" xfId="0">
      <alignment horizontal="left" vertical="top"/>
      <protection locked="0" hidden="0"/>
    </xf>
    <xf numFmtId="49" fontId="16" fillId="0" borderId="22" applyAlignment="1" applyProtection="1" pivotButton="0" quotePrefix="1" xfId="0">
      <alignment horizontal="left" vertical="top"/>
      <protection locked="0" hidden="0"/>
    </xf>
    <xf numFmtId="170" fontId="16" fillId="0" borderId="22" applyAlignment="1" applyProtection="1" pivotButton="0" quotePrefix="1" xfId="0">
      <alignment horizontal="left" vertical="top"/>
      <protection locked="0" hidden="0"/>
    </xf>
    <xf numFmtId="49" fontId="16" fillId="0" borderId="22" applyAlignment="1" applyProtection="1" pivotButton="0" quotePrefix="0" xfId="0">
      <alignment horizontal="left" vertical="center"/>
      <protection locked="0" hidden="0"/>
    </xf>
    <xf numFmtId="14" fontId="16" fillId="0" borderId="22" applyAlignment="1" applyProtection="1" pivotButton="0" quotePrefix="0" xfId="0">
      <alignment horizontal="center" vertical="top"/>
      <protection locked="0" hidden="0"/>
    </xf>
    <xf numFmtId="0" fontId="30" fillId="17" borderId="19" applyAlignment="1" pivotButton="0" quotePrefix="0" xfId="1">
      <alignment horizontal="right"/>
    </xf>
    <xf numFmtId="0" fontId="0" fillId="0" borderId="19" pivotButton="0" quotePrefix="0" xfId="0"/>
    <xf numFmtId="0" fontId="6" fillId="0" borderId="17" applyAlignment="1" applyProtection="1" pivotButton="0" quotePrefix="0" xfId="0">
      <alignment horizontal="left" vertical="top" wrapText="1"/>
      <protection locked="0" hidden="0"/>
    </xf>
    <xf numFmtId="0" fontId="0" fillId="0" borderId="17" applyProtection="1" pivotButton="0" quotePrefix="0" xfId="0">
      <protection locked="0" hidden="0"/>
    </xf>
    <xf numFmtId="0" fontId="6" fillId="0" borderId="17" applyAlignment="1" applyProtection="1" pivotButton="0" quotePrefix="0" xfId="0">
      <alignment horizontal="left" vertical="center" wrapText="1"/>
      <protection locked="0" hidden="0"/>
    </xf>
    <xf numFmtId="0" fontId="27" fillId="17" borderId="21" applyAlignment="1" pivotButton="0" quotePrefix="0" xfId="1">
      <alignment vertical="center"/>
    </xf>
    <xf numFmtId="0" fontId="0" fillId="0" borderId="21" pivotButton="0" quotePrefix="0" xfId="0"/>
    <xf numFmtId="0" fontId="37" fillId="0" borderId="0" applyAlignment="1" pivotButton="0" quotePrefix="0" xfId="0">
      <alignment horizontal="left" vertical="top" wrapText="1"/>
    </xf>
    <xf numFmtId="0" fontId="19" fillId="0" borderId="0" pivotButton="0" quotePrefix="0" xfId="0"/>
    <xf numFmtId="0" fontId="19" fillId="0" borderId="0" applyAlignment="1" pivotButton="0" quotePrefix="0" xfId="0">
      <alignment horizontal="center"/>
    </xf>
    <xf numFmtId="0" fontId="25" fillId="13" borderId="0" applyAlignment="1" pivotButton="0" quotePrefix="0" xfId="0">
      <alignment horizontal="left" vertical="top" wrapText="1"/>
    </xf>
    <xf numFmtId="0" fontId="7" fillId="0" borderId="0" applyProtection="1" pivotButton="0" quotePrefix="0" xfId="0">
      <protection locked="0" hidden="0"/>
    </xf>
    <xf numFmtId="0" fontId="57" fillId="0" borderId="17" applyAlignment="1" applyProtection="1" pivotButton="0" quotePrefix="0" xfId="0">
      <alignment horizontal="left" vertical="center" wrapText="1"/>
      <protection locked="0" hidden="0"/>
    </xf>
    <xf numFmtId="0" fontId="29" fillId="16" borderId="25" applyAlignment="1" pivotButton="0" quotePrefix="0" xfId="0">
      <alignment horizontal="left" vertical="center" wrapText="1"/>
    </xf>
    <xf numFmtId="0" fontId="29" fillId="16" borderId="25" applyAlignment="1" pivotButton="0" quotePrefix="0" xfId="0">
      <alignment horizontal="left" vertical="center"/>
    </xf>
    <xf numFmtId="0" fontId="29" fillId="16" borderId="26" applyAlignment="1" pivotButton="0" quotePrefix="0" xfId="0">
      <alignment horizontal="left" vertical="center"/>
    </xf>
    <xf numFmtId="0" fontId="42" fillId="15" borderId="0" applyAlignment="1" pivotButton="0" quotePrefix="0" xfId="0">
      <alignment horizontal="left" vertical="center"/>
    </xf>
    <xf numFmtId="10" fontId="15" fillId="16" borderId="2" applyAlignment="1" pivotButton="0" quotePrefix="0" xfId="0">
      <alignment horizontal="center" vertical="center" wrapText="1"/>
    </xf>
    <xf numFmtId="0" fontId="0" fillId="0" borderId="2" pivotButton="0" quotePrefix="0" xfId="0"/>
    <xf numFmtId="0" fontId="15" fillId="14" borderId="2" applyAlignment="1" pivotButton="0" quotePrefix="0" xfId="0">
      <alignment horizontal="center" vertical="center" wrapText="1"/>
    </xf>
    <xf numFmtId="14" fontId="15" fillId="7" borderId="2" applyAlignment="1" pivotButton="0" quotePrefix="0" xfId="0">
      <alignment horizontal="center" vertical="center"/>
    </xf>
    <xf numFmtId="164" fontId="15" fillId="16" borderId="2" applyAlignment="1" pivotButton="0" quotePrefix="0" xfId="0">
      <alignment horizontal="center" vertical="center" wrapText="1"/>
    </xf>
    <xf numFmtId="0" fontId="15" fillId="7" borderId="3" applyAlignment="1" pivotButton="0" quotePrefix="0" xfId="0">
      <alignment horizontal="center" vertical="center"/>
    </xf>
    <xf numFmtId="0" fontId="16" fillId="0" borderId="0" applyAlignment="1" pivotButton="0" quotePrefix="0" xfId="0">
      <alignment horizontal="left" vertical="center"/>
    </xf>
    <xf numFmtId="0" fontId="0" fillId="0" borderId="3" pivotButton="0" quotePrefix="0" xfId="0"/>
    <xf numFmtId="165" fontId="15" fillId="16" borderId="2" applyAlignment="1" pivotButton="0" quotePrefix="0" xfId="0">
      <alignment horizontal="center" vertical="center" wrapText="1"/>
    </xf>
    <xf numFmtId="1" fontId="15" fillId="16" borderId="2" applyAlignment="1" pivotButton="0" quotePrefix="0" xfId="0">
      <alignment horizontal="center" vertical="center" wrapText="1"/>
    </xf>
    <xf numFmtId="0" fontId="15" fillId="14" borderId="1" applyAlignment="1" pivotButton="0" quotePrefix="0" xfId="0">
      <alignment horizontal="center" vertical="center" wrapText="1"/>
    </xf>
    <xf numFmtId="0" fontId="0" fillId="0" borderId="1" pivotButton="0" quotePrefix="0" xfId="0"/>
    <xf numFmtId="0" fontId="15" fillId="16" borderId="2" applyAlignment="1" pivotButton="0" quotePrefix="0" xfId="0">
      <alignment horizontal="center" vertical="center"/>
    </xf>
    <xf numFmtId="14" fontId="15" fillId="7" borderId="2" applyAlignment="1" pivotButton="0" quotePrefix="0" xfId="0">
      <alignment horizontal="center" vertical="center" wrapText="1"/>
    </xf>
    <xf numFmtId="166" fontId="15" fillId="7" borderId="2" applyAlignment="1" pivotButton="0" quotePrefix="0" xfId="0">
      <alignment horizontal="center" vertical="center" wrapText="1"/>
    </xf>
    <xf numFmtId="0" fontId="15" fillId="7" borderId="2" applyAlignment="1" pivotButton="0" quotePrefix="0" xfId="0">
      <alignment horizontal="center" vertical="center"/>
    </xf>
    <xf numFmtId="164" fontId="15" fillId="16" borderId="2" applyAlignment="1" pivotButton="0" quotePrefix="0" xfId="0">
      <alignment horizontal="center" vertical="top" wrapText="1"/>
    </xf>
    <xf numFmtId="0" fontId="15" fillId="14" borderId="2" applyAlignment="1" pivotButton="0" quotePrefix="0" xfId="0">
      <alignment horizontal="center" vertical="center"/>
    </xf>
    <xf numFmtId="10" fontId="15" fillId="7" borderId="3" applyAlignment="1" pivotButton="0" quotePrefix="0" xfId="0">
      <alignment horizontal="center" vertical="center" wrapText="1"/>
    </xf>
    <xf numFmtId="0" fontId="29" fillId="16" borderId="24" applyAlignment="1" pivotButton="0" quotePrefix="0" xfId="0">
      <alignment horizontal="left" vertical="center" wrapText="1"/>
    </xf>
    <xf numFmtId="0" fontId="7" fillId="0" borderId="0"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7" fillId="0" borderId="0" applyAlignment="1" applyProtection="1" pivotButton="0" quotePrefix="0" xfId="0">
      <alignment horizontal="left" vertical="center"/>
      <protection locked="0" hidden="0"/>
    </xf>
    <xf numFmtId="14" fontId="8" fillId="2" borderId="0" applyAlignment="1" pivotButton="0" quotePrefix="0" xfId="0">
      <alignment horizontal="right" vertical="center"/>
    </xf>
    <xf numFmtId="0" fontId="7" fillId="2" borderId="0" pivotButton="0" quotePrefix="0" xfId="0"/>
    <xf numFmtId="0" fontId="4" fillId="0" borderId="0" applyAlignment="1" pivotButton="0" quotePrefix="0" xfId="0">
      <alignment horizontal="left" vertical="center"/>
    </xf>
    <xf numFmtId="14" fontId="6" fillId="0" borderId="0" applyAlignment="1" pivotButton="0" quotePrefix="0" xfId="0">
      <alignment vertical="center"/>
    </xf>
    <xf numFmtId="0" fontId="18" fillId="0" borderId="0" applyAlignment="1" applyProtection="1" pivotButton="0" quotePrefix="0" xfId="0">
      <alignment horizontal="left" vertical="center" wrapText="1"/>
      <protection locked="0" hidden="0"/>
    </xf>
    <xf numFmtId="14" fontId="11" fillId="5" borderId="14" applyAlignment="1" applyProtection="1" pivotButton="0" quotePrefix="0" xfId="0">
      <alignment horizontal="center" vertical="center"/>
      <protection locked="0" hidden="0"/>
    </xf>
    <xf numFmtId="0" fontId="0" fillId="0" borderId="30" applyProtection="1" pivotButton="0" quotePrefix="0" xfId="0">
      <protection locked="0" hidden="0"/>
    </xf>
    <xf numFmtId="14" fontId="59" fillId="2" borderId="0" applyAlignment="1" pivotButton="0" quotePrefix="0" xfId="0">
      <alignment horizontal="left" vertical="top" wrapText="1"/>
    </xf>
    <xf numFmtId="14" fontId="6" fillId="2" borderId="0" applyAlignment="1" pivotButton="0" quotePrefix="0" xfId="0">
      <alignment vertical="top"/>
    </xf>
    <xf numFmtId="10" fontId="55" fillId="18" borderId="0" applyAlignment="1" pivotButton="0" quotePrefix="0" xfId="2">
      <alignment vertical="center"/>
    </xf>
    <xf numFmtId="164" fontId="16" fillId="0" borderId="5" applyAlignment="1" applyProtection="1" pivotButton="0" quotePrefix="0" xfId="0">
      <alignment horizontal="center" vertical="top"/>
      <protection locked="0" hidden="0"/>
    </xf>
    <xf numFmtId="165" fontId="16" fillId="0" borderId="5" applyAlignment="1" applyProtection="1" pivotButton="0" quotePrefix="0" xfId="0">
      <alignment horizontal="center" vertical="top"/>
      <protection locked="0" hidden="0"/>
    </xf>
    <xf numFmtId="164" fontId="48" fillId="15" borderId="0" applyAlignment="1" pivotButton="0" quotePrefix="0" xfId="0">
      <alignment horizontal="center" vertical="top"/>
    </xf>
    <xf numFmtId="164" fontId="44" fillId="15" borderId="0" applyAlignment="1" pivotButton="0" quotePrefix="0" xfId="0">
      <alignment horizontal="center" vertical="top"/>
    </xf>
    <xf numFmtId="164" fontId="46" fillId="15" borderId="0" applyAlignment="1" pivotButton="0" quotePrefix="0" xfId="0">
      <alignment horizontal="center" vertical="top"/>
    </xf>
    <xf numFmtId="164" fontId="49" fillId="15" borderId="0" applyAlignment="1" pivotButton="0" quotePrefix="0" xfId="1">
      <alignment horizontal="right"/>
    </xf>
    <xf numFmtId="164" fontId="15" fillId="16" borderId="2" applyAlignment="1" pivotButton="0" quotePrefix="0" xfId="0">
      <alignment horizontal="center" vertical="center" wrapText="1"/>
    </xf>
    <xf numFmtId="164" fontId="15" fillId="16" borderId="2" applyAlignment="1" pivotButton="0" quotePrefix="0" xfId="0">
      <alignment horizontal="center" vertical="top" wrapText="1"/>
    </xf>
    <xf numFmtId="165" fontId="15" fillId="16" borderId="2" applyAlignment="1" pivotButton="0" quotePrefix="0" xfId="0">
      <alignment horizontal="center" vertical="center" wrapText="1"/>
    </xf>
    <xf numFmtId="166" fontId="15" fillId="7" borderId="2" applyAlignment="1" pivotButton="0" quotePrefix="0" xfId="0">
      <alignment horizontal="center" vertical="center" wrapText="1"/>
    </xf>
    <xf numFmtId="0" fontId="0" fillId="0" borderId="34" pivotButton="0" quotePrefix="0" xfId="0"/>
    <xf numFmtId="164" fontId="16" fillId="0" borderId="22" applyAlignment="1" applyProtection="1" pivotButton="0" quotePrefix="0" xfId="0">
      <alignment horizontal="center" vertical="top"/>
      <protection locked="0" hidden="0"/>
    </xf>
    <xf numFmtId="165" fontId="16" fillId="0" borderId="22" applyAlignment="1" applyProtection="1" pivotButton="0" quotePrefix="0" xfId="0">
      <alignment horizontal="center" vertical="top"/>
      <protection locked="0" hidden="0"/>
    </xf>
    <xf numFmtId="169" fontId="16" fillId="0" borderId="22" applyAlignment="1" applyProtection="1" pivotButton="0" quotePrefix="1" xfId="0">
      <alignment horizontal="left" vertical="top"/>
      <protection locked="0" hidden="0"/>
    </xf>
    <xf numFmtId="170" fontId="16" fillId="0" borderId="22" applyAlignment="1" applyProtection="1" pivotButton="0" quotePrefix="1" xfId="0">
      <alignment horizontal="left" vertical="top"/>
      <protection locked="0" hidden="0"/>
    </xf>
    <xf numFmtId="164" fontId="16" fillId="0" borderId="31" applyAlignment="1" applyProtection="1" pivotButton="0" quotePrefix="0" xfId="0">
      <alignment horizontal="center" vertical="top"/>
      <protection locked="0" hidden="0"/>
    </xf>
    <xf numFmtId="165" fontId="16" fillId="0" borderId="31" applyAlignment="1" applyProtection="1" pivotButton="0" quotePrefix="0" xfId="0">
      <alignment horizontal="center" vertical="top"/>
      <protection locked="0" hidden="0"/>
    </xf>
    <xf numFmtId="164" fontId="16" fillId="0" borderId="29" applyAlignment="1" applyProtection="1" pivotButton="0" quotePrefix="0" xfId="0">
      <alignment horizontal="center" vertical="top"/>
      <protection locked="0" hidden="0"/>
    </xf>
    <xf numFmtId="165" fontId="16" fillId="0" borderId="29" applyAlignment="1" applyProtection="1" pivotButton="0" quotePrefix="0" xfId="0">
      <alignment horizontal="center" vertical="top"/>
      <protection locked="0" hidden="0"/>
    </xf>
    <xf numFmtId="166" fontId="9" fillId="2" borderId="0" applyAlignment="1" applyProtection="1" pivotButton="0" quotePrefix="0" xfId="0">
      <alignment vertical="center"/>
      <protection locked="0" hidden="0"/>
    </xf>
    <xf numFmtId="167" fontId="7" fillId="4" borderId="7" applyAlignment="1" applyProtection="1" pivotButton="0" quotePrefix="0" xfId="0">
      <alignment vertical="center"/>
      <protection locked="0" hidden="0"/>
    </xf>
    <xf numFmtId="167" fontId="6" fillId="0" borderId="0" applyAlignment="1" applyProtection="1" pivotButton="0" quotePrefix="0" xfId="0">
      <alignment vertical="center"/>
      <protection locked="0" hidden="0"/>
    </xf>
    <xf numFmtId="166" fontId="6" fillId="0" borderId="0" applyAlignment="1" applyProtection="1" pivotButton="0" quotePrefix="0" xfId="0">
      <alignment vertical="center"/>
      <protection locked="0" hidden="0"/>
    </xf>
    <xf numFmtId="168" fontId="0" fillId="0" borderId="0" pivotButton="0" quotePrefix="0" xfId="0"/>
  </cellXfs>
  <cellStyles count="3">
    <cellStyle name="표준" xfId="0" builtinId="0"/>
    <cellStyle name="하이퍼링크" xfId="1" builtinId="8"/>
    <cellStyle name="백분율" xfId="2" builtinId="5"/>
  </cellStyles>
  <dxfs count="5">
    <dxf>
      <fill>
        <patternFill>
          <fgColor indexed="64"/>
          <bgColor rgb="FFFFFF99"/>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FC000"/>
        </patternFill>
      </fill>
    </dxf>
    <dxf>
      <fill>
        <patternFill>
          <fgColor indexed="64"/>
          <bgColor rgb="FFFFFF99"/>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AnalysisReport!$C$7:$C$22</f>
              <numCache>
                <formatCode>m/d/yyyy</formatCode>
                <ptCount val="16"/>
                <pt idx="0">
                  <v>46112</v>
                </pt>
                <pt idx="1">
                  <v>46142</v>
                </pt>
                <pt idx="2">
                  <v>46173</v>
                </pt>
                <pt idx="3">
                  <v>46203</v>
                </pt>
                <pt idx="4">
                  <v>46234</v>
                </pt>
                <pt idx="5">
                  <v>46265</v>
                </pt>
                <pt idx="6">
                  <v>46295</v>
                </pt>
                <pt idx="7">
                  <v>46326</v>
                </pt>
                <pt idx="8">
                  <v>46356</v>
                </pt>
                <pt idx="9">
                  <v>46387</v>
                </pt>
                <pt idx="10">
                  <v>46418</v>
                </pt>
                <pt idx="11">
                  <v>46446</v>
                </pt>
                <pt idx="12">
                  <v>46477</v>
                </pt>
                <pt idx="13">
                  <v>46507</v>
                </pt>
                <pt idx="14">
                  <v>46538</v>
                </pt>
                <pt idx="15">
                  <v>46568</v>
                </pt>
              </numCache>
            </numRef>
          </cat>
          <val>
            <numRef>
              <f>AnalysisReport!$F$7:$F$22</f>
              <numCache>
                <formatCode>0.00%</formatCode>
                <ptCount val="16"/>
                <pt idx="0">
                  <v>0.1908517350157729</v>
                </pt>
                <pt idx="1">
                  <v>0.3533123028391167</v>
                </pt>
                <pt idx="2">
                  <v>0.4022082018927445</v>
                </pt>
                <pt idx="3">
                  <v>0.4353312302839117</v>
                </pt>
                <pt idx="4">
                  <v>0.4905362776025237</v>
                </pt>
                <pt idx="5">
                  <v>0.5236593059936908</v>
                </pt>
                <pt idx="6">
                  <v>0.5630914826498423</v>
                </pt>
                <pt idx="7">
                  <v>0.5977917981072555</v>
                </pt>
                <pt idx="8">
                  <v>0.6545741324921136</v>
                </pt>
                <pt idx="9">
                  <v>0.695583596214511</v>
                </pt>
                <pt idx="10">
                  <v>0.7444794952681388</v>
                </pt>
                <pt idx="11">
                  <v>0.8012618296529969</v>
                </pt>
                <pt idx="12">
                  <v>0.8706624605678234</v>
                </pt>
                <pt idx="13">
                  <v>0.9053627760252366</v>
                </pt>
                <pt idx="14">
                  <v>0.9652996845425867</v>
                </pt>
                <pt idx="15">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AnalysisReport!$C$7:$C$22</f>
              <numCache>
                <formatCode>m/d/yyyy</formatCode>
                <ptCount val="16"/>
                <pt idx="0">
                  <v>46112</v>
                </pt>
                <pt idx="1">
                  <v>46142</v>
                </pt>
                <pt idx="2">
                  <v>46173</v>
                </pt>
                <pt idx="3">
                  <v>46203</v>
                </pt>
                <pt idx="4">
                  <v>46234</v>
                </pt>
                <pt idx="5">
                  <v>46265</v>
                </pt>
                <pt idx="6">
                  <v>46295</v>
                </pt>
                <pt idx="7">
                  <v>46326</v>
                </pt>
                <pt idx="8">
                  <v>46356</v>
                </pt>
                <pt idx="9">
                  <v>46387</v>
                </pt>
                <pt idx="10">
                  <v>46418</v>
                </pt>
                <pt idx="11">
                  <v>46446</v>
                </pt>
                <pt idx="12">
                  <v>46477</v>
                </pt>
                <pt idx="13">
                  <v>46507</v>
                </pt>
                <pt idx="14">
                  <v>46538</v>
                </pt>
                <pt idx="15">
                  <v>46568</v>
                </pt>
              </numCache>
            </numRef>
          </cat>
          <val>
            <numRef>
              <f>AnalysisReport!$I$7:$I$22</f>
              <numCache>
                <formatCode>0.00%</formatCode>
                <ptCount val="16"/>
                <pt idx="0">
                  <v>0.1600638111040047</v>
                </pt>
                <pt idx="1">
                  <v>0.3501577287066245</v>
                </pt>
                <pt idx="2">
                  <v>0.3501577287066245</v>
                </pt>
                <pt idx="3">
                  <v>0.3501577287066245</v>
                </pt>
                <pt idx="4">
                  <v>0.3501577287066245</v>
                </pt>
                <pt idx="5">
                  <v>0.3501577287066245</v>
                </pt>
                <pt idx="6">
                  <v>0.3501577287066245</v>
                </pt>
                <pt idx="7">
                  <v>0.3501577287066245</v>
                </pt>
                <pt idx="8">
                  <v>0.3501577287066245</v>
                </pt>
                <pt idx="9">
                  <v>0.3501577287066245</v>
                </pt>
                <pt idx="10">
                  <v>0.3501577287066245</v>
                </pt>
                <pt idx="11">
                  <v>0.3501577287066245</v>
                </pt>
                <pt idx="12">
                  <v>0.3501577287066245</v>
                </pt>
                <pt idx="13">
                  <v>0.3501577287066245</v>
                </pt>
                <pt idx="14">
                  <v>0.3501577287066245</v>
                </pt>
                <pt idx="15">
                  <v>0.3501577287066245</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AnalysisReport!$C$7:$C$22</f>
              <numCache>
                <formatCode>m/d/yyyy</formatCode>
                <ptCount val="16"/>
                <pt idx="0">
                  <v>46112</v>
                </pt>
                <pt idx="1">
                  <v>46142</v>
                </pt>
                <pt idx="2">
                  <v>46173</v>
                </pt>
                <pt idx="3">
                  <v>46203</v>
                </pt>
                <pt idx="4">
                  <v>46234</v>
                </pt>
                <pt idx="5">
                  <v>46265</v>
                </pt>
                <pt idx="6">
                  <v>46295</v>
                </pt>
                <pt idx="7">
                  <v>46326</v>
                </pt>
                <pt idx="8">
                  <v>46356</v>
                </pt>
                <pt idx="9">
                  <v>46387</v>
                </pt>
                <pt idx="10">
                  <v>46418</v>
                </pt>
                <pt idx="11">
                  <v>46446</v>
                </pt>
                <pt idx="12">
                  <v>46477</v>
                </pt>
                <pt idx="13">
                  <v>46507</v>
                </pt>
                <pt idx="14">
                  <v>46538</v>
                </pt>
                <pt idx="15">
                  <v>46568</v>
                </pt>
              </numCache>
            </numRef>
          </cat>
          <val>
            <numRef>
              <f>AnalysisReport!$L$7:$L$22</f>
              <numCache>
                <formatCode>0.00%</formatCode>
                <ptCount val="16"/>
                <pt idx="0">
                  <v>0.1908517350157729</v>
                </pt>
                <pt idx="1">
                  <v>0.4242902208201893</v>
                </pt>
                <pt idx="2">
                  <v>0.4242902208201893</v>
                </pt>
                <pt idx="3">
                  <v>0.4242902208201893</v>
                </pt>
                <pt idx="4">
                  <v>0.4242902208201893</v>
                </pt>
                <pt idx="5">
                  <v>0.4242902208201893</v>
                </pt>
                <pt idx="6">
                  <v>0.4242902208201893</v>
                </pt>
                <pt idx="7">
                  <v>0.4242902208201893</v>
                </pt>
                <pt idx="8">
                  <v>0.4242902208201893</v>
                </pt>
                <pt idx="9">
                  <v>0.4242902208201893</v>
                </pt>
                <pt idx="10">
                  <v>0.4242902208201893</v>
                </pt>
                <pt idx="11">
                  <v>0.4242902208201893</v>
                </pt>
                <pt idx="12">
                  <v>0.4242902208201893</v>
                </pt>
                <pt idx="13">
                  <v>0.4242902208201893</v>
                </pt>
                <pt idx="14">
                  <v>0.4242902208201893</v>
                </pt>
                <pt idx="15">
                  <v>0.4242902208201893</v>
                </pt>
              </numCache>
            </numRef>
          </val>
          <smooth val="0"/>
        </ser>
        <dLbls>
          <showLegendKey val="0"/>
          <showVal val="0"/>
          <showCatName val="0"/>
          <showSerName val="0"/>
          <showPercent val="0"/>
          <showBubbleSize val="0"/>
        </dLbls>
        <marker val="1"/>
        <smooth val="0"/>
        <axId val="1944858623"/>
        <axId val="1944857375"/>
      </lineChart>
      <dateAx>
        <axId val="1944858623"/>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1944857375"/>
        <crosses val="autoZero"/>
        <lblOffset val="100"/>
        <baseTimeUnit val="months"/>
      </dateAx>
      <valAx>
        <axId val="1944857375"/>
        <scaling>
          <orientation val="minMax"/>
          <max val="1"/>
          <min val="0"/>
        </scaling>
        <delete val="0"/>
        <axPos val="l"/>
        <majorGridlines/>
        <numFmt formatCode="0%" sourceLinked="0"/>
        <majorTickMark val="out"/>
        <minorTickMark val="none"/>
        <tickLblPos val="nextTo"/>
        <crossAx val="1944858623"/>
        <crosses val="autoZero"/>
        <crossBetween val="between"/>
      </valAx>
    </plotArea>
    <legend>
      <legendPos val="r"/>
      <layout/>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144369</colOff>
      <row>4</row>
      <rowOff>186578</rowOff>
    </from>
    <to>
      <col>20</col>
      <colOff>301251</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2.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project-scheduler/" TargetMode="External" Id="rId3" /><Relationship Type="http://schemas.openxmlformats.org/officeDocument/2006/relationships/hyperlink" Target="https://xlworks.net/xlgantt-project-scheduler/" TargetMode="External" Id="rId4" /><Relationship Type="http://schemas.openxmlformats.org/officeDocument/2006/relationships/hyperlink" Target="https://xlworks.net/xlgantt-project-scheduler/" TargetMode="External" Id="rId5" /><Relationship Type="http://schemas.openxmlformats.org/officeDocument/2006/relationships/hyperlink" Target="https://xlworks.net/xlgantt-project-scheduler/" TargetMode="External" Id="rId6" /><Relationship Type="http://schemas.openxmlformats.org/officeDocument/2006/relationships/hyperlink" Target="https://xlworks.net/xlgantt-project-scheduler/" TargetMode="External" Id="rId7" /><Relationship Type="http://schemas.openxmlformats.org/officeDocument/2006/relationships/hyperlink" Target="https://xlworks.net/xlgantt-project-scheduler/" TargetMode="External" Id="rId8" /><Relationship Type="http://schemas.openxmlformats.org/officeDocument/2006/relationships/hyperlink" Target="https://xlworks.net/xlgantt-project-scheduler/" TargetMode="External" Id="rId9" /><Relationship Type="http://schemas.openxmlformats.org/officeDocument/2006/relationships/hyperlink" Target="https://xlworks.net/xlgantt-project-scheduler/" TargetMode="External" Id="rId10" /><Relationship Type="http://schemas.openxmlformats.org/officeDocument/2006/relationships/hyperlink" Target="https://xlworks.net/xlgantt-project-scheduler/" TargetMode="External" Id="rId11" /><Relationship Type="http://schemas.openxmlformats.org/officeDocument/2006/relationships/hyperlink" Target="https://xlworks.net/xlgantt-project-scheduler/" TargetMode="External" Id="rId12" /><Relationship Type="http://schemas.openxmlformats.org/officeDocument/2006/relationships/hyperlink" Target="https://xlworks.net/xlgantt-project-scheduler/" TargetMode="External" Id="rId13" /><Relationship Type="http://schemas.openxmlformats.org/officeDocument/2006/relationships/hyperlink" Target="https://xlworks.net/xlgantt-project-scheduler/" TargetMode="External" Id="rId14" /><Relationship Type="http://schemas.openxmlformats.org/officeDocument/2006/relationships/hyperlink" Target="https://xlworks.net/xlgantt-project-scheduler/" TargetMode="External" Id="rId15" /><Relationship Type="http://schemas.openxmlformats.org/officeDocument/2006/relationships/hyperlink" Target="https://xlworks.net/xlgantt-project-scheduler/" TargetMode="External" Id="rId16" /><Relationship Type="http://schemas.openxmlformats.org/officeDocument/2006/relationships/hyperlink" Target="https://xlworks.net/xlgantt-project-scheduler/" TargetMode="External" Id="rId17" /><Relationship Type="http://schemas.openxmlformats.org/officeDocument/2006/relationships/hyperlink" Target="https://xlworks.net/xlgantt-project-scheduler/" TargetMode="External" Id="rId18" /><Relationship Type="http://schemas.openxmlformats.org/officeDocument/2006/relationships/hyperlink" Target="https://xlworks.net/xlgantt-project-scheduler/" TargetMode="External" Id="rId19" /><Relationship Type="http://schemas.openxmlformats.org/officeDocument/2006/relationships/hyperlink" Target="https://xlworks.net/xlgantt-project-scheduler/" TargetMode="External" Id="rId20" /><Relationship Type="http://schemas.openxmlformats.org/officeDocument/2006/relationships/hyperlink" Target="https://xlworks.net/xlgantt-project-scheduler/" TargetMode="External" Id="rId21" /><Relationship Type="http://schemas.openxmlformats.org/officeDocument/2006/relationships/hyperlink" Target="https://xlworks.net/xlgantt-project-scheduler/" TargetMode="External" Id="rId22" /><Relationship Type="http://schemas.openxmlformats.org/officeDocument/2006/relationships/hyperlink" Target="https://xlworks.net/xlgantt-project-scheduler/" TargetMode="External" Id="rId23" /><Relationship Type="http://schemas.openxmlformats.org/officeDocument/2006/relationships/hyperlink" Target="https://xlworks.net/xlgantt-project-scheduler/" TargetMode="External" Id="rId24" /><Relationship Type="http://schemas.openxmlformats.org/officeDocument/2006/relationships/hyperlink" Target="https://xlworks.net/xlgantt-project-scheduler/" TargetMode="External" Id="rId25" /><Relationship Type="http://schemas.openxmlformats.org/officeDocument/2006/relationships/hyperlink" Target="https://xlworks.net/xlgantt-project-scheduler/" TargetMode="External" Id="rId26" /><Relationship Type="http://schemas.openxmlformats.org/officeDocument/2006/relationships/hyperlink" Target="https://xlworks.net/xlgantt-project-scheduler/" TargetMode="External" Id="rId27" /><Relationship Type="http://schemas.openxmlformats.org/officeDocument/2006/relationships/hyperlink" Target="https://xlworks.net/xlgantt-project-scheduler/" TargetMode="External" Id="rId28" /><Relationship Type="http://schemas.openxmlformats.org/officeDocument/2006/relationships/hyperlink" Target="https://xlworks.net/xlgantt-project-scheduler/" TargetMode="External" Id="rId29" /><Relationship Type="http://schemas.openxmlformats.org/officeDocument/2006/relationships/hyperlink" Target="https://xlworks.net/xlgantt-project-scheduler/" TargetMode="External" Id="rId30" /><Relationship Type="http://schemas.openxmlformats.org/officeDocument/2006/relationships/hyperlink" Target="https://xlworks.net/xlgantt-project-scheduler/" TargetMode="External" Id="rId31"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B9" sqref="B9"/>
    </sheetView>
  </sheetViews>
  <sheetFormatPr baseColWidth="8" defaultRowHeight="15.75"/>
  <cols>
    <col width="5.875" customWidth="1" style="258" min="1" max="1"/>
    <col width="29.875" customWidth="1" style="259" min="2" max="2"/>
    <col width="1.25" customWidth="1" style="258" min="3" max="3"/>
    <col width="9" customWidth="1" style="258" min="4" max="11"/>
    <col width="19.5" customWidth="1" style="258" min="12" max="12"/>
    <col width="9" customWidth="1" style="258" min="13" max="21"/>
    <col hidden="1" width="13" customWidth="1" style="258" min="22" max="22"/>
    <col width="9" customWidth="1" style="258" min="23" max="26"/>
    <col hidden="1" width="13" customWidth="1" style="258" min="27" max="28"/>
    <col width="9" customWidth="1" style="258" min="29" max="29"/>
    <col width="9" customWidth="1" style="258" min="30" max="16384"/>
  </cols>
  <sheetData>
    <row r="1" ht="45" customHeight="1">
      <c r="A1" s="141" t="n"/>
      <c r="B1" s="159" t="inlineStr">
        <is>
          <t>엑셀간트(XLGantt) - 엑셀 일정관리</t>
        </is>
      </c>
      <c r="C1" s="139" t="n"/>
      <c r="D1" s="139" t="n"/>
      <c r="E1" s="139" t="n"/>
      <c r="F1" s="139" t="n"/>
      <c r="G1" s="139" t="n"/>
      <c r="H1" s="140" t="n"/>
      <c r="I1" s="140" t="n"/>
      <c r="J1" s="250" t="inlineStr">
        <is>
          <t xml:space="preserve">XLGantt 6.1.0 ©XLWorks </t>
        </is>
      </c>
      <c r="K1" s="251" t="n"/>
      <c r="L1" s="251" t="n"/>
    </row>
    <row r="2" ht="18" customFormat="1" customHeight="1" s="261">
      <c r="A2" s="137" t="n"/>
      <c r="B2" s="138" t="n"/>
      <c r="C2" s="138" t="n"/>
      <c r="D2" s="138" t="n"/>
      <c r="E2" s="138" t="n"/>
      <c r="F2" s="138" t="n"/>
      <c r="G2" s="138" t="n"/>
      <c r="H2" s="255" t="inlineStr">
        <is>
          <t xml:space="preserve">도움말, 최신 버전 다운로드 - https://xlworks.net/xlgantt-project-scheduler/ </t>
        </is>
      </c>
      <c r="I2" s="256" t="n"/>
      <c r="J2" s="256" t="n"/>
      <c r="K2" s="256" t="n"/>
      <c r="L2" s="256" t="n"/>
    </row>
    <row r="4" ht="17.25" customHeight="1">
      <c r="B4" s="257"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261">
      <c r="B6" s="72" t="n"/>
    </row>
    <row r="7" ht="18.75" customFormat="1" customHeight="1" s="261">
      <c r="B7" s="73" t="inlineStr">
        <is>
          <t>시트 구성</t>
        </is>
      </c>
      <c r="D7" s="74" t="n"/>
    </row>
    <row r="8" ht="7.5" customFormat="1" customHeight="1" s="261">
      <c r="B8" s="72" t="n"/>
    </row>
    <row r="9" ht="29.25" customFormat="1" customHeight="1" s="261" thickBot="1">
      <c r="A9" s="75" t="n"/>
      <c r="B9" s="76" t="inlineStr">
        <is>
          <t>Schedule</t>
        </is>
      </c>
      <c r="C9" s="75" t="n"/>
      <c r="D9" s="254" t="inlineStr">
        <is>
          <t>작업과 일정을 입력하면 진척률이 계산되며 작업의 일정을 간트차트로 표시해 준다.</t>
        </is>
      </c>
      <c r="E9" s="253" t="n"/>
      <c r="F9" s="253" t="n"/>
      <c r="G9" s="253" t="n"/>
      <c r="H9" s="253" t="n"/>
      <c r="I9" s="253" t="n"/>
      <c r="J9" s="253" t="n"/>
      <c r="K9" s="253" t="n"/>
      <c r="L9" s="253" t="n"/>
    </row>
    <row r="10" ht="29.25" customFormat="1" customHeight="1" s="261" thickBot="1" thickTop="1">
      <c r="A10" s="75" t="n"/>
      <c r="B10" s="77" t="inlineStr">
        <is>
          <t>Progress</t>
        </is>
      </c>
      <c r="C10" s="75" t="n"/>
      <c r="D10" s="254" t="inlineStr">
        <is>
          <t>작업량, 진척률 등을 볼 수 있다.</t>
        </is>
      </c>
      <c r="E10" s="253" t="n"/>
      <c r="F10" s="253" t="n"/>
      <c r="G10" s="253" t="n"/>
      <c r="H10" s="253" t="n"/>
      <c r="I10" s="253" t="n"/>
      <c r="J10" s="253" t="n"/>
      <c r="K10" s="253" t="n"/>
      <c r="L10" s="253" t="n"/>
    </row>
    <row r="11" ht="29.25" customFormat="1" customHeight="1" s="261" thickBot="1" thickTop="1">
      <c r="A11" s="75" t="n"/>
      <c r="B11" s="78" t="inlineStr">
        <is>
          <t>AnalysisReport</t>
        </is>
      </c>
      <c r="C11" s="75" t="n"/>
      <c r="D11" s="254" t="inlineStr">
        <is>
          <t>담당별 진행률, Workload등 분석용 Report를 만들어서 보여준다.</t>
        </is>
      </c>
      <c r="E11" s="253" t="n"/>
      <c r="F11" s="253" t="n"/>
      <c r="G11" s="253" t="n"/>
      <c r="H11" s="253" t="n"/>
      <c r="I11" s="253" t="n"/>
      <c r="J11" s="253" t="n"/>
      <c r="K11" s="253" t="n"/>
      <c r="L11" s="253" t="n"/>
    </row>
    <row r="12" ht="29.25" customFormat="1" customHeight="1" s="261" thickBot="1" thickTop="1">
      <c r="A12" s="75" t="n"/>
      <c r="B12" s="79" t="inlineStr">
        <is>
          <t>Calendar</t>
        </is>
      </c>
      <c r="C12" s="75" t="n"/>
      <c r="D12" s="254" t="inlineStr">
        <is>
          <t>프로젝트의 휴무일을 설정한다.</t>
        </is>
      </c>
      <c r="E12" s="253" t="n"/>
      <c r="F12" s="253" t="n"/>
      <c r="G12" s="253" t="n"/>
      <c r="H12" s="253" t="n"/>
      <c r="I12" s="253" t="n"/>
      <c r="J12" s="253" t="n"/>
      <c r="K12" s="253" t="n"/>
      <c r="L12" s="253" t="n"/>
    </row>
    <row r="13" ht="29.25" customFormat="1" customHeight="1" s="261" thickBot="1" thickTop="1">
      <c r="A13" s="75" t="n"/>
      <c r="B13" s="80" t="inlineStr">
        <is>
          <t>Progress_Data</t>
        </is>
      </c>
      <c r="C13" s="75" t="n"/>
      <c r="D13" s="262" t="inlineStr">
        <is>
          <t>진척률 정보를 일단위 Raw data로 생성한다. 차트를 그리거나 사용자가 원하는대로 분석을 할 수 있다.</t>
        </is>
      </c>
      <c r="E13" s="253" t="n"/>
      <c r="F13" s="253" t="n"/>
      <c r="G13" s="253" t="n"/>
      <c r="H13" s="253" t="n"/>
      <c r="I13" s="253" t="n"/>
      <c r="J13" s="253" t="n"/>
      <c r="K13" s="253" t="n"/>
      <c r="L13" s="253" t="n"/>
    </row>
    <row r="14" ht="29.25" customFormat="1" customHeight="1" s="261" thickBot="1" thickTop="1">
      <c r="A14" s="75" t="n"/>
      <c r="B14" s="81" t="inlineStr">
        <is>
          <t>TranslatedLanguages</t>
        </is>
      </c>
      <c r="C14" s="75" t="n"/>
      <c r="D14" s="254" t="inlineStr">
        <is>
          <t>(숨겨진 시트) 언어별 번역이 들어 있다.</t>
        </is>
      </c>
      <c r="E14" s="253" t="n"/>
      <c r="F14" s="253" t="n"/>
      <c r="G14" s="253" t="n"/>
      <c r="H14" s="253" t="n"/>
      <c r="I14" s="253" t="n"/>
      <c r="J14" s="253" t="n"/>
      <c r="K14" s="253" t="n"/>
      <c r="L14" s="253" t="n"/>
    </row>
    <row r="15" ht="16.5" customHeight="1" thickTop="1">
      <c r="A15" s="82" t="n"/>
      <c r="B15" s="83" t="n"/>
      <c r="C15" s="82" t="n"/>
      <c r="D15" s="84" t="n"/>
      <c r="E15" s="84" t="n"/>
      <c r="F15" s="84" t="n"/>
      <c r="G15" s="84" t="n"/>
      <c r="H15" s="84" t="n"/>
      <c r="I15" s="84" t="n"/>
      <c r="J15" s="84" t="n"/>
      <c r="K15" s="84" t="n"/>
      <c r="L15" s="84" t="n"/>
    </row>
    <row r="16" ht="18.75" customFormat="1" customHeight="1" s="261">
      <c r="B16" s="73" t="inlineStr">
        <is>
          <t>사용법</t>
        </is>
      </c>
      <c r="D16" s="74" t="n"/>
    </row>
    <row r="17" ht="5.25" customFormat="1" customHeight="1" s="261">
      <c r="B17" s="85" t="n"/>
      <c r="D17" s="74" t="n"/>
    </row>
    <row r="18" ht="26.25" customFormat="1" customHeight="1" s="261" thickBot="1">
      <c r="B18" s="86" t="inlineStr">
        <is>
          <t>간단 사용법</t>
        </is>
      </c>
      <c r="D18" s="252" t="inlineStr">
        <is>
          <t>기능을 간단히 빨리 익히고 싶으면 “간단 사용법”을 참고한다</t>
        </is>
      </c>
      <c r="E18" s="253" t="n"/>
      <c r="F18" s="253" t="n"/>
      <c r="G18" s="253" t="n"/>
      <c r="H18" s="253" t="n"/>
      <c r="I18" s="253" t="n"/>
      <c r="J18" s="253" t="n"/>
      <c r="K18" s="253" t="n"/>
      <c r="L18" s="93" t="inlineStr">
        <is>
          <t>도움말</t>
        </is>
      </c>
    </row>
    <row r="19" ht="37.5" customFormat="1" customHeight="1" s="261" thickBot="1" thickTop="1">
      <c r="B19" s="86" t="inlineStr">
        <is>
          <t>작업입력, 스케줄 업데이트</t>
        </is>
      </c>
      <c r="D19" s="252" t="inlineStr">
        <is>
          <t>작업명, 시작일, 완료일, 진척률을 입력하면 휴무일, 자원수를 고려하여 자동으로 작업기간, 계획진척률, 실적진척률 등이 계산된다.</t>
        </is>
      </c>
      <c r="E19" s="253" t="n"/>
      <c r="F19" s="253" t="n"/>
      <c r="G19" s="253" t="n"/>
      <c r="H19" s="253" t="n"/>
      <c r="I19" s="253" t="n"/>
      <c r="J19" s="253" t="n"/>
      <c r="K19" s="253" t="n"/>
      <c r="L19" s="93" t="inlineStr">
        <is>
          <t>도움말</t>
        </is>
      </c>
    </row>
    <row r="20" ht="26.25" customFormat="1" customHeight="1" s="261" thickBot="1" thickTop="1">
      <c r="B20" s="86" t="inlineStr">
        <is>
          <t>간트차트 표시방법 설정</t>
        </is>
      </c>
      <c r="D20" s="252" t="inlineStr">
        <is>
          <t>Bar chart형태로 간트차트를 보여주며 여러 가지 표시방법을 옵션에서 설정할 수 있다.</t>
        </is>
      </c>
      <c r="E20" s="253" t="n"/>
      <c r="F20" s="253" t="n"/>
      <c r="G20" s="253" t="n"/>
      <c r="H20" s="253" t="n"/>
      <c r="I20" s="253" t="n"/>
      <c r="J20" s="253" t="n"/>
      <c r="K20" s="253" t="n"/>
      <c r="L20" s="93" t="inlineStr">
        <is>
          <t>도움말</t>
        </is>
      </c>
    </row>
    <row r="21" ht="26.25" customFormat="1" customHeight="1" s="261" thickBot="1" thickTop="1">
      <c r="B21" s="86" t="inlineStr">
        <is>
          <t>프로젝트 전체 진행상황 파악하기</t>
        </is>
      </c>
      <c r="D21" s="252" t="inlineStr">
        <is>
          <t>진척률을 이용하여 프로젝트 전체 진행상황을 파악할 수 있다.</t>
        </is>
      </c>
      <c r="E21" s="253" t="n"/>
      <c r="F21" s="253" t="n"/>
      <c r="G21" s="253" t="n"/>
      <c r="H21" s="253" t="n"/>
      <c r="I21" s="253" t="n"/>
      <c r="J21" s="253" t="n"/>
      <c r="K21" s="253" t="n"/>
      <c r="L21" s="93" t="inlineStr">
        <is>
          <t>도움말</t>
        </is>
      </c>
    </row>
    <row r="22" ht="33.75" customFormat="1" customHeight="1" s="261" thickBot="1" thickTop="1">
      <c r="B22" s="86" t="inlineStr">
        <is>
          <t>분석 리포트</t>
        </is>
      </c>
      <c r="D22" s="252" t="inlineStr">
        <is>
          <t>프로젝트의 현황을 파악할 수 있는 진행률, Workload 등의 분석 리포트와 분석용 Workload data를 제공한다.</t>
        </is>
      </c>
      <c r="E22" s="253" t="n"/>
      <c r="F22" s="253" t="n"/>
      <c r="G22" s="253" t="n"/>
      <c r="H22" s="253" t="n"/>
      <c r="I22" s="253" t="n"/>
      <c r="J22" s="253" t="n"/>
      <c r="K22" s="253" t="n"/>
      <c r="L22" s="93" t="inlineStr">
        <is>
          <t>도움말</t>
        </is>
      </c>
    </row>
    <row r="23" ht="52.5" customFormat="1" customHeight="1" s="261" thickBot="1" thickTop="1">
      <c r="B23" s="86" t="inlineStr">
        <is>
          <t>일정계획 변경관리</t>
        </is>
      </c>
      <c r="D23" s="252"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53" t="n"/>
      <c r="F23" s="253" t="n"/>
      <c r="G23" s="253" t="n"/>
      <c r="H23" s="253" t="n"/>
      <c r="I23" s="253" t="n"/>
      <c r="J23" s="253" t="n"/>
      <c r="K23" s="253" t="n"/>
      <c r="L23" s="93" t="inlineStr">
        <is>
          <t>도움말</t>
        </is>
      </c>
    </row>
    <row r="24" ht="47.25" customFormat="1" customHeight="1" s="261" thickBot="1" thickTop="1">
      <c r="B24" s="86" t="inlineStr">
        <is>
          <t>산출물</t>
        </is>
      </c>
      <c r="D24" s="252"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53" t="n"/>
      <c r="F24" s="253" t="n"/>
      <c r="G24" s="253" t="n"/>
      <c r="H24" s="253" t="n"/>
      <c r="I24" s="253" t="n"/>
      <c r="J24" s="253" t="n"/>
      <c r="K24" s="253" t="n"/>
      <c r="L24" s="93" t="inlineStr">
        <is>
          <t>도움말</t>
        </is>
      </c>
    </row>
    <row r="25" ht="33.75" customFormat="1" customHeight="1" s="261" thickBot="1" thickTop="1">
      <c r="B25" s="86" t="inlineStr">
        <is>
          <t>Microsoft Outlook작업, 일정등록</t>
        </is>
      </c>
      <c r="D25" s="252" t="inlineStr">
        <is>
          <t>엑셀간트에서는 Schedule시트에 입력되어 있는 작업을 Microsoft Outlook에 작업이나 일정으로 등록할 수 있는 기능을 제공한다(단, PC에 Microsoft Outlook이 설치되어 있어야 한다).</t>
        </is>
      </c>
      <c r="E25" s="253" t="n"/>
      <c r="F25" s="253" t="n"/>
      <c r="G25" s="253" t="n"/>
      <c r="H25" s="253" t="n"/>
      <c r="I25" s="253" t="n"/>
      <c r="J25" s="253" t="n"/>
      <c r="K25" s="253" t="n"/>
      <c r="L25" s="93" t="inlineStr">
        <is>
          <t>도움말</t>
        </is>
      </c>
    </row>
    <row r="26" ht="53.25" customFormat="1" customHeight="1" s="261" thickBot="1" thickTop="1">
      <c r="B26" s="86" t="inlineStr">
        <is>
          <t>다국어 지원</t>
        </is>
      </c>
      <c r="D26" s="252" t="inlineStr">
        <is>
          <t>엑셀간트는 다국어를 지원하는데 프로그램을 수정하지 않고 여러 다국어를 추가할 수 있다. 현재는 한국어, 영어 2개 국어가 추가되어 있다.</t>
        </is>
      </c>
      <c r="E26" s="253" t="n"/>
      <c r="F26" s="253" t="n"/>
      <c r="G26" s="253" t="n"/>
      <c r="H26" s="253" t="n"/>
      <c r="I26" s="253" t="n"/>
      <c r="J26" s="253" t="n"/>
      <c r="K26" s="253" t="n"/>
      <c r="L26" s="93" t="inlineStr">
        <is>
          <t>도움말</t>
        </is>
      </c>
    </row>
    <row r="27" ht="35.25" customFormat="1" customHeight="1" s="261" thickBot="1" thickTop="1">
      <c r="B27" s="86" t="inlineStr">
        <is>
          <t>다른 파일에서 일정 가져오기</t>
        </is>
      </c>
      <c r="D27" s="252" t="inlineStr">
        <is>
          <t>엑셀간트에서는 엑셀간트(XLGantt) 또는 일반 엑셀파일로 만들어진 일정을 가져오는 기능을 제공한다.</t>
        </is>
      </c>
      <c r="E27" s="253" t="n"/>
      <c r="F27" s="253" t="n"/>
      <c r="G27" s="253" t="n"/>
      <c r="H27" s="253" t="n"/>
      <c r="I27" s="253" t="n"/>
      <c r="J27" s="253" t="n"/>
      <c r="K27" s="253" t="n"/>
      <c r="L27" s="93" t="inlineStr">
        <is>
          <t>도움말</t>
        </is>
      </c>
    </row>
    <row r="28" ht="43.5" customFormat="1" customHeight="1" s="261" thickBot="1" thickTop="1">
      <c r="B28" s="86" t="inlineStr">
        <is>
          <t>Calendar</t>
        </is>
      </c>
      <c r="D28" s="252" t="inlineStr">
        <is>
          <t>한주의 시작요일 지정, 휴무일 설정, 주차표시 기능을 제공한다.
리본메뉴 &gt; XLGantt – Project Scheduler &gt; 옵션 &gt; “Calendar” 탭에서 설정할 수 있다.</t>
        </is>
      </c>
      <c r="E28" s="253" t="n"/>
      <c r="F28" s="253" t="n"/>
      <c r="G28" s="253" t="n"/>
      <c r="H28" s="253" t="n"/>
      <c r="I28" s="253" t="n"/>
      <c r="J28" s="253" t="n"/>
      <c r="K28" s="253" t="n"/>
      <c r="L28" s="93" t="inlineStr">
        <is>
          <t>도움말</t>
        </is>
      </c>
    </row>
    <row r="29" ht="49.5" customFormat="1" customHeight="1" s="261" thickBot="1" thickTop="1">
      <c r="B29" s="86" t="inlineStr">
        <is>
          <t>Excel기능과 통합</t>
        </is>
      </c>
      <c r="D29" s="252"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53" t="n"/>
      <c r="F29" s="253" t="n"/>
      <c r="G29" s="253" t="n"/>
      <c r="H29" s="253" t="n"/>
      <c r="I29" s="253" t="n"/>
      <c r="J29" s="253" t="n"/>
      <c r="K29" s="253" t="n"/>
      <c r="L29" s="93" t="inlineStr">
        <is>
          <t>도움말</t>
        </is>
      </c>
    </row>
    <row r="30" ht="24.75" customFormat="1" customHeight="1" s="261" thickBot="1" thickTop="1">
      <c r="B30" s="127" t="inlineStr">
        <is>
          <t>작업량 계산</t>
        </is>
      </c>
      <c r="D30" s="252" t="inlineStr">
        <is>
          <t>작업량 계산 방식을 선택할 수 있다.</t>
        </is>
      </c>
      <c r="E30" s="253" t="n"/>
      <c r="F30" s="253" t="n"/>
      <c r="G30" s="253" t="n"/>
      <c r="H30" s="253" t="n"/>
      <c r="I30" s="253" t="n"/>
      <c r="J30" s="253" t="n"/>
      <c r="K30" s="253" t="n"/>
      <c r="L30" s="93" t="inlineStr">
        <is>
          <t>도움말</t>
        </is>
      </c>
    </row>
    <row r="31" ht="24.75" customFormat="1" customHeight="1" s="261" thickBot="1" thickTop="1">
      <c r="B31" s="86" t="inlineStr">
        <is>
          <t>WBS영역, 컬러테마 설정</t>
        </is>
      </c>
      <c r="D31" s="252" t="inlineStr">
        <is>
          <t>엑셀간트의 모양과 색상을 지정할 수 있다.</t>
        </is>
      </c>
      <c r="E31" s="253" t="n"/>
      <c r="F31" s="253" t="n"/>
      <c r="G31" s="253" t="n"/>
      <c r="H31" s="253" t="n"/>
      <c r="I31" s="253" t="n"/>
      <c r="J31" s="253" t="n"/>
      <c r="K31" s="253" t="n"/>
      <c r="L31" s="93" t="inlineStr">
        <is>
          <t>도움말</t>
        </is>
      </c>
    </row>
    <row r="32" ht="24.75" customFormat="1" customHeight="1" s="261" thickBot="1" thickTop="1">
      <c r="B32" s="86" t="inlineStr">
        <is>
          <t>작업 의존관계 설정</t>
        </is>
      </c>
      <c r="D32" s="252" t="inlineStr">
        <is>
          <t>작업 의존관계(FS,SS,FF,SF)를 설정할 수 있다.</t>
        </is>
      </c>
      <c r="E32" s="253" t="n"/>
      <c r="F32" s="253" t="n"/>
      <c r="G32" s="253" t="n"/>
      <c r="H32" s="253" t="n"/>
      <c r="I32" s="253" t="n"/>
      <c r="J32" s="253" t="n"/>
      <c r="K32" s="253" t="n"/>
      <c r="L32" s="93" t="inlineStr">
        <is>
          <t>도움말</t>
        </is>
      </c>
    </row>
    <row r="33" customFormat="1" s="261" thickTop="1">
      <c r="B33" s="87" t="n"/>
      <c r="D33" s="74" t="n"/>
      <c r="L33" s="75" t="n"/>
    </row>
    <row r="34" ht="18.75" customFormat="1" customHeight="1" s="261">
      <c r="B34" s="88" t="inlineStr">
        <is>
          <t>XLGantt Version 6.1.0 사용조건</t>
        </is>
      </c>
      <c r="C34" s="89" t="n"/>
      <c r="D34" s="90" t="n"/>
      <c r="E34" s="89" t="n"/>
      <c r="F34" s="89" t="n"/>
      <c r="G34" s="89" t="n"/>
      <c r="H34" s="89" t="n"/>
      <c r="I34" s="89" t="n"/>
      <c r="J34" s="89" t="n"/>
      <c r="K34" s="89" t="n"/>
      <c r="L34" s="91" t="n"/>
    </row>
    <row r="35" ht="59.25" customFormat="1" customHeight="1" s="261">
      <c r="B35" s="260"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TA81"/>
  <sheetViews>
    <sheetView tabSelected="1" zoomScale="130" zoomScaleNormal="130" zoomScaleSheetLayoutView="115" zoomScalePageLayoutView="55" workbookViewId="0">
      <pane ySplit="4" topLeftCell="A5" activePane="bottomLeft" state="frozen"/>
      <selection activeCell="D1" sqref="D1"/>
      <selection pane="bottomLeft" activeCell="D5" sqref="D5"/>
    </sheetView>
  </sheetViews>
  <sheetFormatPr baseColWidth="8" defaultColWidth="10" defaultRowHeight="12" customHeight="1" outlineLevelRow="3"/>
  <cols>
    <col hidden="1" width="1.625" customWidth="1" style="100" min="1" max="1"/>
    <col hidden="1" width="9" customWidth="1" style="100" min="2" max="2"/>
    <col hidden="1" width="8.375" customWidth="1" style="100" min="3" max="3"/>
    <col width="6.625" customWidth="1" style="101" min="4" max="4"/>
    <col width="2.75" customWidth="1" style="102" min="5" max="13"/>
    <col width="4.5" bestFit="1" customWidth="1" style="102" min="14" max="14"/>
    <col width="8" customWidth="1" style="102" min="15" max="15"/>
    <col width="11.625" bestFit="1" customWidth="1" style="103" min="16" max="17"/>
    <col width="7.625" customWidth="1" style="102" min="18" max="18"/>
    <col width="7.375" customWidth="1" style="300" min="19" max="19"/>
    <col width="7.25" bestFit="1" customWidth="1" style="300" min="20" max="20"/>
    <col width="6" customWidth="1" style="300" min="21" max="21"/>
    <col width="5.875" customWidth="1" style="300" min="22" max="22"/>
    <col width="9.75" customWidth="1" style="103" min="23" max="24"/>
    <col width="7.5" customWidth="1" style="301" min="25" max="25"/>
    <col hidden="1" width="6" customWidth="1" style="104" min="26" max="26"/>
    <col hidden="1" width="7.125" customWidth="1" style="300" min="27" max="27"/>
    <col width="12.875" customWidth="1" style="102" min="28" max="28"/>
    <col width="10.875" customWidth="1" style="102" min="29" max="29"/>
    <col width="8.5" bestFit="1" customWidth="1" style="105" min="30" max="30"/>
    <col width="8.5" bestFit="1" customWidth="1" style="106" min="31" max="31"/>
    <col width="1.875" customWidth="1" style="94" min="32" max="521"/>
    <col width="10" customWidth="1" style="94" min="522" max="16384"/>
  </cols>
  <sheetData>
    <row r="1" ht="24.95" customFormat="1" customHeight="1" s="95">
      <c r="A1" s="160" t="n"/>
      <c r="B1" s="177" t="n"/>
      <c r="C1" s="162" t="n"/>
      <c r="D1" s="166">
        <f>xlgantt.ProjectName()</f>
        <v/>
      </c>
      <c r="E1" s="167" t="n"/>
      <c r="F1" s="167" t="n"/>
      <c r="G1" s="167" t="n"/>
      <c r="H1" s="167" t="n"/>
      <c r="I1" s="167" t="n"/>
      <c r="J1" s="167" t="n"/>
      <c r="K1" s="167" t="n"/>
      <c r="L1" s="167" t="n"/>
      <c r="M1" s="167" t="n"/>
      <c r="N1" s="167" t="n"/>
      <c r="O1" s="167" t="n"/>
      <c r="P1" s="167" t="n"/>
      <c r="Q1" s="168" t="n"/>
      <c r="R1" s="169" t="n"/>
      <c r="S1" s="302" t="n"/>
      <c r="T1" s="303" t="n"/>
      <c r="U1" s="304" t="n"/>
      <c r="V1" s="304" t="n"/>
      <c r="W1" s="170" t="n"/>
      <c r="X1" s="170" t="n"/>
      <c r="Y1" s="161" t="n"/>
      <c r="Z1" s="171" t="n"/>
      <c r="AA1" s="163" t="n"/>
      <c r="AB1" s="164" t="n"/>
      <c r="AC1" s="174">
        <f t="array" ref="AC1">xlgantt.ProjectProgress()</f>
        <v/>
      </c>
      <c r="AD1" s="165" t="n"/>
      <c r="AE1" s="174" t="n"/>
      <c r="AF1" s="215" t="inlineStr">
        <is>
          <t>XLGantt 6.1.0 ©XLWorks  주별보기, Zoom 100%, 계산 옵션 : 자동</t>
        </is>
      </c>
      <c r="AG1" s="214" t="inlineStr">
        <is>
          <t>https://xlworks.net/xlgantt-project-scheduler/</t>
        </is>
      </c>
      <c r="AH1" s="214" t="inlineStr">
        <is>
          <t>https://xlworks.net/xlgantt-project-scheduler/</t>
        </is>
      </c>
      <c r="AI1" s="214" t="inlineStr">
        <is>
          <t>https://xlworks.net/xlgantt-project-scheduler/</t>
        </is>
      </c>
      <c r="AJ1" s="214" t="inlineStr">
        <is>
          <t>https://xlworks.net/xlgantt-project-scheduler/</t>
        </is>
      </c>
      <c r="AK1" s="214" t="inlineStr">
        <is>
          <t>https://xlworks.net/xlgantt-project-scheduler/</t>
        </is>
      </c>
      <c r="AL1" s="214" t="inlineStr">
        <is>
          <t>https://xlworks.net/xlgantt-project-scheduler/</t>
        </is>
      </c>
      <c r="AM1" s="214" t="inlineStr">
        <is>
          <t>https://xlworks.net/xlgantt-project-scheduler/</t>
        </is>
      </c>
      <c r="AN1" s="214" t="inlineStr">
        <is>
          <t>https://xlworks.net/xlgantt-project-scheduler/</t>
        </is>
      </c>
      <c r="AO1" s="214" t="inlineStr">
        <is>
          <t>https://xlworks.net/xlgantt-project-scheduler/</t>
        </is>
      </c>
      <c r="AP1" s="214" t="inlineStr">
        <is>
          <t>https://xlworks.net/xlgantt-project-scheduler/</t>
        </is>
      </c>
      <c r="AQ1" s="214" t="inlineStr">
        <is>
          <t>https://xlworks.net/xlgantt-project-scheduler/</t>
        </is>
      </c>
      <c r="AR1" s="214" t="inlineStr">
        <is>
          <t>https://xlworks.net/xlgantt-project-scheduler/</t>
        </is>
      </c>
      <c r="AS1" s="214" t="inlineStr">
        <is>
          <t>https://xlworks.net/xlgantt-project-scheduler/</t>
        </is>
      </c>
      <c r="AT1" s="214" t="inlineStr">
        <is>
          <t>https://xlworks.net/xlgantt-project-scheduler/</t>
        </is>
      </c>
      <c r="AU1" s="214" t="inlineStr">
        <is>
          <t>https://xlworks.net/xlgantt-project-scheduler/</t>
        </is>
      </c>
      <c r="AV1" s="214" t="inlineStr">
        <is>
          <t>https://xlworks.net/xlgantt-project-scheduler/</t>
        </is>
      </c>
      <c r="AW1" s="214" t="inlineStr">
        <is>
          <t>https://xlworks.net/xlgantt-project-scheduler/</t>
        </is>
      </c>
      <c r="AX1" s="214" t="inlineStr">
        <is>
          <t>https://xlworks.net/xlgantt-project-scheduler/</t>
        </is>
      </c>
      <c r="AY1" s="214" t="inlineStr">
        <is>
          <t>https://xlworks.net/xlgantt-project-scheduler/</t>
        </is>
      </c>
      <c r="AZ1" s="214" t="inlineStr">
        <is>
          <t>https://xlworks.net/xlgantt-project-scheduler/</t>
        </is>
      </c>
      <c r="BA1" s="214" t="inlineStr">
        <is>
          <t>https://xlworks.net/xlgantt-project-scheduler/</t>
        </is>
      </c>
      <c r="BB1" s="214" t="inlineStr">
        <is>
          <t>https://xlworks.net/xlgantt-project-scheduler/</t>
        </is>
      </c>
      <c r="BC1" s="214" t="inlineStr">
        <is>
          <t>https://xlworks.net/xlgantt-project-scheduler/</t>
        </is>
      </c>
      <c r="BD1" s="214" t="inlineStr">
        <is>
          <t>https://xlworks.net/xlgantt-project-scheduler/</t>
        </is>
      </c>
      <c r="BE1" s="214" t="inlineStr">
        <is>
          <t>https://xlworks.net/xlgantt-project-scheduler/</t>
        </is>
      </c>
      <c r="BF1" s="214" t="inlineStr">
        <is>
          <t>https://xlworks.net/xlgantt-project-scheduler/</t>
        </is>
      </c>
      <c r="BG1" s="214" t="inlineStr">
        <is>
          <t>https://xlworks.net/xlgantt-project-scheduler/</t>
        </is>
      </c>
      <c r="BH1" s="214" t="inlineStr">
        <is>
          <t>https://xlworks.net/xlgantt-project-scheduler/</t>
        </is>
      </c>
      <c r="BI1" s="214" t="inlineStr">
        <is>
          <t>https://xlworks.net/xlgantt-project-scheduler/</t>
        </is>
      </c>
      <c r="BJ1" s="214" t="inlineStr">
        <is>
          <t>https://xlworks.net/xlgantt-project-scheduler/</t>
        </is>
      </c>
    </row>
    <row r="2" ht="15" customFormat="1" customHeight="1" s="95">
      <c r="A2" s="152" t="n"/>
      <c r="B2" s="152" t="n"/>
      <c r="C2" s="153" t="n"/>
      <c r="D2" s="173" t="n"/>
      <c r="E2" s="173" t="n"/>
      <c r="F2" s="173" t="n"/>
      <c r="G2" s="154" t="n"/>
      <c r="H2" s="155" t="n"/>
      <c r="I2" s="154" t="n"/>
      <c r="J2" s="154" t="n"/>
      <c r="K2" s="154" t="n"/>
      <c r="L2" s="154" t="n"/>
      <c r="M2" s="154" t="n"/>
      <c r="N2" s="154" t="n"/>
      <c r="O2" s="154" t="n"/>
      <c r="P2" s="154" t="n"/>
      <c r="Q2" s="154" t="n"/>
      <c r="R2" s="154" t="n"/>
      <c r="S2" s="305" t="n"/>
      <c r="T2" s="305" t="n"/>
      <c r="U2" s="305" t="n"/>
      <c r="V2" s="305" t="n"/>
      <c r="W2" s="154" t="n"/>
      <c r="X2" s="154" t="n"/>
      <c r="Y2" s="154" t="n"/>
      <c r="Z2" s="154" t="n"/>
      <c r="AA2" s="154" t="n"/>
      <c r="AB2" s="154" t="n"/>
      <c r="AC2" s="156" t="n"/>
      <c r="AD2" s="157" t="n"/>
      <c r="AE2" s="154" t="n"/>
      <c r="AF2" s="266" t="inlineStr">
        <is>
          <t>W1</t>
        </is>
      </c>
      <c r="AJ2" s="266" t="inlineStr">
        <is>
          <t>W5</t>
        </is>
      </c>
      <c r="AN2" s="266" t="inlineStr">
        <is>
          <t>W9</t>
        </is>
      </c>
      <c r="AR2" s="266" t="inlineStr">
        <is>
          <t>W13</t>
        </is>
      </c>
      <c r="AV2" s="266" t="inlineStr">
        <is>
          <t>W17</t>
        </is>
      </c>
      <c r="AZ2" s="266" t="inlineStr">
        <is>
          <t>W21</t>
        </is>
      </c>
      <c r="BD2" s="266" t="inlineStr">
        <is>
          <t>W25</t>
        </is>
      </c>
      <c r="BH2" s="266" t="inlineStr">
        <is>
          <t>W29</t>
        </is>
      </c>
      <c r="BL2" s="266" t="inlineStr">
        <is>
          <t>W33</t>
        </is>
      </c>
      <c r="BP2" s="266" t="inlineStr">
        <is>
          <t>W37</t>
        </is>
      </c>
      <c r="BT2" s="266" t="inlineStr">
        <is>
          <t>W41</t>
        </is>
      </c>
      <c r="BX2" s="266" t="inlineStr">
        <is>
          <t>W45</t>
        </is>
      </c>
      <c r="CB2" s="266" t="inlineStr">
        <is>
          <t>W49</t>
        </is>
      </c>
      <c r="CF2" s="266" t="inlineStr">
        <is>
          <t>W53</t>
        </is>
      </c>
      <c r="CJ2" s="266" t="inlineStr">
        <is>
          <t>W57</t>
        </is>
      </c>
      <c r="CN2" s="266" t="inlineStr">
        <is>
          <t>W61</t>
        </is>
      </c>
      <c r="CR2" s="266" t="inlineStr">
        <is>
          <t>W65</t>
        </is>
      </c>
      <c r="CV2" s="266" t="inlineStr">
        <is>
          <t>W69</t>
        </is>
      </c>
      <c r="CZ2" s="266" t="n"/>
      <c r="DA2" s="266" t="n"/>
      <c r="DB2" s="266" t="n"/>
      <c r="DC2" s="266" t="n"/>
      <c r="DD2" s="266" t="n"/>
      <c r="DE2" s="266" t="n"/>
      <c r="DF2" s="266" t="n"/>
      <c r="DG2" s="266" t="n"/>
      <c r="DH2" s="266" t="n"/>
      <c r="DI2" s="266" t="n"/>
      <c r="DJ2" s="266" t="n"/>
      <c r="DK2" s="266" t="n"/>
      <c r="DL2" s="266" t="n"/>
      <c r="DM2" s="266" t="n"/>
      <c r="DN2" s="266" t="n"/>
      <c r="DO2" s="266" t="n"/>
      <c r="DP2" s="266" t="n"/>
      <c r="DQ2" s="266" t="n"/>
      <c r="DR2" s="266" t="n"/>
      <c r="DS2" s="266" t="n"/>
      <c r="DT2" s="266" t="n"/>
      <c r="DU2" s="266" t="n"/>
      <c r="DV2" s="266" t="n"/>
      <c r="DW2" s="266" t="n"/>
      <c r="DX2" s="266" t="n"/>
      <c r="DY2" s="266" t="n"/>
      <c r="DZ2" s="266" t="n"/>
      <c r="EA2" s="266" t="n"/>
      <c r="EB2" s="266" t="n"/>
      <c r="EC2" s="266" t="n"/>
      <c r="ED2" s="266" t="n"/>
      <c r="EE2" s="266" t="n"/>
      <c r="EF2" s="266" t="n"/>
      <c r="EG2" s="266" t="n"/>
      <c r="EH2" s="266" t="n"/>
      <c r="EI2" s="266" t="n"/>
      <c r="EJ2" s="266" t="n"/>
      <c r="EK2" s="266" t="n"/>
      <c r="EL2" s="266" t="n"/>
      <c r="EM2" s="266" t="n"/>
      <c r="EN2" s="266" t="n"/>
      <c r="EO2" s="266" t="n"/>
      <c r="EP2" s="266" t="n"/>
      <c r="EQ2" s="266" t="n"/>
      <c r="ER2" s="266" t="n"/>
      <c r="ES2" s="266" t="n"/>
      <c r="ET2" s="266" t="n"/>
      <c r="EU2" s="266" t="n"/>
      <c r="EV2" s="266" t="n"/>
      <c r="EW2" s="266" t="n"/>
      <c r="EX2" s="266" t="n"/>
      <c r="EY2" s="266" t="n"/>
      <c r="EZ2" s="266" t="n"/>
      <c r="FA2" s="266" t="n"/>
      <c r="FB2" s="266" t="n"/>
      <c r="FC2" s="266" t="n"/>
      <c r="FD2" s="266" t="n"/>
      <c r="FE2" s="266" t="n"/>
      <c r="FF2" s="266" t="n"/>
      <c r="FG2" s="266" t="n"/>
      <c r="FH2" s="266" t="n"/>
      <c r="FI2" s="266" t="n"/>
      <c r="FJ2" s="266" t="n"/>
      <c r="FK2" s="266" t="n"/>
      <c r="FL2" s="266" t="n"/>
      <c r="FM2" s="266" t="n"/>
      <c r="FN2" s="266" t="n"/>
      <c r="FO2" s="266" t="n"/>
      <c r="FP2" s="266" t="n"/>
      <c r="FQ2" s="266" t="n"/>
      <c r="FR2" s="266" t="n"/>
      <c r="FS2" s="266" t="n"/>
      <c r="FT2" s="266" t="n"/>
      <c r="FU2" s="266" t="n"/>
      <c r="FV2" s="266" t="n"/>
      <c r="FW2" s="266" t="n"/>
      <c r="FX2" s="266" t="n"/>
      <c r="FY2" s="266" t="n"/>
      <c r="FZ2" s="266" t="n"/>
      <c r="GA2" s="266" t="n"/>
      <c r="GB2" s="266" t="n"/>
      <c r="GC2" s="266" t="n"/>
      <c r="GD2" s="266" t="n"/>
      <c r="GE2" s="266" t="n"/>
      <c r="GF2" s="266" t="n"/>
      <c r="GG2" s="266" t="n"/>
      <c r="GH2" s="266" t="n"/>
      <c r="GI2" s="266" t="n"/>
      <c r="GJ2" s="266" t="n"/>
      <c r="GK2" s="266" t="n"/>
      <c r="GL2" s="266" t="n"/>
      <c r="GM2" s="266" t="n"/>
      <c r="GN2" s="266" t="n"/>
      <c r="GO2" s="266" t="n"/>
      <c r="GP2" s="266" t="n"/>
      <c r="GQ2" s="266" t="n"/>
      <c r="GR2" s="266" t="n"/>
      <c r="GS2" s="266" t="n"/>
      <c r="GT2" s="266" t="n"/>
      <c r="GU2" s="266" t="n"/>
      <c r="GV2" s="266" t="n"/>
      <c r="GW2" s="266" t="n"/>
      <c r="GX2" s="266" t="n"/>
      <c r="GY2" s="266" t="n"/>
      <c r="GZ2" s="266" t="n"/>
      <c r="HA2" s="266" t="n"/>
      <c r="HB2" s="266" t="n"/>
      <c r="HC2" s="266" t="n"/>
      <c r="HD2" s="266" t="n"/>
      <c r="HE2" s="266" t="n"/>
      <c r="HF2" s="266" t="n"/>
      <c r="HG2" s="266" t="n"/>
      <c r="HH2" s="266" t="n"/>
      <c r="HI2" s="266" t="n"/>
      <c r="HJ2" s="266" t="n"/>
      <c r="HK2" s="266" t="n"/>
      <c r="HL2" s="266" t="n"/>
      <c r="HM2" s="266" t="n"/>
      <c r="HN2" s="266" t="n"/>
      <c r="HO2" s="266" t="n"/>
      <c r="HP2" s="266" t="n"/>
      <c r="HQ2" s="266" t="n"/>
      <c r="HR2" s="266" t="n"/>
      <c r="HS2" s="266" t="n"/>
      <c r="HT2" s="266" t="n"/>
      <c r="HU2" s="266" t="n"/>
      <c r="HV2" s="266" t="n"/>
      <c r="HW2" s="266" t="n"/>
      <c r="HX2" s="266" t="n"/>
      <c r="HY2" s="266" t="n"/>
      <c r="HZ2" s="266" t="n"/>
      <c r="IA2" s="266" t="n"/>
      <c r="IB2" s="266" t="n"/>
      <c r="IC2" s="266" t="n"/>
      <c r="ID2" s="266" t="n"/>
      <c r="IE2" s="266" t="n"/>
      <c r="IF2" s="266" t="n"/>
      <c r="IG2" s="266" t="n"/>
      <c r="IH2" s="266" t="n"/>
      <c r="II2" s="266" t="n"/>
      <c r="IJ2" s="266" t="n"/>
      <c r="IK2" s="266" t="n"/>
      <c r="IL2" s="266" t="n"/>
      <c r="IM2" s="266" t="n"/>
      <c r="IN2" s="266" t="n"/>
      <c r="IO2" s="266" t="n"/>
      <c r="IP2" s="266" t="n"/>
      <c r="IQ2" s="266" t="n"/>
      <c r="IR2" s="266" t="n"/>
      <c r="IS2" s="266" t="n"/>
      <c r="IT2" s="266" t="n"/>
      <c r="IU2" s="266" t="n"/>
      <c r="IV2" s="266" t="n"/>
      <c r="IW2" s="266" t="n"/>
      <c r="IX2" s="266" t="n"/>
      <c r="IY2" s="266" t="n"/>
      <c r="IZ2" s="266" t="n"/>
      <c r="JA2" s="266" t="n"/>
      <c r="JB2" s="266" t="n"/>
      <c r="JC2" s="266" t="n"/>
      <c r="JD2" s="266" t="n"/>
      <c r="JE2" s="266" t="n"/>
      <c r="JF2" s="266" t="n"/>
      <c r="JG2" s="266" t="n"/>
      <c r="JH2" s="266" t="n"/>
      <c r="JI2" s="266" t="n"/>
      <c r="JJ2" s="266" t="n"/>
      <c r="JK2" s="266" t="n"/>
      <c r="JL2" s="266" t="n"/>
      <c r="JM2" s="266" t="n"/>
      <c r="JN2" s="266" t="n"/>
      <c r="JO2" s="266" t="n"/>
      <c r="JP2" s="266" t="n"/>
      <c r="JQ2" s="266" t="n"/>
      <c r="JR2" s="266" t="n"/>
      <c r="JS2" s="266" t="n"/>
      <c r="JT2" s="266" t="n"/>
      <c r="JU2" s="266" t="n"/>
      <c r="JV2" s="266" t="n"/>
      <c r="JW2" s="266" t="n"/>
      <c r="JX2" s="266" t="n"/>
      <c r="JY2" s="266" t="n"/>
      <c r="JZ2" s="266" t="n"/>
      <c r="KA2" s="266" t="n"/>
      <c r="KB2" s="266" t="n"/>
      <c r="KC2" s="266" t="n"/>
      <c r="KD2" s="266" t="n"/>
      <c r="KE2" s="266" t="n"/>
      <c r="KF2" s="266" t="n"/>
      <c r="KG2" s="266" t="n"/>
      <c r="KH2" s="266" t="n"/>
      <c r="KI2" s="266" t="n"/>
      <c r="KJ2" s="266" t="n"/>
      <c r="KK2" s="266" t="n"/>
      <c r="KL2" s="266" t="n"/>
      <c r="KM2" s="266" t="n"/>
      <c r="KN2" s="266" t="n"/>
      <c r="KO2" s="266" t="n"/>
      <c r="KP2" s="266" t="n"/>
      <c r="KQ2" s="266" t="n"/>
      <c r="KR2" s="266" t="n"/>
      <c r="KS2" s="266" t="n"/>
      <c r="KT2" s="266" t="n"/>
      <c r="KU2" s="266" t="n"/>
      <c r="KV2" s="266" t="n"/>
      <c r="KW2" s="266" t="n"/>
      <c r="KX2" s="266" t="n"/>
      <c r="KY2" s="266" t="n"/>
      <c r="KZ2" s="266" t="n"/>
      <c r="LA2" s="266" t="n"/>
      <c r="LB2" s="266" t="n"/>
      <c r="LC2" s="266" t="n"/>
      <c r="LD2" s="266" t="n"/>
      <c r="LE2" s="266" t="n"/>
      <c r="LF2" s="266" t="n"/>
      <c r="LG2" s="266" t="n"/>
      <c r="LH2" s="266" t="n"/>
      <c r="LI2" s="266" t="n"/>
      <c r="LJ2" s="266" t="n"/>
      <c r="LK2" s="266" t="n"/>
      <c r="LL2" s="266" t="n"/>
      <c r="LM2" s="266" t="n"/>
      <c r="LN2" s="266" t="n"/>
      <c r="LO2" s="266" t="n"/>
      <c r="LP2" s="266" t="n"/>
      <c r="LQ2" s="266" t="n"/>
      <c r="LR2" s="266" t="n"/>
      <c r="LS2" s="266" t="n"/>
      <c r="LT2" s="266" t="n"/>
      <c r="LU2" s="266" t="n"/>
      <c r="LV2" s="266" t="n"/>
      <c r="LW2" s="266" t="n"/>
      <c r="LX2" s="266" t="n"/>
      <c r="LY2" s="266" t="n"/>
      <c r="LZ2" s="266" t="n"/>
      <c r="MA2" s="266" t="n"/>
      <c r="MB2" s="266" t="n"/>
      <c r="MC2" s="266" t="n"/>
      <c r="MD2" s="266" t="n"/>
      <c r="ME2" s="266" t="n"/>
      <c r="MF2" s="266" t="n"/>
      <c r="MG2" s="266" t="n"/>
      <c r="MH2" s="266" t="n"/>
      <c r="MI2" s="266" t="n"/>
      <c r="MJ2" s="266" t="n"/>
      <c r="MK2" s="266" t="n"/>
      <c r="ML2" s="266" t="n"/>
      <c r="MM2" s="266" t="n"/>
      <c r="MN2" s="266" t="n"/>
      <c r="MO2" s="266" t="n"/>
      <c r="MP2" s="266" t="n"/>
      <c r="MQ2" s="266" t="n"/>
      <c r="MR2" s="266" t="n"/>
      <c r="MS2" s="266" t="n"/>
      <c r="MT2" s="266" t="n"/>
      <c r="MU2" s="266" t="n"/>
      <c r="MV2" s="266" t="n"/>
      <c r="MW2" s="266" t="n"/>
      <c r="MX2" s="266" t="n"/>
      <c r="MY2" s="266" t="n"/>
      <c r="MZ2" s="266" t="n"/>
      <c r="NA2" s="266" t="n"/>
      <c r="NB2" s="266" t="n"/>
      <c r="NC2" s="266" t="n"/>
      <c r="ND2" s="266" t="n"/>
      <c r="NE2" s="266" t="n"/>
      <c r="NF2" s="266" t="n"/>
      <c r="NG2" s="266" t="n"/>
      <c r="NH2" s="266" t="n"/>
      <c r="NI2" s="266" t="n"/>
      <c r="NJ2" s="266" t="n"/>
      <c r="NK2" s="266" t="n"/>
      <c r="NL2" s="266" t="n"/>
      <c r="NM2" s="266" t="n"/>
      <c r="NN2" s="266" t="n"/>
      <c r="NO2" s="266" t="n"/>
      <c r="NP2" s="266" t="n"/>
      <c r="NQ2" s="266" t="n"/>
      <c r="NR2" s="266" t="n"/>
      <c r="NS2" s="266" t="n"/>
      <c r="NT2" s="266" t="n"/>
      <c r="NU2" s="266" t="n"/>
      <c r="NV2" s="266" t="n"/>
      <c r="NW2" s="266" t="n"/>
      <c r="NX2" s="266" t="n"/>
      <c r="NY2" s="266" t="n"/>
      <c r="NZ2" s="266" t="n"/>
      <c r="OA2" s="266" t="n"/>
      <c r="OB2" s="266" t="n"/>
      <c r="OC2" s="266" t="n"/>
      <c r="OD2" s="266" t="n"/>
      <c r="OE2" s="266" t="n"/>
      <c r="OF2" s="266" t="n"/>
      <c r="OG2" s="266" t="n"/>
      <c r="OH2" s="266" t="n"/>
      <c r="OI2" s="266" t="n"/>
      <c r="OJ2" s="266" t="n"/>
      <c r="OK2" s="266" t="n"/>
      <c r="OL2" s="266" t="n"/>
      <c r="OM2" s="266" t="n"/>
      <c r="ON2" s="266" t="n"/>
      <c r="OO2" s="266" t="n"/>
      <c r="OP2" s="266" t="n"/>
      <c r="OQ2" s="266" t="n"/>
      <c r="OR2" s="266" t="n"/>
      <c r="OS2" s="266" t="n"/>
      <c r="OT2" s="266" t="n"/>
      <c r="OU2" s="266" t="n"/>
      <c r="OV2" s="266" t="n"/>
      <c r="OW2" s="266" t="n"/>
      <c r="OX2" s="266" t="n"/>
      <c r="OY2" s="266" t="n"/>
      <c r="OZ2" s="266" t="n"/>
      <c r="PA2" s="266" t="n"/>
      <c r="PB2" s="266" t="n"/>
      <c r="PC2" s="266" t="n"/>
      <c r="PD2" s="266" t="n"/>
      <c r="PE2" s="266" t="n"/>
      <c r="PF2" s="266" t="n"/>
      <c r="PG2" s="266" t="n"/>
      <c r="PH2" s="266" t="n"/>
      <c r="PI2" s="266" t="n"/>
      <c r="PJ2" s="266" t="n"/>
      <c r="PK2" s="266" t="n"/>
      <c r="PL2" s="266" t="n"/>
      <c r="PM2" s="266" t="n"/>
      <c r="PN2" s="266" t="n"/>
      <c r="PO2" s="266" t="n"/>
      <c r="PP2" s="266" t="n"/>
      <c r="PQ2" s="266" t="n"/>
      <c r="PR2" s="266" t="n"/>
      <c r="PS2" s="266" t="n"/>
      <c r="PT2" s="266" t="n"/>
      <c r="PU2" s="266" t="n"/>
      <c r="PV2" s="266" t="n"/>
      <c r="PW2" s="266" t="n"/>
      <c r="PX2" s="266" t="n"/>
      <c r="PY2" s="266" t="n"/>
      <c r="PZ2" s="266" t="n"/>
      <c r="QA2" s="266" t="n"/>
      <c r="QB2" s="266" t="n"/>
      <c r="QC2" s="266" t="n"/>
      <c r="QD2" s="266" t="n"/>
      <c r="QE2" s="266" t="n"/>
      <c r="QF2" s="266" t="n"/>
      <c r="QG2" s="266" t="n"/>
      <c r="QH2" s="266" t="n"/>
      <c r="QI2" s="266" t="n"/>
      <c r="QJ2" s="266" t="n"/>
      <c r="QK2" s="266" t="n"/>
      <c r="QL2" s="266" t="n"/>
      <c r="QM2" s="266" t="n"/>
      <c r="QN2" s="266" t="n"/>
      <c r="QO2" s="266" t="n"/>
      <c r="QP2" s="266" t="n"/>
      <c r="QQ2" s="266" t="n"/>
      <c r="QR2" s="266" t="n"/>
      <c r="QS2" s="266" t="n"/>
      <c r="QT2" s="266" t="n"/>
      <c r="QU2" s="266" t="n"/>
      <c r="QV2" s="266" t="n"/>
      <c r="QW2" s="266" t="n"/>
      <c r="QX2" s="266" t="n"/>
      <c r="QY2" s="266" t="n"/>
      <c r="QZ2" s="266" t="n"/>
      <c r="RA2" s="266" t="n"/>
      <c r="RB2" s="266" t="n"/>
      <c r="RC2" s="266" t="n"/>
      <c r="RD2" s="266" t="n"/>
      <c r="RE2" s="266" t="n"/>
      <c r="RF2" s="266" t="n"/>
      <c r="RG2" s="266" t="n"/>
      <c r="RH2" s="266" t="n"/>
      <c r="RI2" s="266" t="n"/>
      <c r="RJ2" s="266" t="n"/>
      <c r="RK2" s="266" t="n"/>
      <c r="RL2" s="266" t="n"/>
      <c r="RM2" s="266" t="n"/>
      <c r="RN2" s="266" t="n"/>
      <c r="RO2" s="266" t="n"/>
      <c r="RP2" s="266" t="n"/>
      <c r="RQ2" s="266" t="n"/>
      <c r="RR2" s="266" t="n"/>
      <c r="RS2" s="266" t="n"/>
      <c r="RT2" s="266" t="n"/>
      <c r="RU2" s="266" t="n"/>
      <c r="RV2" s="266" t="n"/>
      <c r="RW2" s="266" t="n"/>
      <c r="RX2" s="266" t="n"/>
      <c r="RY2" s="266" t="n"/>
      <c r="RZ2" s="266" t="n"/>
      <c r="SA2" s="266" t="n"/>
      <c r="SB2" s="266" t="n"/>
      <c r="SC2" s="266" t="n"/>
      <c r="SD2" s="266" t="n"/>
      <c r="SE2" s="266" t="n"/>
      <c r="SF2" s="266" t="n"/>
      <c r="SG2" s="266" t="n"/>
      <c r="SH2" s="266" t="n"/>
      <c r="SI2" s="266" t="n"/>
      <c r="SJ2" s="266" t="n"/>
      <c r="SK2" s="266" t="n"/>
      <c r="SL2" s="266" t="n"/>
      <c r="SM2" s="266" t="n"/>
      <c r="SN2" s="266" t="n"/>
      <c r="SO2" s="266" t="n"/>
      <c r="SP2" s="266" t="n"/>
      <c r="SQ2" s="266" t="n"/>
      <c r="SR2" s="266" t="n"/>
      <c r="SS2" s="266" t="n"/>
      <c r="ST2" s="266" t="n"/>
      <c r="SU2" s="266" t="n"/>
      <c r="SV2" s="266" t="n"/>
      <c r="SW2" s="266" t="n"/>
      <c r="SX2" s="266" t="n"/>
      <c r="SY2" s="266" t="n"/>
      <c r="SZ2" s="266" t="n"/>
      <c r="TA2" s="266" t="n"/>
    </row>
    <row r="3" ht="18.95" customFormat="1" customHeight="1" s="273">
      <c r="A3" s="277" t="inlineStr">
        <is>
          <t>reserved</t>
        </is>
      </c>
      <c r="B3" s="284" t="inlineStr">
        <is>
          <t>task_group</t>
        </is>
      </c>
      <c r="C3" s="269" t="inlineStr">
        <is>
          <t>wbs_level</t>
        </is>
      </c>
      <c r="D3" s="279" t="inlineStr">
        <is>
          <t>WBS</t>
        </is>
      </c>
      <c r="E3" s="272" t="inlineStr">
        <is>
          <t>작업*</t>
        </is>
      </c>
      <c r="O3" s="270" t="inlineStr">
        <is>
          <t>비고</t>
        </is>
      </c>
      <c r="P3" s="270" t="inlineStr">
        <is>
          <t>시작일*</t>
        </is>
      </c>
      <c r="Q3" s="270" t="inlineStr">
        <is>
          <t>완료일*</t>
        </is>
      </c>
      <c r="R3" s="282" t="inlineStr">
        <is>
          <t>Calendar</t>
        </is>
      </c>
      <c r="S3" s="306" t="inlineStr">
        <is>
          <t>총_x000D_
작업량</t>
        </is>
      </c>
      <c r="T3" s="307" t="inlineStr">
        <is>
          <t>계획_x000D_
작업량</t>
        </is>
      </c>
      <c r="U3" s="306" t="inlineStr">
        <is>
          <t>총_x000D_
기간</t>
        </is>
      </c>
      <c r="V3" s="306" t="inlineStr">
        <is>
          <t>계획_x000D_
기간</t>
        </is>
      </c>
      <c r="W3" s="280" t="inlineStr">
        <is>
          <t>실제_x000D_
시작일</t>
        </is>
      </c>
      <c r="X3" s="280" t="inlineStr">
        <is>
          <t>실제_x000D_
완료일</t>
        </is>
      </c>
      <c r="Y3" s="308" t="inlineStr">
        <is>
          <t>실제_x000D_
총작업량</t>
        </is>
      </c>
      <c r="Z3" s="276" t="inlineStr">
        <is>
          <t>실제_x000D_
총기간</t>
        </is>
      </c>
      <c r="AA3" s="309" t="inlineStr">
        <is>
          <t>자원수</t>
        </is>
      </c>
      <c r="AB3" s="270" t="inlineStr">
        <is>
          <t>담당</t>
        </is>
      </c>
      <c r="AC3" s="282" t="inlineStr">
        <is>
          <t>산출물</t>
        </is>
      </c>
      <c r="AD3" s="267" t="inlineStr">
        <is>
          <t>계획</t>
        </is>
      </c>
      <c r="AE3" s="285" t="inlineStr">
        <is>
          <t>실적*</t>
        </is>
      </c>
      <c r="AF3" s="286" t="inlineStr">
        <is>
          <t>03/01
W10</t>
        </is>
      </c>
      <c r="AI3" s="310" t="n"/>
      <c r="AJ3" s="263" t="inlineStr">
        <is>
          <t>03/29
W14</t>
        </is>
      </c>
      <c r="AM3" s="310" t="n"/>
      <c r="AN3" s="263" t="inlineStr">
        <is>
          <t>04/26
W18</t>
        </is>
      </c>
      <c r="AQ3" s="310" t="n"/>
      <c r="AR3" s="263" t="inlineStr">
        <is>
          <t>05/24
W22</t>
        </is>
      </c>
      <c r="AU3" s="310" t="n"/>
      <c r="AV3" s="263" t="inlineStr">
        <is>
          <t>06/21
W26</t>
        </is>
      </c>
      <c r="AY3" s="310" t="n"/>
      <c r="AZ3" s="263" t="inlineStr">
        <is>
          <t>07/19
W30</t>
        </is>
      </c>
      <c r="BC3" s="310" t="n"/>
      <c r="BD3" s="263" t="inlineStr">
        <is>
          <t>08/16
W34</t>
        </is>
      </c>
      <c r="BG3" s="310" t="n"/>
      <c r="BH3" s="263" t="inlineStr">
        <is>
          <t>09/13
W38</t>
        </is>
      </c>
      <c r="BK3" s="310" t="n"/>
      <c r="BL3" s="263" t="inlineStr">
        <is>
          <t>10/11
W42</t>
        </is>
      </c>
      <c r="BO3" s="310" t="n"/>
      <c r="BP3" s="263" t="inlineStr">
        <is>
          <t>11/08
W46</t>
        </is>
      </c>
      <c r="BS3" s="310" t="n"/>
      <c r="BT3" s="263" t="inlineStr">
        <is>
          <t>12/06
W50</t>
        </is>
      </c>
      <c r="BW3" s="310" t="n"/>
      <c r="BX3" s="263" t="inlineStr">
        <is>
          <t>2027
W2</t>
        </is>
      </c>
      <c r="CA3" s="310" t="n"/>
      <c r="CB3" s="263" t="inlineStr">
        <is>
          <t>01/31
W6</t>
        </is>
      </c>
      <c r="CE3" s="310" t="n"/>
      <c r="CF3" s="263" t="inlineStr">
        <is>
          <t>02/28
W10</t>
        </is>
      </c>
      <c r="CI3" s="310" t="n"/>
      <c r="CJ3" s="263" t="inlineStr">
        <is>
          <t>03/28
W14</t>
        </is>
      </c>
      <c r="CM3" s="310" t="n"/>
      <c r="CN3" s="263" t="inlineStr">
        <is>
          <t>04/25
W18</t>
        </is>
      </c>
      <c r="CQ3" s="310" t="n"/>
      <c r="CR3" s="263" t="inlineStr">
        <is>
          <t>05/23
W22</t>
        </is>
      </c>
      <c r="CU3" s="310" t="n"/>
      <c r="CV3" s="263" t="inlineStr">
        <is>
          <t>06/20
W26</t>
        </is>
      </c>
      <c r="CY3" s="310" t="n"/>
    </row>
    <row r="4" ht="6" customFormat="1" customHeight="1" s="273">
      <c r="A4" s="278" t="n"/>
      <c r="B4" s="268" t="n"/>
      <c r="C4" s="268" t="n"/>
      <c r="D4" s="268" t="n"/>
      <c r="E4" s="274" t="n"/>
      <c r="O4" s="268" t="n"/>
      <c r="P4" s="268" t="n"/>
      <c r="Q4" s="268" t="n"/>
      <c r="R4" s="268" t="n"/>
      <c r="S4" s="268" t="n"/>
      <c r="T4" s="268" t="n"/>
      <c r="U4" s="268" t="n"/>
      <c r="V4" s="268" t="n"/>
      <c r="W4" s="268" t="n"/>
      <c r="X4" s="268" t="n"/>
      <c r="Y4" s="268" t="n"/>
      <c r="Z4" s="268" t="n"/>
      <c r="AA4" s="268" t="n"/>
      <c r="AB4" s="268" t="n"/>
      <c r="AC4" s="268" t="n"/>
      <c r="AD4" s="268" t="n"/>
      <c r="AE4" s="274" t="n"/>
      <c r="AF4" s="150" t="n">
        <v>46082</v>
      </c>
      <c r="AG4" s="151" t="n">
        <v>46089</v>
      </c>
      <c r="AH4" s="151" t="n">
        <v>46096</v>
      </c>
      <c r="AI4" s="151" t="n">
        <v>46103</v>
      </c>
      <c r="AJ4" s="151" t="n">
        <v>46110</v>
      </c>
      <c r="AK4" s="151" t="n">
        <v>46117</v>
      </c>
      <c r="AL4" s="151" t="n">
        <v>46124</v>
      </c>
      <c r="AM4" s="151" t="n">
        <v>46131</v>
      </c>
      <c r="AN4" s="151" t="n">
        <v>46138</v>
      </c>
      <c r="AO4" s="151" t="n">
        <v>46145</v>
      </c>
      <c r="AP4" s="151" t="n">
        <v>46152</v>
      </c>
      <c r="AQ4" s="151" t="n">
        <v>46159</v>
      </c>
      <c r="AR4" s="151" t="n">
        <v>46166</v>
      </c>
      <c r="AS4" s="151" t="n">
        <v>46173</v>
      </c>
      <c r="AT4" s="151" t="n">
        <v>46180</v>
      </c>
      <c r="AU4" s="151" t="n">
        <v>46187</v>
      </c>
      <c r="AV4" s="151" t="n">
        <v>46194</v>
      </c>
      <c r="AW4" s="151" t="n">
        <v>46201</v>
      </c>
      <c r="AX4" s="151" t="n">
        <v>46208</v>
      </c>
      <c r="AY4" s="151" t="n">
        <v>46215</v>
      </c>
      <c r="AZ4" s="151" t="n">
        <v>46222</v>
      </c>
      <c r="BA4" s="151" t="n">
        <v>46229</v>
      </c>
      <c r="BB4" s="151" t="n">
        <v>46236</v>
      </c>
      <c r="BC4" s="151" t="n">
        <v>46243</v>
      </c>
      <c r="BD4" s="151" t="n">
        <v>46250</v>
      </c>
      <c r="BE4" s="151" t="n">
        <v>46257</v>
      </c>
      <c r="BF4" s="151" t="n">
        <v>46264</v>
      </c>
      <c r="BG4" s="151" t="n">
        <v>46271</v>
      </c>
      <c r="BH4" s="151" t="n">
        <v>46278</v>
      </c>
      <c r="BI4" s="151" t="n">
        <v>46285</v>
      </c>
      <c r="BJ4" s="151" t="n">
        <v>46292</v>
      </c>
      <c r="BK4" s="151" t="n">
        <v>46299</v>
      </c>
      <c r="BL4" s="151" t="n">
        <v>46306</v>
      </c>
      <c r="BM4" s="151" t="n">
        <v>46313</v>
      </c>
      <c r="BN4" s="151" t="n">
        <v>46320</v>
      </c>
      <c r="BO4" s="151" t="n">
        <v>46327</v>
      </c>
      <c r="BP4" s="151" t="n">
        <v>46334</v>
      </c>
      <c r="BQ4" s="151" t="n">
        <v>46341</v>
      </c>
      <c r="BR4" s="151" t="n">
        <v>46348</v>
      </c>
      <c r="BS4" s="151" t="n">
        <v>46355</v>
      </c>
      <c r="BT4" s="151" t="n">
        <v>46362</v>
      </c>
      <c r="BU4" s="151" t="n">
        <v>46369</v>
      </c>
      <c r="BV4" s="151" t="n">
        <v>46376</v>
      </c>
      <c r="BW4" s="151" t="n">
        <v>46383</v>
      </c>
      <c r="BX4" s="151" t="n">
        <v>46390</v>
      </c>
      <c r="BY4" s="151" t="n">
        <v>46397</v>
      </c>
      <c r="BZ4" s="151" t="n">
        <v>46404</v>
      </c>
      <c r="CA4" s="151" t="n">
        <v>46411</v>
      </c>
      <c r="CB4" s="151" t="n">
        <v>46418</v>
      </c>
      <c r="CC4" s="151" t="n">
        <v>46425</v>
      </c>
      <c r="CD4" s="151" t="n">
        <v>46432</v>
      </c>
      <c r="CE4" s="151" t="n">
        <v>46439</v>
      </c>
      <c r="CF4" s="151" t="n">
        <v>46446</v>
      </c>
      <c r="CG4" s="151" t="n">
        <v>46453</v>
      </c>
      <c r="CH4" s="151" t="n">
        <v>46460</v>
      </c>
      <c r="CI4" s="151" t="n">
        <v>46467</v>
      </c>
      <c r="CJ4" s="151" t="n">
        <v>46474</v>
      </c>
      <c r="CK4" s="151" t="n">
        <v>46481</v>
      </c>
      <c r="CL4" s="151" t="n">
        <v>46488</v>
      </c>
      <c r="CM4" s="151" t="n">
        <v>46495</v>
      </c>
      <c r="CN4" s="151" t="n">
        <v>46502</v>
      </c>
      <c r="CO4" s="151" t="n">
        <v>46509</v>
      </c>
      <c r="CP4" s="151" t="n">
        <v>46516</v>
      </c>
      <c r="CQ4" s="151" t="n">
        <v>46523</v>
      </c>
      <c r="CR4" s="151" t="n">
        <v>46530</v>
      </c>
      <c r="CS4" s="151" t="n">
        <v>46537</v>
      </c>
      <c r="CT4" s="151" t="n">
        <v>46544</v>
      </c>
      <c r="CU4" s="151" t="n">
        <v>46551</v>
      </c>
      <c r="CV4" s="151" t="n">
        <v>46558</v>
      </c>
      <c r="CW4" s="151" t="n">
        <v>46565</v>
      </c>
      <c r="CX4" s="213" t="n"/>
      <c r="CY4" s="187" t="n"/>
      <c r="CZ4" s="188" t="n"/>
      <c r="DA4" s="188" t="n"/>
      <c r="DB4" s="188" t="n"/>
      <c r="DC4" s="188" t="n"/>
      <c r="DD4" s="188" t="n"/>
      <c r="DE4" s="188" t="n"/>
      <c r="DF4" s="188" t="n"/>
      <c r="DG4" s="188" t="n"/>
      <c r="DH4" s="188" t="n"/>
      <c r="DI4" s="188" t="n"/>
      <c r="DJ4" s="188" t="n"/>
      <c r="DK4" s="188" t="n"/>
      <c r="DL4" s="188" t="n"/>
      <c r="DM4" s="188" t="n"/>
      <c r="DN4" s="188" t="n"/>
      <c r="DO4" s="188" t="n"/>
      <c r="DP4" s="188" t="n"/>
      <c r="DQ4" s="188" t="n"/>
      <c r="DR4" s="188" t="n"/>
      <c r="DS4" s="188" t="n"/>
      <c r="DT4" s="188" t="n"/>
      <c r="DU4" s="188" t="n"/>
      <c r="DV4" s="188" t="n"/>
      <c r="DW4" s="188" t="n"/>
      <c r="DX4" s="188" t="n"/>
      <c r="DY4" s="188" t="n"/>
      <c r="DZ4" s="188" t="n"/>
      <c r="EA4" s="188" t="n"/>
      <c r="EB4" s="188" t="n"/>
      <c r="EC4" s="188" t="n"/>
      <c r="ED4" s="188" t="n"/>
      <c r="EE4" s="188" t="n"/>
      <c r="EF4" s="188" t="n"/>
      <c r="EG4" s="188" t="n"/>
      <c r="EH4" s="188" t="n"/>
      <c r="EI4" s="188" t="n"/>
      <c r="EJ4" s="188" t="n"/>
      <c r="EK4" s="188" t="n"/>
      <c r="EL4" s="188" t="n"/>
      <c r="EM4" s="188" t="n"/>
      <c r="EN4" s="188" t="n"/>
      <c r="EO4" s="188" t="n"/>
      <c r="EP4" s="188" t="n"/>
      <c r="EQ4" s="188" t="n"/>
      <c r="ER4" s="188" t="n"/>
      <c r="ES4" s="188" t="n"/>
      <c r="ET4" s="188" t="n"/>
      <c r="EU4" s="188" t="n"/>
      <c r="EV4" s="188" t="n"/>
      <c r="EW4" s="188" t="n"/>
      <c r="EX4" s="188" t="n"/>
      <c r="EY4" s="188" t="n"/>
      <c r="EZ4" s="188" t="n"/>
      <c r="FA4" s="188" t="n"/>
      <c r="FB4" s="188" t="n"/>
      <c r="FC4" s="188" t="n"/>
      <c r="FD4" s="188" t="n"/>
      <c r="FE4" s="188" t="n"/>
      <c r="FF4" s="188" t="n"/>
      <c r="FG4" s="188" t="n"/>
      <c r="FH4" s="188" t="n"/>
      <c r="FI4" s="188" t="n"/>
      <c r="FJ4" s="188" t="n"/>
      <c r="FK4" s="188" t="n"/>
      <c r="FL4" s="188" t="n"/>
      <c r="FM4" s="188" t="n"/>
      <c r="FN4" s="188" t="n"/>
      <c r="FO4" s="188" t="n"/>
      <c r="FP4" s="188" t="n"/>
      <c r="FQ4" s="188" t="n"/>
      <c r="FR4" s="188" t="n"/>
      <c r="FS4" s="188" t="n"/>
      <c r="FT4" s="188" t="n"/>
      <c r="FU4" s="188" t="n"/>
      <c r="FV4" s="188" t="n"/>
      <c r="FW4" s="188" t="n"/>
      <c r="FX4" s="188" t="n"/>
      <c r="FY4" s="188" t="n"/>
      <c r="FZ4" s="188" t="n"/>
      <c r="GA4" s="188" t="n"/>
      <c r="GB4" s="188" t="n"/>
      <c r="GC4" s="188" t="n"/>
      <c r="GD4" s="188" t="n"/>
      <c r="GE4" s="188" t="n"/>
      <c r="GF4" s="188" t="n"/>
      <c r="GG4" s="188" t="n"/>
      <c r="GH4" s="188" t="n"/>
      <c r="GI4" s="188" t="n"/>
      <c r="GJ4" s="188" t="n"/>
      <c r="GK4" s="188" t="n"/>
      <c r="GL4" s="188" t="n"/>
      <c r="GM4" s="188" t="n"/>
      <c r="GN4" s="188" t="n"/>
      <c r="GO4" s="188" t="n"/>
      <c r="GP4" s="188" t="n"/>
      <c r="GQ4" s="188" t="n"/>
      <c r="GR4" s="188" t="n"/>
      <c r="GS4" s="188" t="n"/>
      <c r="GT4" s="188" t="n"/>
      <c r="GU4" s="188" t="n"/>
      <c r="GV4" s="188" t="n"/>
      <c r="GW4" s="188" t="n"/>
      <c r="GX4" s="188" t="n"/>
      <c r="GY4" s="188" t="n"/>
      <c r="GZ4" s="188" t="n"/>
      <c r="HA4" s="188" t="n"/>
      <c r="HB4" s="188" t="n"/>
      <c r="HC4" s="188" t="n"/>
      <c r="HD4" s="188" t="n"/>
      <c r="HE4" s="188" t="n"/>
      <c r="HF4" s="188" t="n"/>
      <c r="HG4" s="188" t="n"/>
      <c r="HH4" s="188" t="n"/>
      <c r="HI4" s="188" t="n"/>
      <c r="HJ4" s="188" t="n"/>
      <c r="HK4" s="188" t="n"/>
      <c r="HL4" s="188" t="n"/>
      <c r="HM4" s="188" t="n"/>
      <c r="HN4" s="188" t="n"/>
      <c r="HO4" s="188" t="n"/>
      <c r="HP4" s="188" t="n"/>
      <c r="HQ4" s="188" t="n"/>
      <c r="HR4" s="188" t="n"/>
      <c r="HS4" s="188" t="n"/>
      <c r="HT4" s="188" t="n"/>
      <c r="HU4" s="188" t="n"/>
      <c r="HV4" s="188" t="n"/>
      <c r="HW4" s="188" t="n"/>
      <c r="HX4" s="188" t="n"/>
      <c r="HY4" s="188" t="n"/>
      <c r="HZ4" s="188" t="n"/>
      <c r="IA4" s="188" t="n"/>
      <c r="IB4" s="188" t="n"/>
      <c r="IC4" s="188" t="n"/>
      <c r="ID4" s="188" t="n"/>
      <c r="IE4" s="188" t="n"/>
      <c r="IF4" s="188" t="n"/>
      <c r="IG4" s="188" t="n"/>
      <c r="IH4" s="188" t="n"/>
      <c r="II4" s="188" t="n"/>
      <c r="IJ4" s="188" t="n"/>
      <c r="IK4" s="188" t="n"/>
      <c r="IL4" s="188" t="n"/>
      <c r="IM4" s="188" t="n"/>
      <c r="IN4" s="188" t="n"/>
      <c r="IO4" s="188" t="n"/>
      <c r="IP4" s="188" t="n"/>
      <c r="IQ4" s="188" t="n"/>
      <c r="IR4" s="188" t="n"/>
      <c r="IS4" s="188" t="n"/>
      <c r="IT4" s="188" t="n"/>
      <c r="IU4" s="188" t="n"/>
      <c r="IV4" s="188" t="n"/>
      <c r="IW4" s="188" t="n"/>
      <c r="IX4" s="188" t="n"/>
      <c r="IY4" s="188" t="n"/>
      <c r="IZ4" s="188" t="n"/>
      <c r="JA4" s="188" t="n"/>
      <c r="JB4" s="188" t="n"/>
      <c r="JC4" s="188" t="n"/>
      <c r="JD4" s="188" t="n"/>
      <c r="JE4" s="188" t="n"/>
      <c r="JF4" s="188" t="n"/>
      <c r="JG4" s="188" t="n"/>
      <c r="JH4" s="188" t="n"/>
      <c r="JI4" s="188" t="n"/>
      <c r="JJ4" s="188" t="n"/>
      <c r="JK4" s="188" t="n"/>
      <c r="JL4" s="188" t="n"/>
      <c r="JM4" s="188" t="n"/>
      <c r="JN4" s="188" t="n"/>
      <c r="JO4" s="188" t="n"/>
      <c r="JP4" s="188" t="n"/>
      <c r="JQ4" s="188" t="n"/>
      <c r="JR4" s="188" t="n"/>
      <c r="JS4" s="188" t="n"/>
      <c r="JT4" s="188" t="n"/>
      <c r="JU4" s="188" t="n"/>
      <c r="JV4" s="188" t="n"/>
      <c r="JW4" s="188" t="n"/>
      <c r="JX4" s="188" t="n"/>
      <c r="JY4" s="188" t="n"/>
      <c r="JZ4" s="188" t="n"/>
      <c r="KA4" s="188" t="n"/>
      <c r="KB4" s="188" t="n"/>
      <c r="KC4" s="188" t="n"/>
      <c r="KD4" s="188" t="n"/>
      <c r="KE4" s="188" t="n"/>
      <c r="KF4" s="188" t="n"/>
      <c r="KG4" s="188" t="n"/>
      <c r="KH4" s="188" t="n"/>
      <c r="KI4" s="188" t="n"/>
      <c r="KJ4" s="188" t="n"/>
      <c r="KK4" s="188" t="n"/>
      <c r="KL4" s="188" t="n"/>
      <c r="KM4" s="188" t="n"/>
      <c r="KN4" s="188" t="n"/>
      <c r="KO4" s="188" t="n"/>
      <c r="KP4" s="188" t="n"/>
      <c r="KQ4" s="188" t="n"/>
      <c r="KR4" s="188" t="n"/>
      <c r="KS4" s="188" t="n"/>
      <c r="KT4" s="188" t="n"/>
      <c r="KU4" s="188" t="n"/>
      <c r="KV4" s="188" t="n"/>
      <c r="KW4" s="188" t="n"/>
      <c r="KX4" s="188" t="n"/>
      <c r="KY4" s="188" t="n"/>
      <c r="KZ4" s="188" t="n"/>
      <c r="LA4" s="188" t="n"/>
      <c r="LB4" s="188" t="n"/>
      <c r="LC4" s="188" t="n"/>
      <c r="LD4" s="188" t="n"/>
      <c r="LE4" s="188" t="n"/>
      <c r="LF4" s="188" t="n"/>
      <c r="LG4" s="188" t="n"/>
      <c r="LH4" s="188" t="n"/>
      <c r="LI4" s="188" t="n"/>
      <c r="LJ4" s="188" t="n"/>
      <c r="LK4" s="188" t="n"/>
      <c r="LL4" s="188" t="n"/>
      <c r="LM4" s="188" t="n"/>
      <c r="LN4" s="188" t="n"/>
      <c r="LO4" s="188" t="n"/>
      <c r="LP4" s="188" t="n"/>
      <c r="LQ4" s="188" t="n"/>
      <c r="LR4" s="188" t="n"/>
      <c r="LS4" s="188" t="n"/>
      <c r="LT4" s="188" t="n"/>
      <c r="LU4" s="188" t="n"/>
      <c r="LV4" s="188" t="n"/>
      <c r="LW4" s="188" t="n"/>
      <c r="LX4" s="188" t="n"/>
      <c r="LY4" s="188" t="n"/>
      <c r="LZ4" s="188" t="n"/>
      <c r="MA4" s="188" t="n"/>
      <c r="MB4" s="188" t="n"/>
      <c r="MC4" s="188" t="n"/>
      <c r="MD4" s="188" t="n"/>
      <c r="ME4" s="188" t="n"/>
      <c r="MF4" s="188" t="n"/>
      <c r="MG4" s="188" t="n"/>
      <c r="MH4" s="188" t="n"/>
      <c r="MI4" s="188" t="n"/>
      <c r="MJ4" s="188" t="n"/>
      <c r="MK4" s="188" t="n"/>
      <c r="ML4" s="188" t="n"/>
      <c r="MM4" s="188" t="n"/>
      <c r="MN4" s="188" t="n"/>
      <c r="MO4" s="188" t="n"/>
      <c r="MP4" s="188" t="n"/>
      <c r="MQ4" s="188" t="n"/>
      <c r="MR4" s="188" t="n"/>
      <c r="MS4" s="188" t="n"/>
      <c r="MT4" s="188" t="n"/>
      <c r="MU4" s="188" t="n"/>
      <c r="MV4" s="188" t="n"/>
      <c r="MW4" s="188" t="n"/>
      <c r="MX4" s="188" t="n"/>
      <c r="MY4" s="188" t="n"/>
      <c r="MZ4" s="188" t="n"/>
      <c r="NA4" s="188" t="n"/>
      <c r="NB4" s="188" t="n"/>
      <c r="NC4" s="188" t="n"/>
      <c r="ND4" s="188" t="n"/>
      <c r="NE4" s="188" t="n"/>
      <c r="NF4" s="188" t="n"/>
      <c r="NG4" s="188" t="n"/>
      <c r="NH4" s="188" t="n"/>
      <c r="NI4" s="188" t="n"/>
      <c r="NJ4" s="188" t="n"/>
      <c r="NK4" s="188" t="n"/>
      <c r="NL4" s="188" t="n"/>
      <c r="NM4" s="188" t="n"/>
      <c r="NN4" s="188" t="n"/>
      <c r="NO4" s="188" t="n"/>
      <c r="NP4" s="188" t="n"/>
      <c r="NQ4" s="188" t="n"/>
      <c r="NR4" s="188" t="n"/>
      <c r="NS4" s="188" t="n"/>
      <c r="NT4" s="188" t="n"/>
      <c r="NU4" s="188" t="n"/>
      <c r="NV4" s="188" t="n"/>
      <c r="NW4" s="188" t="n"/>
      <c r="NX4" s="188" t="n"/>
      <c r="NY4" s="188" t="n"/>
      <c r="NZ4" s="188" t="n"/>
      <c r="OA4" s="188" t="n"/>
      <c r="OB4" s="188" t="n"/>
      <c r="OC4" s="188" t="n"/>
      <c r="OD4" s="188" t="n"/>
      <c r="OE4" s="188" t="n"/>
      <c r="OF4" s="188" t="n"/>
      <c r="OG4" s="188" t="n"/>
      <c r="OH4" s="188" t="n"/>
      <c r="OI4" s="188" t="n"/>
      <c r="OJ4" s="188" t="n"/>
      <c r="OK4" s="188" t="n"/>
      <c r="OL4" s="188" t="n"/>
      <c r="OM4" s="188" t="n"/>
      <c r="ON4" s="188" t="n"/>
      <c r="OO4" s="188" t="n"/>
      <c r="OP4" s="188" t="n"/>
      <c r="OQ4" s="188" t="n"/>
      <c r="OR4" s="188" t="n"/>
      <c r="OS4" s="188" t="n"/>
      <c r="OT4" s="188" t="n"/>
      <c r="OU4" s="188" t="n"/>
      <c r="OV4" s="188" t="n"/>
      <c r="OW4" s="188" t="n"/>
      <c r="OX4" s="188" t="n"/>
      <c r="OY4" s="188" t="n"/>
      <c r="OZ4" s="188" t="n"/>
      <c r="PA4" s="188" t="n"/>
      <c r="PB4" s="188" t="n"/>
      <c r="PC4" s="188" t="n"/>
      <c r="PD4" s="188" t="n"/>
      <c r="PE4" s="188" t="n"/>
      <c r="PF4" s="188" t="n"/>
      <c r="PG4" s="188" t="n"/>
      <c r="PH4" s="188" t="n"/>
      <c r="PI4" s="188" t="n"/>
      <c r="PJ4" s="188" t="n"/>
      <c r="PK4" s="188" t="n"/>
      <c r="PL4" s="188" t="n"/>
      <c r="PM4" s="188" t="n"/>
      <c r="PN4" s="188" t="n"/>
      <c r="PO4" s="188" t="n"/>
      <c r="PP4" s="188" t="n"/>
      <c r="PQ4" s="188" t="n"/>
      <c r="PR4" s="188" t="n"/>
      <c r="PS4" s="188" t="n"/>
      <c r="PT4" s="188" t="n"/>
      <c r="PU4" s="188" t="n"/>
      <c r="PV4" s="188" t="n"/>
      <c r="PW4" s="188" t="n"/>
      <c r="PX4" s="188" t="n"/>
      <c r="PY4" s="188" t="n"/>
      <c r="PZ4" s="188" t="n"/>
      <c r="QA4" s="188" t="n"/>
      <c r="QB4" s="188" t="n"/>
      <c r="QC4" s="188" t="n"/>
      <c r="QD4" s="188" t="n"/>
      <c r="QE4" s="188" t="n"/>
      <c r="QF4" s="188" t="n"/>
      <c r="QG4" s="188" t="n"/>
      <c r="QH4" s="188" t="n"/>
      <c r="QI4" s="188" t="n"/>
      <c r="QJ4" s="188" t="n"/>
      <c r="QK4" s="188" t="n"/>
      <c r="QL4" s="188" t="n"/>
      <c r="QM4" s="188" t="n"/>
      <c r="QN4" s="188" t="n"/>
      <c r="QO4" s="188" t="n"/>
      <c r="QP4" s="188" t="n"/>
      <c r="QQ4" s="188" t="n"/>
      <c r="QR4" s="188" t="n"/>
      <c r="QS4" s="188" t="n"/>
      <c r="QT4" s="188" t="n"/>
      <c r="QU4" s="188" t="n"/>
      <c r="QV4" s="188" t="n"/>
      <c r="QW4" s="188" t="n"/>
      <c r="QX4" s="188" t="n"/>
      <c r="QY4" s="188" t="n"/>
      <c r="QZ4" s="188" t="n"/>
      <c r="RA4" s="188" t="n"/>
      <c r="RB4" s="188" t="n"/>
      <c r="RC4" s="188" t="n"/>
      <c r="RD4" s="188" t="n"/>
      <c r="RE4" s="188" t="n"/>
      <c r="RF4" s="188" t="n"/>
      <c r="RG4" s="188" t="n"/>
      <c r="RH4" s="188" t="n"/>
      <c r="RI4" s="188" t="n"/>
      <c r="RJ4" s="188" t="n"/>
      <c r="RK4" s="188" t="n"/>
      <c r="RL4" s="188" t="n"/>
      <c r="RM4" s="188" t="n"/>
      <c r="RN4" s="188" t="n"/>
      <c r="RO4" s="188" t="n"/>
      <c r="RP4" s="188" t="n"/>
      <c r="RQ4" s="188" t="n"/>
      <c r="RR4" s="188" t="n"/>
      <c r="RS4" s="188" t="n"/>
      <c r="RT4" s="188" t="n"/>
      <c r="RU4" s="188" t="n"/>
      <c r="RV4" s="188" t="n"/>
      <c r="RW4" s="188" t="n"/>
      <c r="RX4" s="188" t="n"/>
      <c r="RY4" s="188" t="n"/>
      <c r="RZ4" s="188" t="n"/>
      <c r="SA4" s="188" t="n"/>
      <c r="SB4" s="188" t="n"/>
      <c r="SC4" s="188" t="n"/>
      <c r="SD4" s="188" t="n"/>
      <c r="SE4" s="188" t="n"/>
      <c r="SF4" s="188" t="n"/>
      <c r="SG4" s="188" t="n"/>
      <c r="SH4" s="188" t="n"/>
      <c r="SI4" s="188" t="n"/>
      <c r="SJ4" s="188" t="n"/>
      <c r="SK4" s="188" t="n"/>
      <c r="SL4" s="188" t="n"/>
      <c r="SM4" s="188" t="n"/>
      <c r="SN4" s="188" t="n"/>
      <c r="SO4" s="188" t="n"/>
      <c r="SP4" s="188" t="n"/>
      <c r="SQ4" s="188" t="n"/>
      <c r="SR4" s="188" t="n"/>
      <c r="SS4" s="188" t="n"/>
      <c r="ST4" s="188" t="n"/>
      <c r="SU4" s="188" t="n"/>
      <c r="SV4" s="188" t="n"/>
      <c r="SW4" s="188" t="n"/>
      <c r="SX4" s="188" t="n"/>
      <c r="SY4" s="188" t="n"/>
      <c r="SZ4" s="188" t="n"/>
      <c r="TA4" s="188" t="n"/>
    </row>
    <row r="5" ht="12" customHeight="1">
      <c r="A5" s="96" t="n"/>
      <c r="B5" s="96" t="inlineStr">
        <is>
          <t>G</t>
        </is>
      </c>
      <c r="C5" s="96" t="n">
        <v>1</v>
      </c>
      <c r="D5" s="108" t="inlineStr">
        <is>
          <t>1</t>
        </is>
      </c>
      <c r="E5" s="97" t="inlineStr">
        <is>
          <t>대두유 구매 의사결정 AI 시스템 (Nexus)</t>
        </is>
      </c>
      <c r="F5" s="97" t="n"/>
      <c r="G5" s="97" t="n"/>
      <c r="H5" s="97" t="n"/>
      <c r="I5" s="97" t="n"/>
      <c r="J5" s="97" t="n"/>
      <c r="K5" s="97" t="n"/>
      <c r="L5" s="97" t="n"/>
      <c r="M5" s="97" t="n"/>
      <c r="N5" s="97" t="n"/>
      <c r="O5" s="97" t="inlineStr">
        <is>
          <t>G1+G2+G3 모델 + 파이프라인</t>
        </is>
      </c>
      <c r="P5" s="249" t="n">
        <v>46086</v>
      </c>
      <c r="Q5" s="249" t="n">
        <v>46568</v>
      </c>
      <c r="R5" s="97" t="n"/>
      <c r="S5" s="311" t="n"/>
      <c r="T5" s="311" t="n"/>
      <c r="U5" s="311" t="n">
        <v>329</v>
      </c>
      <c r="V5" s="311" t="n">
        <v>71</v>
      </c>
      <c r="W5" s="249" t="n"/>
      <c r="X5" s="249" t="n"/>
      <c r="Y5" s="312" t="n"/>
      <c r="Z5" s="99" t="n"/>
      <c r="AA5" s="311" t="n"/>
      <c r="AB5" s="238" t="inlineStr">
        <is>
          <t>조영훈</t>
        </is>
      </c>
      <c r="AC5" s="97" t="n"/>
      <c r="AD5" s="225" t="n"/>
      <c r="AE5" s="299" t="n">
        <v>0.4616419919246299</v>
      </c>
      <c r="AF5" s="110" t="n"/>
      <c r="AG5" s="111" t="n"/>
      <c r="AH5" s="111" t="n"/>
      <c r="AI5" s="111" t="n"/>
      <c r="AJ5" s="111" t="n"/>
      <c r="AK5" s="111">
        <f>"      " &amp; TEXT(AE5,"#0.00%") &amp; " " &amp; "대두유 구매 의사결정 AI 시스템 (Nexus)" &amp; "(조영훈)" &amp; " " &amp; IF(P5="","",TEXT(P5,"M/D-")) &amp; IF(Q5="","",TEXT(Q5,"M/D")) &amp; " "</f>
        <v/>
      </c>
      <c r="AL5" s="111" t="n"/>
      <c r="AM5" s="111" t="n"/>
      <c r="AN5" s="111" t="n"/>
      <c r="AO5" s="111" t="n"/>
      <c r="AP5" s="111" t="n"/>
      <c r="AQ5" s="111" t="n"/>
      <c r="AR5" s="111" t="n"/>
      <c r="AS5" s="111" t="n"/>
      <c r="AT5" s="111" t="n"/>
      <c r="AU5" s="111" t="n"/>
      <c r="AV5" s="111" t="n"/>
      <c r="AW5" s="111" t="n"/>
      <c r="AX5" s="111" t="n"/>
      <c r="AY5" s="111" t="n"/>
      <c r="AZ5" s="111" t="n"/>
      <c r="BA5" s="111" t="n"/>
      <c r="BB5" s="111" t="n"/>
      <c r="BC5" s="111" t="n"/>
      <c r="BD5" s="111" t="n"/>
      <c r="BE5" s="111" t="n"/>
      <c r="BF5" s="111" t="n"/>
      <c r="BG5" s="111" t="n"/>
      <c r="BH5" s="111" t="n"/>
      <c r="BI5" s="111" t="n"/>
      <c r="BJ5" s="111" t="n"/>
      <c r="BK5" s="111" t="n"/>
      <c r="BL5" s="111">
        <f>"   " &amp; TEXT(AE5,"#0.00%") &amp; " "</f>
        <v/>
      </c>
      <c r="BM5" s="111" t="n"/>
      <c r="BN5" s="111" t="n"/>
      <c r="BO5" s="111" t="n"/>
      <c r="BP5" s="111" t="n"/>
      <c r="BQ5" s="111" t="n"/>
      <c r="BR5" s="111" t="n"/>
      <c r="BS5" s="111" t="n"/>
      <c r="BT5" s="111" t="n"/>
      <c r="BU5" s="111" t="n"/>
      <c r="BV5" s="111" t="n"/>
      <c r="BW5" s="111" t="n"/>
      <c r="BX5" s="111" t="n"/>
      <c r="BY5" s="111" t="n"/>
      <c r="BZ5" s="111" t="n"/>
      <c r="CA5" s="111" t="n"/>
      <c r="CB5" s="111" t="n"/>
      <c r="CC5" s="111" t="n"/>
      <c r="CD5" s="111" t="n"/>
      <c r="CE5" s="111" t="n"/>
      <c r="CF5" s="111" t="n"/>
      <c r="CG5" s="111" t="n"/>
      <c r="CH5" s="111" t="n"/>
      <c r="CI5" s="111" t="n"/>
      <c r="CJ5" s="111" t="n"/>
      <c r="CK5" s="111" t="n"/>
      <c r="CL5" s="111" t="n"/>
      <c r="CM5" s="111" t="n"/>
      <c r="CN5" s="111" t="n"/>
      <c r="CO5" s="111" t="n"/>
      <c r="CP5" s="111" t="n"/>
      <c r="CQ5" s="111" t="n"/>
      <c r="CR5" s="111" t="n"/>
      <c r="CS5" s="111" t="n"/>
      <c r="CT5" s="111" t="n"/>
      <c r="CU5" s="111" t="n"/>
      <c r="CV5" s="111" t="n"/>
      <c r="CW5" s="111">
        <f>"    " &amp; "대두유 구매 의사결정 AI 시스템 (Nexus)" &amp; "(조영훈)" &amp; " " &amp; IF(P5="","",TEXT(P5,"M/D-")) &amp; IF(Q5="","",TEXT(Q5,"M/D")) &amp; " "</f>
        <v/>
      </c>
      <c r="CX5" s="111" t="n"/>
      <c r="CY5" s="109" t="n"/>
    </row>
    <row r="6" outlineLevel="1" ht="12" customHeight="1">
      <c r="A6" s="96" t="n"/>
      <c r="B6" s="96" t="inlineStr">
        <is>
          <t>G</t>
        </is>
      </c>
      <c r="C6" s="96" t="n">
        <v>2</v>
      </c>
      <c r="D6" s="108" t="inlineStr">
        <is>
          <t>1.1</t>
        </is>
      </c>
      <c r="E6" s="97" t="n"/>
      <c r="F6" s="97" t="inlineStr">
        <is>
          <t>Phase 1: 데이터 수집·파이프라인 구축 [데이터: 외부전용·내부 S&amp;OP 미사용 D-021] · 업무카테고리: 기획/수집/처리·정제/전처리/분석/시각화/아키텍처(Azure)</t>
        </is>
      </c>
      <c r="G6" s="97" t="n"/>
      <c r="H6" s="97" t="n"/>
      <c r="I6" s="97" t="n"/>
      <c r="J6" s="97" t="n"/>
      <c r="K6" s="97" t="n"/>
      <c r="L6" s="97" t="n"/>
      <c r="M6" s="97" t="n"/>
      <c r="N6" s="97" t="n"/>
      <c r="O6" s="97" t="inlineStr">
        <is>
          <t>외부 데이터 6종 커넥터 + Snowflake</t>
        </is>
      </c>
      <c r="P6" s="249" t="n">
        <v>46086</v>
      </c>
      <c r="Q6" s="249" t="n">
        <v>46180</v>
      </c>
      <c r="R6" s="97" t="n"/>
      <c r="S6" s="311" t="n"/>
      <c r="T6" s="311" t="n"/>
      <c r="U6" s="311" t="n">
        <v>64</v>
      </c>
      <c r="V6" s="311" t="n">
        <v>64</v>
      </c>
      <c r="W6" s="249" t="n"/>
      <c r="X6" s="249" t="n"/>
      <c r="Y6" s="312" t="n"/>
      <c r="Z6" s="99" t="n"/>
      <c r="AA6" s="311" t="n"/>
      <c r="AB6" s="238" t="inlineStr">
        <is>
          <t>조영훈</t>
        </is>
      </c>
      <c r="AC6" s="97" t="n"/>
      <c r="AD6" s="225" t="n"/>
      <c r="AE6" s="299" t="n">
        <v>0.9423076923076923</v>
      </c>
      <c r="AF6" s="110" t="n"/>
      <c r="AG6" s="111" t="n"/>
      <c r="AH6" s="111" t="n"/>
      <c r="AI6" s="111" t="n"/>
      <c r="AJ6" s="111" t="n"/>
      <c r="AK6" s="111">
        <f>"      " &amp; TEXT(AE6,"#0.00%") &amp; " " &amp; "Phase 1: 데이터 수집·파이프라인 구축 [데이터: 외부전용·내부 S&amp;OP 미사용 D-021] · 업무카테고리: 기획/수집/처리·정제/전처리/분석/시각화/아키텍처(Azure)" &amp; "(조영훈)" &amp; " " &amp; IF(P6="","",TEXT(P6,"M/D-")) &amp; IF(Q6="","",TEXT(Q6,"M/D")) &amp; " "</f>
        <v/>
      </c>
      <c r="AL6" s="111" t="n"/>
      <c r="AM6" s="111" t="n"/>
      <c r="AN6" s="111" t="n"/>
      <c r="AO6" s="111" t="n"/>
      <c r="AP6" s="111" t="n"/>
      <c r="AQ6" s="111" t="n"/>
      <c r="AR6" s="111" t="n"/>
      <c r="AS6" s="111">
        <f>"   " &amp; TEXT(AE6,"#0.00%") &amp; " " &amp; "Phase 1: 데이터 수집·파이프라인 구축" &amp; "(조영훈)" &amp; " " &amp; IF(P6="","",TEXT(P6,"M/D-")) &amp; IF(Q6="","",TEXT(Q6,"M/D")) &amp; " "</f>
        <v/>
      </c>
      <c r="AT6" s="111" t="n"/>
      <c r="AU6" s="111" t="n"/>
      <c r="AV6" s="111" t="n"/>
      <c r="AW6" s="111" t="n"/>
      <c r="AX6" s="111" t="n"/>
      <c r="AY6" s="111" t="n"/>
      <c r="AZ6" s="111" t="n"/>
      <c r="BA6" s="111" t="n"/>
      <c r="BB6" s="111" t="n"/>
      <c r="BC6" s="111" t="n"/>
      <c r="BD6" s="111" t="n"/>
      <c r="BE6" s="111" t="n"/>
      <c r="BF6" s="111" t="n"/>
      <c r="BG6" s="111" t="n"/>
      <c r="BH6" s="111" t="n"/>
      <c r="BI6" s="111" t="n"/>
      <c r="BJ6" s="111" t="n"/>
      <c r="BK6" s="111" t="n"/>
      <c r="BL6" s="111" t="n"/>
      <c r="BM6" s="111" t="n"/>
      <c r="BN6" s="111" t="n"/>
      <c r="BO6" s="111" t="n"/>
      <c r="BP6" s="111" t="n"/>
      <c r="BQ6" s="111" t="n"/>
      <c r="BR6" s="111" t="n"/>
      <c r="BS6" s="111" t="n"/>
      <c r="BT6" s="111" t="n"/>
      <c r="BU6" s="111" t="n"/>
      <c r="BV6" s="111" t="n"/>
      <c r="BW6" s="111" t="n"/>
      <c r="BX6" s="111" t="n"/>
      <c r="BY6" s="111" t="n"/>
      <c r="BZ6" s="111" t="n"/>
      <c r="CA6" s="111" t="n"/>
      <c r="CB6" s="111" t="n"/>
      <c r="CC6" s="111" t="n"/>
      <c r="CD6" s="111" t="n"/>
      <c r="CE6" s="111" t="n"/>
      <c r="CF6" s="111" t="n"/>
      <c r="CG6" s="111" t="n"/>
      <c r="CH6" s="111" t="n"/>
      <c r="CI6" s="111" t="n"/>
      <c r="CJ6" s="111" t="n"/>
      <c r="CK6" s="111" t="n"/>
      <c r="CL6" s="111" t="n"/>
      <c r="CM6" s="111" t="n"/>
      <c r="CN6" s="111" t="n"/>
      <c r="CO6" s="111" t="n"/>
      <c r="CP6" s="111" t="n"/>
      <c r="CQ6" s="111" t="n"/>
      <c r="CR6" s="111" t="n"/>
      <c r="CS6" s="111" t="n"/>
      <c r="CT6" s="111" t="n"/>
      <c r="CU6" s="111" t="n"/>
      <c r="CV6" s="111" t="n"/>
      <c r="CW6" s="111" t="n"/>
      <c r="CX6" s="111" t="n"/>
    </row>
    <row r="7" outlineLevel="2" ht="12" customHeight="1">
      <c r="A7" s="96" t="n"/>
      <c r="B7" s="96" t="n"/>
      <c r="C7" s="96" t="n">
        <v>3</v>
      </c>
      <c r="D7" s="108" t="inlineStr">
        <is>
          <t>1.1.1</t>
        </is>
      </c>
      <c r="E7" s="97" t="n"/>
      <c r="F7" s="97" t="n"/>
      <c r="G7" s="97" t="inlineStr">
        <is>
          <t>[기획]</t>
        </is>
      </c>
      <c r="H7" s="191" t="n"/>
      <c r="I7" s="97" t="n"/>
      <c r="J7" s="97" t="n"/>
      <c r="K7" s="97" t="n"/>
      <c r="L7" s="97" t="n"/>
      <c r="M7" s="97" t="n"/>
      <c r="N7" s="97" t="n"/>
      <c r="O7" s="97" t="n"/>
      <c r="P7" s="249" t="n">
        <v>46086</v>
      </c>
      <c r="Q7" s="249" t="n">
        <v>46180</v>
      </c>
      <c r="R7" s="97" t="n"/>
      <c r="S7" s="311" t="n"/>
      <c r="T7" s="311" t="n"/>
      <c r="U7" s="311" t="n"/>
      <c r="V7" s="311" t="n"/>
      <c r="W7" s="249" t="n"/>
      <c r="X7" s="249" t="n"/>
      <c r="Y7" s="312" t="n"/>
      <c r="Z7" s="99" t="n"/>
      <c r="AA7" s="311" t="n"/>
      <c r="AB7" s="238" t="inlineStr">
        <is>
          <t>조영훈</t>
        </is>
      </c>
      <c r="AC7" s="97" t="n"/>
      <c r="AD7" s="225" t="n"/>
      <c r="AE7" s="226" t="n"/>
      <c r="AF7" s="110" t="n"/>
      <c r="AG7" s="111" t="n"/>
      <c r="AH7" s="111" t="n"/>
      <c r="AI7" s="111" t="n"/>
      <c r="AJ7" s="111" t="n"/>
      <c r="AK7" s="111">
        <f>"      " &amp; TEXT(AE7,"#0.00%") &amp; " " &amp; "[기획]" &amp; "(조영훈)" &amp; " " &amp; IF(P7="","",TEXT(P7,"M/D-")) &amp; IF(Q7="","",TEXT(Q7,"M/D")) &amp; " "</f>
        <v/>
      </c>
      <c r="AL7" s="111" t="n"/>
      <c r="AM7" s="111" t="n"/>
      <c r="AN7" s="111" t="n"/>
      <c r="AO7" s="111" t="n"/>
      <c r="AP7" s="111" t="n"/>
      <c r="AQ7" s="111" t="n"/>
      <c r="AR7" s="111" t="n"/>
      <c r="AS7" s="111" t="n"/>
      <c r="AT7" s="111" t="n"/>
      <c r="AU7" s="111" t="n"/>
      <c r="AV7" s="111" t="n"/>
      <c r="AW7" s="111" t="n"/>
      <c r="AX7" s="111" t="n"/>
      <c r="AY7" s="111" t="n"/>
      <c r="AZ7" s="111" t="n"/>
      <c r="BA7" s="111" t="n"/>
      <c r="BB7" s="111" t="n"/>
      <c r="BC7" s="111" t="n"/>
      <c r="BD7" s="111" t="n"/>
      <c r="BE7" s="111" t="n"/>
      <c r="BF7" s="111" t="n"/>
      <c r="BG7" s="111" t="n"/>
      <c r="BH7" s="111" t="n"/>
      <c r="BI7" s="111" t="n"/>
      <c r="BJ7" s="111" t="n"/>
      <c r="BK7" s="111" t="n"/>
      <c r="BL7" s="111" t="n"/>
      <c r="BM7" s="111" t="n"/>
      <c r="BN7" s="111" t="n"/>
      <c r="BO7" s="111" t="n"/>
      <c r="BP7" s="111" t="n"/>
      <c r="BQ7" s="111" t="n"/>
      <c r="BR7" s="111" t="n"/>
      <c r="BS7" s="111" t="n"/>
      <c r="BT7" s="111" t="n"/>
      <c r="BU7" s="111" t="n"/>
      <c r="BV7" s="111" t="n"/>
      <c r="BW7" s="111" t="n"/>
      <c r="BX7" s="111" t="n"/>
      <c r="BY7" s="111" t="n"/>
      <c r="BZ7" s="111" t="n"/>
      <c r="CA7" s="111" t="n"/>
      <c r="CB7" s="111" t="n"/>
      <c r="CC7" s="111" t="n"/>
      <c r="CD7" s="111" t="n"/>
      <c r="CE7" s="111" t="n"/>
      <c r="CF7" s="111" t="n"/>
      <c r="CG7" s="111" t="n"/>
      <c r="CH7" s="111" t="n"/>
      <c r="CI7" s="111" t="n"/>
      <c r="CJ7" s="111" t="n"/>
      <c r="CK7" s="111" t="n"/>
      <c r="CL7" s="111" t="n"/>
      <c r="CM7" s="111" t="n"/>
      <c r="CN7" s="111" t="n"/>
      <c r="CO7" s="111" t="n"/>
      <c r="CP7" s="111" t="n"/>
      <c r="CQ7" s="111" t="n"/>
      <c r="CR7" s="111" t="n"/>
      <c r="CS7" s="111" t="n"/>
      <c r="CT7" s="111" t="n"/>
      <c r="CU7" s="111" t="n"/>
      <c r="CV7" s="111" t="n"/>
      <c r="CW7" s="111" t="n"/>
      <c r="CX7" s="111" t="n"/>
    </row>
    <row r="8" outlineLevel="2" ht="12" customHeight="1">
      <c r="A8" s="96" t="n"/>
      <c r="B8" s="96" t="n"/>
      <c r="C8" s="96" t="n">
        <v>4</v>
      </c>
      <c r="D8" s="313" t="inlineStr">
        <is>
          <t>1.1.1.1</t>
        </is>
      </c>
      <c r="E8" s="97" t="n"/>
      <c r="F8" s="97" t="n"/>
      <c r="G8" s="244" t="n"/>
      <c r="H8" s="97" t="inlineStr">
        <is>
          <t>Schema 설계 (YAML 5종)</t>
        </is>
      </c>
      <c r="I8" s="97" t="n"/>
      <c r="J8" s="97" t="n"/>
      <c r="K8" s="97" t="n"/>
      <c r="L8" s="97" t="n"/>
      <c r="M8" s="97" t="n"/>
      <c r="N8" s="97" t="n"/>
      <c r="O8" s="248" t="inlineStr">
        <is>
          <t>data/schemas/*.yaml</t>
        </is>
      </c>
      <c r="P8" s="249" t="n">
        <v>46086</v>
      </c>
      <c r="Q8" s="249" t="n">
        <v>46122</v>
      </c>
      <c r="R8" s="97" t="n"/>
      <c r="S8" s="311" t="n"/>
      <c r="T8" s="311" t="n"/>
      <c r="U8" s="311" t="n">
        <v>27</v>
      </c>
      <c r="V8" s="311" t="n">
        <v>27</v>
      </c>
      <c r="W8" s="249" t="n"/>
      <c r="X8" s="249" t="n"/>
      <c r="Y8" s="312" t="n"/>
      <c r="Z8" s="99" t="n"/>
      <c r="AA8" s="311" t="n"/>
      <c r="AB8" s="238" t="inlineStr">
        <is>
          <t>조영훈</t>
        </is>
      </c>
      <c r="AC8" s="97" t="n"/>
      <c r="AD8" s="225" t="n"/>
      <c r="AE8" s="226" t="n">
        <v>1</v>
      </c>
      <c r="AF8" s="110" t="n"/>
      <c r="AG8" s="111" t="n"/>
      <c r="AH8" s="111" t="n"/>
      <c r="AI8" s="111" t="n"/>
      <c r="AJ8" s="111" t="n"/>
      <c r="AK8" s="111">
        <f>"      " &amp; TEXT(AE8,"#0.00%") &amp; " " &amp; "Schema 설계 (YAML 5종)" &amp; "(조영훈)" &amp; " " &amp; IF(P8="","",TEXT(P8,"M/D-")) &amp; IF(Q8="","",TEXT(Q8,"M/D")) &amp; " "</f>
        <v/>
      </c>
      <c r="AL8" s="111" t="n"/>
      <c r="AM8" s="111" t="n"/>
      <c r="AN8" s="111">
        <f>"    " &amp; TEXT(AE8,"#0.00%") &amp; " " &amp; "경제 지표 데이터 연결 작업 (FRED·EIA·BOK)" &amp; "(조영훈)" &amp; " " &amp; IF(P8="","",TEXT(P8,"M/D-")) &amp; IF(Q8="","",TEXT(Q8,"M/D")) &amp; " "</f>
        <v/>
      </c>
      <c r="AO8" s="111" t="n"/>
      <c r="AP8" s="111" t="n"/>
      <c r="AQ8" s="111" t="n"/>
      <c r="AR8" s="111" t="n"/>
      <c r="AS8" s="111" t="n"/>
      <c r="AT8" s="111" t="n"/>
      <c r="AU8" s="111" t="n"/>
      <c r="AV8" s="111" t="n"/>
      <c r="AW8" s="111" t="n"/>
      <c r="AX8" s="111" t="n"/>
      <c r="AY8" s="111" t="n"/>
      <c r="AZ8" s="111" t="n"/>
      <c r="BA8" s="111" t="n"/>
      <c r="BB8" s="111" t="n"/>
      <c r="BC8" s="111" t="n"/>
      <c r="BD8" s="111" t="n"/>
      <c r="BE8" s="111" t="n"/>
      <c r="BF8" s="111" t="n"/>
      <c r="BG8" s="111" t="n"/>
      <c r="BH8" s="111" t="n"/>
      <c r="BI8" s="111" t="n"/>
      <c r="BJ8" s="111" t="n"/>
      <c r="BK8" s="111" t="n"/>
      <c r="BL8" s="111" t="n"/>
      <c r="BM8" s="111" t="n"/>
      <c r="BN8" s="111" t="n"/>
      <c r="BO8" s="111" t="n"/>
      <c r="BP8" s="111" t="n"/>
      <c r="BQ8" s="111" t="n"/>
      <c r="BR8" s="111" t="n"/>
      <c r="BS8" s="111" t="n"/>
      <c r="BT8" s="111" t="n"/>
      <c r="BU8" s="111" t="n"/>
      <c r="BV8" s="111" t="n"/>
      <c r="BW8" s="111" t="n"/>
      <c r="BX8" s="111" t="n"/>
      <c r="BY8" s="111" t="n"/>
      <c r="BZ8" s="111" t="n"/>
      <c r="CA8" s="111" t="n"/>
      <c r="CB8" s="111" t="n"/>
      <c r="CC8" s="111" t="n"/>
      <c r="CD8" s="111" t="n"/>
      <c r="CE8" s="111" t="n"/>
      <c r="CF8" s="111" t="n"/>
      <c r="CG8" s="111" t="n"/>
      <c r="CH8" s="111" t="n"/>
      <c r="CI8" s="111" t="n"/>
      <c r="CJ8" s="111" t="n"/>
      <c r="CK8" s="111" t="n"/>
      <c r="CL8" s="111" t="n"/>
      <c r="CM8" s="111" t="n"/>
      <c r="CN8" s="111" t="n"/>
      <c r="CO8" s="111" t="n"/>
      <c r="CP8" s="111" t="n"/>
      <c r="CQ8" s="111" t="n"/>
      <c r="CR8" s="111" t="n"/>
      <c r="CS8" s="111" t="n"/>
      <c r="CT8" s="111" t="n"/>
      <c r="CU8" s="111" t="n"/>
      <c r="CV8" s="111" t="n"/>
      <c r="CW8" s="111" t="n"/>
      <c r="CX8" s="111" t="n"/>
    </row>
    <row r="9" outlineLevel="2" ht="12" customHeight="1">
      <c r="A9" s="96" t="n"/>
      <c r="B9" s="96" t="n"/>
      <c r="C9" s="96" t="n">
        <v>4</v>
      </c>
      <c r="D9" s="313" t="inlineStr">
        <is>
          <t>1.1.1.2</t>
        </is>
      </c>
      <c r="E9" s="97" t="n"/>
      <c r="F9" s="97" t="n"/>
      <c r="G9" s="244" t="n"/>
      <c r="H9" s="97" t="inlineStr">
        <is>
          <t>AIS 해협 탱커 모니터링 데이터 연결 작업 (WBS 1.1.6 확장)</t>
        </is>
      </c>
      <c r="I9" s="97" t="n"/>
      <c r="J9" s="97" t="n"/>
      <c r="K9" s="97" t="n"/>
      <c r="L9" s="97" t="n"/>
      <c r="M9" s="97" t="n"/>
      <c r="N9" s="97" t="n"/>
      <c r="O9" s="248" t="inlineStr">
        <is>
          <t>src/pipeline/connectors/ais_connector.py · SBO_STRAIT_RISK_COMPOSITE 지수</t>
        </is>
      </c>
      <c r="P9" s="249" t="n">
        <v>46168</v>
      </c>
      <c r="Q9" s="249" t="n">
        <v>46180</v>
      </c>
      <c r="R9" s="97" t="n"/>
      <c r="S9" s="311" t="n"/>
      <c r="T9" s="311" t="n"/>
      <c r="U9" s="311" t="n">
        <v>8</v>
      </c>
      <c r="V9" s="311" t="n">
        <v>8</v>
      </c>
      <c r="W9" s="249" t="n"/>
      <c r="X9" s="249" t="n"/>
      <c r="Y9" s="312" t="n"/>
      <c r="Z9" s="99" t="n"/>
      <c r="AA9" s="311" t="n"/>
      <c r="AB9" s="238" t="inlineStr">
        <is>
          <t>조영훈</t>
        </is>
      </c>
      <c r="AC9" s="97" t="n"/>
      <c r="AD9" s="225" t="n"/>
      <c r="AE9" s="226" t="n">
        <v>1</v>
      </c>
      <c r="AF9" s="110" t="n"/>
      <c r="AG9" s="111" t="n"/>
      <c r="AH9" s="111" t="n"/>
      <c r="AI9" s="111" t="n"/>
      <c r="AJ9" s="111" t="n"/>
      <c r="AK9" s="111">
        <f>"      " &amp; TEXT(AE9,"#0.00%") &amp; " " &amp; "AIS 해협 탱커 모니터링 데이터 연결 작업 (WBS 1.1.6 확장)" &amp; "(조영훈)" &amp; " " &amp; IF(P9="","",TEXT(P9,"M/D-")) &amp; IF(Q9="","",TEXT(Q9,"M/D")) &amp; " "</f>
        <v/>
      </c>
      <c r="AL9" s="111" t="n"/>
      <c r="AM9" s="111">
        <f>"  " &amp; TEXT(AE9,"#0.00%") &amp; " " &amp; "해운 지수 데이터 연결 작업 (BDI·SCFI)" &amp; "(조영훈)" &amp; " " &amp; IF(P9="","",TEXT(P9,"M/D-")) &amp; IF(Q9="","",TEXT(Q9,"M/D")) &amp; " "</f>
        <v/>
      </c>
      <c r="AN9" s="111" t="n"/>
      <c r="AO9" s="111" t="n"/>
      <c r="AP9" s="111" t="n"/>
      <c r="AQ9" s="111" t="n"/>
      <c r="AR9" s="111" t="n"/>
      <c r="AS9" s="111" t="n"/>
      <c r="AT9" s="111" t="n"/>
      <c r="AU9" s="111" t="n"/>
      <c r="AV9" s="111" t="n"/>
      <c r="AW9" s="111" t="n"/>
      <c r="AX9" s="111" t="n"/>
      <c r="AY9" s="111" t="n"/>
      <c r="AZ9" s="111" t="n"/>
      <c r="BA9" s="111" t="n"/>
      <c r="BB9" s="111" t="n"/>
      <c r="BC9" s="111" t="n"/>
      <c r="BD9" s="111" t="n"/>
      <c r="BE9" s="111" t="n"/>
      <c r="BF9" s="111" t="n"/>
      <c r="BG9" s="111" t="n"/>
      <c r="BH9" s="111" t="n"/>
      <c r="BI9" s="111" t="n"/>
      <c r="BJ9" s="111" t="n"/>
      <c r="BK9" s="111" t="n"/>
      <c r="BL9" s="111" t="n"/>
      <c r="BM9" s="111" t="n"/>
      <c r="BN9" s="111" t="n"/>
      <c r="BO9" s="111" t="n"/>
      <c r="BP9" s="111" t="n"/>
      <c r="BQ9" s="111" t="n"/>
      <c r="BR9" s="111" t="n"/>
      <c r="BS9" s="111" t="n"/>
      <c r="BT9" s="111" t="n"/>
      <c r="BU9" s="111" t="n"/>
      <c r="BV9" s="111" t="n"/>
      <c r="BW9" s="111" t="n"/>
      <c r="BX9" s="111" t="n"/>
      <c r="BY9" s="111" t="n"/>
      <c r="BZ9" s="111" t="n"/>
      <c r="CA9" s="111" t="n"/>
      <c r="CB9" s="111" t="n"/>
      <c r="CC9" s="111" t="n"/>
      <c r="CD9" s="111" t="n"/>
      <c r="CE9" s="111" t="n"/>
      <c r="CF9" s="111" t="n"/>
      <c r="CG9" s="111" t="n"/>
      <c r="CH9" s="111" t="n"/>
      <c r="CI9" s="111" t="n"/>
      <c r="CJ9" s="111" t="n"/>
      <c r="CK9" s="111" t="n"/>
      <c r="CL9" s="111" t="n"/>
      <c r="CM9" s="111" t="n"/>
      <c r="CN9" s="111" t="n"/>
      <c r="CO9" s="111" t="n"/>
      <c r="CP9" s="111" t="n"/>
      <c r="CQ9" s="111" t="n"/>
      <c r="CR9" s="111" t="n"/>
      <c r="CS9" s="111" t="n"/>
      <c r="CT9" s="111" t="n"/>
      <c r="CU9" s="111" t="n"/>
      <c r="CV9" s="111" t="n"/>
      <c r="CW9" s="111" t="n"/>
      <c r="CX9" s="111" t="n"/>
    </row>
    <row r="10" outlineLevel="2" ht="12" customHeight="1">
      <c r="A10" s="96" t="n"/>
      <c r="B10" s="96" t="n"/>
      <c r="C10" s="96" t="n">
        <v>4</v>
      </c>
      <c r="D10" s="313" t="inlineStr">
        <is>
          <t>1.1.1.3</t>
        </is>
      </c>
      <c r="E10" s="97" t="n"/>
      <c r="F10" s="97" t="n"/>
      <c r="G10" s="244" t="n"/>
      <c r="H10" s="97" t="inlineStr">
        <is>
          <t>Hormuz Monitor 기술 분석 + Nexus 적용 설계</t>
        </is>
      </c>
      <c r="I10" s="97" t="n"/>
      <c r="J10" s="97" t="n"/>
      <c r="K10" s="97" t="n"/>
      <c r="L10" s="97" t="n"/>
      <c r="M10" s="97" t="n"/>
      <c r="N10" s="97" t="n"/>
      <c r="O10" s="248" t="inlineStr">
        <is>
          <t>docs/research_desk/hormuz_monitor_tech_analysis.md</t>
        </is>
      </c>
      <c r="P10" s="249" t="n">
        <v>46168</v>
      </c>
      <c r="Q10" s="249" t="n">
        <v>46168</v>
      </c>
      <c r="R10" s="97" t="n"/>
      <c r="S10" s="311" t="n"/>
      <c r="T10" s="311" t="n"/>
      <c r="U10" s="311" t="n">
        <v>1</v>
      </c>
      <c r="V10" s="311" t="n">
        <v>1</v>
      </c>
      <c r="W10" s="249" t="n"/>
      <c r="X10" s="249" t="n"/>
      <c r="Y10" s="312" t="n"/>
      <c r="Z10" s="99" t="n"/>
      <c r="AA10" s="311" t="n"/>
      <c r="AB10" s="238" t="inlineStr">
        <is>
          <t>조영훈</t>
        </is>
      </c>
      <c r="AC10" s="97" t="n"/>
      <c r="AD10" s="225" t="n"/>
      <c r="AE10" s="226" t="n">
        <v>1</v>
      </c>
      <c r="AF10" s="110" t="n"/>
      <c r="AG10" s="111" t="n"/>
      <c r="AH10" s="111" t="n"/>
      <c r="AI10" s="111" t="n"/>
      <c r="AJ10" s="111" t="n"/>
      <c r="AK10" s="111">
        <f>"      " &amp; TEXT(AE10,"#0.00%") &amp; " " &amp; "Hormuz Monitor 기술 분석 + Nexus 적용 설계" &amp; "(조영훈)" &amp; " " &amp; IF(P10="","",TEXT(P10,"M/D-")) &amp; IF(Q10="","",TEXT(Q10,"M/D")) &amp; " "</f>
        <v/>
      </c>
      <c r="AL10" s="111" t="n"/>
      <c r="AM10" s="111" t="n"/>
      <c r="AN10" s="111">
        <f>"    " &amp; TEXT(AE10,"#0.00%") &amp; " " &amp; "WASDE·USDA 작황 데이터 연결 작업" &amp; "(조영훈)" &amp; " " &amp; IF(P10="","",TEXT(P10,"M/D-")) &amp; IF(Q10="","",TEXT(Q10,"M/D")) &amp; " "</f>
        <v/>
      </c>
      <c r="AO10" s="111" t="n"/>
      <c r="AP10" s="111" t="n"/>
      <c r="AQ10" s="111" t="n"/>
      <c r="AR10" s="111" t="n"/>
      <c r="AS10" s="111" t="n"/>
      <c r="AT10" s="111" t="n"/>
      <c r="AU10" s="111" t="n"/>
      <c r="AV10" s="111" t="n"/>
      <c r="AW10" s="111" t="n"/>
      <c r="AX10" s="111" t="n"/>
      <c r="AY10" s="111" t="n"/>
      <c r="AZ10" s="111" t="n"/>
      <c r="BA10" s="111" t="n"/>
      <c r="BB10" s="111" t="n"/>
      <c r="BC10" s="111" t="n"/>
      <c r="BD10" s="111" t="n"/>
      <c r="BE10" s="111" t="n"/>
      <c r="BF10" s="111" t="n"/>
      <c r="BG10" s="111" t="n"/>
      <c r="BH10" s="111" t="n"/>
      <c r="BI10" s="111" t="n"/>
      <c r="BJ10" s="111" t="n"/>
      <c r="BK10" s="111" t="n"/>
      <c r="BL10" s="111" t="n"/>
      <c r="BM10" s="111" t="n"/>
      <c r="BN10" s="111" t="n"/>
      <c r="BO10" s="111" t="n"/>
      <c r="BP10" s="111" t="n"/>
      <c r="BQ10" s="111" t="n"/>
      <c r="BR10" s="111" t="n"/>
      <c r="BS10" s="111" t="n"/>
      <c r="BT10" s="111" t="n"/>
      <c r="BU10" s="111" t="n"/>
      <c r="BV10" s="111" t="n"/>
      <c r="BW10" s="111" t="n"/>
      <c r="BX10" s="111" t="n"/>
      <c r="BY10" s="111" t="n"/>
      <c r="BZ10" s="111" t="n"/>
      <c r="CA10" s="111" t="n"/>
      <c r="CB10" s="111" t="n"/>
      <c r="CC10" s="111" t="n"/>
      <c r="CD10" s="111" t="n"/>
      <c r="CE10" s="111" t="n"/>
      <c r="CF10" s="111" t="n"/>
      <c r="CG10" s="111" t="n"/>
      <c r="CH10" s="111" t="n"/>
      <c r="CI10" s="111" t="n"/>
      <c r="CJ10" s="111" t="n"/>
      <c r="CK10" s="111" t="n"/>
      <c r="CL10" s="111" t="n"/>
      <c r="CM10" s="111" t="n"/>
      <c r="CN10" s="111" t="n"/>
      <c r="CO10" s="111" t="n"/>
      <c r="CP10" s="111" t="n"/>
      <c r="CQ10" s="111" t="n"/>
      <c r="CR10" s="111" t="n"/>
      <c r="CS10" s="111" t="n"/>
      <c r="CT10" s="111" t="n"/>
      <c r="CU10" s="111" t="n"/>
      <c r="CV10" s="111" t="n"/>
      <c r="CW10" s="111" t="n"/>
      <c r="CX10" s="111" t="n"/>
    </row>
    <row r="11" outlineLevel="2" ht="12" customHeight="1">
      <c r="A11" s="96" t="n"/>
      <c r="B11" s="96" t="n"/>
      <c r="C11" s="96" t="n">
        <v>3</v>
      </c>
      <c r="D11" s="313" t="inlineStr">
        <is>
          <t>1.1.2</t>
        </is>
      </c>
      <c r="E11" s="97" t="n"/>
      <c r="F11" s="97" t="n"/>
      <c r="G11" s="244" t="inlineStr">
        <is>
          <t>[데이터수집]</t>
        </is>
      </c>
      <c r="H11" s="97" t="n"/>
      <c r="I11" s="97" t="n"/>
      <c r="J11" s="97" t="n"/>
      <c r="K11" s="97" t="n"/>
      <c r="L11" s="97" t="n"/>
      <c r="M11" s="97" t="n"/>
      <c r="N11" s="97" t="n"/>
      <c r="O11" s="248" t="n"/>
      <c r="P11" s="249" t="n">
        <v>46086</v>
      </c>
      <c r="Q11" s="249" t="n">
        <v>46173</v>
      </c>
      <c r="R11" s="97" t="n"/>
      <c r="S11" s="311" t="n"/>
      <c r="T11" s="311" t="n"/>
      <c r="U11" s="311" t="n"/>
      <c r="V11" s="311" t="n"/>
      <c r="W11" s="249" t="n"/>
      <c r="X11" s="249" t="n"/>
      <c r="Y11" s="312" t="n"/>
      <c r="Z11" s="99" t="n"/>
      <c r="AA11" s="311" t="n"/>
      <c r="AB11" s="238" t="inlineStr">
        <is>
          <t>조영훈</t>
        </is>
      </c>
      <c r="AC11" s="97" t="n"/>
      <c r="AD11" s="225" t="n"/>
      <c r="AE11" s="226" t="n"/>
      <c r="AF11" s="110" t="n"/>
      <c r="AG11" s="111" t="n"/>
      <c r="AH11" s="111" t="n"/>
      <c r="AI11" s="111" t="n"/>
      <c r="AJ11" s="111" t="n"/>
      <c r="AK11" s="111">
        <f>"      " &amp; TEXT(AE11,"#0.00%") &amp; " " &amp; "[데이터수집]" &amp; "(조영훈)" &amp; " " &amp; IF(P11="","",TEXT(P11,"M/D-")) &amp; IF(Q11="","",TEXT(Q11,"M/D")) &amp; " "</f>
        <v/>
      </c>
      <c r="AL11" s="111" t="n"/>
      <c r="AM11" s="111" t="n"/>
      <c r="AN11" s="111">
        <f>"    " &amp; TEXT(AE11,"#0.00%") &amp; " " &amp; "기후·ENSO 데이터 연결 작업 (NOAA·OWM·ECMWF)" &amp; "(조영훈)" &amp; " " &amp; IF(P11="","",TEXT(P11,"M/D-")) &amp; IF(Q11="","",TEXT(Q11,"M/D")) &amp; " "</f>
        <v/>
      </c>
      <c r="AO11" s="111" t="n"/>
      <c r="AP11" s="111" t="n"/>
      <c r="AQ11" s="111" t="n"/>
      <c r="AR11" s="111" t="n"/>
      <c r="AS11" s="111" t="n"/>
      <c r="AT11" s="111" t="n"/>
      <c r="AU11" s="111" t="n"/>
      <c r="AV11" s="111" t="n"/>
      <c r="AW11" s="111" t="n"/>
      <c r="AX11" s="111" t="n"/>
      <c r="AY11" s="111" t="n"/>
      <c r="AZ11" s="111" t="n"/>
      <c r="BA11" s="111" t="n"/>
      <c r="BB11" s="111" t="n"/>
      <c r="BC11" s="111" t="n"/>
      <c r="BD11" s="111" t="n"/>
      <c r="BE11" s="111" t="n"/>
      <c r="BF11" s="111" t="n"/>
      <c r="BG11" s="111" t="n"/>
      <c r="BH11" s="111" t="n"/>
      <c r="BI11" s="111" t="n"/>
      <c r="BJ11" s="111" t="n"/>
      <c r="BK11" s="111" t="n"/>
      <c r="BL11" s="111" t="n"/>
      <c r="BM11" s="111" t="n"/>
      <c r="BN11" s="111" t="n"/>
      <c r="BO11" s="111" t="n"/>
      <c r="BP11" s="111" t="n"/>
      <c r="BQ11" s="111" t="n"/>
      <c r="BR11" s="111" t="n"/>
      <c r="BS11" s="111" t="n"/>
      <c r="BT11" s="111" t="n"/>
      <c r="BU11" s="111" t="n"/>
      <c r="BV11" s="111" t="n"/>
      <c r="BW11" s="111" t="n"/>
      <c r="BX11" s="111" t="n"/>
      <c r="BY11" s="111" t="n"/>
      <c r="BZ11" s="111" t="n"/>
      <c r="CA11" s="111" t="n"/>
      <c r="CB11" s="111" t="n"/>
      <c r="CC11" s="111" t="n"/>
      <c r="CD11" s="111" t="n"/>
      <c r="CE11" s="111" t="n"/>
      <c r="CF11" s="111" t="n"/>
      <c r="CG11" s="111" t="n"/>
      <c r="CH11" s="111" t="n"/>
      <c r="CI11" s="111" t="n"/>
      <c r="CJ11" s="111" t="n"/>
      <c r="CK11" s="111" t="n"/>
      <c r="CL11" s="111" t="n"/>
      <c r="CM11" s="111" t="n"/>
      <c r="CN11" s="111" t="n"/>
      <c r="CO11" s="111" t="n"/>
      <c r="CP11" s="111" t="n"/>
      <c r="CQ11" s="111" t="n"/>
      <c r="CR11" s="111" t="n"/>
      <c r="CS11" s="111" t="n"/>
      <c r="CT11" s="111" t="n"/>
      <c r="CU11" s="111" t="n"/>
      <c r="CV11" s="111" t="n"/>
      <c r="CW11" s="111" t="n"/>
      <c r="CX11" s="111" t="n"/>
    </row>
    <row r="12" outlineLevel="2" ht="12" customHeight="1">
      <c r="A12" s="96" t="n"/>
      <c r="B12" s="96" t="n"/>
      <c r="C12" s="96" t="n">
        <v>4</v>
      </c>
      <c r="D12" s="313" t="inlineStr">
        <is>
          <t>1.1.2.1</t>
        </is>
      </c>
      <c r="E12" s="97" t="n"/>
      <c r="F12" s="97" t="n"/>
      <c r="G12" s="244" t="n"/>
      <c r="H12" s="97" t="inlineStr">
        <is>
          <t>경제 지표 데이터 연결 작업 (FRED·EIA·BOK)</t>
        </is>
      </c>
      <c r="I12" s="97" t="n"/>
      <c r="J12" s="97" t="n"/>
      <c r="K12" s="97" t="n"/>
      <c r="L12" s="97" t="n"/>
      <c r="M12" s="97" t="n"/>
      <c r="N12" s="97" t="n"/>
      <c r="O12" s="248" t="inlineStr">
        <is>
          <t>economic_connector.py</t>
        </is>
      </c>
      <c r="P12" s="249" t="n">
        <v>46086</v>
      </c>
      <c r="Q12" s="249" t="n">
        <v>46127</v>
      </c>
      <c r="R12" s="97" t="n"/>
      <c r="S12" s="311" t="n"/>
      <c r="T12" s="311" t="n"/>
      <c r="U12" s="311" t="n">
        <v>30</v>
      </c>
      <c r="V12" s="311" t="n">
        <v>30</v>
      </c>
      <c r="W12" s="249" t="n"/>
      <c r="X12" s="249" t="n"/>
      <c r="Y12" s="312" t="n"/>
      <c r="Z12" s="99" t="n"/>
      <c r="AA12" s="311" t="n"/>
      <c r="AB12" s="238" t="inlineStr">
        <is>
          <t>조영훈</t>
        </is>
      </c>
      <c r="AC12" s="97" t="n"/>
      <c r="AD12" s="225" t="n"/>
      <c r="AE12" s="226" t="n">
        <v>1</v>
      </c>
      <c r="AF12" s="110" t="n"/>
      <c r="AG12" s="111" t="n"/>
      <c r="AH12" s="111" t="n"/>
      <c r="AI12" s="111" t="n"/>
      <c r="AJ12" s="111" t="n"/>
      <c r="AK12" s="111">
        <f>"      " &amp; TEXT(AE12,"#0.00%") &amp; " " &amp; "경제 지표 데이터 연결 작업 (FRED·EIA·BOK)" &amp; "(조영훈)" &amp; " " &amp; IF(P12="","",TEXT(P12,"M/D-")) &amp; IF(Q12="","",TEXT(Q12,"M/D")) &amp; " "</f>
        <v/>
      </c>
      <c r="AL12" s="111" t="n"/>
      <c r="AM12" s="111" t="n"/>
      <c r="AN12" s="111">
        <f>"    " &amp; TEXT(AE12,"#0.00%") &amp; " " &amp; "지정학 리스크 데이터 연결 작업 (GPR + 호르무즈)" &amp; "(조영훈)" &amp; " " &amp; IF(P12="","",TEXT(P12,"M/D-")) &amp; IF(Q12="","",TEXT(Q12,"M/D")) &amp; " "</f>
        <v/>
      </c>
      <c r="AO12" s="111" t="n"/>
      <c r="AP12" s="111" t="n"/>
      <c r="AQ12" s="111" t="n"/>
      <c r="AR12" s="111" t="n"/>
      <c r="AS12" s="111" t="n"/>
      <c r="AT12" s="111" t="n"/>
      <c r="AU12" s="111" t="n"/>
      <c r="AV12" s="111" t="n"/>
      <c r="AW12" s="111" t="n"/>
      <c r="AX12" s="111" t="n"/>
      <c r="AY12" s="111" t="n"/>
      <c r="AZ12" s="111" t="n"/>
      <c r="BA12" s="111" t="n"/>
      <c r="BB12" s="111" t="n"/>
      <c r="BC12" s="111" t="n"/>
      <c r="BD12" s="111" t="n"/>
      <c r="BE12" s="111" t="n"/>
      <c r="BF12" s="111" t="n"/>
      <c r="BG12" s="111" t="n"/>
      <c r="BH12" s="111" t="n"/>
      <c r="BI12" s="111" t="n"/>
      <c r="BJ12" s="111" t="n"/>
      <c r="BK12" s="111" t="n"/>
      <c r="BL12" s="111" t="n"/>
      <c r="BM12" s="111" t="n"/>
      <c r="BN12" s="111" t="n"/>
      <c r="BO12" s="111" t="n"/>
      <c r="BP12" s="111" t="n"/>
      <c r="BQ12" s="111" t="n"/>
      <c r="BR12" s="111" t="n"/>
      <c r="BS12" s="111" t="n"/>
      <c r="BT12" s="111" t="n"/>
      <c r="BU12" s="111" t="n"/>
      <c r="BV12" s="111" t="n"/>
      <c r="BW12" s="111" t="n"/>
      <c r="BX12" s="111" t="n"/>
      <c r="BY12" s="111" t="n"/>
      <c r="BZ12" s="111" t="n"/>
      <c r="CA12" s="111" t="n"/>
      <c r="CB12" s="111" t="n"/>
      <c r="CC12" s="111" t="n"/>
      <c r="CD12" s="111" t="n"/>
      <c r="CE12" s="111" t="n"/>
      <c r="CF12" s="111" t="n"/>
      <c r="CG12" s="111" t="n"/>
      <c r="CH12" s="111" t="n"/>
      <c r="CI12" s="111" t="n"/>
      <c r="CJ12" s="111" t="n"/>
      <c r="CK12" s="111" t="n"/>
      <c r="CL12" s="111" t="n"/>
      <c r="CM12" s="111" t="n"/>
      <c r="CN12" s="111" t="n"/>
      <c r="CO12" s="111" t="n"/>
      <c r="CP12" s="111" t="n"/>
      <c r="CQ12" s="111" t="n"/>
      <c r="CR12" s="111" t="n"/>
      <c r="CS12" s="111" t="n"/>
      <c r="CT12" s="111" t="n"/>
      <c r="CU12" s="111" t="n"/>
      <c r="CV12" s="111" t="n"/>
      <c r="CW12" s="111" t="n"/>
      <c r="CX12" s="111" t="n"/>
    </row>
    <row r="13" outlineLevel="2" ht="12" customHeight="1">
      <c r="A13" s="96" t="n"/>
      <c r="B13" s="96" t="n"/>
      <c r="C13" s="96" t="n">
        <v>4</v>
      </c>
      <c r="D13" s="313" t="inlineStr">
        <is>
          <t>1.1.2.2</t>
        </is>
      </c>
      <c r="E13" s="97" t="n"/>
      <c r="F13" s="97" t="n"/>
      <c r="G13" s="244" t="n"/>
      <c r="H13" s="97" t="inlineStr">
        <is>
          <t>해운 지수 데이터 연결 작업 (BDI·SCFI)</t>
        </is>
      </c>
      <c r="I13" s="97" t="n"/>
      <c r="J13" s="97" t="n"/>
      <c r="K13" s="97" t="n"/>
      <c r="L13" s="97" t="n"/>
      <c r="M13" s="97" t="n"/>
      <c r="N13" s="97" t="n"/>
      <c r="O13" s="248" t="inlineStr">
        <is>
          <t>shipping_connector.py</t>
        </is>
      </c>
      <c r="P13" s="249" t="n">
        <v>46091</v>
      </c>
      <c r="Q13" s="249" t="n">
        <v>46127</v>
      </c>
      <c r="R13" s="97" t="n"/>
      <c r="S13" s="311" t="n"/>
      <c r="T13" s="311" t="n"/>
      <c r="U13" s="311" t="n">
        <v>27</v>
      </c>
      <c r="V13" s="311" t="n">
        <v>27</v>
      </c>
      <c r="W13" s="249" t="n"/>
      <c r="X13" s="249" t="n"/>
      <c r="Y13" s="312" t="n"/>
      <c r="Z13" s="99" t="n"/>
      <c r="AA13" s="311" t="n"/>
      <c r="AB13" s="238" t="inlineStr">
        <is>
          <t>조영훈</t>
        </is>
      </c>
      <c r="AC13" s="97" t="n"/>
      <c r="AD13" s="225" t="n"/>
      <c r="AE13" s="226" t="n">
        <v>1</v>
      </c>
      <c r="AF13" s="110" t="n"/>
      <c r="AG13" s="111" t="n"/>
      <c r="AH13" s="111" t="n"/>
      <c r="AI13" s="111" t="n"/>
      <c r="AJ13" s="111" t="n"/>
      <c r="AK13" s="111">
        <f>"      " &amp; TEXT(AE13,"#0.00%") &amp; " " &amp; "해운 지수 데이터 연결 작업 (BDI·SCFI)" &amp; "(조영훈)" &amp; " " &amp; IF(P13="","",TEXT(P13,"M/D-")) &amp; IF(Q13="","",TEXT(Q13,"M/D")) &amp; " "</f>
        <v/>
      </c>
      <c r="AL13" s="111" t="n"/>
      <c r="AM13" s="111" t="n"/>
      <c r="AN13" s="111">
        <f>"    " &amp; TEXT(AE13,"#0.00%") &amp; " " &amp; "원산지 생산량·농업기상 데이터 연결 작업" &amp; "(조영훈)" &amp; " " &amp; IF(P13="","",TEXT(P13,"M/D-")) &amp; IF(Q13="","",TEXT(Q13,"M/D")) &amp; " "</f>
        <v/>
      </c>
      <c r="AO13" s="111" t="n"/>
      <c r="AP13" s="111" t="n"/>
      <c r="AQ13" s="111" t="n"/>
      <c r="AR13" s="111" t="n"/>
      <c r="AS13" s="111" t="n"/>
      <c r="AT13" s="111" t="n"/>
      <c r="AU13" s="111" t="n"/>
      <c r="AV13" s="111" t="n"/>
      <c r="AW13" s="111" t="n"/>
      <c r="AX13" s="111" t="n"/>
      <c r="AY13" s="111" t="n"/>
      <c r="AZ13" s="111" t="n"/>
      <c r="BA13" s="111" t="n"/>
      <c r="BB13" s="111" t="n"/>
      <c r="BC13" s="111" t="n"/>
      <c r="BD13" s="111" t="n"/>
      <c r="BE13" s="111" t="n"/>
      <c r="BF13" s="111" t="n"/>
      <c r="BG13" s="111" t="n"/>
      <c r="BH13" s="111" t="n"/>
      <c r="BI13" s="111" t="n"/>
      <c r="BJ13" s="111" t="n"/>
      <c r="BK13" s="111" t="n"/>
      <c r="BL13" s="111" t="n"/>
      <c r="BM13" s="111" t="n"/>
      <c r="BN13" s="111" t="n"/>
      <c r="BO13" s="111" t="n"/>
      <c r="BP13" s="111" t="n"/>
      <c r="BQ13" s="111" t="n"/>
      <c r="BR13" s="111" t="n"/>
      <c r="BS13" s="111" t="n"/>
      <c r="BT13" s="111" t="n"/>
      <c r="BU13" s="111" t="n"/>
      <c r="BV13" s="111" t="n"/>
      <c r="BW13" s="111" t="n"/>
      <c r="BX13" s="111" t="n"/>
      <c r="BY13" s="111" t="n"/>
      <c r="BZ13" s="111" t="n"/>
      <c r="CA13" s="111" t="n"/>
      <c r="CB13" s="111" t="n"/>
      <c r="CC13" s="111" t="n"/>
      <c r="CD13" s="111" t="n"/>
      <c r="CE13" s="111" t="n"/>
      <c r="CF13" s="111" t="n"/>
      <c r="CG13" s="111" t="n"/>
      <c r="CH13" s="111" t="n"/>
      <c r="CI13" s="111" t="n"/>
      <c r="CJ13" s="111" t="n"/>
      <c r="CK13" s="111" t="n"/>
      <c r="CL13" s="111" t="n"/>
      <c r="CM13" s="111" t="n"/>
      <c r="CN13" s="111" t="n"/>
      <c r="CO13" s="111" t="n"/>
      <c r="CP13" s="111" t="n"/>
      <c r="CQ13" s="111" t="n"/>
      <c r="CR13" s="111" t="n"/>
      <c r="CS13" s="111" t="n"/>
      <c r="CT13" s="111" t="n"/>
      <c r="CU13" s="111" t="n"/>
      <c r="CV13" s="111" t="n"/>
      <c r="CW13" s="111" t="n"/>
      <c r="CX13" s="111" t="n"/>
    </row>
    <row r="14" outlineLevel="2" ht="12" customHeight="1">
      <c r="A14" s="96" t="n"/>
      <c r="B14" s="96" t="n"/>
      <c r="C14" s="96" t="n">
        <v>4</v>
      </c>
      <c r="D14" s="313" t="inlineStr">
        <is>
          <t>1.1.2.3</t>
        </is>
      </c>
      <c r="E14" s="97" t="n"/>
      <c r="F14" s="97" t="n"/>
      <c r="G14" s="244" t="n"/>
      <c r="H14" s="97" t="inlineStr">
        <is>
          <t>WASDE·USDA 작황 데이터 연결 작업</t>
        </is>
      </c>
      <c r="I14" s="97" t="n"/>
      <c r="J14" s="97" t="n"/>
      <c r="K14" s="97" t="n"/>
      <c r="L14" s="97" t="n"/>
      <c r="M14" s="97" t="n"/>
      <c r="N14" s="97" t="n"/>
      <c r="O14" s="248" t="inlineStr">
        <is>
          <t>wasde_connector.py</t>
        </is>
      </c>
      <c r="P14" s="249" t="n">
        <v>46091</v>
      </c>
      <c r="Q14" s="249" t="n">
        <v>46127</v>
      </c>
      <c r="R14" s="97" t="n"/>
      <c r="S14" s="311" t="n"/>
      <c r="T14" s="311" t="n"/>
      <c r="U14" s="311" t="n">
        <v>27</v>
      </c>
      <c r="V14" s="311" t="n">
        <v>27</v>
      </c>
      <c r="W14" s="249" t="n"/>
      <c r="X14" s="249" t="n"/>
      <c r="Y14" s="312" t="n"/>
      <c r="Z14" s="99" t="n"/>
      <c r="AA14" s="311" t="n"/>
      <c r="AB14" s="238" t="inlineStr">
        <is>
          <t>조영훈</t>
        </is>
      </c>
      <c r="AC14" s="97" t="n"/>
      <c r="AD14" s="225" t="n"/>
      <c r="AE14" s="226" t="n">
        <v>1</v>
      </c>
      <c r="AF14" s="110" t="n"/>
      <c r="AG14" s="111" t="n"/>
      <c r="AH14" s="111" t="n"/>
      <c r="AI14" s="111" t="n"/>
      <c r="AJ14" s="111" t="n"/>
      <c r="AK14" s="111">
        <f>"      " &amp; TEXT(AE14,"#0.00%") &amp; " " &amp; "WASDE·USDA 작황 데이터 연결 작업" &amp; "(조영훈)" &amp; " " &amp; IF(P14="","",TEXT(P14,"M/D-")) &amp; IF(Q14="","",TEXT(Q14,"M/D")) &amp; " "</f>
        <v/>
      </c>
      <c r="AL14" s="111" t="n"/>
      <c r="AM14" s="111" t="n"/>
      <c r="AN14" s="111" t="n"/>
      <c r="AO14" s="111" t="n"/>
      <c r="AP14" s="111">
        <f>"      " &amp; TEXT(AE14,"#0.00%") &amp; " " &amp; "데이터 품질 검증" &amp; "(조영훈)" &amp; " " &amp; IF(P14="","",TEXT(P14,"M/D-")) &amp; IF(Q14="","",TEXT(Q14,"M/D")) &amp; " "</f>
        <v/>
      </c>
      <c r="AQ14" s="111" t="n"/>
      <c r="AR14" s="111" t="n"/>
      <c r="AS14" s="111" t="n"/>
      <c r="AT14" s="111" t="n"/>
      <c r="AU14" s="111" t="n"/>
      <c r="AV14" s="111" t="n"/>
      <c r="AW14" s="111" t="n"/>
      <c r="AX14" s="111" t="n"/>
      <c r="AY14" s="111" t="n"/>
      <c r="AZ14" s="111" t="n"/>
      <c r="BA14" s="111" t="n"/>
      <c r="BB14" s="111" t="n"/>
      <c r="BC14" s="111" t="n"/>
      <c r="BD14" s="111" t="n"/>
      <c r="BE14" s="111" t="n"/>
      <c r="BF14" s="111" t="n"/>
      <c r="BG14" s="111" t="n"/>
      <c r="BH14" s="111" t="n"/>
      <c r="BI14" s="111" t="n"/>
      <c r="BJ14" s="111" t="n"/>
      <c r="BK14" s="111" t="n"/>
      <c r="BL14" s="111" t="n"/>
      <c r="BM14" s="111" t="n"/>
      <c r="BN14" s="111" t="n"/>
      <c r="BO14" s="111" t="n"/>
      <c r="BP14" s="111" t="n"/>
      <c r="BQ14" s="111" t="n"/>
      <c r="BR14" s="111" t="n"/>
      <c r="BS14" s="111" t="n"/>
      <c r="BT14" s="111" t="n"/>
      <c r="BU14" s="111" t="n"/>
      <c r="BV14" s="111" t="n"/>
      <c r="BW14" s="111" t="n"/>
      <c r="BX14" s="111" t="n"/>
      <c r="BY14" s="111" t="n"/>
      <c r="BZ14" s="111" t="n"/>
      <c r="CA14" s="111" t="n"/>
      <c r="CB14" s="111" t="n"/>
      <c r="CC14" s="111" t="n"/>
      <c r="CD14" s="111" t="n"/>
      <c r="CE14" s="111" t="n"/>
      <c r="CF14" s="111" t="n"/>
      <c r="CG14" s="111" t="n"/>
      <c r="CH14" s="111" t="n"/>
      <c r="CI14" s="111" t="n"/>
      <c r="CJ14" s="111" t="n"/>
      <c r="CK14" s="111" t="n"/>
      <c r="CL14" s="111" t="n"/>
      <c r="CM14" s="111" t="n"/>
      <c r="CN14" s="111" t="n"/>
      <c r="CO14" s="111" t="n"/>
      <c r="CP14" s="111" t="n"/>
      <c r="CQ14" s="111" t="n"/>
      <c r="CR14" s="111" t="n"/>
      <c r="CS14" s="111" t="n"/>
      <c r="CT14" s="111" t="n"/>
      <c r="CU14" s="111" t="n"/>
      <c r="CV14" s="111" t="n"/>
      <c r="CW14" s="111" t="n"/>
      <c r="CX14" s="111" t="n"/>
    </row>
    <row r="15" outlineLevel="2" ht="12" customHeight="1">
      <c r="A15" s="96" t="n"/>
      <c r="B15" s="96" t="n"/>
      <c r="C15" s="96" t="n">
        <v>4</v>
      </c>
      <c r="D15" s="313" t="inlineStr">
        <is>
          <t>1.1.2.4</t>
        </is>
      </c>
      <c r="E15" s="97" t="n"/>
      <c r="F15" s="97" t="n"/>
      <c r="G15" s="244" t="n"/>
      <c r="H15" s="97" t="inlineStr">
        <is>
          <t>기후·ENSO 데이터 연결 작업 (NOAA·OWM·ECMWF)</t>
        </is>
      </c>
      <c r="I15" s="97" t="n"/>
      <c r="J15" s="97" t="n"/>
      <c r="K15" s="97" t="n"/>
      <c r="L15" s="97" t="n"/>
      <c r="M15" s="97" t="n"/>
      <c r="N15" s="97" t="n"/>
      <c r="O15" s="248" t="inlineStr">
        <is>
          <t>climate_connector.py</t>
        </is>
      </c>
      <c r="P15" s="249" t="n">
        <v>46096</v>
      </c>
      <c r="Q15" s="249" t="n">
        <v>46132</v>
      </c>
      <c r="R15" s="97" t="n"/>
      <c r="S15" s="311" t="n"/>
      <c r="T15" s="311" t="n"/>
      <c r="U15" s="311" t="n">
        <v>26</v>
      </c>
      <c r="V15" s="311" t="n">
        <v>26</v>
      </c>
      <c r="W15" s="249" t="n"/>
      <c r="X15" s="249" t="n"/>
      <c r="Y15" s="312" t="n"/>
      <c r="Z15" s="99" t="n"/>
      <c r="AA15" s="311" t="n"/>
      <c r="AB15" s="238" t="inlineStr">
        <is>
          <t>조영훈</t>
        </is>
      </c>
      <c r="AC15" s="97" t="n"/>
      <c r="AD15" s="225" t="n"/>
      <c r="AE15" s="226" t="n">
        <v>1</v>
      </c>
      <c r="AF15" s="110" t="n"/>
      <c r="AG15" s="111" t="n"/>
      <c r="AH15" s="111" t="n"/>
      <c r="AI15" s="111" t="n"/>
      <c r="AJ15" s="111" t="n"/>
      <c r="AK15" s="111">
        <f>"      " &amp; TEXT(AE15,"#0.00%") &amp; " " &amp; "기후·ENSO 데이터 연결 작업 (NOAA·OWM·ECMWF)" &amp; "(조영훈)" &amp; " " &amp; IF(P15="","",TEXT(P15,"M/D-")) &amp; IF(Q15="","",TEXT(Q15,"M/D")) &amp; " "</f>
        <v/>
      </c>
      <c r="AL15" s="111" t="n"/>
      <c r="AM15" s="111" t="n"/>
      <c r="AN15" s="111">
        <f>"    " &amp; TEXT(AE15,"#0.00%") &amp; " " &amp; "GitHub Actions 활용 자동화 작업" &amp; "(조영훈)" &amp; " " &amp; IF(P15="","",TEXT(P15,"M/D-")) &amp; IF(Q15="","",TEXT(Q15,"M/D")) &amp; " "</f>
        <v/>
      </c>
      <c r="AO15" s="111" t="n"/>
      <c r="AP15" s="111" t="n"/>
      <c r="AQ15" s="111" t="n"/>
      <c r="AR15" s="111" t="n"/>
      <c r="AS15" s="111" t="n"/>
      <c r="AT15" s="111" t="n"/>
      <c r="AU15" s="111" t="n"/>
      <c r="AV15" s="111" t="n"/>
      <c r="AW15" s="111" t="n"/>
      <c r="AX15" s="111" t="n"/>
      <c r="AY15" s="111" t="n"/>
      <c r="AZ15" s="111" t="n"/>
      <c r="BA15" s="111" t="n"/>
      <c r="BB15" s="111" t="n"/>
      <c r="BC15" s="111" t="n"/>
      <c r="BD15" s="111" t="n"/>
      <c r="BE15" s="111" t="n"/>
      <c r="BF15" s="111" t="n"/>
      <c r="BG15" s="111" t="n"/>
      <c r="BH15" s="111" t="n"/>
      <c r="BI15" s="111" t="n"/>
      <c r="BJ15" s="111" t="n"/>
      <c r="BK15" s="111" t="n"/>
      <c r="BL15" s="111" t="n"/>
      <c r="BM15" s="111" t="n"/>
      <c r="BN15" s="111" t="n"/>
      <c r="BO15" s="111" t="n"/>
      <c r="BP15" s="111" t="n"/>
      <c r="BQ15" s="111" t="n"/>
      <c r="BR15" s="111" t="n"/>
      <c r="BS15" s="111" t="n"/>
      <c r="BT15" s="111" t="n"/>
      <c r="BU15" s="111" t="n"/>
      <c r="BV15" s="111" t="n"/>
      <c r="BW15" s="111" t="n"/>
      <c r="BX15" s="111" t="n"/>
      <c r="BY15" s="111" t="n"/>
      <c r="BZ15" s="111" t="n"/>
      <c r="CA15" s="111" t="n"/>
      <c r="CB15" s="111" t="n"/>
      <c r="CC15" s="111" t="n"/>
      <c r="CD15" s="111" t="n"/>
      <c r="CE15" s="111" t="n"/>
      <c r="CF15" s="111" t="n"/>
      <c r="CG15" s="111" t="n"/>
      <c r="CH15" s="111" t="n"/>
      <c r="CI15" s="111" t="n"/>
      <c r="CJ15" s="111" t="n"/>
      <c r="CK15" s="111" t="n"/>
      <c r="CL15" s="111" t="n"/>
      <c r="CM15" s="111" t="n"/>
      <c r="CN15" s="111" t="n"/>
      <c r="CO15" s="111" t="n"/>
      <c r="CP15" s="111" t="n"/>
      <c r="CQ15" s="111" t="n"/>
      <c r="CR15" s="111" t="n"/>
      <c r="CS15" s="111" t="n"/>
      <c r="CT15" s="111" t="n"/>
      <c r="CU15" s="111" t="n"/>
      <c r="CV15" s="111" t="n"/>
      <c r="CW15" s="111" t="n"/>
      <c r="CX15" s="111" t="n"/>
    </row>
    <row r="16" outlineLevel="2" ht="12" customHeight="1">
      <c r="A16" s="96" t="n"/>
      <c r="B16" s="239" t="n"/>
      <c r="C16" s="239" t="n">
        <v>4</v>
      </c>
      <c r="D16" s="313" t="inlineStr">
        <is>
          <t>1.1.2.5</t>
        </is>
      </c>
      <c r="E16" s="97" t="n"/>
      <c r="F16" s="240" t="n"/>
      <c r="G16" s="244" t="n"/>
      <c r="H16" s="97" t="inlineStr">
        <is>
          <t>지정학 리스크 데이터 연결 작업 (GPR + 호르무즈)</t>
        </is>
      </c>
      <c r="I16" s="97" t="n"/>
      <c r="J16" s="97" t="n"/>
      <c r="K16" s="97" t="n"/>
      <c r="L16" s="97" t="n"/>
      <c r="M16" s="97" t="n"/>
      <c r="N16" s="97" t="n"/>
      <c r="O16" s="248" t="inlineStr">
        <is>
          <t>gpr_connector.py</t>
        </is>
      </c>
      <c r="P16" s="249" t="n">
        <v>46096</v>
      </c>
      <c r="Q16" s="249" t="n">
        <v>46132</v>
      </c>
      <c r="R16" s="97" t="n"/>
      <c r="S16" s="311" t="n"/>
      <c r="T16" s="311" t="n"/>
      <c r="U16" s="311" t="n">
        <v>26</v>
      </c>
      <c r="V16" s="311" t="n">
        <v>26</v>
      </c>
      <c r="W16" s="249" t="n"/>
      <c r="X16" s="249" t="n"/>
      <c r="Y16" s="312" t="n"/>
      <c r="Z16" s="99" t="n"/>
      <c r="AA16" s="311" t="n"/>
      <c r="AB16" s="238" t="inlineStr">
        <is>
          <t>조영훈</t>
        </is>
      </c>
      <c r="AC16" s="97" t="n"/>
      <c r="AD16" s="225" t="n"/>
      <c r="AE16" s="226" t="n">
        <v>1</v>
      </c>
      <c r="AF16" s="110" t="n"/>
      <c r="AG16" s="111" t="n"/>
      <c r="AH16" s="111" t="n"/>
      <c r="AI16" s="111" t="n"/>
      <c r="AJ16" s="111" t="n"/>
      <c r="AK16" s="111">
        <f>"      " &amp; TEXT(AE16,"#0.00%") &amp; " " &amp; "지정학 리스크 데이터 연결 작업 (GPR + 호르무즈)" &amp; "(조영훈)" &amp; " " &amp; IF(P16="","",TEXT(P16,"M/D-")) &amp; IF(Q16="","",TEXT(Q16,"M/D")) &amp; " "</f>
        <v/>
      </c>
      <c r="AL16" s="111" t="n"/>
      <c r="AM16" s="111" t="n"/>
      <c r="AN16" s="111" t="n"/>
      <c r="AO16" s="111" t="n"/>
      <c r="AP16" s="111" t="n"/>
      <c r="AQ16" s="111">
        <f>"   " &amp; TEXT(AE16,"#0.00%") &amp; " " &amp; "상품 가격·가뭄 데이터 연결 작업 (CBOT·ARS/USD·USDM)" &amp; "(조영훈)" &amp; " " &amp; IF(P16="","",TEXT(P16,"M/D-")) &amp; IF(Q16="","",TEXT(Q16,"M/D")) &amp; " "</f>
        <v/>
      </c>
      <c r="AR16" s="111" t="n"/>
      <c r="AS16" s="111" t="n"/>
      <c r="AT16" s="111" t="n"/>
      <c r="AU16" s="111" t="n"/>
      <c r="AV16" s="111" t="n"/>
      <c r="AW16" s="111" t="n"/>
      <c r="AX16" s="111" t="n"/>
      <c r="AY16" s="111" t="n"/>
      <c r="AZ16" s="111" t="n"/>
      <c r="BA16" s="111" t="n"/>
      <c r="BB16" s="111" t="n"/>
      <c r="BC16" s="111" t="n"/>
      <c r="BD16" s="111" t="n"/>
      <c r="BE16" s="111" t="n"/>
      <c r="BF16" s="111" t="n"/>
      <c r="BG16" s="111" t="n"/>
      <c r="BH16" s="111" t="n"/>
      <c r="BI16" s="111" t="n"/>
      <c r="BJ16" s="111" t="n"/>
      <c r="BK16" s="111" t="n"/>
      <c r="BL16" s="111" t="n"/>
      <c r="BM16" s="111" t="n"/>
      <c r="BN16" s="111" t="n"/>
      <c r="BO16" s="111" t="n"/>
      <c r="BP16" s="111" t="n"/>
      <c r="BQ16" s="111" t="n"/>
      <c r="BR16" s="111" t="n"/>
      <c r="BS16" s="111" t="n"/>
      <c r="BT16" s="111" t="n"/>
      <c r="BU16" s="111" t="n"/>
      <c r="BV16" s="111" t="n"/>
      <c r="BW16" s="111" t="n"/>
      <c r="BX16" s="111" t="n"/>
      <c r="BY16" s="111" t="n"/>
      <c r="BZ16" s="111" t="n"/>
      <c r="CA16" s="111" t="n"/>
      <c r="CB16" s="111" t="n"/>
      <c r="CC16" s="111" t="n"/>
      <c r="CD16" s="111" t="n"/>
      <c r="CE16" s="111" t="n"/>
      <c r="CF16" s="111" t="n"/>
      <c r="CG16" s="111" t="n"/>
      <c r="CH16" s="111" t="n"/>
      <c r="CI16" s="111" t="n"/>
      <c r="CJ16" s="111" t="n"/>
      <c r="CK16" s="111" t="n"/>
      <c r="CL16" s="111" t="n"/>
      <c r="CM16" s="111" t="n"/>
      <c r="CN16" s="111" t="n"/>
      <c r="CO16" s="111" t="n"/>
      <c r="CP16" s="111" t="n"/>
      <c r="CQ16" s="111" t="n"/>
      <c r="CR16" s="111" t="n"/>
      <c r="CS16" s="111" t="n"/>
      <c r="CT16" s="111" t="n"/>
      <c r="CU16" s="111" t="n"/>
      <c r="CV16" s="111" t="n"/>
      <c r="CW16" s="111" t="n"/>
      <c r="CX16" s="111" t="n"/>
    </row>
    <row r="17" outlineLevel="2" ht="12" customHeight="1">
      <c r="A17" s="96" t="n"/>
      <c r="B17" s="239" t="n"/>
      <c r="C17" s="239" t="n">
        <v>4</v>
      </c>
      <c r="D17" s="313" t="inlineStr">
        <is>
          <t>1.1.2.6</t>
        </is>
      </c>
      <c r="E17" s="97" t="n"/>
      <c r="F17" s="240" t="n"/>
      <c r="G17" s="244" t="n"/>
      <c r="H17" s="97" t="inlineStr">
        <is>
          <t>원산지 생산량·농업기상 데이터 연결 작업</t>
        </is>
      </c>
      <c r="I17" s="97" t="n"/>
      <c r="J17" s="97" t="n"/>
      <c r="K17" s="97" t="n"/>
      <c r="L17" s="97" t="n"/>
      <c r="M17" s="97" t="n"/>
      <c r="N17" s="97" t="n"/>
      <c r="O17" s="248" t="inlineStr">
        <is>
          <t>production_connector.py</t>
        </is>
      </c>
      <c r="P17" s="249" t="n">
        <v>46101</v>
      </c>
      <c r="Q17" s="249" t="n">
        <v>46134</v>
      </c>
      <c r="R17" s="97" t="n"/>
      <c r="S17" s="311" t="n"/>
      <c r="T17" s="311" t="n"/>
      <c r="U17" s="311" t="n">
        <v>24</v>
      </c>
      <c r="V17" s="311" t="n">
        <v>24</v>
      </c>
      <c r="W17" s="249" t="n"/>
      <c r="X17" s="249" t="n"/>
      <c r="Y17" s="312" t="n"/>
      <c r="Z17" s="99" t="n"/>
      <c r="AA17" s="311" t="n"/>
      <c r="AB17" s="238" t="inlineStr">
        <is>
          <t>조영훈</t>
        </is>
      </c>
      <c r="AC17" s="97" t="n"/>
      <c r="AD17" s="225" t="n"/>
      <c r="AE17" s="226" t="n">
        <v>1</v>
      </c>
      <c r="AF17" s="110" t="n"/>
      <c r="AG17" s="111" t="n"/>
      <c r="AH17" s="111" t="n"/>
      <c r="AI17" s="111" t="n"/>
      <c r="AJ17" s="111" t="n"/>
      <c r="AK17" s="111">
        <f>"      " &amp; TEXT(AE17,"#0.00%") &amp; " " &amp; "원산지 생산량·농업기상 데이터 연결 작업" &amp; "(조영훈)" &amp; " " &amp; IF(P17="","",TEXT(P17,"M/D-")) &amp; IF(Q17="","",TEXT(Q17,"M/D")) &amp; " "</f>
        <v/>
      </c>
      <c r="AL17" s="111" t="n"/>
      <c r="AM17" s="111" t="n"/>
      <c r="AN17" s="111" t="n"/>
      <c r="AO17" s="111" t="n"/>
      <c r="AP17" s="111" t="n"/>
      <c r="AQ17" s="111">
        <f>"   " &amp; TEXT(AE17,"#0.00%") &amp; " " &amp; "관세청 수입 통계 데이터 연결 작업 (관세청 HS 1507)" &amp; "(조영훈)" &amp; " " &amp; IF(P17="","",TEXT(P17,"M/D-")) &amp; IF(Q17="","",TEXT(Q17,"M/D")) &amp; " "</f>
        <v/>
      </c>
      <c r="AR17" s="111" t="n"/>
      <c r="AS17" s="111" t="n"/>
      <c r="AT17" s="111" t="n"/>
      <c r="AU17" s="111" t="n"/>
      <c r="AV17" s="111" t="n"/>
      <c r="AW17" s="111" t="n"/>
      <c r="AX17" s="111" t="n"/>
      <c r="AY17" s="111" t="n"/>
      <c r="AZ17" s="111" t="n"/>
      <c r="BA17" s="111" t="n"/>
      <c r="BB17" s="111" t="n"/>
      <c r="BC17" s="111" t="n"/>
      <c r="BD17" s="111" t="n"/>
      <c r="BE17" s="111" t="n"/>
      <c r="BF17" s="111" t="n"/>
      <c r="BG17" s="111" t="n"/>
      <c r="BH17" s="111" t="n"/>
      <c r="BI17" s="111" t="n"/>
      <c r="BJ17" s="111" t="n"/>
      <c r="BK17" s="111" t="n"/>
      <c r="BL17" s="111" t="n"/>
      <c r="BM17" s="111" t="n"/>
      <c r="BN17" s="111" t="n"/>
      <c r="BO17" s="111" t="n"/>
      <c r="BP17" s="111" t="n"/>
      <c r="BQ17" s="111" t="n"/>
      <c r="BR17" s="111" t="n"/>
      <c r="BS17" s="111" t="n"/>
      <c r="BT17" s="111" t="n"/>
      <c r="BU17" s="111" t="n"/>
      <c r="BV17" s="111" t="n"/>
      <c r="BW17" s="111" t="n"/>
      <c r="BX17" s="111" t="n"/>
      <c r="BY17" s="111" t="n"/>
      <c r="BZ17" s="111" t="n"/>
      <c r="CA17" s="111" t="n"/>
      <c r="CB17" s="111" t="n"/>
      <c r="CC17" s="111" t="n"/>
      <c r="CD17" s="111" t="n"/>
      <c r="CE17" s="111" t="n"/>
      <c r="CF17" s="111" t="n"/>
      <c r="CG17" s="111" t="n"/>
      <c r="CH17" s="111" t="n"/>
      <c r="CI17" s="111" t="n"/>
      <c r="CJ17" s="111" t="n"/>
      <c r="CK17" s="111" t="n"/>
      <c r="CL17" s="111" t="n"/>
      <c r="CM17" s="111" t="n"/>
      <c r="CN17" s="111" t="n"/>
      <c r="CO17" s="111" t="n"/>
      <c r="CP17" s="111" t="n"/>
      <c r="CQ17" s="111" t="n"/>
      <c r="CR17" s="111" t="n"/>
      <c r="CS17" s="111" t="n"/>
      <c r="CT17" s="111" t="n"/>
      <c r="CU17" s="111" t="n"/>
      <c r="CV17" s="111" t="n"/>
      <c r="CW17" s="111" t="n"/>
      <c r="CX17" s="111" t="n"/>
    </row>
    <row r="18" outlineLevel="2" ht="12" customHeight="1">
      <c r="A18" s="96" t="n"/>
      <c r="B18" s="239" t="n"/>
      <c r="C18" s="239" t="n">
        <v>4</v>
      </c>
      <c r="D18" s="313" t="inlineStr">
        <is>
          <t>1.1.2.7</t>
        </is>
      </c>
      <c r="E18" s="97" t="n"/>
      <c r="F18" s="240" t="n"/>
      <c r="G18" s="244" t="n"/>
      <c r="H18" s="97" t="inlineStr">
        <is>
          <t>상품 가격·가뭄 데이터 연결 작업 (CBOT·ARS/USD·USDM)</t>
        </is>
      </c>
      <c r="I18" s="97" t="n"/>
      <c r="J18" s="97" t="n"/>
      <c r="K18" s="97" t="n"/>
      <c r="L18" s="97" t="n"/>
      <c r="M18" s="97" t="n"/>
      <c r="N18" s="97" t="n"/>
      <c r="O18" s="248" t="inlineStr">
        <is>
          <t>commodity_connector.py + Trading Economics CPO</t>
        </is>
      </c>
      <c r="P18" s="249" t="n">
        <v>46143</v>
      </c>
      <c r="Q18" s="249" t="n">
        <v>46161</v>
      </c>
      <c r="R18" s="97" t="n"/>
      <c r="S18" s="311" t="n"/>
      <c r="T18" s="311" t="n"/>
      <c r="U18" s="311" t="n">
        <v>12</v>
      </c>
      <c r="V18" s="311" t="n">
        <v>12</v>
      </c>
      <c r="W18" s="249" t="n"/>
      <c r="X18" s="249" t="n"/>
      <c r="Y18" s="312" t="n"/>
      <c r="Z18" s="99" t="n"/>
      <c r="AA18" s="311" t="n"/>
      <c r="AB18" s="238" t="inlineStr">
        <is>
          <t>조영훈</t>
        </is>
      </c>
      <c r="AC18" s="97" t="n"/>
      <c r="AD18" s="225" t="n"/>
      <c r="AE18" s="226" t="n">
        <v>1</v>
      </c>
      <c r="AF18" s="110" t="n"/>
      <c r="AG18" s="111" t="n"/>
      <c r="AH18" s="111" t="n"/>
      <c r="AI18" s="111" t="n"/>
      <c r="AJ18" s="111" t="n"/>
      <c r="AK18" s="111">
        <f>"      " &amp; TEXT(AE18,"#0.00%") &amp; " " &amp; "상품 가격·가뭄 데이터 연결 작업 (CBOT·ARS/USD·USDM)" &amp; "(조영훈)" &amp; " " &amp; IF(P18="","",TEXT(P18,"M/D-")) &amp; IF(Q18="","",TEXT(Q18,"M/D")) &amp; " "</f>
        <v/>
      </c>
      <c r="AL18" s="111" t="n"/>
      <c r="AM18" s="111" t="n"/>
      <c r="AN18" s="111" t="n"/>
      <c r="AO18" s="111" t="n"/>
      <c r="AP18" s="111" t="n"/>
      <c r="AQ18" s="111">
        <f>"   " &amp; TEXT(AE18,"#0.00%") &amp; " " &amp; "Trading Economics 데이터 연결 작업 (BDI·CPO 공식 API)" &amp; "(조영훈)" &amp; " " &amp; IF(P18="","",TEXT(P18,"M/D-")) &amp; IF(Q18="","",TEXT(Q18,"M/D")) &amp; " "</f>
        <v/>
      </c>
      <c r="AR18" s="111" t="n"/>
      <c r="AS18" s="111" t="n"/>
      <c r="AT18" s="111" t="n"/>
      <c r="AU18" s="111" t="n"/>
      <c r="AV18" s="111" t="n"/>
      <c r="AW18" s="111" t="n"/>
      <c r="AX18" s="111" t="n"/>
      <c r="AY18" s="111" t="n"/>
      <c r="AZ18" s="111" t="n"/>
      <c r="BA18" s="111" t="n"/>
      <c r="BB18" s="111" t="n"/>
      <c r="BC18" s="111" t="n"/>
      <c r="BD18" s="111" t="n"/>
      <c r="BE18" s="111" t="n"/>
      <c r="BF18" s="111" t="n"/>
      <c r="BG18" s="111" t="n"/>
      <c r="BH18" s="111" t="n"/>
      <c r="BI18" s="111" t="n"/>
      <c r="BJ18" s="111" t="n"/>
      <c r="BK18" s="111" t="n"/>
      <c r="BL18" s="111" t="n"/>
      <c r="BM18" s="111" t="n"/>
      <c r="BN18" s="111" t="n"/>
      <c r="BO18" s="111" t="n"/>
      <c r="BP18" s="111" t="n"/>
      <c r="BQ18" s="111" t="n"/>
      <c r="BR18" s="111" t="n"/>
      <c r="BS18" s="111" t="n"/>
      <c r="BT18" s="111" t="n"/>
      <c r="BU18" s="111" t="n"/>
      <c r="BV18" s="111" t="n"/>
      <c r="BW18" s="111" t="n"/>
      <c r="BX18" s="111" t="n"/>
      <c r="BY18" s="111" t="n"/>
      <c r="BZ18" s="111" t="n"/>
      <c r="CA18" s="111" t="n"/>
      <c r="CB18" s="111" t="n"/>
      <c r="CC18" s="111" t="n"/>
      <c r="CD18" s="111" t="n"/>
      <c r="CE18" s="111" t="n"/>
      <c r="CF18" s="111" t="n"/>
      <c r="CG18" s="111" t="n"/>
      <c r="CH18" s="111" t="n"/>
      <c r="CI18" s="111" t="n"/>
      <c r="CJ18" s="111" t="n"/>
      <c r="CK18" s="111" t="n"/>
      <c r="CL18" s="111" t="n"/>
      <c r="CM18" s="111" t="n"/>
      <c r="CN18" s="111" t="n"/>
      <c r="CO18" s="111" t="n"/>
      <c r="CP18" s="111" t="n"/>
      <c r="CQ18" s="111" t="n"/>
      <c r="CR18" s="111" t="n"/>
      <c r="CS18" s="111" t="n"/>
      <c r="CT18" s="111" t="n"/>
      <c r="CU18" s="111" t="n"/>
      <c r="CV18" s="111" t="n"/>
      <c r="CW18" s="111" t="n"/>
      <c r="CX18" s="111" t="n"/>
    </row>
    <row r="19" outlineLevel="2" ht="12" customHeight="1">
      <c r="A19" s="96" t="n"/>
      <c r="B19" s="239" t="n"/>
      <c r="C19" s="239" t="n">
        <v>4</v>
      </c>
      <c r="D19" s="313" t="inlineStr">
        <is>
          <t>1.1.2.8</t>
        </is>
      </c>
      <c r="E19" s="97" t="n"/>
      <c r="F19" s="240" t="n"/>
      <c r="G19" s="244" t="n"/>
      <c r="H19" s="97" t="inlineStr">
        <is>
          <t>관세청 수입 통계 데이터 연결 작업 (관세청 HS 1507)</t>
        </is>
      </c>
      <c r="I19" s="97" t="n"/>
      <c r="J19" s="97" t="n"/>
      <c r="K19" s="97" t="n"/>
      <c r="L19" s="97" t="n"/>
      <c r="M19" s="97" t="n"/>
      <c r="N19" s="97" t="n"/>
      <c r="O19" s="248" t="inlineStr">
        <is>
          <t>customs_connector.py (data.go.kr + UN Comtrade fallback)</t>
        </is>
      </c>
      <c r="P19" s="249" t="n">
        <v>46150</v>
      </c>
      <c r="Q19" s="249" t="n">
        <v>46161</v>
      </c>
      <c r="R19" s="97" t="n"/>
      <c r="S19" s="311" t="n"/>
      <c r="T19" s="311" t="n"/>
      <c r="U19" s="311" t="n">
        <v>8</v>
      </c>
      <c r="V19" s="311" t="n">
        <v>8</v>
      </c>
      <c r="W19" s="249" t="n"/>
      <c r="X19" s="249" t="n"/>
      <c r="Y19" s="312" t="n"/>
      <c r="Z19" s="99" t="n"/>
      <c r="AA19" s="311" t="n"/>
      <c r="AB19" s="238" t="inlineStr">
        <is>
          <t>조영훈</t>
        </is>
      </c>
      <c r="AC19" s="97" t="n"/>
      <c r="AD19" s="225" t="n"/>
      <c r="AE19" s="226" t="n">
        <v>1</v>
      </c>
      <c r="AF19" s="110" t="n"/>
      <c r="AG19" s="111" t="n"/>
      <c r="AH19" s="111" t="n"/>
      <c r="AI19" s="111" t="n"/>
      <c r="AJ19" s="111" t="n"/>
      <c r="AK19" s="111">
        <f>"      " &amp; TEXT(AE19,"#0.00%") &amp; " " &amp; "관세청 수입 통계 데이터 연결 작업 (관세청 HS 1507)" &amp; "(조영훈)" &amp; " " &amp; IF(P19="","",TEXT(P19,"M/D-")) &amp; IF(Q19="","",TEXT(Q19,"M/D")) &amp; " "</f>
        <v/>
      </c>
      <c r="AL19" s="111" t="n"/>
      <c r="AM19" s="111" t="n"/>
      <c r="AN19" s="111" t="n"/>
      <c r="AO19" s="111" t="n"/>
      <c r="AP19" s="111" t="n"/>
      <c r="AQ19" s="111">
        <f>"   " &amp; TEXT(AE19,"#0.00%") &amp; " " &amp; "LLM 모델 모니터 (신규 모델 감지 → GitHub Issue)" &amp; "(조영훈)" &amp; " " &amp; IF(P19="","",TEXT(P19,"M/D-")) &amp; IF(Q19="","",TEXT(Q19,"M/D")) &amp; " "</f>
        <v/>
      </c>
      <c r="AR19" s="111" t="n"/>
      <c r="AS19" s="111" t="n"/>
      <c r="AT19" s="111" t="n"/>
      <c r="AU19" s="111" t="n"/>
      <c r="AV19" s="111" t="n"/>
      <c r="AW19" s="111" t="n"/>
      <c r="AX19" s="111" t="n"/>
      <c r="AY19" s="111" t="n"/>
      <c r="AZ19" s="111" t="n"/>
      <c r="BA19" s="111" t="n"/>
      <c r="BB19" s="111" t="n"/>
      <c r="BC19" s="111" t="n"/>
      <c r="BD19" s="111" t="n"/>
      <c r="BE19" s="111" t="n"/>
      <c r="BF19" s="111" t="n"/>
      <c r="BG19" s="111" t="n"/>
      <c r="BH19" s="111" t="n"/>
      <c r="BI19" s="111" t="n"/>
      <c r="BJ19" s="111" t="n"/>
      <c r="BK19" s="111" t="n"/>
      <c r="BL19" s="111" t="n"/>
      <c r="BM19" s="111" t="n"/>
      <c r="BN19" s="111" t="n"/>
      <c r="BO19" s="111" t="n"/>
      <c r="BP19" s="111" t="n"/>
      <c r="BQ19" s="111" t="n"/>
      <c r="BR19" s="111" t="n"/>
      <c r="BS19" s="111" t="n"/>
      <c r="BT19" s="111" t="n"/>
      <c r="BU19" s="111" t="n"/>
      <c r="BV19" s="111" t="n"/>
      <c r="BW19" s="111" t="n"/>
      <c r="BX19" s="111" t="n"/>
      <c r="BY19" s="111" t="n"/>
      <c r="BZ19" s="111" t="n"/>
      <c r="CA19" s="111" t="n"/>
      <c r="CB19" s="111" t="n"/>
      <c r="CC19" s="111" t="n"/>
      <c r="CD19" s="111" t="n"/>
      <c r="CE19" s="111" t="n"/>
      <c r="CF19" s="111" t="n"/>
      <c r="CG19" s="111" t="n"/>
      <c r="CH19" s="111" t="n"/>
      <c r="CI19" s="111" t="n"/>
      <c r="CJ19" s="111" t="n"/>
      <c r="CK19" s="111" t="n"/>
      <c r="CL19" s="111" t="n"/>
      <c r="CM19" s="111" t="n"/>
      <c r="CN19" s="111" t="n"/>
      <c r="CO19" s="111" t="n"/>
      <c r="CP19" s="111" t="n"/>
      <c r="CQ19" s="111" t="n"/>
      <c r="CR19" s="111" t="n"/>
      <c r="CS19" s="111" t="n"/>
      <c r="CT19" s="111" t="n"/>
      <c r="CU19" s="111" t="n"/>
      <c r="CV19" s="111" t="n"/>
      <c r="CW19" s="111" t="n"/>
      <c r="CX19" s="111" t="n"/>
    </row>
    <row r="20" outlineLevel="2" ht="12" customHeight="1">
      <c r="A20" s="96" t="n"/>
      <c r="B20" s="239" t="n"/>
      <c r="C20" s="239" t="n">
        <v>4</v>
      </c>
      <c r="D20" s="313" t="inlineStr">
        <is>
          <t>1.1.2.9</t>
        </is>
      </c>
      <c r="E20" s="97" t="n"/>
      <c r="F20" s="240" t="n"/>
      <c r="G20" s="244" t="n"/>
      <c r="H20" s="97" t="inlineStr">
        <is>
          <t>Trading Economics 데이터 연결 작업 (BDI·CPO 공식 API)</t>
        </is>
      </c>
      <c r="I20" s="97" t="n"/>
      <c r="J20" s="97" t="n"/>
      <c r="K20" s="97" t="n"/>
      <c r="L20" s="97" t="n"/>
      <c r="M20" s="97" t="n"/>
      <c r="N20" s="97" t="n"/>
      <c r="O20" s="248" t="inlineStr">
        <is>
          <t>te_connector.py (key:secret 인증)</t>
        </is>
      </c>
      <c r="P20" s="249" t="n">
        <v>46150</v>
      </c>
      <c r="Q20" s="249" t="n">
        <v>46161</v>
      </c>
      <c r="R20" s="97" t="n"/>
      <c r="S20" s="311" t="n"/>
      <c r="T20" s="311" t="n"/>
      <c r="U20" s="311" t="n">
        <v>8</v>
      </c>
      <c r="V20" s="311" t="n">
        <v>8</v>
      </c>
      <c r="W20" s="249" t="n"/>
      <c r="X20" s="249" t="n"/>
      <c r="Y20" s="312" t="n"/>
      <c r="Z20" s="99" t="n"/>
      <c r="AA20" s="311" t="n"/>
      <c r="AB20" s="238" t="inlineStr">
        <is>
          <t>조영훈</t>
        </is>
      </c>
      <c r="AC20" s="97" t="n"/>
      <c r="AD20" s="225" t="n"/>
      <c r="AE20" s="226" t="n">
        <v>1</v>
      </c>
      <c r="AF20" s="110" t="n"/>
      <c r="AG20" s="111" t="n"/>
      <c r="AH20" s="111" t="n"/>
      <c r="AI20" s="111" t="n"/>
      <c r="AJ20" s="111" t="n"/>
      <c r="AK20" s="111">
        <f>"      " &amp; TEXT(AE20,"#0.00%") &amp; " " &amp; "Trading Economics 데이터 연결 작업 (BDI·CPO 공식 API)" &amp; "(조영훈)" &amp; " " &amp; IF(P20="","",TEXT(P20,"M/D-")) &amp; IF(Q20="","",TEXT(Q20,"M/D")) &amp; " "</f>
        <v/>
      </c>
      <c r="AL20" s="111" t="n"/>
      <c r="AM20" s="111" t="n"/>
      <c r="AN20" s="111" t="n"/>
      <c r="AO20" s="111" t="n"/>
      <c r="AP20" s="111" t="n"/>
      <c r="AQ20" s="111" t="n"/>
      <c r="AR20" s="111" t="n"/>
      <c r="AS20" s="111">
        <f>" " &amp; TEXT(AE20,"#0.00%") &amp; " " &amp; "G1 변수 중요도 분석 파이프라인 (Phase A)" &amp; "(조영훈)" &amp; " " &amp; IF(P20="","",TEXT(P20,"M/D-")) &amp; IF(Q20="","",TEXT(Q20,"M/D")) &amp; " "</f>
        <v/>
      </c>
      <c r="AT20" s="111" t="n"/>
      <c r="AU20" s="111" t="n"/>
      <c r="AV20" s="111" t="n"/>
      <c r="AW20" s="111" t="n"/>
      <c r="AX20" s="111" t="n"/>
      <c r="AY20" s="111" t="n"/>
      <c r="AZ20" s="111" t="n"/>
      <c r="BA20" s="111" t="n"/>
      <c r="BB20" s="111" t="n"/>
      <c r="BC20" s="111" t="n"/>
      <c r="BD20" s="111" t="n"/>
      <c r="BE20" s="111" t="n"/>
      <c r="BF20" s="111" t="n"/>
      <c r="BG20" s="111" t="n"/>
      <c r="BH20" s="111" t="n"/>
      <c r="BI20" s="111" t="n"/>
      <c r="BJ20" s="111" t="n"/>
      <c r="BK20" s="111" t="n"/>
      <c r="BL20" s="111" t="n"/>
      <c r="BM20" s="111" t="n"/>
      <c r="BN20" s="111" t="n"/>
      <c r="BO20" s="111" t="n"/>
      <c r="BP20" s="111" t="n"/>
      <c r="BQ20" s="111" t="n"/>
      <c r="BR20" s="111" t="n"/>
      <c r="BS20" s="111" t="n"/>
      <c r="BT20" s="111" t="n"/>
      <c r="BU20" s="111" t="n"/>
      <c r="BV20" s="111" t="n"/>
      <c r="BW20" s="111" t="n"/>
      <c r="BX20" s="111" t="n"/>
      <c r="BY20" s="111" t="n"/>
      <c r="BZ20" s="111" t="n"/>
      <c r="CA20" s="111" t="n"/>
      <c r="CB20" s="111" t="n"/>
      <c r="CC20" s="111" t="n"/>
      <c r="CD20" s="111" t="n"/>
      <c r="CE20" s="111" t="n"/>
      <c r="CF20" s="111" t="n"/>
      <c r="CG20" s="111" t="n"/>
      <c r="CH20" s="111" t="n"/>
      <c r="CI20" s="111" t="n"/>
      <c r="CJ20" s="111" t="n"/>
      <c r="CK20" s="111" t="n"/>
      <c r="CL20" s="111" t="n"/>
      <c r="CM20" s="111" t="n"/>
      <c r="CN20" s="111" t="n"/>
      <c r="CO20" s="111" t="n"/>
      <c r="CP20" s="111" t="n"/>
      <c r="CQ20" s="111" t="n"/>
      <c r="CR20" s="111" t="n"/>
      <c r="CS20" s="111" t="n"/>
      <c r="CT20" s="111" t="n"/>
      <c r="CU20" s="111" t="n"/>
      <c r="CV20" s="111" t="n"/>
      <c r="CW20" s="111" t="n"/>
      <c r="CX20" s="111" t="n"/>
    </row>
    <row r="21" outlineLevel="2" ht="12" customHeight="1">
      <c r="A21" s="96" t="n"/>
      <c r="B21" s="239" t="n"/>
      <c r="C21" s="239" t="n">
        <v>4</v>
      </c>
      <c r="D21" s="313" t="inlineStr">
        <is>
          <t>1.1.2.10</t>
        </is>
      </c>
      <c r="E21" s="97" t="n"/>
      <c r="F21" s="240" t="n"/>
      <c r="G21" s="244" t="n"/>
      <c r="H21" s="97" t="inlineStr">
        <is>
          <t>Ralph Loop' 기반 이슈 감지 자동화 Workflow 생성 (pipeline-failure-loop)</t>
        </is>
      </c>
      <c r="I21" s="97" t="n"/>
      <c r="J21" s="97" t="n"/>
      <c r="K21" s="97" t="n"/>
      <c r="L21" s="97" t="n"/>
      <c r="M21" s="97" t="n"/>
      <c r="N21" s="97" t="n"/>
      <c r="O21" s="248" t="inlineStr">
        <is>
          <t>.github/workflows/external_data_refresh.yml (pipeline-failure-loop job)</t>
        </is>
      </c>
      <c r="P21" s="249" t="n">
        <v>46155</v>
      </c>
      <c r="Q21" s="249" t="n">
        <v>46161</v>
      </c>
      <c r="R21" s="97" t="n"/>
      <c r="S21" s="311" t="n"/>
      <c r="T21" s="311" t="n"/>
      <c r="U21" s="311" t="n">
        <v>5</v>
      </c>
      <c r="V21" s="311" t="n">
        <v>5</v>
      </c>
      <c r="W21" s="249" t="n"/>
      <c r="X21" s="249" t="n"/>
      <c r="Y21" s="312" t="n"/>
      <c r="Z21" s="99" t="n"/>
      <c r="AA21" s="311" t="n"/>
      <c r="AB21" s="238" t="inlineStr">
        <is>
          <t>조영훈</t>
        </is>
      </c>
      <c r="AC21" s="97" t="n"/>
      <c r="AD21" s="225" t="n"/>
      <c r="AE21" s="226" t="n">
        <v>1</v>
      </c>
      <c r="AF21" s="110" t="n"/>
      <c r="AG21" s="111" t="n"/>
      <c r="AH21" s="111" t="n"/>
      <c r="AI21" s="111" t="n"/>
      <c r="AJ21" s="111" t="n"/>
      <c r="AK21" s="111">
        <f>"      " &amp; TEXT(AE21,"#0.00%") &amp; " " &amp; "Ralph Loop' 기반 이슈 감지 자동화 Workflow 생성 (pipeline-failure-loop)" &amp; "(조영훈)" &amp; " " &amp; IF(P21="","",TEXT(P21,"M/D-")) &amp; IF(Q21="","",TEXT(Q21,"M/D")) &amp; " "</f>
        <v/>
      </c>
      <c r="AL21" s="111" t="n"/>
      <c r="AM21" s="111" t="n"/>
      <c r="AN21" s="111" t="n"/>
      <c r="AO21" s="111" t="n"/>
      <c r="AP21" s="111" t="n"/>
      <c r="AQ21" s="111">
        <f>"   " &amp; TEXT(AE21,"#0.00%") &amp; " " &amp; "DQSOps 데이터 품질 게이트 (GitHub Actions)" &amp; "(조영훈)" &amp; " " &amp; IF(P21="","",TEXT(P21,"M/D-")) &amp; IF(Q21="","",TEXT(Q21,"M/D")) &amp; " "</f>
        <v/>
      </c>
      <c r="AR21" s="111" t="n"/>
      <c r="AS21" s="111" t="n"/>
      <c r="AT21" s="111" t="n"/>
      <c r="AU21" s="111" t="n"/>
      <c r="AV21" s="111" t="n"/>
      <c r="AW21" s="111" t="n"/>
      <c r="AX21" s="111" t="n"/>
      <c r="AY21" s="111" t="n"/>
      <c r="AZ21" s="111" t="n"/>
      <c r="BA21" s="111" t="n"/>
      <c r="BB21" s="111" t="n"/>
      <c r="BC21" s="111" t="n"/>
      <c r="BD21" s="111" t="n"/>
      <c r="BE21" s="111" t="n"/>
      <c r="BF21" s="111" t="n"/>
      <c r="BG21" s="111" t="n"/>
      <c r="BH21" s="111" t="n"/>
      <c r="BI21" s="111" t="n"/>
      <c r="BJ21" s="111" t="n"/>
      <c r="BK21" s="111" t="n"/>
      <c r="BL21" s="111" t="n"/>
      <c r="BM21" s="111" t="n"/>
      <c r="BN21" s="111" t="n"/>
      <c r="BO21" s="111" t="n"/>
      <c r="BP21" s="111" t="n"/>
      <c r="BQ21" s="111" t="n"/>
      <c r="BR21" s="111" t="n"/>
      <c r="BS21" s="111" t="n"/>
      <c r="BT21" s="111" t="n"/>
      <c r="BU21" s="111" t="n"/>
      <c r="BV21" s="111" t="n"/>
      <c r="BW21" s="111" t="n"/>
      <c r="BX21" s="111" t="n"/>
      <c r="BY21" s="111" t="n"/>
      <c r="BZ21" s="111" t="n"/>
      <c r="CA21" s="111" t="n"/>
      <c r="CB21" s="111" t="n"/>
      <c r="CC21" s="111" t="n"/>
      <c r="CD21" s="111" t="n"/>
      <c r="CE21" s="111" t="n"/>
      <c r="CF21" s="111" t="n"/>
      <c r="CG21" s="111" t="n"/>
      <c r="CH21" s="111" t="n"/>
      <c r="CI21" s="111" t="n"/>
      <c r="CJ21" s="111" t="n"/>
      <c r="CK21" s="111" t="n"/>
      <c r="CL21" s="111" t="n"/>
      <c r="CM21" s="111" t="n"/>
      <c r="CN21" s="111" t="n"/>
      <c r="CO21" s="111" t="n"/>
      <c r="CP21" s="111" t="n"/>
      <c r="CQ21" s="111" t="n"/>
      <c r="CR21" s="111" t="n"/>
      <c r="CS21" s="111" t="n"/>
      <c r="CT21" s="111" t="n"/>
      <c r="CU21" s="111" t="n"/>
      <c r="CV21" s="111" t="n"/>
      <c r="CW21" s="111" t="n"/>
      <c r="CX21" s="111" t="n"/>
    </row>
    <row r="22" outlineLevel="2" ht="12" customHeight="1">
      <c r="A22" s="96" t="n"/>
      <c r="B22" s="239" t="n"/>
      <c r="C22" s="239" t="n">
        <v>4</v>
      </c>
      <c r="D22" s="313" t="inlineStr">
        <is>
          <t>1.1.2.11</t>
        </is>
      </c>
      <c r="E22" s="97" t="n"/>
      <c r="F22" s="240" t="n"/>
      <c r="G22" s="244" t="n"/>
      <c r="H22" s="97" t="inlineStr">
        <is>
          <t>Open-Meteo 12개 생산지역 기후 데이터 연결 작업 확장 (ERA5-Land)</t>
        </is>
      </c>
      <c r="I22" s="97" t="n"/>
      <c r="J22" s="97" t="n"/>
      <c r="K22" s="97" t="n"/>
      <c r="L22" s="97" t="n"/>
      <c r="M22" s="97" t="n"/>
      <c r="N22" s="97" t="n"/>
      <c r="O22" s="248" t="inlineStr">
        <is>
          <t>src/pipeline/connectors/climate_connector.py (fetch_openmeteo_regional_climate)</t>
        </is>
      </c>
      <c r="P22" s="249" t="n">
        <v>46168</v>
      </c>
      <c r="Q22" s="249" t="n">
        <v>46173</v>
      </c>
      <c r="R22" s="97" t="n"/>
      <c r="S22" s="311" t="n"/>
      <c r="T22" s="311" t="n"/>
      <c r="U22" s="311" t="n">
        <v>4</v>
      </c>
      <c r="V22" s="311" t="n">
        <v>4</v>
      </c>
      <c r="W22" s="249" t="n"/>
      <c r="X22" s="249" t="n"/>
      <c r="Y22" s="312" t="n"/>
      <c r="Z22" s="99" t="n"/>
      <c r="AA22" s="311" t="n"/>
      <c r="AB22" s="238" t="inlineStr">
        <is>
          <t>조영훈</t>
        </is>
      </c>
      <c r="AC22" s="97" t="n"/>
      <c r="AD22" s="225" t="n"/>
      <c r="AE22" s="226" t="n">
        <v>1</v>
      </c>
      <c r="AF22" s="110" t="n"/>
      <c r="AG22" s="111" t="n"/>
      <c r="AH22" s="111" t="n"/>
      <c r="AI22" s="111" t="n"/>
      <c r="AJ22" s="111" t="n"/>
      <c r="AK22" s="111">
        <f>"      " &amp; TEXT(AE22,"#0.00%") &amp; " " &amp; "Open-Meteo 12개 생산지역 기후 데이터 연결 작업 확장 (ERA5-Land)" &amp; "(조영훈)" &amp; " " &amp; IF(P22="","",TEXT(P22,"M/D-")) &amp; IF(Q22="","",TEXT(Q22,"M/D")) &amp; " "</f>
        <v/>
      </c>
      <c r="AL22" s="111" t="n"/>
      <c r="AM22" s="111" t="n"/>
      <c r="AN22" s="111" t="n"/>
      <c r="AO22" s="111" t="n"/>
      <c r="AP22" s="111" t="n"/>
      <c r="AQ22" s="111">
        <f>"   " &amp; TEXT(AE22,"#0.00%") &amp; " " &amp; "LLM 최신 모델 업데이트 체크 Workflow 생성" &amp; "(조영훈)" &amp; " " &amp; IF(P22="","",TEXT(P22,"M/D-")) &amp; IF(Q22="","",TEXT(Q22,"M/D")) &amp; " "</f>
        <v/>
      </c>
      <c r="AR22" s="111" t="n"/>
      <c r="AS22" s="111" t="n"/>
      <c r="AT22" s="111" t="n"/>
      <c r="AU22" s="111" t="n"/>
      <c r="AV22" s="111" t="n"/>
      <c r="AW22" s="111" t="n"/>
      <c r="AX22" s="111" t="n"/>
      <c r="AY22" s="111" t="n"/>
      <c r="AZ22" s="111" t="n"/>
      <c r="BA22" s="111" t="n"/>
      <c r="BB22" s="111" t="n"/>
      <c r="BC22" s="111" t="n"/>
      <c r="BD22" s="111" t="n"/>
      <c r="BE22" s="111" t="n"/>
      <c r="BF22" s="111" t="n"/>
      <c r="BG22" s="111" t="n"/>
      <c r="BH22" s="111" t="n"/>
      <c r="BI22" s="111" t="n"/>
      <c r="BJ22" s="111" t="n"/>
      <c r="BK22" s="111" t="n"/>
      <c r="BL22" s="111" t="n"/>
      <c r="BM22" s="111" t="n"/>
      <c r="BN22" s="111" t="n"/>
      <c r="BO22" s="111" t="n"/>
      <c r="BP22" s="111" t="n"/>
      <c r="BQ22" s="111" t="n"/>
      <c r="BR22" s="111" t="n"/>
      <c r="BS22" s="111" t="n"/>
      <c r="BT22" s="111" t="n"/>
      <c r="BU22" s="111" t="n"/>
      <c r="BV22" s="111" t="n"/>
      <c r="BW22" s="111" t="n"/>
      <c r="BX22" s="111" t="n"/>
      <c r="BY22" s="111" t="n"/>
      <c r="BZ22" s="111" t="n"/>
      <c r="CA22" s="111" t="n"/>
      <c r="CB22" s="111" t="n"/>
      <c r="CC22" s="111" t="n"/>
      <c r="CD22" s="111" t="n"/>
      <c r="CE22" s="111" t="n"/>
      <c r="CF22" s="111" t="n"/>
      <c r="CG22" s="111" t="n"/>
      <c r="CH22" s="111" t="n"/>
      <c r="CI22" s="111" t="n"/>
      <c r="CJ22" s="111" t="n"/>
      <c r="CK22" s="111" t="n"/>
      <c r="CL22" s="111" t="n"/>
      <c r="CM22" s="111" t="n"/>
      <c r="CN22" s="111" t="n"/>
      <c r="CO22" s="111" t="n"/>
      <c r="CP22" s="111" t="n"/>
      <c r="CQ22" s="111" t="n"/>
      <c r="CR22" s="111" t="n"/>
      <c r="CS22" s="111" t="n"/>
      <c r="CT22" s="111" t="n"/>
      <c r="CU22" s="111" t="n"/>
      <c r="CV22" s="111" t="n"/>
      <c r="CW22" s="111" t="n"/>
      <c r="CX22" s="111" t="n"/>
    </row>
    <row r="23" outlineLevel="2" ht="12" customHeight="1">
      <c r="A23" s="96" t="n"/>
      <c r="B23" s="239" t="n"/>
      <c r="C23" s="239" t="n">
        <v>4</v>
      </c>
      <c r="D23" s="313" t="inlineStr">
        <is>
          <t>1.1.2.12</t>
        </is>
      </c>
      <c r="E23" s="97" t="n"/>
      <c r="F23" s="240" t="n"/>
      <c r="G23" s="246" t="n"/>
      <c r="H23" s="97" t="inlineStr">
        <is>
          <t>BDI 데이터 수집 범위 수정 (2020-01-01~현재)</t>
        </is>
      </c>
      <c r="I23" s="97" t="n"/>
      <c r="J23" s="97" t="n"/>
      <c r="K23" s="97" t="n"/>
      <c r="L23" s="97" t="n"/>
      <c r="M23" s="97" t="n"/>
      <c r="N23" s="97" t="n"/>
      <c r="O23" s="248" t="inlineStr">
        <is>
          <t>src/pipeline/connectors/shipping_connector.py (fetch_bdi_te → getMarketsHistorical)</t>
        </is>
      </c>
      <c r="P23" s="249" t="n">
        <v>46168</v>
      </c>
      <c r="Q23" s="249" t="n">
        <v>46170</v>
      </c>
      <c r="R23" s="97" t="n"/>
      <c r="S23" s="311" t="n"/>
      <c r="T23" s="311" t="n"/>
      <c r="U23" s="311" t="n">
        <v>3</v>
      </c>
      <c r="V23" s="311" t="n">
        <v>3</v>
      </c>
      <c r="W23" s="249" t="n"/>
      <c r="X23" s="249" t="n"/>
      <c r="Y23" s="312" t="n"/>
      <c r="Z23" s="99" t="n"/>
      <c r="AA23" s="311" t="n"/>
      <c r="AB23" s="238" t="inlineStr">
        <is>
          <t>조영훈</t>
        </is>
      </c>
      <c r="AC23" s="97" t="n"/>
      <c r="AD23" s="225" t="n"/>
      <c r="AE23" s="226" t="n">
        <v>1</v>
      </c>
      <c r="AF23" s="110" t="n"/>
      <c r="AG23" s="111" t="n"/>
      <c r="AH23" s="111" t="n"/>
      <c r="AI23" s="111" t="n"/>
      <c r="AJ23" s="111" t="n"/>
      <c r="AK23" s="111">
        <f>"      " &amp; TEXT(AE23,"#0.00%") &amp; " " &amp; "BDI 데이터 수집 범위 수정 (2020-01-01~현재)" &amp; "(조영훈)" &amp; " " &amp; IF(P23="","",TEXT(P23,"M/D-")) &amp; IF(Q23="","",TEXT(Q23,"M/D")) &amp; " "</f>
        <v/>
      </c>
      <c r="AL23" s="111" t="n"/>
      <c r="AM23" s="111" t="n"/>
      <c r="AN23" s="111" t="n"/>
      <c r="AO23" s="111" t="n"/>
      <c r="AP23" s="111" t="n"/>
      <c r="AQ23" s="111">
        <f>"   " &amp; TEXT(AE23,"#0.00%") &amp; " " &amp; "Ralph Loop' 기반 이슈 감지 자동화 Workflow 생성 (pipeline-failure-loop)" &amp; "(조영훈)" &amp; " " &amp; IF(P23="","",TEXT(P23,"M/D-")) &amp; IF(Q23="","",TEXT(Q23,"M/D")) &amp; " "</f>
        <v/>
      </c>
      <c r="AR23" s="111" t="n"/>
      <c r="AS23" s="111" t="n"/>
      <c r="AT23" s="111" t="n"/>
      <c r="AU23" s="111" t="n"/>
      <c r="AV23" s="111" t="n"/>
      <c r="AW23" s="111" t="n"/>
      <c r="AX23" s="111" t="n"/>
      <c r="AY23" s="111" t="n"/>
      <c r="AZ23" s="111" t="n"/>
      <c r="BA23" s="111" t="n"/>
      <c r="BB23" s="111" t="n"/>
      <c r="BC23" s="111" t="n"/>
      <c r="BD23" s="111" t="n"/>
      <c r="BE23" s="111" t="n"/>
      <c r="BF23" s="111" t="n"/>
      <c r="BG23" s="111" t="n"/>
      <c r="BH23" s="111" t="n"/>
      <c r="BI23" s="111" t="n"/>
      <c r="BJ23" s="111" t="n"/>
      <c r="BK23" s="111" t="n"/>
      <c r="BL23" s="111" t="n"/>
      <c r="BM23" s="111" t="n"/>
      <c r="BN23" s="111" t="n"/>
      <c r="BO23" s="111" t="n"/>
      <c r="BP23" s="111" t="n"/>
      <c r="BQ23" s="111" t="n"/>
      <c r="BR23" s="111" t="n"/>
      <c r="BS23" s="111" t="n"/>
      <c r="BT23" s="111" t="n"/>
      <c r="BU23" s="111" t="n"/>
      <c r="BV23" s="111" t="n"/>
      <c r="BW23" s="111" t="n"/>
      <c r="BX23" s="111" t="n"/>
      <c r="BY23" s="111" t="n"/>
      <c r="BZ23" s="111" t="n"/>
      <c r="CA23" s="111" t="n"/>
      <c r="CB23" s="111" t="n"/>
      <c r="CC23" s="111" t="n"/>
      <c r="CD23" s="111" t="n"/>
      <c r="CE23" s="111" t="n"/>
      <c r="CF23" s="111" t="n"/>
      <c r="CG23" s="111" t="n"/>
      <c r="CH23" s="111" t="n"/>
      <c r="CI23" s="111" t="n"/>
      <c r="CJ23" s="111" t="n"/>
      <c r="CK23" s="111" t="n"/>
      <c r="CL23" s="111" t="n"/>
      <c r="CM23" s="111" t="n"/>
      <c r="CN23" s="111" t="n"/>
      <c r="CO23" s="111" t="n"/>
      <c r="CP23" s="111" t="n"/>
      <c r="CQ23" s="111" t="n"/>
      <c r="CR23" s="111" t="n"/>
      <c r="CS23" s="111" t="n"/>
      <c r="CT23" s="111" t="n"/>
      <c r="CU23" s="111" t="n"/>
      <c r="CV23" s="111" t="n"/>
      <c r="CW23" s="111" t="n"/>
      <c r="CX23" s="111" t="n"/>
    </row>
    <row r="24" outlineLevel="2" ht="12" customHeight="1">
      <c r="A24" s="96" t="n"/>
      <c r="B24" s="239" t="n"/>
      <c r="C24" s="239" t="n">
        <v>4</v>
      </c>
      <c r="D24" s="313" t="inlineStr">
        <is>
          <t>1.1.2.13</t>
        </is>
      </c>
      <c r="E24" s="97" t="n"/>
      <c r="F24" s="240" t="n"/>
      <c r="G24" s="244" t="n"/>
      <c r="H24" s="97" t="inlineStr">
        <is>
          <t>지정학 리스크 openpyxl 버그 수정 + BACKFILL_MODE 패턴 도입</t>
        </is>
      </c>
      <c r="I24" s="97" t="n"/>
      <c r="J24" s="97" t="n"/>
      <c r="K24" s="97" t="n"/>
      <c r="L24" s="97" t="n"/>
      <c r="M24" s="97" t="n"/>
      <c r="N24" s="97" t="n"/>
      <c r="O24" s="248" t="inlineStr">
        <is>
          <t>external_data_refresh.yml (openpyxl 추가) · gpr_connector.py · shipping_connector.py</t>
        </is>
      </c>
      <c r="P24" s="249" t="n">
        <v>46168</v>
      </c>
      <c r="Q24" s="249" t="n">
        <v>46168</v>
      </c>
      <c r="R24" s="97" t="n"/>
      <c r="S24" s="311" t="n"/>
      <c r="T24" s="311" t="n"/>
      <c r="U24" s="311" t="n">
        <v>1</v>
      </c>
      <c r="V24" s="311" t="n">
        <v>1</v>
      </c>
      <c r="W24" s="249" t="n"/>
      <c r="X24" s="249" t="n"/>
      <c r="Y24" s="312" t="n"/>
      <c r="Z24" s="99" t="n"/>
      <c r="AA24" s="311" t="n"/>
      <c r="AB24" s="238" t="inlineStr">
        <is>
          <t>조영훈</t>
        </is>
      </c>
      <c r="AC24" s="97" t="n"/>
      <c r="AD24" s="225" t="n"/>
      <c r="AE24" s="226" t="n">
        <v>1</v>
      </c>
      <c r="AF24" s="110" t="n"/>
      <c r="AG24" s="111" t="n"/>
      <c r="AH24" s="111" t="n"/>
      <c r="AI24" s="111" t="n"/>
      <c r="AJ24" s="111" t="n"/>
      <c r="AK24" s="111">
        <f>"      " &amp; TEXT(AE24,"#0.00%") &amp; " " &amp; "지정학 리스크 openpyxl 버그 수정 + BACKFILL_MODE 패턴 도입" &amp; "(조영훈)" &amp; " " &amp; IF(P24="","",TEXT(P24,"M/D-")) &amp; IF(Q24="","",TEXT(Q24,"M/D")) &amp; " "</f>
        <v/>
      </c>
      <c r="AL24" s="111" t="n"/>
      <c r="AM24" s="111" t="n"/>
      <c r="AN24" s="111" t="n"/>
      <c r="AO24" s="111" t="n"/>
      <c r="AP24" s="111" t="n"/>
      <c r="AQ24" s="111" t="n"/>
      <c r="AR24" s="111" t="n"/>
      <c r="AS24" s="111">
        <f>" " &amp; TEXT(AE24,"#0.00%") &amp; " " &amp; "Granger 인과관계 분석 — G1 확장 (2020~작년, 연도별)" &amp; "(조영훈)" &amp; " " &amp; IF(P24="","",TEXT(P24,"M/D-")) &amp; IF(Q24="","",TEXT(Q24,"M/D")) &amp; " "</f>
        <v/>
      </c>
      <c r="AT24" s="111" t="n"/>
      <c r="AU24" s="111" t="n"/>
      <c r="AV24" s="111" t="n"/>
      <c r="AW24" s="111" t="n"/>
      <c r="AX24" s="111" t="n"/>
      <c r="AY24" s="111" t="n"/>
      <c r="AZ24" s="111" t="n"/>
      <c r="BA24" s="111" t="n"/>
      <c r="BB24" s="111" t="n"/>
      <c r="BC24" s="111" t="n"/>
      <c r="BD24" s="111" t="n"/>
      <c r="BE24" s="111" t="n"/>
      <c r="BF24" s="111" t="n"/>
      <c r="BG24" s="111" t="n"/>
      <c r="BH24" s="111" t="n"/>
      <c r="BI24" s="111" t="n"/>
      <c r="BJ24" s="111" t="n"/>
      <c r="BK24" s="111" t="n"/>
      <c r="BL24" s="111" t="n"/>
      <c r="BM24" s="111" t="n"/>
      <c r="BN24" s="111" t="n"/>
      <c r="BO24" s="111" t="n"/>
      <c r="BP24" s="111" t="n"/>
      <c r="BQ24" s="111" t="n"/>
      <c r="BR24" s="111" t="n"/>
      <c r="BS24" s="111" t="n"/>
      <c r="BT24" s="111" t="n"/>
      <c r="BU24" s="111" t="n"/>
      <c r="BV24" s="111" t="n"/>
      <c r="BW24" s="111" t="n"/>
      <c r="BX24" s="111" t="n"/>
      <c r="BY24" s="111" t="n"/>
      <c r="BZ24" s="111" t="n"/>
      <c r="CA24" s="111" t="n"/>
      <c r="CB24" s="111" t="n"/>
      <c r="CC24" s="111" t="n"/>
      <c r="CD24" s="111" t="n"/>
      <c r="CE24" s="111" t="n"/>
      <c r="CF24" s="111" t="n"/>
      <c r="CG24" s="111" t="n"/>
      <c r="CH24" s="111" t="n"/>
      <c r="CI24" s="111" t="n"/>
      <c r="CJ24" s="111" t="n"/>
      <c r="CK24" s="111" t="n"/>
      <c r="CL24" s="111" t="n"/>
      <c r="CM24" s="111" t="n"/>
      <c r="CN24" s="111" t="n"/>
      <c r="CO24" s="111" t="n"/>
      <c r="CP24" s="111" t="n"/>
      <c r="CQ24" s="111" t="n"/>
      <c r="CR24" s="111" t="n"/>
      <c r="CS24" s="111" t="n"/>
      <c r="CT24" s="111" t="n"/>
      <c r="CU24" s="111" t="n"/>
      <c r="CV24" s="111" t="n"/>
      <c r="CW24" s="111" t="n"/>
      <c r="CX24" s="111" t="n"/>
    </row>
    <row r="25" outlineLevel="2" ht="12" customHeight="1">
      <c r="A25" s="96" t="n"/>
      <c r="B25" s="239" t="n"/>
      <c r="C25" s="239" t="n">
        <v>4</v>
      </c>
      <c r="D25" s="313" t="inlineStr">
        <is>
          <t>1.1.2.14</t>
        </is>
      </c>
      <c r="E25" s="97" t="n"/>
      <c r="F25" s="240" t="n"/>
      <c r="G25" s="244" t="n"/>
      <c r="H25" s="97" t="inlineStr">
        <is>
          <t>Excel 데이터 내보내기 유틸리티 (parquet→xlsx 다운로드)</t>
        </is>
      </c>
      <c r="I25" s="97" t="n"/>
      <c r="J25" s="97" t="n"/>
      <c r="K25" s="97" t="n"/>
      <c r="L25" s="97" t="n"/>
      <c r="M25" s="97" t="n"/>
      <c r="N25" s="97" t="n"/>
      <c r="O25" s="248" t="inlineStr">
        <is>
          <t>src/pipeline/export_data.py · data/exports/*.xlsx</t>
        </is>
      </c>
      <c r="P25" s="249" t="n">
        <v>46168</v>
      </c>
      <c r="Q25" s="249" t="n">
        <v>46170</v>
      </c>
      <c r="R25" s="97" t="n"/>
      <c r="S25" s="311" t="n"/>
      <c r="T25" s="311" t="n"/>
      <c r="U25" s="311" t="n">
        <v>3</v>
      </c>
      <c r="V25" s="311" t="n">
        <v>3</v>
      </c>
      <c r="W25" s="249" t="n"/>
      <c r="X25" s="249" t="n"/>
      <c r="Y25" s="312" t="n"/>
      <c r="Z25" s="99" t="n"/>
      <c r="AA25" s="311" t="n"/>
      <c r="AB25" s="238" t="inlineStr">
        <is>
          <t>조영훈</t>
        </is>
      </c>
      <c r="AC25" s="97" t="n"/>
      <c r="AD25" s="225" t="n"/>
      <c r="AE25" s="226" t="n">
        <v>1</v>
      </c>
      <c r="AF25" s="110" t="n"/>
      <c r="AG25" s="111" t="n"/>
      <c r="AH25" s="111" t="n"/>
      <c r="AI25" s="111" t="n"/>
      <c r="AJ25" s="111" t="n"/>
      <c r="AK25" s="111">
        <f>"      " &amp; TEXT(AE25,"#0.00%") &amp; " " &amp; "Excel 데이터 내보내기 유틸리티 (parquet→xlsx 다운로드)" &amp; "(조영훈)" &amp; " " &amp; IF(P25="","",TEXT(P25,"M/D-")) &amp; IF(Q25="","",TEXT(Q25,"M/D")) &amp; " "</f>
        <v/>
      </c>
      <c r="AL25" s="111" t="n"/>
      <c r="AM25" s="111" t="n"/>
      <c r="AN25" s="111" t="n"/>
      <c r="AO25" s="111" t="n"/>
      <c r="AP25" s="111" t="n"/>
      <c r="AQ25" s="111" t="n"/>
      <c r="AR25" s="111" t="n"/>
      <c r="AS25" s="111">
        <f>" " &amp; TEXT(AE25,"#0.00%") &amp; " " &amp; "품질 Pipeline 테스트 (tests/test_pipeline_quality.py)" &amp; "(조영훈)" &amp; " " &amp; IF(P25="","",TEXT(P25,"M/D-")) &amp; IF(Q25="","",TEXT(Q25,"M/D")) &amp; " "</f>
        <v/>
      </c>
      <c r="AT25" s="111" t="n"/>
      <c r="AU25" s="111" t="n"/>
      <c r="AV25" s="111" t="n"/>
      <c r="AW25" s="111" t="n"/>
      <c r="AX25" s="111" t="n"/>
      <c r="AY25" s="111" t="n"/>
      <c r="AZ25" s="111" t="n"/>
      <c r="BA25" s="111" t="n"/>
      <c r="BB25" s="111" t="n"/>
      <c r="BC25" s="111" t="n"/>
      <c r="BD25" s="111" t="n"/>
      <c r="BE25" s="111" t="n"/>
      <c r="BF25" s="111" t="n"/>
      <c r="BG25" s="111" t="n"/>
      <c r="BH25" s="111" t="n"/>
      <c r="BI25" s="111" t="n"/>
      <c r="BJ25" s="111" t="n"/>
      <c r="BK25" s="111" t="n"/>
      <c r="BL25" s="111" t="n"/>
      <c r="BM25" s="111" t="n"/>
      <c r="BN25" s="111" t="n"/>
      <c r="BO25" s="111" t="n"/>
      <c r="BP25" s="111" t="n"/>
      <c r="BQ25" s="111" t="n"/>
      <c r="BR25" s="111" t="n"/>
      <c r="BS25" s="111" t="n"/>
      <c r="BT25" s="111" t="n"/>
      <c r="BU25" s="111" t="n"/>
      <c r="BV25" s="111" t="n"/>
      <c r="BW25" s="111" t="n"/>
      <c r="BX25" s="111" t="n"/>
      <c r="BY25" s="111" t="n"/>
      <c r="BZ25" s="111" t="n"/>
      <c r="CA25" s="111" t="n"/>
      <c r="CB25" s="111" t="n"/>
      <c r="CC25" s="111" t="n"/>
      <c r="CD25" s="111" t="n"/>
      <c r="CE25" s="111" t="n"/>
      <c r="CF25" s="111" t="n"/>
      <c r="CG25" s="111" t="n"/>
      <c r="CH25" s="111" t="n"/>
      <c r="CI25" s="111" t="n"/>
      <c r="CJ25" s="111" t="n"/>
      <c r="CK25" s="111" t="n"/>
      <c r="CL25" s="111" t="n"/>
      <c r="CM25" s="111" t="n"/>
      <c r="CN25" s="111" t="n"/>
      <c r="CO25" s="111" t="n"/>
      <c r="CP25" s="111" t="n"/>
      <c r="CQ25" s="111" t="n"/>
      <c r="CR25" s="111" t="n"/>
      <c r="CS25" s="111" t="n"/>
      <c r="CT25" s="111" t="n"/>
      <c r="CU25" s="111" t="n"/>
      <c r="CV25" s="111" t="n"/>
      <c r="CW25" s="111" t="n"/>
      <c r="CX25" s="111" t="n"/>
    </row>
    <row r="26" outlineLevel="2" ht="12" customHeight="1">
      <c r="A26" s="96" t="n"/>
      <c r="B26" s="239" t="n"/>
      <c r="C26" s="239" t="n">
        <v>4</v>
      </c>
      <c r="D26" s="313" t="inlineStr">
        <is>
          <t>1.1.2.15</t>
        </is>
      </c>
      <c r="E26" s="97" t="n"/>
      <c r="F26" s="240" t="n"/>
      <c r="G26" s="244" t="n"/>
      <c r="H26" s="97" t="inlineStr">
        <is>
          <t>Snowflake Secrets 등록 및 연결 테스트</t>
        </is>
      </c>
      <c r="I26" s="97" t="n"/>
      <c r="J26" s="97" t="n"/>
      <c r="K26" s="97" t="n"/>
      <c r="L26" s="97" t="n"/>
      <c r="M26" s="97" t="n"/>
      <c r="N26" s="97" t="n"/>
      <c r="O26" s="248" t="inlineStr">
        <is>
          <t>GitHub Secrets 6종</t>
        </is>
      </c>
      <c r="P26" s="249" t="n">
        <v>46143</v>
      </c>
      <c r="Q26" s="249" t="n">
        <v>46149</v>
      </c>
      <c r="R26" s="97" t="n"/>
      <c r="S26" s="311" t="n"/>
      <c r="T26" s="311" t="n"/>
      <c r="U26" s="311" t="n">
        <v>4</v>
      </c>
      <c r="V26" s="311" t="n">
        <v>4</v>
      </c>
      <c r="W26" s="249" t="n"/>
      <c r="X26" s="249" t="n"/>
      <c r="Y26" s="312" t="n"/>
      <c r="Z26" s="99" t="n"/>
      <c r="AA26" s="311" t="n"/>
      <c r="AB26" s="238" t="inlineStr">
        <is>
          <t>조영훈</t>
        </is>
      </c>
      <c r="AC26" s="97" t="n"/>
      <c r="AD26" s="225" t="n"/>
      <c r="AE26" s="226" t="n">
        <v>0</v>
      </c>
      <c r="AF26" s="110" t="n"/>
      <c r="AG26" s="111" t="n"/>
      <c r="AH26" s="111" t="n"/>
      <c r="AI26" s="111" t="n"/>
      <c r="AJ26" s="111" t="n"/>
      <c r="AK26" s="111">
        <f>"      " &amp; TEXT(AE26,"#0.00%") &amp; " " &amp; "Snowflake Secrets 등록 및 연결 테스트" &amp; "(조영훈)" &amp; " " &amp; IF(P26="","",TEXT(P26,"M/D-")) &amp; IF(Q26="","",TEXT(Q26,"M/D")) &amp; " "</f>
        <v/>
      </c>
      <c r="AL26" s="111" t="n"/>
      <c r="AM26" s="111" t="n"/>
      <c r="AN26" s="111" t="n"/>
      <c r="AO26" s="111" t="n"/>
      <c r="AP26" s="111" t="n"/>
      <c r="AQ26" s="111" t="n"/>
      <c r="AR26" s="111" t="n"/>
      <c r="AS26" s="111">
        <f>" " &amp; TEXT(AE26,"#0.00%") &amp; " " &amp; "Open-Meteo 12개 생산지역 기후 데이터 연결 작업 확장 (ERA5-Land)" &amp; "(조영훈)" &amp; " " &amp; IF(P26="","",TEXT(P26,"M/D-")) &amp; IF(Q26="","",TEXT(Q26,"M/D")) &amp; " "</f>
        <v/>
      </c>
      <c r="AT26" s="111" t="n"/>
      <c r="AU26" s="111" t="n"/>
      <c r="AV26" s="111" t="n"/>
      <c r="AW26" s="111" t="n"/>
      <c r="AX26" s="111" t="n"/>
      <c r="AY26" s="111" t="n"/>
      <c r="AZ26" s="111" t="n"/>
      <c r="BA26" s="111" t="n"/>
      <c r="BB26" s="111" t="n"/>
      <c r="BC26" s="111" t="n"/>
      <c r="BD26" s="111" t="n"/>
      <c r="BE26" s="111" t="n"/>
      <c r="BF26" s="111" t="n"/>
      <c r="BG26" s="111" t="n"/>
      <c r="BH26" s="111" t="n"/>
      <c r="BI26" s="111" t="n"/>
      <c r="BJ26" s="111" t="n"/>
      <c r="BK26" s="111" t="n"/>
      <c r="BL26" s="111" t="n"/>
      <c r="BM26" s="111" t="n"/>
      <c r="BN26" s="111" t="n"/>
      <c r="BO26" s="111" t="n"/>
      <c r="BP26" s="111" t="n"/>
      <c r="BQ26" s="111" t="n"/>
      <c r="BR26" s="111" t="n"/>
      <c r="BS26" s="111" t="n"/>
      <c r="BT26" s="111" t="n"/>
      <c r="BU26" s="111" t="n"/>
      <c r="BV26" s="111" t="n"/>
      <c r="BW26" s="111" t="n"/>
      <c r="BX26" s="111" t="n"/>
      <c r="BY26" s="111" t="n"/>
      <c r="BZ26" s="111" t="n"/>
      <c r="CA26" s="111" t="n"/>
      <c r="CB26" s="111" t="n"/>
      <c r="CC26" s="111" t="n"/>
      <c r="CD26" s="111" t="n"/>
      <c r="CE26" s="111" t="n"/>
      <c r="CF26" s="111" t="n"/>
      <c r="CG26" s="111" t="n"/>
      <c r="CH26" s="111" t="n"/>
      <c r="CI26" s="111" t="n"/>
      <c r="CJ26" s="111" t="n"/>
      <c r="CK26" s="111" t="n"/>
      <c r="CL26" s="111" t="n"/>
      <c r="CM26" s="111" t="n"/>
      <c r="CN26" s="111" t="n"/>
      <c r="CO26" s="111" t="n"/>
      <c r="CP26" s="111" t="n"/>
      <c r="CQ26" s="111" t="n"/>
      <c r="CR26" s="111" t="n"/>
      <c r="CS26" s="111" t="n"/>
      <c r="CT26" s="111" t="n"/>
      <c r="CU26" s="111" t="n"/>
      <c r="CV26" s="111" t="n"/>
      <c r="CW26" s="111" t="n"/>
      <c r="CX26" s="111" t="n"/>
    </row>
    <row r="27" outlineLevel="2" ht="12" customHeight="1">
      <c r="A27" s="96" t="n"/>
      <c r="B27" s="239" t="n"/>
      <c r="C27" s="239" t="n">
        <v>4</v>
      </c>
      <c r="D27" s="313" t="inlineStr">
        <is>
          <t>1.1.2.16</t>
        </is>
      </c>
      <c r="E27" s="97" t="n"/>
      <c r="F27" s="240" t="n"/>
      <c r="G27" s="244" t="n"/>
      <c r="H27" s="97" t="inlineStr">
        <is>
          <t>RAW 테이블 DDL 실행 (idempotent)</t>
        </is>
      </c>
      <c r="I27" s="97" t="n"/>
      <c r="J27" s="97" t="n"/>
      <c r="K27" s="97" t="n"/>
      <c r="L27" s="97" t="n"/>
      <c r="M27" s="97" t="n"/>
      <c r="N27" s="97" t="n"/>
      <c r="O27" s="248" t="inlineStr">
        <is>
          <t>create_raw_tables.sql</t>
        </is>
      </c>
      <c r="P27" s="249" t="n">
        <v>46149</v>
      </c>
      <c r="Q27" s="249" t="n">
        <v>46156</v>
      </c>
      <c r="R27" s="97" t="n"/>
      <c r="S27" s="311" t="n"/>
      <c r="T27" s="311" t="n"/>
      <c r="U27" s="311" t="n">
        <v>6</v>
      </c>
      <c r="V27" s="311" t="n">
        <v>6</v>
      </c>
      <c r="W27" s="249" t="n"/>
      <c r="X27" s="249" t="n"/>
      <c r="Y27" s="312" t="n"/>
      <c r="Z27" s="99" t="n"/>
      <c r="AA27" s="311" t="n"/>
      <c r="AB27" s="238" t="inlineStr">
        <is>
          <t>조영훈</t>
        </is>
      </c>
      <c r="AC27" s="97" t="n"/>
      <c r="AD27" s="225" t="n"/>
      <c r="AE27" s="226" t="n">
        <v>0</v>
      </c>
      <c r="AF27" s="110" t="n"/>
      <c r="AG27" s="111" t="n"/>
      <c r="AH27" s="111" t="n"/>
      <c r="AI27" s="111" t="n"/>
      <c r="AJ27" s="111" t="n"/>
      <c r="AK27" s="111">
        <f>"      " &amp; TEXT(AE27,"#0.00%") &amp; " " &amp; "RAW 테이블 DDL 실행 (idempotent)" &amp; "(조영훈)" &amp; " " &amp; IF(P27="","",TEXT(P27,"M/D-")) &amp; IF(Q27="","",TEXT(Q27,"M/D")) &amp; " "</f>
        <v/>
      </c>
      <c r="AL27" s="111" t="n"/>
      <c r="AM27" s="111" t="n"/>
      <c r="AN27" s="111" t="n"/>
      <c r="AO27" s="111" t="n"/>
      <c r="AP27" s="111" t="n"/>
      <c r="AQ27" s="111" t="n"/>
      <c r="AR27" s="111">
        <f>"     " &amp; TEXT(AE27,"#0.00%") &amp; " " &amp; "BDI 데이터 수집 범위 수정 (2020-01-01~현재)" &amp; "(조영훈)" &amp; " " &amp; IF(P27="","",TEXT(P27,"M/D-")) &amp; IF(Q27="","",TEXT(Q27,"M/D")) &amp; " "</f>
        <v/>
      </c>
      <c r="AS27" s="111" t="n"/>
      <c r="AT27" s="111" t="n"/>
      <c r="AU27" s="111" t="n"/>
      <c r="AV27" s="111" t="n"/>
      <c r="AW27" s="111" t="n"/>
      <c r="AX27" s="111" t="n"/>
      <c r="AY27" s="111" t="n"/>
      <c r="AZ27" s="111" t="n"/>
      <c r="BA27" s="111" t="n"/>
      <c r="BB27" s="111" t="n"/>
      <c r="BC27" s="111" t="n"/>
      <c r="BD27" s="111" t="n"/>
      <c r="BE27" s="111" t="n"/>
      <c r="BF27" s="111" t="n"/>
      <c r="BG27" s="111" t="n"/>
      <c r="BH27" s="111" t="n"/>
      <c r="BI27" s="111" t="n"/>
      <c r="BJ27" s="111" t="n"/>
      <c r="BK27" s="111" t="n"/>
      <c r="BL27" s="111" t="n"/>
      <c r="BM27" s="111" t="n"/>
      <c r="BN27" s="111" t="n"/>
      <c r="BO27" s="111" t="n"/>
      <c r="BP27" s="111" t="n"/>
      <c r="BQ27" s="111" t="n"/>
      <c r="BR27" s="111" t="n"/>
      <c r="BS27" s="111" t="n"/>
      <c r="BT27" s="111" t="n"/>
      <c r="BU27" s="111" t="n"/>
      <c r="BV27" s="111" t="n"/>
      <c r="BW27" s="111" t="n"/>
      <c r="BX27" s="111" t="n"/>
      <c r="BY27" s="111" t="n"/>
      <c r="BZ27" s="111" t="n"/>
      <c r="CA27" s="111" t="n"/>
      <c r="CB27" s="111" t="n"/>
      <c r="CC27" s="111" t="n"/>
      <c r="CD27" s="111" t="n"/>
      <c r="CE27" s="111" t="n"/>
      <c r="CF27" s="111" t="n"/>
      <c r="CG27" s="111" t="n"/>
      <c r="CH27" s="111" t="n"/>
      <c r="CI27" s="111" t="n"/>
      <c r="CJ27" s="111" t="n"/>
      <c r="CK27" s="111" t="n"/>
      <c r="CL27" s="111" t="n"/>
      <c r="CM27" s="111" t="n"/>
      <c r="CN27" s="111" t="n"/>
      <c r="CO27" s="111" t="n"/>
      <c r="CP27" s="111" t="n"/>
      <c r="CQ27" s="111" t="n"/>
      <c r="CR27" s="111" t="n"/>
      <c r="CS27" s="111" t="n"/>
      <c r="CT27" s="111" t="n"/>
      <c r="CU27" s="111" t="n"/>
      <c r="CV27" s="111" t="n"/>
      <c r="CW27" s="111" t="n"/>
      <c r="CX27" s="111" t="n"/>
    </row>
    <row r="28" outlineLevel="2" ht="12" customHeight="1">
      <c r="A28" s="96" t="n"/>
      <c r="B28" s="239" t="n"/>
      <c r="C28" s="239" t="n">
        <v>3</v>
      </c>
      <c r="D28" s="313" t="inlineStr">
        <is>
          <t>1.1.3</t>
        </is>
      </c>
      <c r="E28" s="97" t="n"/>
      <c r="F28" s="240" t="n"/>
      <c r="G28" s="244" t="inlineStr">
        <is>
          <t>[처리·정제]</t>
        </is>
      </c>
      <c r="H28" s="97" t="n"/>
      <c r="I28" s="97" t="n"/>
      <c r="J28" s="97" t="n"/>
      <c r="K28" s="97" t="n"/>
      <c r="L28" s="97" t="n"/>
      <c r="M28" s="97" t="n"/>
      <c r="N28" s="97" t="n"/>
      <c r="O28" s="248" t="n"/>
      <c r="P28" s="249" t="n">
        <v>46141</v>
      </c>
      <c r="Q28" s="249" t="n">
        <v>46173</v>
      </c>
      <c r="R28" s="97" t="n"/>
      <c r="S28" s="311" t="n"/>
      <c r="T28" s="311" t="n"/>
      <c r="U28" s="311" t="n"/>
      <c r="V28" s="311" t="n"/>
      <c r="W28" s="249" t="n"/>
      <c r="X28" s="249" t="n"/>
      <c r="Y28" s="312" t="n"/>
      <c r="Z28" s="99" t="n"/>
      <c r="AA28" s="311" t="n"/>
      <c r="AB28" s="238" t="inlineStr">
        <is>
          <t>조영훈</t>
        </is>
      </c>
      <c r="AC28" s="97" t="n"/>
      <c r="AD28" s="225" t="n"/>
      <c r="AE28" s="226" t="n"/>
      <c r="AF28" s="110" t="n"/>
      <c r="AG28" s="111" t="n"/>
      <c r="AH28" s="111" t="n"/>
      <c r="AI28" s="111" t="n"/>
      <c r="AJ28" s="111" t="n"/>
      <c r="AK28" s="111">
        <f>"      " &amp; TEXT(AE28,"#0.00%") &amp; " " &amp; "[처리·정제]" &amp; "(조영훈)" &amp; " " &amp; IF(P28="","",TEXT(P28,"M/D-")) &amp; IF(Q28="","",TEXT(Q28,"M/D")) &amp; " "</f>
        <v/>
      </c>
      <c r="AL28" s="111" t="n"/>
      <c r="AM28" s="111" t="n"/>
      <c r="AN28" s="111" t="n"/>
      <c r="AO28" s="111" t="n"/>
      <c r="AP28" s="111" t="n"/>
      <c r="AQ28" s="111" t="n"/>
      <c r="AR28" s="111">
        <f>"   " &amp; TEXT(AE28,"#0.00%") &amp; " " &amp; "지정학 리스크 openpyxl 버그 수정 + BACKFILL_MODE 패턴 도입" &amp; "(조영훈)" &amp; " " &amp; IF(P28="","",TEXT(P28,"M/D-")) &amp; IF(Q28="","",TEXT(Q28,"M/D")) &amp; " "</f>
        <v/>
      </c>
      <c r="AS28" s="111" t="n"/>
      <c r="AT28" s="111" t="n"/>
      <c r="AU28" s="111" t="n"/>
      <c r="AV28" s="111" t="n"/>
      <c r="AW28" s="111" t="n"/>
      <c r="AX28" s="111" t="n"/>
      <c r="AY28" s="111" t="n"/>
      <c r="AZ28" s="111" t="n"/>
      <c r="BA28" s="111" t="n"/>
      <c r="BB28" s="111" t="n"/>
      <c r="BC28" s="111" t="n"/>
      <c r="BD28" s="111" t="n"/>
      <c r="BE28" s="111" t="n"/>
      <c r="BF28" s="111" t="n"/>
      <c r="BG28" s="111" t="n"/>
      <c r="BH28" s="111" t="n"/>
      <c r="BI28" s="111" t="n"/>
      <c r="BJ28" s="111" t="n"/>
      <c r="BK28" s="111" t="n"/>
      <c r="BL28" s="111" t="n"/>
      <c r="BM28" s="111" t="n"/>
      <c r="BN28" s="111" t="n"/>
      <c r="BO28" s="111" t="n"/>
      <c r="BP28" s="111" t="n"/>
      <c r="BQ28" s="111" t="n"/>
      <c r="BR28" s="111" t="n"/>
      <c r="BS28" s="111" t="n"/>
      <c r="BT28" s="111" t="n"/>
      <c r="BU28" s="111" t="n"/>
      <c r="BV28" s="111" t="n"/>
      <c r="BW28" s="111" t="n"/>
      <c r="BX28" s="111" t="n"/>
      <c r="BY28" s="111" t="n"/>
      <c r="BZ28" s="111" t="n"/>
      <c r="CA28" s="111" t="n"/>
      <c r="CB28" s="111" t="n"/>
      <c r="CC28" s="111" t="n"/>
      <c r="CD28" s="111" t="n"/>
      <c r="CE28" s="111" t="n"/>
      <c r="CF28" s="111" t="n"/>
      <c r="CG28" s="111" t="n"/>
      <c r="CH28" s="111" t="n"/>
      <c r="CI28" s="111" t="n"/>
      <c r="CJ28" s="111" t="n"/>
      <c r="CK28" s="111" t="n"/>
      <c r="CL28" s="111" t="n"/>
      <c r="CM28" s="111" t="n"/>
      <c r="CN28" s="111" t="n"/>
      <c r="CO28" s="111" t="n"/>
      <c r="CP28" s="111" t="n"/>
      <c r="CQ28" s="111" t="n"/>
      <c r="CR28" s="111" t="n"/>
      <c r="CS28" s="111" t="n"/>
      <c r="CT28" s="111" t="n"/>
      <c r="CU28" s="111" t="n"/>
      <c r="CV28" s="111" t="n"/>
      <c r="CW28" s="111" t="n"/>
      <c r="CX28" s="111" t="n"/>
    </row>
    <row r="29" outlineLevel="2" ht="12" customHeight="1">
      <c r="A29" s="96" t="n"/>
      <c r="B29" s="239" t="n"/>
      <c r="C29" s="239" t="n">
        <v>4</v>
      </c>
      <c r="D29" s="313" t="inlineStr">
        <is>
          <t>1.1.3.1</t>
        </is>
      </c>
      <c r="E29" s="97" t="n"/>
      <c r="F29" s="240" t="n"/>
      <c r="G29" s="244" t="n"/>
      <c r="H29" s="97" t="inlineStr">
        <is>
          <t>데이터 품질 검증</t>
        </is>
      </c>
      <c r="I29" s="97" t="n"/>
      <c r="J29" s="97" t="n"/>
      <c r="K29" s="97" t="n"/>
      <c r="L29" s="97" t="n"/>
      <c r="M29" s="97" t="n"/>
      <c r="N29" s="97" t="n"/>
      <c r="O29" s="248" t="inlineStr">
        <is>
          <t>tests/test_pipeline_quality.py</t>
        </is>
      </c>
      <c r="P29" s="249" t="n">
        <v>46141</v>
      </c>
      <c r="Q29" s="249" t="n">
        <v>46157</v>
      </c>
      <c r="R29" s="97" t="n"/>
      <c r="S29" s="311" t="n"/>
      <c r="T29" s="311" t="n"/>
      <c r="U29" s="311" t="n">
        <v>12</v>
      </c>
      <c r="V29" s="311" t="n">
        <v>12</v>
      </c>
      <c r="W29" s="249" t="n"/>
      <c r="X29" s="249" t="n"/>
      <c r="Y29" s="312" t="n"/>
      <c r="Z29" s="99" t="n"/>
      <c r="AA29" s="311" t="n"/>
      <c r="AB29" s="238" t="inlineStr">
        <is>
          <t>조영훈</t>
        </is>
      </c>
      <c r="AC29" s="97" t="n"/>
      <c r="AD29" s="225" t="n"/>
      <c r="AE29" s="226" t="n">
        <v>1</v>
      </c>
      <c r="AF29" s="110" t="n"/>
      <c r="AG29" s="111" t="n"/>
      <c r="AH29" s="111" t="n"/>
      <c r="AI29" s="111" t="n"/>
      <c r="AJ29" s="111" t="n"/>
      <c r="AK29" s="111">
        <f>"      " &amp; TEXT(AE29,"#0.00%") &amp; " " &amp; "데이터 품질 검증" &amp; "(조영훈)" &amp; " " &amp; IF(P29="","",TEXT(P29,"M/D-")) &amp; IF(Q29="","",TEXT(Q29,"M/D")) &amp; " "</f>
        <v/>
      </c>
      <c r="AL29" s="111" t="n"/>
      <c r="AM29" s="111" t="n"/>
      <c r="AN29" s="111" t="n"/>
      <c r="AO29" s="111" t="n"/>
      <c r="AP29" s="111" t="n"/>
      <c r="AQ29" s="111" t="n"/>
      <c r="AR29" s="111">
        <f>"     " &amp; TEXT(AE29,"#0.00%") &amp; " " &amp; "과년도(5개년) 데이터 분석 Workflow 수정 (가공/정제→EDA→G1 파이프라인 추가)" &amp; "(조영훈)" &amp; " " &amp; IF(P29="","",TEXT(P29,"M/D-")) &amp; IF(Q29="","",TEXT(Q29,"M/D")) &amp; " "</f>
        <v/>
      </c>
      <c r="AS29" s="111" t="n"/>
      <c r="AT29" s="111" t="n"/>
      <c r="AU29" s="111" t="n"/>
      <c r="AV29" s="111" t="n"/>
      <c r="AW29" s="111" t="n"/>
      <c r="AX29" s="111" t="n"/>
      <c r="AY29" s="111" t="n"/>
      <c r="AZ29" s="111" t="n"/>
      <c r="BA29" s="111" t="n"/>
      <c r="BB29" s="111" t="n"/>
      <c r="BC29" s="111" t="n"/>
      <c r="BD29" s="111" t="n"/>
      <c r="BE29" s="111" t="n"/>
      <c r="BF29" s="111" t="n"/>
      <c r="BG29" s="111" t="n"/>
      <c r="BH29" s="111" t="n"/>
      <c r="BI29" s="111" t="n"/>
      <c r="BJ29" s="111" t="n"/>
      <c r="BK29" s="111" t="n"/>
      <c r="BL29" s="111" t="n"/>
      <c r="BM29" s="111" t="n"/>
      <c r="BN29" s="111" t="n"/>
      <c r="BO29" s="111" t="n"/>
      <c r="BP29" s="111" t="n"/>
      <c r="BQ29" s="111" t="n"/>
      <c r="BR29" s="111" t="n"/>
      <c r="BS29" s="111" t="n"/>
      <c r="BT29" s="111" t="n"/>
      <c r="BU29" s="111" t="n"/>
      <c r="BV29" s="111" t="n"/>
      <c r="BW29" s="111" t="n"/>
      <c r="BX29" s="111" t="n"/>
      <c r="BY29" s="111" t="n"/>
      <c r="BZ29" s="111" t="n"/>
      <c r="CA29" s="111" t="n"/>
      <c r="CB29" s="111" t="n"/>
      <c r="CC29" s="111" t="n"/>
      <c r="CD29" s="111" t="n"/>
      <c r="CE29" s="111" t="n"/>
      <c r="CF29" s="111" t="n"/>
      <c r="CG29" s="111" t="n"/>
      <c r="CH29" s="111" t="n"/>
      <c r="CI29" s="111" t="n"/>
      <c r="CJ29" s="111" t="n"/>
      <c r="CK29" s="111" t="n"/>
      <c r="CL29" s="111" t="n"/>
      <c r="CM29" s="111" t="n"/>
      <c r="CN29" s="111" t="n"/>
      <c r="CO29" s="111" t="n"/>
      <c r="CP29" s="111" t="n"/>
      <c r="CQ29" s="111" t="n"/>
      <c r="CR29" s="111" t="n"/>
      <c r="CS29" s="111" t="n"/>
      <c r="CT29" s="111" t="n"/>
      <c r="CU29" s="111" t="n"/>
      <c r="CV29" s="111" t="n"/>
      <c r="CW29" s="111" t="n"/>
      <c r="CX29" s="111" t="n"/>
    </row>
    <row r="30" outlineLevel="2" ht="12" customHeight="1">
      <c r="A30" s="96" t="n"/>
      <c r="B30" s="239" t="n"/>
      <c r="C30" s="239" t="n">
        <v>4</v>
      </c>
      <c r="D30" s="313" t="inlineStr">
        <is>
          <t>1.1.3.2</t>
        </is>
      </c>
      <c r="E30" s="97" t="n"/>
      <c r="F30" s="240" t="n"/>
      <c r="G30" s="244" t="n"/>
      <c r="H30" s="97" t="inlineStr">
        <is>
          <t>DQSOps 데이터 품질 게이트 (GitHub Actions)</t>
        </is>
      </c>
      <c r="I30" s="97" t="n"/>
      <c r="J30" s="97" t="n"/>
      <c r="K30" s="97" t="n"/>
      <c r="L30" s="97" t="n"/>
      <c r="M30" s="97" t="n"/>
      <c r="N30" s="97" t="n"/>
      <c r="O30" s="248" t="inlineStr">
        <is>
          <t>src/pipeline/validators/c08_dq_validator.py · .claude/agents/c08-data-quality-validator.md</t>
        </is>
      </c>
      <c r="P30" s="249" t="n">
        <v>46155</v>
      </c>
      <c r="Q30" s="249" t="n">
        <v>46161</v>
      </c>
      <c r="R30" s="97" t="n"/>
      <c r="S30" s="311" t="n"/>
      <c r="T30" s="311" t="n"/>
      <c r="U30" s="311" t="n">
        <v>5</v>
      </c>
      <c r="V30" s="311" t="n">
        <v>5</v>
      </c>
      <c r="W30" s="249" t="n"/>
      <c r="X30" s="249" t="n"/>
      <c r="Y30" s="312" t="n"/>
      <c r="Z30" s="99" t="n"/>
      <c r="AA30" s="311" t="n"/>
      <c r="AB30" s="238" t="inlineStr">
        <is>
          <t>조영훈</t>
        </is>
      </c>
      <c r="AC30" s="97" t="n"/>
      <c r="AD30" s="225" t="n"/>
      <c r="AE30" s="226" t="n">
        <v>1</v>
      </c>
      <c r="AF30" s="110" t="n"/>
      <c r="AG30" s="111" t="n"/>
      <c r="AH30" s="111" t="n"/>
      <c r="AI30" s="111" t="n"/>
      <c r="AJ30" s="111" t="n"/>
      <c r="AK30" s="111">
        <f>"      " &amp; TEXT(AE30,"#0.00%") &amp; " " &amp; "DQSOps 데이터 품질 게이트 (GitHub Actions)" &amp; "(조영훈)" &amp; " " &amp; IF(P30="","",TEXT(P30,"M/D-")) &amp; IF(Q30="","",TEXT(Q30,"M/D")) &amp; " "</f>
        <v/>
      </c>
      <c r="AL30" s="111" t="n"/>
      <c r="AM30" s="111" t="n"/>
      <c r="AN30" s="111" t="n"/>
      <c r="AO30" s="111" t="n"/>
      <c r="AP30" s="111" t="n"/>
      <c r="AQ30" s="111" t="n"/>
      <c r="AR30" s="111" t="n"/>
      <c r="AS30" s="111" t="n"/>
      <c r="AT30" s="111">
        <f>" " &amp; TEXT(AE30,"#0.00%") &amp; " " &amp; "AIS 해협 탱커 모니터링 데이터 연결 작업 (WBS 1.1.6 확장)" &amp; "(조영훈)" &amp; " " &amp; IF(P30="","",TEXT(P30,"M/D-")) &amp; IF(Q30="","",TEXT(Q30,"M/D")) &amp; " "</f>
        <v/>
      </c>
      <c r="AU30" s="111" t="n"/>
      <c r="AV30" s="111" t="n"/>
      <c r="AW30" s="111" t="n"/>
      <c r="AX30" s="111" t="n"/>
      <c r="AY30" s="111" t="n"/>
      <c r="AZ30" s="111" t="n"/>
      <c r="BA30" s="111" t="n"/>
      <c r="BB30" s="111" t="n"/>
      <c r="BC30" s="111" t="n"/>
      <c r="BD30" s="111" t="n"/>
      <c r="BE30" s="111" t="n"/>
      <c r="BF30" s="111" t="n"/>
      <c r="BG30" s="111" t="n"/>
      <c r="BH30" s="111" t="n"/>
      <c r="BI30" s="111" t="n"/>
      <c r="BJ30" s="111" t="n"/>
      <c r="BK30" s="111" t="n"/>
      <c r="BL30" s="111" t="n"/>
      <c r="BM30" s="111" t="n"/>
      <c r="BN30" s="111" t="n"/>
      <c r="BO30" s="111" t="n"/>
      <c r="BP30" s="111" t="n"/>
      <c r="BQ30" s="111" t="n"/>
      <c r="BR30" s="111" t="n"/>
      <c r="BS30" s="111" t="n"/>
      <c r="BT30" s="111" t="n"/>
      <c r="BU30" s="111" t="n"/>
      <c r="BV30" s="111" t="n"/>
      <c r="BW30" s="111" t="n"/>
      <c r="BX30" s="111" t="n"/>
      <c r="BY30" s="111" t="n"/>
      <c r="BZ30" s="111" t="n"/>
      <c r="CA30" s="111" t="n"/>
      <c r="CB30" s="111" t="n"/>
      <c r="CC30" s="111" t="n"/>
      <c r="CD30" s="111" t="n"/>
      <c r="CE30" s="111" t="n"/>
      <c r="CF30" s="111" t="n"/>
      <c r="CG30" s="111" t="n"/>
      <c r="CH30" s="111" t="n"/>
      <c r="CI30" s="111" t="n"/>
      <c r="CJ30" s="111" t="n"/>
      <c r="CK30" s="111" t="n"/>
      <c r="CL30" s="111" t="n"/>
      <c r="CM30" s="111" t="n"/>
      <c r="CN30" s="111" t="n"/>
      <c r="CO30" s="111" t="n"/>
      <c r="CP30" s="111" t="n"/>
      <c r="CQ30" s="111" t="n"/>
      <c r="CR30" s="111" t="n"/>
      <c r="CS30" s="111" t="n"/>
      <c r="CT30" s="111" t="n"/>
      <c r="CU30" s="111" t="n"/>
      <c r="CV30" s="111" t="n"/>
      <c r="CW30" s="111" t="n"/>
      <c r="CX30" s="111" t="n"/>
    </row>
    <row r="31" outlineLevel="2" ht="12" customHeight="1">
      <c r="A31" s="96" t="n"/>
      <c r="B31" s="239" t="n"/>
      <c r="C31" s="239" t="n">
        <v>4</v>
      </c>
      <c r="D31" s="313" t="inlineStr">
        <is>
          <t>1.1.3.3</t>
        </is>
      </c>
      <c r="E31" s="97" t="n"/>
      <c r="F31" s="240" t="n"/>
      <c r="G31" s="244" t="n"/>
      <c r="H31" s="97" t="inlineStr">
        <is>
          <t>품질 Pipeline 테스트 (tests/test_pipeline_quality.py)</t>
        </is>
      </c>
      <c r="I31" s="97" t="n"/>
      <c r="J31" s="97" t="n"/>
      <c r="K31" s="97" t="n"/>
      <c r="L31" s="97" t="n"/>
      <c r="M31" s="97" t="n"/>
      <c r="N31" s="97" t="n"/>
      <c r="O31" s="248" t="inlineStr">
        <is>
          <t>tests/test_pipeline_quality.py · tests/conftest.py</t>
        </is>
      </c>
      <c r="P31" s="249" t="n">
        <v>46161</v>
      </c>
      <c r="Q31" s="249" t="n">
        <v>46173</v>
      </c>
      <c r="R31" s="97" t="n"/>
      <c r="S31" s="311" t="n"/>
      <c r="T31" s="311" t="n"/>
      <c r="U31" s="311" t="n">
        <v>8</v>
      </c>
      <c r="V31" s="311" t="n">
        <v>8</v>
      </c>
      <c r="W31" s="249" t="n"/>
      <c r="X31" s="249" t="n"/>
      <c r="Y31" s="312" t="n"/>
      <c r="Z31" s="99" t="n"/>
      <c r="AA31" s="311" t="n"/>
      <c r="AB31" s="238" t="inlineStr">
        <is>
          <t>조영훈</t>
        </is>
      </c>
      <c r="AC31" s="97" t="n"/>
      <c r="AD31" s="225" t="n"/>
      <c r="AE31" s="226" t="n">
        <v>1</v>
      </c>
      <c r="AF31" s="110" t="n"/>
      <c r="AG31" s="111" t="n"/>
      <c r="AH31" s="111" t="n"/>
      <c r="AI31" s="111" t="n"/>
      <c r="AJ31" s="111" t="n"/>
      <c r="AK31" s="111">
        <f>"      " &amp; TEXT(AE31,"#0.00%") &amp; " " &amp; "품질 Pipeline 테스트 (tests/test_pipeline_quality.py)" &amp; "(조영훈)" &amp; " " &amp; IF(P31="","",TEXT(P31,"M/D-")) &amp; IF(Q31="","",TEXT(Q31,"M/D")) &amp; " "</f>
        <v/>
      </c>
      <c r="AL31" s="111" t="n"/>
      <c r="AM31" s="111" t="n"/>
      <c r="AN31" s="111" t="n"/>
      <c r="AO31" s="111" t="n"/>
      <c r="AP31" s="111" t="n"/>
      <c r="AQ31" s="111" t="n"/>
      <c r="AR31" s="111">
        <f>"     " &amp; TEXT(AE31,"#0.00%") &amp; " " &amp; "Excel 데이터 내보내기 유틸리티 (parquet→xlsx 다운로드)" &amp; "(조영훈)" &amp; " " &amp; IF(P31="","",TEXT(P31,"M/D-")) &amp; IF(Q31="","",TEXT(Q31,"M/D")) &amp; " "</f>
        <v/>
      </c>
      <c r="AS31" s="111" t="n"/>
      <c r="AT31" s="111" t="n"/>
      <c r="AU31" s="111" t="n"/>
      <c r="AV31" s="111" t="n"/>
      <c r="AW31" s="111" t="n"/>
      <c r="AX31" s="111" t="n"/>
      <c r="AY31" s="111" t="n"/>
      <c r="AZ31" s="111" t="n"/>
      <c r="BA31" s="111" t="n"/>
      <c r="BB31" s="111" t="n"/>
      <c r="BC31" s="111" t="n"/>
      <c r="BD31" s="111" t="n"/>
      <c r="BE31" s="111" t="n"/>
      <c r="BF31" s="111" t="n"/>
      <c r="BG31" s="111" t="n"/>
      <c r="BH31" s="111" t="n"/>
      <c r="BI31" s="111" t="n"/>
      <c r="BJ31" s="111" t="n"/>
      <c r="BK31" s="111" t="n"/>
      <c r="BL31" s="111" t="n"/>
      <c r="BM31" s="111" t="n"/>
      <c r="BN31" s="111" t="n"/>
      <c r="BO31" s="111" t="n"/>
      <c r="BP31" s="111" t="n"/>
      <c r="BQ31" s="111" t="n"/>
      <c r="BR31" s="111" t="n"/>
      <c r="BS31" s="111" t="n"/>
      <c r="BT31" s="111" t="n"/>
      <c r="BU31" s="111" t="n"/>
      <c r="BV31" s="111" t="n"/>
      <c r="BW31" s="111" t="n"/>
      <c r="BX31" s="111" t="n"/>
      <c r="BY31" s="111" t="n"/>
      <c r="BZ31" s="111" t="n"/>
      <c r="CA31" s="111" t="n"/>
      <c r="CB31" s="111" t="n"/>
      <c r="CC31" s="111" t="n"/>
      <c r="CD31" s="111" t="n"/>
      <c r="CE31" s="111" t="n"/>
      <c r="CF31" s="111" t="n"/>
      <c r="CG31" s="111" t="n"/>
      <c r="CH31" s="111" t="n"/>
      <c r="CI31" s="111" t="n"/>
      <c r="CJ31" s="111" t="n"/>
      <c r="CK31" s="111" t="n"/>
      <c r="CL31" s="111" t="n"/>
      <c r="CM31" s="111" t="n"/>
      <c r="CN31" s="111" t="n"/>
      <c r="CO31" s="111" t="n"/>
      <c r="CP31" s="111" t="n"/>
      <c r="CQ31" s="111" t="n"/>
      <c r="CR31" s="111" t="n"/>
      <c r="CS31" s="111" t="n"/>
      <c r="CT31" s="111" t="n"/>
      <c r="CU31" s="111" t="n"/>
      <c r="CV31" s="111" t="n"/>
      <c r="CW31" s="111" t="n"/>
      <c r="CX31" s="111" t="n"/>
    </row>
    <row r="32" outlineLevel="2" ht="12" customHeight="1">
      <c r="A32" s="96" t="n"/>
      <c r="B32" s="239" t="n"/>
      <c r="C32" s="239" t="n">
        <v>4</v>
      </c>
      <c r="D32" s="313" t="inlineStr">
        <is>
          <t>1.1.3.4</t>
        </is>
      </c>
      <c r="E32" s="97" t="n"/>
      <c r="F32" s="240" t="n"/>
      <c r="G32" s="244" t="n"/>
      <c r="H32" s="97" t="inlineStr">
        <is>
          <t>과년도(5개년) 데이터 분석 Workflow 수정 (가공/정제→EDA→G1 파이프라인 추가)</t>
        </is>
      </c>
      <c r="I32" s="97" t="n"/>
      <c r="J32" s="97" t="n"/>
      <c r="K32" s="97" t="n"/>
      <c r="L32" s="97" t="n"/>
      <c r="M32" s="97" t="n"/>
      <c r="N32" s="97" t="n"/>
      <c r="O32" s="248" t="inlineStr">
        <is>
          <t>.github/workflows/historical_backfill.yml (BACKFILL_MODE + 검증 파이프라인)</t>
        </is>
      </c>
      <c r="P32" s="249" t="n">
        <v>46168</v>
      </c>
      <c r="Q32" s="249" t="n">
        <v>46170</v>
      </c>
      <c r="R32" s="97" t="n"/>
      <c r="S32" s="311" t="n"/>
      <c r="T32" s="311" t="n"/>
      <c r="U32" s="311" t="n">
        <v>3</v>
      </c>
      <c r="V32" s="311" t="n">
        <v>3</v>
      </c>
      <c r="W32" s="249" t="n"/>
      <c r="X32" s="249" t="n"/>
      <c r="Y32" s="312" t="n"/>
      <c r="Z32" s="99" t="n"/>
      <c r="AA32" s="311" t="n"/>
      <c r="AB32" s="238" t="inlineStr">
        <is>
          <t>조영훈</t>
        </is>
      </c>
      <c r="AC32" s="97" t="n"/>
      <c r="AD32" s="225" t="n"/>
      <c r="AE32" s="226" t="n">
        <v>1</v>
      </c>
      <c r="AF32" s="110" t="n"/>
      <c r="AG32" s="111" t="n"/>
      <c r="AH32" s="111" t="n"/>
      <c r="AI32" s="111" t="n"/>
      <c r="AJ32" s="111" t="n"/>
      <c r="AK32" s="111">
        <f>"      " &amp; TEXT(AE32,"#0.00%") &amp; " " &amp; "과년도(5개년) 데이터 분석 Workflow 수정 (가공/정제→EDA→G1 파이프라인 추가)" &amp; "(조영훈)" &amp; " " &amp; IF(P32="","",TEXT(P32,"M/D-")) &amp; IF(Q32="","",TEXT(Q32,"M/D")) &amp; " "</f>
        <v/>
      </c>
      <c r="AL32" s="111" t="n"/>
      <c r="AM32" s="111" t="n"/>
      <c r="AN32" s="111" t="n"/>
      <c r="AO32" s="111" t="n"/>
      <c r="AP32" s="111" t="n"/>
      <c r="AQ32" s="111" t="n"/>
      <c r="AR32" s="111" t="n"/>
      <c r="AS32" s="111">
        <f>" " &amp; TEXT(AE32,"#0.00%") &amp; " " &amp; "G1 분석 PDF + Markdown 출력 추가 (모든 보고서 다중 형식)" &amp; "(조영훈)" &amp; " " &amp; IF(P32="","",TEXT(P32,"M/D-")) &amp; IF(Q32="","",TEXT(Q32,"M/D")) &amp; " "</f>
        <v/>
      </c>
      <c r="AT32" s="111" t="n"/>
      <c r="AU32" s="111" t="n"/>
      <c r="AV32" s="111" t="n"/>
      <c r="AW32" s="111" t="n"/>
      <c r="AX32" s="111" t="n"/>
      <c r="AY32" s="111" t="n"/>
      <c r="AZ32" s="111" t="n"/>
      <c r="BA32" s="111" t="n"/>
      <c r="BB32" s="111" t="n"/>
      <c r="BC32" s="111" t="n"/>
      <c r="BD32" s="111" t="n"/>
      <c r="BE32" s="111" t="n"/>
      <c r="BF32" s="111" t="n"/>
      <c r="BG32" s="111" t="n"/>
      <c r="BH32" s="111" t="n"/>
      <c r="BI32" s="111" t="n"/>
      <c r="BJ32" s="111" t="n"/>
      <c r="BK32" s="111" t="n"/>
      <c r="BL32" s="111" t="n"/>
      <c r="BM32" s="111" t="n"/>
      <c r="BN32" s="111" t="n"/>
      <c r="BO32" s="111" t="n"/>
      <c r="BP32" s="111" t="n"/>
      <c r="BQ32" s="111" t="n"/>
      <c r="BR32" s="111" t="n"/>
      <c r="BS32" s="111" t="n"/>
      <c r="BT32" s="111" t="n"/>
      <c r="BU32" s="111" t="n"/>
      <c r="BV32" s="111" t="n"/>
      <c r="BW32" s="111" t="n"/>
      <c r="BX32" s="111" t="n"/>
      <c r="BY32" s="111" t="n"/>
      <c r="BZ32" s="111" t="n"/>
      <c r="CA32" s="111" t="n"/>
      <c r="CB32" s="111" t="n"/>
      <c r="CC32" s="111" t="n"/>
      <c r="CD32" s="111" t="n"/>
      <c r="CE32" s="111" t="n"/>
      <c r="CF32" s="111" t="n"/>
      <c r="CG32" s="111" t="n"/>
      <c r="CH32" s="111" t="n"/>
      <c r="CI32" s="111" t="n"/>
      <c r="CJ32" s="111" t="n"/>
      <c r="CK32" s="111" t="n"/>
      <c r="CL32" s="111" t="n"/>
      <c r="CM32" s="111" t="n"/>
      <c r="CN32" s="111" t="n"/>
      <c r="CO32" s="111" t="n"/>
      <c r="CP32" s="111" t="n"/>
      <c r="CQ32" s="111" t="n"/>
      <c r="CR32" s="111" t="n"/>
      <c r="CS32" s="111" t="n"/>
      <c r="CT32" s="111" t="n"/>
      <c r="CU32" s="111" t="n"/>
      <c r="CV32" s="111" t="n"/>
      <c r="CW32" s="111" t="n"/>
      <c r="CX32" s="111" t="n"/>
    </row>
    <row r="33" outlineLevel="2" ht="12" customHeight="1">
      <c r="A33" s="96" t="n"/>
      <c r="B33" s="239" t="n"/>
      <c r="C33" s="239" t="n">
        <v>4</v>
      </c>
      <c r="D33" s="313" t="inlineStr">
        <is>
          <t>1.1.3.5</t>
        </is>
      </c>
      <c r="E33" s="97" t="n"/>
      <c r="F33" s="240" t="n"/>
      <c r="G33" s="244" t="n"/>
      <c r="H33" s="97" t="inlineStr">
        <is>
          <t>snowflake_loader.py 검증 및 배포</t>
        </is>
      </c>
      <c r="I33" s="97" t="n"/>
      <c r="J33" s="97" t="n"/>
      <c r="K33" s="97" t="n"/>
      <c r="L33" s="97" t="n"/>
      <c r="M33" s="97" t="n"/>
      <c r="N33" s="97" t="n"/>
      <c r="O33" s="248" t="inlineStr">
        <is>
          <t>snowflake_loader.py</t>
        </is>
      </c>
      <c r="P33" s="249" t="n">
        <v>46156</v>
      </c>
      <c r="Q33" s="249" t="n">
        <v>46173</v>
      </c>
      <c r="R33" s="97" t="n"/>
      <c r="S33" s="311" t="n"/>
      <c r="T33" s="311" t="n"/>
      <c r="U33" s="311" t="n">
        <v>11</v>
      </c>
      <c r="V33" s="311" t="n">
        <v>11</v>
      </c>
      <c r="W33" s="249" t="n"/>
      <c r="X33" s="249" t="n"/>
      <c r="Y33" s="312" t="n"/>
      <c r="Z33" s="99" t="n"/>
      <c r="AA33" s="311" t="n"/>
      <c r="AB33" s="238" t="inlineStr">
        <is>
          <t>조영훈</t>
        </is>
      </c>
      <c r="AC33" s="97" t="n"/>
      <c r="AD33" s="225" t="n"/>
      <c r="AE33" s="226" t="n">
        <v>0</v>
      </c>
      <c r="AF33" s="110" t="n"/>
      <c r="AG33" s="111" t="n"/>
      <c r="AH33" s="111" t="n"/>
      <c r="AI33" s="111" t="n"/>
      <c r="AJ33" s="111" t="n"/>
      <c r="AK33" s="111">
        <f>"      " &amp; TEXT(AE33,"#0.00%") &amp; " " &amp; "snowflake_loader.py 검증 및 배포" &amp; "(조영훈)" &amp; " " &amp; IF(P33="","",TEXT(P33,"M/D-")) &amp; IF(Q33="","",TEXT(Q33,"M/D")) &amp; " "</f>
        <v/>
      </c>
      <c r="AL33" s="111" t="n"/>
      <c r="AM33" s="111" t="n"/>
      <c r="AN33" s="111" t="n"/>
      <c r="AO33" s="111" t="n"/>
      <c r="AP33" s="111" t="n"/>
      <c r="AQ33" s="111" t="n"/>
      <c r="AR33" s="111">
        <f>"   " &amp; TEXT(AE33,"#0.00%") &amp; " " &amp; "Hormuz Monitor 기술 분석 + Nexus 적용 설계" &amp; "(조영훈)" &amp; " " &amp; IF(P33="","",TEXT(P33,"M/D-")) &amp; IF(Q33="","",TEXT(Q33,"M/D")) &amp; " "</f>
        <v/>
      </c>
      <c r="AS33" s="111" t="n"/>
      <c r="AT33" s="111" t="n"/>
      <c r="AU33" s="111" t="n"/>
      <c r="AV33" s="111" t="n"/>
      <c r="AW33" s="111" t="n"/>
      <c r="AX33" s="111" t="n"/>
      <c r="AY33" s="111" t="n"/>
      <c r="AZ33" s="111" t="n"/>
      <c r="BA33" s="111" t="n"/>
      <c r="BB33" s="111" t="n"/>
      <c r="BC33" s="111" t="n"/>
      <c r="BD33" s="111" t="n"/>
      <c r="BE33" s="111" t="n"/>
      <c r="BF33" s="111" t="n"/>
      <c r="BG33" s="111" t="n"/>
      <c r="BH33" s="111" t="n"/>
      <c r="BI33" s="111" t="n"/>
      <c r="BJ33" s="111" t="n"/>
      <c r="BK33" s="111" t="n"/>
      <c r="BL33" s="111" t="n"/>
      <c r="BM33" s="111" t="n"/>
      <c r="BN33" s="111" t="n"/>
      <c r="BO33" s="111" t="n"/>
      <c r="BP33" s="111" t="n"/>
      <c r="BQ33" s="111" t="n"/>
      <c r="BR33" s="111" t="n"/>
      <c r="BS33" s="111" t="n"/>
      <c r="BT33" s="111" t="n"/>
      <c r="BU33" s="111" t="n"/>
      <c r="BV33" s="111" t="n"/>
      <c r="BW33" s="111" t="n"/>
      <c r="BX33" s="111" t="n"/>
      <c r="BY33" s="111" t="n"/>
      <c r="BZ33" s="111" t="n"/>
      <c r="CA33" s="111" t="n"/>
      <c r="CB33" s="111" t="n"/>
      <c r="CC33" s="111" t="n"/>
      <c r="CD33" s="111" t="n"/>
      <c r="CE33" s="111" t="n"/>
      <c r="CF33" s="111" t="n"/>
      <c r="CG33" s="111" t="n"/>
      <c r="CH33" s="111" t="n"/>
      <c r="CI33" s="111" t="n"/>
      <c r="CJ33" s="111" t="n"/>
      <c r="CK33" s="111" t="n"/>
      <c r="CL33" s="111" t="n"/>
      <c r="CM33" s="111" t="n"/>
      <c r="CN33" s="111" t="n"/>
      <c r="CO33" s="111" t="n"/>
      <c r="CP33" s="111" t="n"/>
      <c r="CQ33" s="111" t="n"/>
      <c r="CR33" s="111" t="n"/>
      <c r="CS33" s="111" t="n"/>
      <c r="CT33" s="111" t="n"/>
      <c r="CU33" s="111" t="n"/>
      <c r="CV33" s="111" t="n"/>
      <c r="CW33" s="111" t="n"/>
      <c r="CX33" s="111" t="n"/>
    </row>
    <row r="34" outlineLevel="2" ht="12" customHeight="1">
      <c r="A34" s="96" t="n"/>
      <c r="B34" s="239" t="n"/>
      <c r="C34" s="239" t="n">
        <v>3</v>
      </c>
      <c r="D34" s="313" t="inlineStr">
        <is>
          <t>1.1.4</t>
        </is>
      </c>
      <c r="E34" s="97" t="n"/>
      <c r="F34" s="240" t="n"/>
      <c r="G34" s="244" t="inlineStr">
        <is>
          <t>[분석]</t>
        </is>
      </c>
      <c r="H34" s="97" t="n"/>
      <c r="I34" s="97" t="n"/>
      <c r="J34" s="97" t="n"/>
      <c r="K34" s="97" t="n"/>
      <c r="L34" s="97" t="n"/>
      <c r="M34" s="97" t="n"/>
      <c r="N34" s="97" t="n"/>
      <c r="O34" s="97" t="n"/>
      <c r="P34" s="249" t="n">
        <v>46150</v>
      </c>
      <c r="Q34" s="249" t="n">
        <v>46173</v>
      </c>
      <c r="R34" s="97" t="n"/>
      <c r="S34" s="311" t="n"/>
      <c r="T34" s="311" t="n"/>
      <c r="U34" s="311" t="n"/>
      <c r="V34" s="311" t="n"/>
      <c r="W34" s="249" t="n"/>
      <c r="X34" s="249" t="n"/>
      <c r="Y34" s="312" t="n"/>
      <c r="Z34" s="99" t="n"/>
      <c r="AA34" s="311" t="n"/>
      <c r="AB34" s="238" t="inlineStr">
        <is>
          <t>조영훈</t>
        </is>
      </c>
      <c r="AC34" s="97" t="n"/>
      <c r="AD34" s="225" t="n"/>
      <c r="AE34" s="225" t="n"/>
      <c r="AF34" s="110" t="n"/>
      <c r="AG34" s="111" t="n"/>
      <c r="AH34" s="111" t="n"/>
      <c r="AI34" s="111" t="n"/>
      <c r="AJ34" s="111" t="n"/>
      <c r="AK34" s="111">
        <f>"      " &amp; TEXT(AE34,"#0.00%") &amp; " " &amp; "[분석]" &amp; "(조영훈)" &amp; " " &amp; IF(P34="","",TEXT(P34,"M/D-")) &amp; IF(Q34="","",TEXT(Q34,"M/D")) &amp; " "</f>
        <v/>
      </c>
      <c r="AL34" s="111" t="n"/>
      <c r="AM34" s="111" t="n"/>
      <c r="AN34" s="111" t="n"/>
      <c r="AO34" s="111" t="n"/>
      <c r="AP34" s="111" t="n"/>
      <c r="AQ34" s="111" t="n"/>
      <c r="AR34" s="111" t="n"/>
      <c r="AS34" s="111" t="n"/>
      <c r="AT34" s="111" t="n"/>
      <c r="AU34" s="111" t="n"/>
      <c r="AV34" s="111" t="n"/>
      <c r="AW34" s="111" t="n"/>
      <c r="AX34" s="111" t="n"/>
      <c r="AY34" s="111" t="n"/>
      <c r="AZ34" s="111" t="n"/>
      <c r="BA34" s="111" t="n"/>
      <c r="BB34" s="111" t="n"/>
      <c r="BC34" s="111" t="n"/>
      <c r="BD34" s="111" t="n"/>
      <c r="BE34" s="111" t="n"/>
      <c r="BF34" s="111" t="n"/>
      <c r="BG34" s="111" t="n"/>
      <c r="BH34" s="111" t="n"/>
      <c r="BI34" s="111" t="n"/>
      <c r="BJ34" s="111" t="n"/>
      <c r="BK34" s="111" t="n"/>
      <c r="BL34" s="111" t="n"/>
      <c r="BM34" s="111" t="n"/>
      <c r="BN34" s="111" t="n"/>
      <c r="BO34" s="111" t="n"/>
      <c r="BP34" s="111" t="n"/>
      <c r="BQ34" s="111" t="n"/>
      <c r="BR34" s="111" t="n"/>
      <c r="BS34" s="111" t="n"/>
      <c r="BT34" s="111" t="n"/>
      <c r="BU34" s="111" t="n"/>
      <c r="BV34" s="111" t="n"/>
      <c r="BW34" s="111" t="n"/>
      <c r="BX34" s="111" t="n"/>
      <c r="BY34" s="111" t="n"/>
      <c r="BZ34" s="111" t="n"/>
      <c r="CA34" s="111" t="n"/>
      <c r="CB34" s="111" t="n"/>
      <c r="CC34" s="111" t="n"/>
      <c r="CD34" s="111" t="n"/>
      <c r="CE34" s="111" t="n"/>
      <c r="CF34" s="111" t="n"/>
      <c r="CG34" s="111" t="n"/>
      <c r="CH34" s="111" t="n"/>
      <c r="CI34" s="111" t="n"/>
      <c r="CJ34" s="111" t="n"/>
      <c r="CK34" s="111" t="n"/>
      <c r="CL34" s="111" t="n"/>
      <c r="CM34" s="111" t="n"/>
      <c r="CN34" s="111" t="n"/>
      <c r="CO34" s="111" t="n"/>
      <c r="CP34" s="111" t="n"/>
      <c r="CQ34" s="111" t="n"/>
      <c r="CR34" s="111" t="n"/>
      <c r="CS34" s="111" t="n"/>
      <c r="CT34" s="111" t="n"/>
      <c r="CU34" s="111" t="n"/>
      <c r="CV34" s="111" t="n"/>
      <c r="CW34" s="111" t="n"/>
      <c r="CX34" s="111" t="n"/>
    </row>
    <row r="35" outlineLevel="2" ht="12" customHeight="1">
      <c r="A35" s="96" t="n"/>
      <c r="B35" s="239" t="n"/>
      <c r="C35" s="239" t="n">
        <v>4</v>
      </c>
      <c r="D35" s="313" t="inlineStr">
        <is>
          <t>1.1.4.1</t>
        </is>
      </c>
      <c r="E35" s="97" t="n"/>
      <c r="F35" s="240" t="n"/>
      <c r="G35" s="244" t="n"/>
      <c r="H35" s="97" t="inlineStr">
        <is>
          <t>LLM 모델 모니터 (신규 모델 감지 → GitHub Issue)</t>
        </is>
      </c>
      <c r="I35" s="97" t="n"/>
      <c r="J35" s="97" t="n"/>
      <c r="K35" s="97" t="n"/>
      <c r="L35" s="97" t="n"/>
      <c r="M35" s="97" t="n"/>
      <c r="N35" s="97" t="n"/>
      <c r="O35" s="97" t="inlineStr">
        <is>
          <t>llm_model_monitor.yml + check_llm_models.py + llm_models.json</t>
        </is>
      </c>
      <c r="P35" s="249" t="n">
        <v>46150</v>
      </c>
      <c r="Q35" s="249" t="n">
        <v>46161</v>
      </c>
      <c r="R35" s="97" t="n"/>
      <c r="S35" s="311" t="n"/>
      <c r="T35" s="311" t="n"/>
      <c r="U35" s="311" t="n">
        <v>8</v>
      </c>
      <c r="V35" s="311" t="n">
        <v>8</v>
      </c>
      <c r="W35" s="249" t="n"/>
      <c r="X35" s="249" t="n"/>
      <c r="Y35" s="312" t="n"/>
      <c r="Z35" s="99" t="n"/>
      <c r="AA35" s="311" t="n"/>
      <c r="AB35" s="238" t="inlineStr">
        <is>
          <t>조영훈</t>
        </is>
      </c>
      <c r="AC35" s="97" t="n"/>
      <c r="AD35" s="225" t="n"/>
      <c r="AE35" s="225" t="n">
        <v>1</v>
      </c>
      <c r="AF35" s="110" t="n"/>
      <c r="AG35" s="111" t="n"/>
      <c r="AH35" s="111" t="n"/>
      <c r="AI35" s="111" t="n"/>
      <c r="AJ35" s="111" t="n"/>
      <c r="AK35" s="111">
        <f>"      " &amp; TEXT(AE35,"#0.00%") &amp; " " &amp; "LLM 모델 모니터 (신규 모델 감지 → GitHub Issue)" &amp; "(조영훈)" &amp; " " &amp; IF(P35="","",TEXT(P35,"M/D-")) &amp; IF(Q35="","",TEXT(Q35,"M/D")) &amp; " "</f>
        <v/>
      </c>
      <c r="AL35" s="111" t="n"/>
      <c r="AM35" s="111" t="n"/>
      <c r="AN35" s="111" t="n"/>
      <c r="AO35" s="111" t="n"/>
      <c r="AP35" s="111" t="n"/>
      <c r="AQ35" s="111" t="n"/>
      <c r="AR35" s="111" t="n"/>
      <c r="AS35" s="111" t="n"/>
      <c r="AT35" s="111" t="n"/>
      <c r="AU35" s="111" t="n"/>
      <c r="AV35" s="111" t="n"/>
      <c r="AW35" s="111" t="n"/>
      <c r="AX35" s="111" t="n"/>
      <c r="AY35" s="111" t="n"/>
      <c r="AZ35" s="111" t="n"/>
      <c r="BA35" s="111" t="n"/>
      <c r="BB35" s="111" t="n"/>
      <c r="BC35" s="111" t="n"/>
      <c r="BD35" s="111" t="n"/>
      <c r="BE35" s="111" t="n"/>
      <c r="BF35" s="111" t="n"/>
      <c r="BG35" s="111" t="n"/>
      <c r="BH35" s="111" t="n"/>
      <c r="BI35" s="111" t="n"/>
      <c r="BJ35" s="111" t="n"/>
      <c r="BK35" s="111" t="n"/>
      <c r="BL35" s="111" t="n"/>
      <c r="BM35" s="111" t="n"/>
      <c r="BN35" s="111" t="n"/>
      <c r="BO35" s="111" t="n"/>
      <c r="BP35" s="111" t="n"/>
      <c r="BQ35" s="111" t="n"/>
      <c r="BR35" s="111" t="n"/>
      <c r="BS35" s="111" t="n"/>
      <c r="BT35" s="111" t="n"/>
      <c r="BU35" s="111" t="n"/>
      <c r="BV35" s="111" t="n"/>
      <c r="BW35" s="111" t="n"/>
      <c r="BX35" s="111" t="n"/>
      <c r="BY35" s="111" t="n"/>
      <c r="BZ35" s="111" t="n"/>
      <c r="CA35" s="111" t="n"/>
      <c r="CB35" s="111" t="n"/>
      <c r="CC35" s="111" t="n"/>
      <c r="CD35" s="111" t="n"/>
      <c r="CE35" s="111" t="n"/>
      <c r="CF35" s="111" t="n"/>
      <c r="CG35" s="111" t="n"/>
      <c r="CH35" s="111" t="n"/>
      <c r="CI35" s="111" t="n"/>
      <c r="CJ35" s="111" t="n"/>
      <c r="CK35" s="111" t="n"/>
      <c r="CL35" s="111" t="n"/>
      <c r="CM35" s="111" t="n"/>
      <c r="CN35" s="111" t="n"/>
      <c r="CO35" s="111" t="n"/>
      <c r="CP35" s="111" t="n"/>
      <c r="CQ35" s="111" t="n"/>
      <c r="CR35" s="111" t="n"/>
      <c r="CS35" s="111" t="n"/>
      <c r="CT35" s="111" t="n"/>
      <c r="CU35" s="111" t="n"/>
      <c r="CV35" s="111" t="n"/>
      <c r="CW35" s="111" t="n"/>
      <c r="CX35" s="111" t="n"/>
    </row>
    <row r="36" outlineLevel="2" ht="12" customHeight="1">
      <c r="A36" s="96" t="n"/>
      <c r="B36" s="239" t="n"/>
      <c r="C36" s="239" t="n">
        <v>4</v>
      </c>
      <c r="D36" s="313" t="inlineStr">
        <is>
          <t>1.1.4.2</t>
        </is>
      </c>
      <c r="E36" s="97" t="n"/>
      <c r="F36" s="240" t="n"/>
      <c r="G36" s="244" t="n"/>
      <c r="H36" s="97" t="inlineStr">
        <is>
          <t>G1 변수 중요도 분석 파이프라인 (Phase A)</t>
        </is>
      </c>
      <c r="I36" s="97" t="n"/>
      <c r="J36" s="97" t="n"/>
      <c r="K36" s="97" t="n"/>
      <c r="L36" s="97" t="n"/>
      <c r="M36" s="97" t="n"/>
      <c r="N36" s="97" t="n"/>
      <c r="O36" s="97" t="inlineStr">
        <is>
          <t>variable_importance_g1.py + g1-analysis GitHub Actions job</t>
        </is>
      </c>
      <c r="P36" s="249" t="n">
        <v>46150</v>
      </c>
      <c r="Q36" s="249" t="n">
        <v>46173</v>
      </c>
      <c r="R36" s="97" t="n"/>
      <c r="S36" s="311" t="n"/>
      <c r="T36" s="311" t="n"/>
      <c r="U36" s="311" t="n">
        <v>15</v>
      </c>
      <c r="V36" s="311" t="n">
        <v>15</v>
      </c>
      <c r="W36" s="249" t="n"/>
      <c r="X36" s="249" t="n"/>
      <c r="Y36" s="312" t="n"/>
      <c r="Z36" s="99" t="n"/>
      <c r="AA36" s="311" t="n"/>
      <c r="AB36" s="238" t="inlineStr">
        <is>
          <t>조영훈</t>
        </is>
      </c>
      <c r="AC36" s="97" t="n"/>
      <c r="AD36" s="225" t="n"/>
      <c r="AE36" s="225" t="n">
        <v>1</v>
      </c>
      <c r="AF36" s="110" t="n"/>
      <c r="AG36" s="111" t="n"/>
      <c r="AH36" s="111" t="n"/>
      <c r="AI36" s="111" t="n"/>
      <c r="AJ36" s="111" t="n"/>
      <c r="AK36" s="111">
        <f>"      " &amp; TEXT(AE36,"#0.00%") &amp; " " &amp; "G1 변수 중요도 분석 파이프라인 (Phase A)" &amp; "(조영훈)" &amp; " " &amp; IF(P36="","",TEXT(P36,"M/D-")) &amp; IF(Q36="","",TEXT(Q36,"M/D")) &amp; " "</f>
        <v/>
      </c>
      <c r="AL36" s="111" t="n"/>
      <c r="AM36" s="111" t="n"/>
      <c r="AN36" s="111" t="n"/>
      <c r="AO36" s="111" t="n"/>
      <c r="AP36" s="111" t="n"/>
      <c r="AQ36" s="111" t="n"/>
      <c r="AR36" s="111" t="n"/>
      <c r="AS36" s="111" t="n"/>
      <c r="AT36" s="111" t="n"/>
      <c r="AU36" s="111" t="n"/>
      <c r="AV36" s="111" t="n"/>
      <c r="AW36" s="111" t="n"/>
      <c r="AX36" s="111" t="n"/>
      <c r="AY36" s="111" t="n"/>
      <c r="AZ36" s="111" t="n"/>
      <c r="BA36" s="111" t="n"/>
      <c r="BB36" s="111" t="n"/>
      <c r="BC36" s="111" t="n"/>
      <c r="BD36" s="111" t="n"/>
      <c r="BE36" s="111" t="n"/>
      <c r="BF36" s="111" t="n"/>
      <c r="BG36" s="111" t="n"/>
      <c r="BH36" s="111" t="n"/>
      <c r="BI36" s="111" t="n"/>
      <c r="BJ36" s="111" t="n"/>
      <c r="BK36" s="111" t="n"/>
      <c r="BL36" s="111" t="n"/>
      <c r="BM36" s="111" t="n"/>
      <c r="BN36" s="111" t="n"/>
      <c r="BO36" s="111" t="n"/>
      <c r="BP36" s="111" t="n"/>
      <c r="BQ36" s="111" t="n"/>
      <c r="BR36" s="111" t="n"/>
      <c r="BS36" s="111" t="n"/>
      <c r="BT36" s="111" t="n"/>
      <c r="BU36" s="111" t="n"/>
      <c r="BV36" s="111" t="n"/>
      <c r="BW36" s="111" t="n"/>
      <c r="BX36" s="111" t="n"/>
      <c r="BY36" s="111" t="n"/>
      <c r="BZ36" s="111" t="n"/>
      <c r="CA36" s="111" t="n"/>
      <c r="CB36" s="111" t="n"/>
      <c r="CC36" s="111" t="n"/>
      <c r="CD36" s="111" t="n"/>
      <c r="CE36" s="111" t="n"/>
      <c r="CF36" s="111" t="n"/>
      <c r="CG36" s="111" t="n"/>
      <c r="CH36" s="111" t="n"/>
      <c r="CI36" s="111" t="n"/>
      <c r="CJ36" s="111" t="n"/>
      <c r="CK36" s="111" t="n"/>
      <c r="CL36" s="111" t="n"/>
      <c r="CM36" s="111" t="n"/>
      <c r="CN36" s="111" t="n"/>
      <c r="CO36" s="111" t="n"/>
      <c r="CP36" s="111" t="n"/>
      <c r="CQ36" s="111" t="n"/>
      <c r="CR36" s="111" t="n"/>
      <c r="CS36" s="111" t="n"/>
      <c r="CT36" s="111" t="n"/>
      <c r="CU36" s="111" t="n"/>
      <c r="CV36" s="111" t="n"/>
      <c r="CW36" s="111" t="n"/>
      <c r="CX36" s="111" t="n"/>
    </row>
    <row r="37" outlineLevel="2" ht="12" customHeight="1">
      <c r="A37" s="96" t="n"/>
      <c r="B37" s="239" t="n"/>
      <c r="C37" s="239" t="n">
        <v>4</v>
      </c>
      <c r="D37" s="313" t="inlineStr">
        <is>
          <t>1.1.4.3</t>
        </is>
      </c>
      <c r="E37" s="97" t="n"/>
      <c r="F37" s="240" t="n"/>
      <c r="G37" s="244" t="n"/>
      <c r="H37" s="97" t="inlineStr">
        <is>
          <t>LLM 최신 모델 업데이트 체크 Workflow 생성</t>
        </is>
      </c>
      <c r="I37" s="97" t="n"/>
      <c r="J37" s="97" t="n"/>
      <c r="K37" s="97" t="n"/>
      <c r="L37" s="97" t="n"/>
      <c r="M37" s="97" t="n"/>
      <c r="N37" s="97" t="n"/>
      <c r="O37" s="97" t="inlineStr">
        <is>
          <t>.github/workflows/llm_model_monitor.yml</t>
        </is>
      </c>
      <c r="P37" s="249" t="n">
        <v>46155</v>
      </c>
      <c r="Q37" s="249" t="n">
        <v>46161</v>
      </c>
      <c r="R37" s="97" t="n"/>
      <c r="S37" s="311" t="n"/>
      <c r="T37" s="311" t="n"/>
      <c r="U37" s="311" t="n">
        <v>5</v>
      </c>
      <c r="V37" s="311" t="n">
        <v>5</v>
      </c>
      <c r="W37" s="249" t="n"/>
      <c r="X37" s="249" t="n"/>
      <c r="Y37" s="312" t="n"/>
      <c r="Z37" s="99" t="n"/>
      <c r="AA37" s="311" t="n"/>
      <c r="AB37" s="238" t="inlineStr">
        <is>
          <t>조영훈</t>
        </is>
      </c>
      <c r="AC37" s="97" t="n"/>
      <c r="AD37" s="225" t="n"/>
      <c r="AE37" s="225" t="n">
        <v>1</v>
      </c>
      <c r="AF37" s="110" t="n"/>
      <c r="AG37" s="111" t="n"/>
      <c r="AH37" s="111" t="n"/>
      <c r="AI37" s="111" t="n"/>
      <c r="AJ37" s="111" t="n"/>
      <c r="AK37" s="111">
        <f>"      " &amp; TEXT(AE37,"#0.00%") &amp; " " &amp; "LLM 최신 모델 업데이트 체크 Workflow 생성" &amp; "(조영훈)" &amp; " " &amp; IF(P37="","",TEXT(P37,"M/D-")) &amp; IF(Q37="","",TEXT(Q37,"M/D")) &amp; " "</f>
        <v/>
      </c>
      <c r="AL37" s="111" t="n"/>
      <c r="AM37" s="111" t="n"/>
      <c r="AN37" s="111" t="n"/>
      <c r="AO37" s="111" t="n"/>
      <c r="AP37" s="111" t="n"/>
      <c r="AQ37" s="111" t="n"/>
      <c r="AR37" s="111" t="n"/>
      <c r="AS37" s="111" t="n"/>
      <c r="AT37" s="111" t="n"/>
      <c r="AU37" s="111" t="n"/>
      <c r="AV37" s="111" t="n"/>
      <c r="AW37" s="111" t="n"/>
      <c r="AX37" s="111" t="n"/>
      <c r="AY37" s="111" t="n"/>
      <c r="AZ37" s="111" t="n"/>
      <c r="BA37" s="111" t="n"/>
      <c r="BB37" s="111" t="n"/>
      <c r="BC37" s="111" t="n"/>
      <c r="BD37" s="111" t="n"/>
      <c r="BE37" s="111" t="n"/>
      <c r="BF37" s="111" t="n"/>
      <c r="BG37" s="111" t="n"/>
      <c r="BH37" s="111" t="n"/>
      <c r="BI37" s="111" t="n"/>
      <c r="BJ37" s="111" t="n"/>
      <c r="BK37" s="111" t="n"/>
      <c r="BL37" s="111" t="n"/>
      <c r="BM37" s="111" t="n"/>
      <c r="BN37" s="111" t="n"/>
      <c r="BO37" s="111" t="n"/>
      <c r="BP37" s="111" t="n"/>
      <c r="BQ37" s="111" t="n"/>
      <c r="BR37" s="111" t="n"/>
      <c r="BS37" s="111" t="n"/>
      <c r="BT37" s="111" t="n"/>
      <c r="BU37" s="111" t="n"/>
      <c r="BV37" s="111" t="n"/>
      <c r="BW37" s="111" t="n"/>
      <c r="BX37" s="111" t="n"/>
      <c r="BY37" s="111" t="n"/>
      <c r="BZ37" s="111" t="n"/>
      <c r="CA37" s="111" t="n"/>
      <c r="CB37" s="111" t="n"/>
      <c r="CC37" s="111" t="n"/>
      <c r="CD37" s="111" t="n"/>
      <c r="CE37" s="111" t="n"/>
      <c r="CF37" s="111" t="n"/>
      <c r="CG37" s="111" t="n"/>
      <c r="CH37" s="111" t="n"/>
      <c r="CI37" s="111" t="n"/>
      <c r="CJ37" s="111" t="n"/>
      <c r="CK37" s="111" t="n"/>
      <c r="CL37" s="111" t="n"/>
      <c r="CM37" s="111" t="n"/>
      <c r="CN37" s="111" t="n"/>
      <c r="CO37" s="111" t="n"/>
      <c r="CP37" s="111" t="n"/>
      <c r="CQ37" s="111" t="n"/>
      <c r="CR37" s="111" t="n"/>
      <c r="CS37" s="111" t="n"/>
      <c r="CT37" s="111" t="n"/>
      <c r="CU37" s="111" t="n"/>
      <c r="CV37" s="111" t="n"/>
      <c r="CW37" s="111" t="n"/>
      <c r="CX37" s="111" t="n"/>
    </row>
    <row r="38" outlineLevel="2" ht="12" customHeight="1">
      <c r="A38" s="96" t="n"/>
      <c r="B38" s="239" t="n"/>
      <c r="C38" s="239" t="n">
        <v>4</v>
      </c>
      <c r="D38" s="313" t="inlineStr">
        <is>
          <t>1.1.4.4</t>
        </is>
      </c>
      <c r="E38" s="97" t="n"/>
      <c r="F38" s="240" t="n"/>
      <c r="G38" s="244" t="n"/>
      <c r="H38" s="97" t="inlineStr">
        <is>
          <t>Granger 인과관계 분석 — G1 확장 (2020~작년, 연도별)</t>
        </is>
      </c>
      <c r="I38" s="97" t="n"/>
      <c r="J38" s="97" t="n"/>
      <c r="K38" s="97" t="n"/>
      <c r="L38" s="97" t="n"/>
      <c r="M38" s="97" t="n"/>
      <c r="N38" s="97" t="n"/>
      <c r="O38" s="97" t="inlineStr">
        <is>
          <t>src/forecasting/variable_importance_g1.py (_granger_causality_by_year)</t>
        </is>
      </c>
      <c r="P38" s="249" t="n">
        <v>46161</v>
      </c>
      <c r="Q38" s="249" t="n">
        <v>46173</v>
      </c>
      <c r="R38" s="97" t="n"/>
      <c r="S38" s="311" t="n"/>
      <c r="T38" s="311" t="n"/>
      <c r="U38" s="311" t="n">
        <v>8</v>
      </c>
      <c r="V38" s="311" t="n">
        <v>8</v>
      </c>
      <c r="W38" s="249" t="n"/>
      <c r="X38" s="249" t="n"/>
      <c r="Y38" s="312" t="n"/>
      <c r="Z38" s="99" t="n"/>
      <c r="AA38" s="311" t="n"/>
      <c r="AB38" s="238" t="inlineStr">
        <is>
          <t>조영훈</t>
        </is>
      </c>
      <c r="AC38" s="97" t="n"/>
      <c r="AD38" s="225" t="n"/>
      <c r="AE38" s="225" t="n">
        <v>1</v>
      </c>
      <c r="AF38" s="110" t="n"/>
      <c r="AG38" s="111" t="n"/>
      <c r="AH38" s="111" t="n"/>
      <c r="AI38" s="111" t="n"/>
      <c r="AJ38" s="111" t="n"/>
      <c r="AK38" s="111">
        <f>"      " &amp; TEXT(AE38,"#0.00%") &amp; " " &amp; "Granger 인과관계 분석 — G1 확장 (2020~작년, 연도별)" &amp; "(조영훈)" &amp; " " &amp; IF(P38="","",TEXT(P38,"M/D-")) &amp; IF(Q38="","",TEXT(Q38,"M/D")) &amp; " "</f>
        <v/>
      </c>
      <c r="AL38" s="111" t="n"/>
      <c r="AM38" s="111" t="n"/>
      <c r="AN38" s="111" t="n"/>
      <c r="AO38" s="111" t="n"/>
      <c r="AP38" s="111" t="n"/>
      <c r="AQ38" s="111" t="n"/>
      <c r="AR38" s="111" t="n"/>
      <c r="AS38" s="111" t="n"/>
      <c r="AT38" s="111" t="n"/>
      <c r="AU38" s="111" t="n"/>
      <c r="AV38" s="111" t="n"/>
      <c r="AW38" s="111" t="n"/>
      <c r="AX38" s="111" t="n"/>
      <c r="AY38" s="111" t="n"/>
      <c r="AZ38" s="111" t="n"/>
      <c r="BA38" s="111" t="n"/>
      <c r="BB38" s="111" t="n"/>
      <c r="BC38" s="111" t="n"/>
      <c r="BD38" s="111" t="n"/>
      <c r="BE38" s="111" t="n"/>
      <c r="BF38" s="111" t="n"/>
      <c r="BG38" s="111" t="n"/>
      <c r="BH38" s="111" t="n"/>
      <c r="BI38" s="111" t="n"/>
      <c r="BJ38" s="111" t="n"/>
      <c r="BK38" s="111" t="n"/>
      <c r="BL38" s="111" t="n"/>
      <c r="BM38" s="111" t="n"/>
      <c r="BN38" s="111" t="n"/>
      <c r="BO38" s="111" t="n"/>
      <c r="BP38" s="111" t="n"/>
      <c r="BQ38" s="111" t="n"/>
      <c r="BR38" s="111" t="n"/>
      <c r="BS38" s="111" t="n"/>
      <c r="BT38" s="111" t="n"/>
      <c r="BU38" s="111" t="n"/>
      <c r="BV38" s="111" t="n"/>
      <c r="BW38" s="111" t="n"/>
      <c r="BX38" s="111" t="n"/>
      <c r="BY38" s="111" t="n"/>
      <c r="BZ38" s="111" t="n"/>
      <c r="CA38" s="111" t="n"/>
      <c r="CB38" s="111" t="n"/>
      <c r="CC38" s="111" t="n"/>
      <c r="CD38" s="111" t="n"/>
      <c r="CE38" s="111" t="n"/>
      <c r="CF38" s="111" t="n"/>
      <c r="CG38" s="111" t="n"/>
      <c r="CH38" s="111" t="n"/>
      <c r="CI38" s="111" t="n"/>
      <c r="CJ38" s="111" t="n"/>
      <c r="CK38" s="111" t="n"/>
      <c r="CL38" s="111" t="n"/>
      <c r="CM38" s="111" t="n"/>
      <c r="CN38" s="111" t="n"/>
      <c r="CO38" s="111" t="n"/>
      <c r="CP38" s="111" t="n"/>
      <c r="CQ38" s="111" t="n"/>
      <c r="CR38" s="111" t="n"/>
      <c r="CS38" s="111" t="n"/>
      <c r="CT38" s="111" t="n"/>
      <c r="CU38" s="111" t="n"/>
      <c r="CV38" s="111" t="n"/>
      <c r="CW38" s="111" t="n"/>
      <c r="CX38" s="111" t="n"/>
    </row>
    <row r="39" outlineLevel="2" ht="12" customHeight="1">
      <c r="A39" s="96" t="n"/>
      <c r="B39" s="239" t="n"/>
      <c r="C39" s="239" t="n">
        <v>4</v>
      </c>
      <c r="D39" s="313" t="inlineStr">
        <is>
          <t>1.1.4.5</t>
        </is>
      </c>
      <c r="E39" s="97" t="n"/>
      <c r="F39" s="240" t="n"/>
      <c r="G39" s="244" t="n"/>
      <c r="H39" s="97" t="inlineStr">
        <is>
          <t>G1 분석 PDF + Markdown 출력 추가 (모든 보고서 다중 형식)</t>
        </is>
      </c>
      <c r="I39" s="97" t="n"/>
      <c r="J39" s="97" t="n"/>
      <c r="K39" s="97" t="n"/>
      <c r="L39" s="97" t="n"/>
      <c r="M39" s="97" t="n"/>
      <c r="N39" s="97" t="n"/>
      <c r="O39" s="97" t="inlineStr">
        <is>
          <t>g1_variable_importance_*.pdf · g1_variable_importance_*.md</t>
        </is>
      </c>
      <c r="P39" s="249" t="n">
        <v>46168</v>
      </c>
      <c r="Q39" s="249" t="n">
        <v>46173</v>
      </c>
      <c r="R39" s="97" t="n"/>
      <c r="S39" s="311" t="n"/>
      <c r="T39" s="311" t="n"/>
      <c r="U39" s="311" t="n">
        <v>4</v>
      </c>
      <c r="V39" s="311" t="n">
        <v>4</v>
      </c>
      <c r="W39" s="249" t="n"/>
      <c r="X39" s="249" t="n"/>
      <c r="Y39" s="312" t="n"/>
      <c r="Z39" s="99" t="n"/>
      <c r="AA39" s="311" t="n"/>
      <c r="AB39" s="238" t="inlineStr">
        <is>
          <t>조영훈</t>
        </is>
      </c>
      <c r="AC39" s="97" t="n"/>
      <c r="AD39" s="225" t="n"/>
      <c r="AE39" s="225" t="n">
        <v>1</v>
      </c>
      <c r="AF39" s="110" t="n"/>
      <c r="AG39" s="111" t="n"/>
      <c r="AH39" s="111" t="n"/>
      <c r="AI39" s="111" t="n"/>
      <c r="AJ39" s="111" t="n"/>
      <c r="AK39" s="111">
        <f>"      " &amp; TEXT(AE39,"#0.00%") &amp; " " &amp; "G1 분석 PDF + Markdown 출력 추가 (모든 보고서 다중 형식)" &amp; "(조영훈)" &amp; " " &amp; IF(P39="","",TEXT(P39,"M/D-")) &amp; IF(Q39="","",TEXT(Q39,"M/D")) &amp; " "</f>
        <v/>
      </c>
      <c r="AL39" s="111" t="n"/>
      <c r="AM39" s="111" t="n"/>
      <c r="AN39" s="111" t="n"/>
      <c r="AO39" s="111" t="n"/>
      <c r="AP39" s="111" t="n"/>
      <c r="AQ39" s="111" t="n"/>
      <c r="AR39" s="111" t="n"/>
      <c r="AS39" s="111" t="n"/>
      <c r="AT39" s="111" t="n"/>
      <c r="AU39" s="111" t="n"/>
      <c r="AV39" s="111" t="n"/>
      <c r="AW39" s="111" t="n"/>
      <c r="AX39" s="111" t="n"/>
      <c r="AY39" s="111" t="n"/>
      <c r="AZ39" s="111" t="n"/>
      <c r="BA39" s="111" t="n"/>
      <c r="BB39" s="111" t="n"/>
      <c r="BC39" s="111" t="n"/>
      <c r="BD39" s="111" t="n"/>
      <c r="BE39" s="111" t="n"/>
      <c r="BF39" s="111" t="n"/>
      <c r="BG39" s="111" t="n"/>
      <c r="BH39" s="111" t="n"/>
      <c r="BI39" s="111" t="n"/>
      <c r="BJ39" s="111" t="n"/>
      <c r="BK39" s="111" t="n"/>
      <c r="BL39" s="111" t="n"/>
      <c r="BM39" s="111" t="n"/>
      <c r="BN39" s="111" t="n"/>
      <c r="BO39" s="111" t="n"/>
      <c r="BP39" s="111" t="n"/>
      <c r="BQ39" s="111" t="n"/>
      <c r="BR39" s="111" t="n"/>
      <c r="BS39" s="111" t="n"/>
      <c r="BT39" s="111" t="n"/>
      <c r="BU39" s="111" t="n"/>
      <c r="BV39" s="111" t="n"/>
      <c r="BW39" s="111" t="n"/>
      <c r="BX39" s="111" t="n"/>
      <c r="BY39" s="111" t="n"/>
      <c r="BZ39" s="111" t="n"/>
      <c r="CA39" s="111" t="n"/>
      <c r="CB39" s="111" t="n"/>
      <c r="CC39" s="111" t="n"/>
      <c r="CD39" s="111" t="n"/>
      <c r="CE39" s="111" t="n"/>
      <c r="CF39" s="111" t="n"/>
      <c r="CG39" s="111" t="n"/>
      <c r="CH39" s="111" t="n"/>
      <c r="CI39" s="111" t="n"/>
      <c r="CJ39" s="111" t="n"/>
      <c r="CK39" s="111" t="n"/>
      <c r="CL39" s="111" t="n"/>
      <c r="CM39" s="111" t="n"/>
      <c r="CN39" s="111" t="n"/>
      <c r="CO39" s="111" t="n"/>
      <c r="CP39" s="111" t="n"/>
      <c r="CQ39" s="111" t="n"/>
      <c r="CR39" s="111" t="n"/>
      <c r="CS39" s="111" t="n"/>
      <c r="CT39" s="111" t="n"/>
      <c r="CU39" s="111" t="n"/>
      <c r="CV39" s="111" t="n"/>
      <c r="CW39" s="111" t="n"/>
      <c r="CX39" s="111" t="n"/>
    </row>
    <row r="40" outlineLevel="2" ht="12" customHeight="1">
      <c r="A40" s="96" t="n"/>
      <c r="B40" s="96" t="n"/>
      <c r="C40" s="96" t="n">
        <v>3</v>
      </c>
      <c r="D40" s="313" t="inlineStr">
        <is>
          <t>1.1.5</t>
        </is>
      </c>
      <c r="E40" s="97" t="n"/>
      <c r="F40" s="97" t="n"/>
      <c r="G40" s="97" t="inlineStr">
        <is>
          <t>[아키텍처]</t>
        </is>
      </c>
      <c r="H40" s="97" t="n"/>
      <c r="I40" s="97" t="n"/>
      <c r="J40" s="97" t="n"/>
      <c r="K40" s="97" t="n"/>
      <c r="L40" s="97" t="n"/>
      <c r="M40" s="97" t="n"/>
      <c r="N40" s="97" t="n"/>
      <c r="O40" s="97" t="n"/>
      <c r="P40" s="249" t="n">
        <v>46086</v>
      </c>
      <c r="Q40" s="249" t="n">
        <v>46173</v>
      </c>
      <c r="R40" s="97" t="n"/>
      <c r="S40" s="311" t="n"/>
      <c r="T40" s="311" t="n"/>
      <c r="U40" s="311" t="n"/>
      <c r="V40" s="311" t="n"/>
      <c r="W40" s="249" t="n"/>
      <c r="X40" s="249" t="n"/>
      <c r="Y40" s="312" t="n"/>
      <c r="Z40" s="99" t="n"/>
      <c r="AA40" s="311" t="n"/>
      <c r="AB40" s="238" t="inlineStr">
        <is>
          <t>조영훈</t>
        </is>
      </c>
      <c r="AC40" s="97" t="n"/>
      <c r="AD40" s="225" t="n"/>
      <c r="AE40" s="241" t="n"/>
      <c r="AF40" s="110" t="n"/>
      <c r="AG40" s="111" t="n"/>
      <c r="AH40" s="111" t="n"/>
      <c r="AI40" s="111" t="n"/>
      <c r="AJ40" s="111" t="n"/>
      <c r="AK40" s="111">
        <f>"      " &amp; TEXT(AE40,"#0.00%") &amp; " " &amp; "[아키텍처]" &amp; "(조영훈)" &amp; " " &amp; IF(P40="","",TEXT(P40,"M/D-")) &amp; IF(Q40="","",TEXT(Q40,"M/D")) &amp; " "</f>
        <v/>
      </c>
      <c r="AL40" s="111" t="n"/>
      <c r="AM40" s="111" t="n"/>
      <c r="AN40" s="111">
        <f>"     " &amp; TEXT(AE40,"#0.00%") &amp; " "</f>
        <v/>
      </c>
      <c r="AO40" s="111" t="n"/>
      <c r="AP40" s="111" t="n"/>
      <c r="AQ40" s="111" t="n"/>
      <c r="AR40" s="111" t="n"/>
      <c r="AS40" s="111">
        <f>" " &amp; "Phase B: Snowflake 적재 (대기 중)" &amp; "(조영훈)" &amp; " " &amp; IF(P40="","",TEXT(P40,"M/D-")) &amp; IF(Q40="","",TEXT(Q40,"M/D")) &amp; " "</f>
        <v/>
      </c>
      <c r="AT40" s="111" t="n"/>
      <c r="AU40" s="111" t="n"/>
      <c r="AV40" s="111" t="n"/>
      <c r="AW40" s="111" t="n"/>
      <c r="AX40" s="111" t="n"/>
      <c r="AY40" s="111" t="n"/>
      <c r="AZ40" s="111" t="n"/>
      <c r="BA40" s="111" t="n"/>
      <c r="BB40" s="111" t="n"/>
      <c r="BC40" s="111" t="n"/>
      <c r="BD40" s="111" t="n"/>
      <c r="BE40" s="111" t="n"/>
      <c r="BF40" s="111" t="n"/>
      <c r="BG40" s="111" t="n"/>
      <c r="BH40" s="111" t="n"/>
      <c r="BI40" s="111" t="n"/>
      <c r="BJ40" s="111" t="n"/>
      <c r="BK40" s="111" t="n"/>
      <c r="BL40" s="111" t="n"/>
      <c r="BM40" s="111" t="n"/>
      <c r="BN40" s="111" t="n"/>
      <c r="BO40" s="111" t="n"/>
      <c r="BP40" s="111" t="n"/>
      <c r="BQ40" s="111" t="n"/>
      <c r="BR40" s="111" t="n"/>
      <c r="BS40" s="111" t="n"/>
      <c r="BT40" s="111" t="n"/>
      <c r="BU40" s="111" t="n"/>
      <c r="BV40" s="111" t="n"/>
      <c r="BW40" s="111" t="n"/>
      <c r="BX40" s="111" t="n"/>
      <c r="BY40" s="111" t="n"/>
      <c r="BZ40" s="111" t="n"/>
      <c r="CA40" s="111" t="n"/>
      <c r="CB40" s="111" t="n"/>
      <c r="CC40" s="111" t="n"/>
      <c r="CD40" s="111" t="n"/>
      <c r="CE40" s="111" t="n"/>
      <c r="CF40" s="111" t="n"/>
      <c r="CG40" s="111" t="n"/>
      <c r="CH40" s="111" t="n"/>
      <c r="CI40" s="111" t="n"/>
      <c r="CJ40" s="111" t="n"/>
      <c r="CK40" s="111" t="n"/>
      <c r="CL40" s="111" t="n"/>
      <c r="CM40" s="111" t="n"/>
      <c r="CN40" s="111" t="n"/>
      <c r="CO40" s="111" t="n"/>
      <c r="CP40" s="111" t="n"/>
      <c r="CQ40" s="111" t="n"/>
      <c r="CR40" s="111" t="n"/>
      <c r="CS40" s="111" t="n"/>
      <c r="CT40" s="111" t="n"/>
      <c r="CU40" s="111" t="n"/>
      <c r="CV40" s="111" t="n"/>
      <c r="CW40" s="111" t="n"/>
      <c r="CX40" s="111" t="n"/>
    </row>
    <row r="41" outlineLevel="3" ht="12" customHeight="1">
      <c r="A41" s="96" t="n"/>
      <c r="B41" s="96" t="n"/>
      <c r="C41" s="96" t="n">
        <v>4</v>
      </c>
      <c r="D41" s="313" t="inlineStr">
        <is>
          <t>1.1.5.1</t>
        </is>
      </c>
      <c r="E41" s="97" t="n"/>
      <c r="F41" s="97" t="n"/>
      <c r="G41" s="97" t="n"/>
      <c r="H41" s="97" t="inlineStr">
        <is>
          <t>GitHub Actions 활용 자동화 작업</t>
        </is>
      </c>
      <c r="I41" s="97" t="n"/>
      <c r="J41" s="97" t="n"/>
      <c r="K41" s="97" t="n"/>
      <c r="L41" s="97" t="n"/>
      <c r="M41" s="97" t="n"/>
      <c r="N41" s="97" t="n"/>
      <c r="O41" s="97" t="inlineStr">
        <is>
          <t>external_data_refresh.yml</t>
        </is>
      </c>
      <c r="P41" s="249" t="n">
        <v>46086</v>
      </c>
      <c r="Q41" s="249" t="n">
        <v>46134</v>
      </c>
      <c r="R41" s="97" t="n"/>
      <c r="S41" s="311" t="n"/>
      <c r="T41" s="311" t="n"/>
      <c r="U41" s="311" t="n">
        <v>35</v>
      </c>
      <c r="V41" s="311" t="n">
        <v>35</v>
      </c>
      <c r="W41" s="249" t="n"/>
      <c r="X41" s="249" t="n"/>
      <c r="Y41" s="312" t="n"/>
      <c r="Z41" s="99" t="n"/>
      <c r="AA41" s="311" t="n"/>
      <c r="AB41" s="238" t="inlineStr">
        <is>
          <t>조영훈</t>
        </is>
      </c>
      <c r="AC41" s="97" t="n"/>
      <c r="AD41" s="225" t="n"/>
      <c r="AE41" s="237" t="n">
        <v>1</v>
      </c>
      <c r="AF41" s="110" t="n"/>
      <c r="AG41" s="111" t="n"/>
      <c r="AH41" s="111" t="n"/>
      <c r="AI41" s="111" t="n"/>
      <c r="AJ41" s="111" t="n"/>
      <c r="AK41" s="111">
        <f>"      " &amp; TEXT(AE41,"#0.00%") &amp; " " &amp; "GitHub Actions 활용 자동화 작업" &amp; "(조영훈)" &amp; " " &amp; IF(P41="","",TEXT(P41,"M/D-")) &amp; IF(Q41="","",TEXT(Q41,"M/D")) &amp; " "</f>
        <v/>
      </c>
      <c r="AL41" s="111" t="n"/>
      <c r="AM41" s="111" t="n"/>
      <c r="AN41" s="111">
        <f>"     " &amp; TEXT(AE41,"#0.00%") &amp; " " &amp; "Snowflake Secrets 등록 및 연결 테스트" &amp; "(조영훈)" &amp; " " &amp; IF(P41="","",TEXT(P41,"M/D-")) &amp; IF(Q41="","",TEXT(Q41,"M/D")) &amp; " "</f>
        <v/>
      </c>
      <c r="AO41" s="111" t="n"/>
      <c r="AP41" s="111" t="n"/>
      <c r="AQ41" s="111" t="n"/>
      <c r="AR41" s="111" t="n"/>
      <c r="AS41" s="111" t="n"/>
      <c r="AT41" s="111" t="n"/>
      <c r="AU41" s="111" t="n"/>
      <c r="AV41" s="111" t="n"/>
      <c r="AW41" s="111" t="n"/>
      <c r="AX41" s="111" t="n"/>
      <c r="AY41" s="111" t="n"/>
      <c r="AZ41" s="111" t="n"/>
      <c r="BA41" s="111" t="n"/>
      <c r="BB41" s="111" t="n"/>
      <c r="BC41" s="111" t="n"/>
      <c r="BD41" s="111" t="n"/>
      <c r="BE41" s="111" t="n"/>
      <c r="BF41" s="111" t="n"/>
      <c r="BG41" s="111" t="n"/>
      <c r="BH41" s="111" t="n"/>
      <c r="BI41" s="111" t="n"/>
      <c r="BJ41" s="111" t="n"/>
      <c r="BK41" s="111" t="n"/>
      <c r="BL41" s="111" t="n"/>
      <c r="BM41" s="111" t="n"/>
      <c r="BN41" s="111" t="n"/>
      <c r="BO41" s="111" t="n"/>
      <c r="BP41" s="111" t="n"/>
      <c r="BQ41" s="111" t="n"/>
      <c r="BR41" s="111" t="n"/>
      <c r="BS41" s="111" t="n"/>
      <c r="BT41" s="111" t="n"/>
      <c r="BU41" s="111" t="n"/>
      <c r="BV41" s="111" t="n"/>
      <c r="BW41" s="111" t="n"/>
      <c r="BX41" s="111" t="n"/>
      <c r="BY41" s="111" t="n"/>
      <c r="BZ41" s="111" t="n"/>
      <c r="CA41" s="111" t="n"/>
      <c r="CB41" s="111" t="n"/>
      <c r="CC41" s="111" t="n"/>
      <c r="CD41" s="111" t="n"/>
      <c r="CE41" s="111" t="n"/>
      <c r="CF41" s="111" t="n"/>
      <c r="CG41" s="111" t="n"/>
      <c r="CH41" s="111" t="n"/>
      <c r="CI41" s="111" t="n"/>
      <c r="CJ41" s="111" t="n"/>
      <c r="CK41" s="111" t="n"/>
      <c r="CL41" s="111" t="n"/>
      <c r="CM41" s="111" t="n"/>
      <c r="CN41" s="111" t="n"/>
      <c r="CO41" s="111" t="n"/>
      <c r="CP41" s="111" t="n"/>
      <c r="CQ41" s="111" t="n"/>
      <c r="CR41" s="111" t="n"/>
      <c r="CS41" s="111" t="n"/>
      <c r="CT41" s="111" t="n"/>
      <c r="CU41" s="111" t="n"/>
      <c r="CV41" s="111" t="n"/>
      <c r="CW41" s="111" t="n"/>
      <c r="CX41" s="111" t="n"/>
    </row>
    <row r="42" outlineLevel="3" ht="12" customHeight="1">
      <c r="A42" s="96" t="n"/>
      <c r="B42" s="96" t="n"/>
      <c r="C42" s="96" t="n">
        <v>4</v>
      </c>
      <c r="D42" s="313" t="inlineStr">
        <is>
          <t>1.1.5.2</t>
        </is>
      </c>
      <c r="E42" s="97" t="n"/>
      <c r="F42" s="97" t="n"/>
      <c r="G42" s="97" t="n"/>
      <c r="H42" s="97" t="inlineStr">
        <is>
          <t>Phase B: Snowflake 적재 (대기 중)</t>
        </is>
      </c>
      <c r="I42" s="97" t="n"/>
      <c r="J42" s="97" t="n"/>
      <c r="K42" s="97" t="n"/>
      <c r="L42" s="97" t="n"/>
      <c r="M42" s="97" t="n"/>
      <c r="N42" s="97" t="n"/>
      <c r="O42" s="97" t="inlineStr">
        <is>
          <t>snowflake_loader.py + DDL</t>
        </is>
      </c>
      <c r="P42" s="249" t="n">
        <v>46143</v>
      </c>
      <c r="Q42" s="249" t="n">
        <v>46173</v>
      </c>
      <c r="R42" s="97" t="n"/>
      <c r="S42" s="311" t="n"/>
      <c r="T42" s="311" t="n"/>
      <c r="U42" s="311" t="n">
        <v>19</v>
      </c>
      <c r="V42" s="311" t="n">
        <v>19</v>
      </c>
      <c r="W42" s="249" t="n"/>
      <c r="X42" s="249" t="n"/>
      <c r="Y42" s="312" t="n"/>
      <c r="Z42" s="99" t="n"/>
      <c r="AA42" s="311" t="n"/>
      <c r="AB42" s="238" t="inlineStr">
        <is>
          <t>조영훈</t>
        </is>
      </c>
      <c r="AC42" s="97" t="n"/>
      <c r="AD42" s="225" t="n"/>
      <c r="AE42" s="237" t="n">
        <v>0</v>
      </c>
      <c r="AF42" s="110" t="n"/>
      <c r="AG42" s="111" t="n"/>
      <c r="AH42" s="111" t="n"/>
      <c r="AI42" s="111" t="n"/>
      <c r="AJ42" s="111" t="n"/>
      <c r="AK42" s="111">
        <f>"      " &amp; TEXT(AE42,"#0.00%") &amp; " " &amp; "Phase B: Snowflake 적재 (대기 중)" &amp; "(조영훈)" &amp; " " &amp; IF(P42="","",TEXT(P42,"M/D-")) &amp; IF(Q42="","",TEXT(Q42,"M/D")) &amp; " "</f>
        <v/>
      </c>
      <c r="AL42" s="111" t="n"/>
      <c r="AM42" s="111" t="n"/>
      <c r="AN42" s="111" t="n"/>
      <c r="AO42" s="111">
        <f>"    " &amp; TEXT(AE42,"#0.00%") &amp; " " &amp; "RAW 테이블 DDL 실행 (idempotent)" &amp; "(조영훈)" &amp; " " &amp; IF(P42="","",TEXT(P42,"M/D-")) &amp; IF(Q42="","",TEXT(Q42,"M/D")) &amp; " "</f>
        <v/>
      </c>
      <c r="AP42" s="111" t="n"/>
      <c r="AQ42" s="111" t="n"/>
      <c r="AR42" s="111" t="n"/>
      <c r="AS42" s="111" t="n"/>
      <c r="AT42" s="111" t="n"/>
      <c r="AU42" s="111" t="n"/>
      <c r="AV42" s="111" t="n"/>
      <c r="AW42" s="111" t="n"/>
      <c r="AX42" s="111" t="n"/>
      <c r="AY42" s="111" t="n"/>
      <c r="AZ42" s="111" t="n"/>
      <c r="BA42" s="111" t="n"/>
      <c r="BB42" s="111" t="n"/>
      <c r="BC42" s="111" t="n"/>
      <c r="BD42" s="111" t="n"/>
      <c r="BE42" s="111" t="n"/>
      <c r="BF42" s="111" t="n"/>
      <c r="BG42" s="111" t="n"/>
      <c r="BH42" s="111" t="n"/>
      <c r="BI42" s="111" t="n"/>
      <c r="BJ42" s="111" t="n"/>
      <c r="BK42" s="111" t="n"/>
      <c r="BL42" s="111" t="n"/>
      <c r="BM42" s="111" t="n"/>
      <c r="BN42" s="111" t="n"/>
      <c r="BO42" s="111" t="n"/>
      <c r="BP42" s="111" t="n"/>
      <c r="BQ42" s="111" t="n"/>
      <c r="BR42" s="111" t="n"/>
      <c r="BS42" s="111" t="n"/>
      <c r="BT42" s="111" t="n"/>
      <c r="BU42" s="111" t="n"/>
      <c r="BV42" s="111" t="n"/>
      <c r="BW42" s="111" t="n"/>
      <c r="BX42" s="111" t="n"/>
      <c r="BY42" s="111" t="n"/>
      <c r="BZ42" s="111" t="n"/>
      <c r="CA42" s="111" t="n"/>
      <c r="CB42" s="111" t="n"/>
      <c r="CC42" s="111" t="n"/>
      <c r="CD42" s="111" t="n"/>
      <c r="CE42" s="111" t="n"/>
      <c r="CF42" s="111" t="n"/>
      <c r="CG42" s="111" t="n"/>
      <c r="CH42" s="111" t="n"/>
      <c r="CI42" s="111" t="n"/>
      <c r="CJ42" s="111" t="n"/>
      <c r="CK42" s="111" t="n"/>
      <c r="CL42" s="111" t="n"/>
      <c r="CM42" s="111" t="n"/>
      <c r="CN42" s="111" t="n"/>
      <c r="CO42" s="111" t="n"/>
      <c r="CP42" s="111" t="n"/>
      <c r="CQ42" s="111" t="n"/>
      <c r="CR42" s="111" t="n"/>
      <c r="CS42" s="111" t="n"/>
      <c r="CT42" s="111" t="n"/>
      <c r="CU42" s="111" t="n"/>
      <c r="CV42" s="111" t="n"/>
      <c r="CW42" s="111" t="n"/>
      <c r="CX42" s="111" t="n"/>
    </row>
    <row r="43" outlineLevel="3" ht="12" customHeight="1">
      <c r="A43" s="96" t="n"/>
      <c r="B43" s="96" t="inlineStr">
        <is>
          <t>G</t>
        </is>
      </c>
      <c r="C43" s="96" t="n">
        <v>2</v>
      </c>
      <c r="D43" s="313" t="inlineStr">
        <is>
          <t>1.2</t>
        </is>
      </c>
      <c r="E43" s="97" t="n"/>
      <c r="F43" s="97" t="inlineStr">
        <is>
          <t>Phase 2: G1 변수 중요도·알림 시스템</t>
        </is>
      </c>
      <c r="G43" s="97" t="n"/>
      <c r="H43" s="97" t="n"/>
      <c r="I43" s="97" t="n"/>
      <c r="J43" s="97" t="n"/>
      <c r="K43" s="97" t="n"/>
      <c r="L43" s="97" t="n"/>
      <c r="M43" s="97" t="n"/>
      <c r="N43" s="97" t="n"/>
      <c r="O43" s="97" t="inlineStr">
        <is>
          <t>G1 SHAP 대시보드 + 알림 시스템</t>
        </is>
      </c>
      <c r="P43" s="249" t="n">
        <v>46174</v>
      </c>
      <c r="Q43" s="249" t="n">
        <v>46265</v>
      </c>
      <c r="R43" s="97" t="n"/>
      <c r="S43" s="311" t="n"/>
      <c r="T43" s="311" t="n"/>
      <c r="U43" s="311" t="n">
        <v>63</v>
      </c>
      <c r="V43" s="311" t="n">
        <v>63</v>
      </c>
      <c r="W43" s="249" t="n"/>
      <c r="X43" s="249" t="n"/>
      <c r="Y43" s="312" t="n"/>
      <c r="Z43" s="99" t="n"/>
      <c r="AA43" s="311" t="n"/>
      <c r="AB43" s="238" t="inlineStr">
        <is>
          <t>조영훈</t>
        </is>
      </c>
      <c r="AC43" s="97" t="n"/>
      <c r="AD43" s="225" t="n"/>
      <c r="AE43" s="237" t="n">
        <v>0</v>
      </c>
      <c r="AF43" s="110" t="n"/>
      <c r="AG43" s="111" t="n"/>
      <c r="AH43" s="111" t="n"/>
      <c r="AI43" s="111" t="n"/>
      <c r="AJ43" s="111" t="n"/>
      <c r="AK43" s="111">
        <f>"      " &amp; TEXT(AE43,"#0.00%") &amp; " " &amp; "Phase 2: G1 변수 중요도·알림 시스템" &amp; "(조영훈)" &amp; " " &amp; IF(P43="","",TEXT(P43,"M/D-")) &amp; IF(Q43="","",TEXT(Q43,"M/D")) &amp; " "</f>
        <v/>
      </c>
      <c r="AL43" s="111" t="n"/>
      <c r="AM43" s="111" t="n"/>
      <c r="AN43" s="111" t="n"/>
      <c r="AO43" s="111" t="n"/>
      <c r="AP43" s="111">
        <f>"    " &amp; TEXT(AE43,"#0.00%") &amp; " " &amp; "snowflake_loader.py 검증 및 배포" &amp; "(조영훈)" &amp; " " &amp; IF(P43="","",TEXT(P43,"M/D-")) &amp; IF(Q43="","",TEXT(Q43,"M/D")) &amp; " "</f>
        <v/>
      </c>
      <c r="AQ43" s="111" t="n"/>
      <c r="AR43" s="111" t="n"/>
      <c r="AS43" s="111" t="n"/>
      <c r="AT43" s="111" t="n"/>
      <c r="AU43" s="111" t="n"/>
      <c r="AV43" s="111" t="n"/>
      <c r="AW43" s="111" t="n"/>
      <c r="AX43" s="111" t="n"/>
      <c r="AY43" s="111" t="n"/>
      <c r="AZ43" s="111" t="n"/>
      <c r="BA43" s="111" t="n"/>
      <c r="BB43" s="111" t="n"/>
      <c r="BC43" s="111" t="n"/>
      <c r="BD43" s="111" t="n"/>
      <c r="BE43" s="111" t="n"/>
      <c r="BF43" s="111" t="n"/>
      <c r="BG43" s="111" t="n"/>
      <c r="BH43" s="111" t="n"/>
      <c r="BI43" s="111" t="n"/>
      <c r="BJ43" s="111" t="n"/>
      <c r="BK43" s="111" t="n"/>
      <c r="BL43" s="111" t="n"/>
      <c r="BM43" s="111" t="n"/>
      <c r="BN43" s="111" t="n"/>
      <c r="BO43" s="111" t="n"/>
      <c r="BP43" s="111" t="n"/>
      <c r="BQ43" s="111" t="n"/>
      <c r="BR43" s="111" t="n"/>
      <c r="BS43" s="111" t="n"/>
      <c r="BT43" s="111" t="n"/>
      <c r="BU43" s="111" t="n"/>
      <c r="BV43" s="111" t="n"/>
      <c r="BW43" s="111" t="n"/>
      <c r="BX43" s="111" t="n"/>
      <c r="BY43" s="111" t="n"/>
      <c r="BZ43" s="111" t="n"/>
      <c r="CA43" s="111" t="n"/>
      <c r="CB43" s="111" t="n"/>
      <c r="CC43" s="111" t="n"/>
      <c r="CD43" s="111" t="n"/>
      <c r="CE43" s="111" t="n"/>
      <c r="CF43" s="111" t="n"/>
      <c r="CG43" s="111" t="n"/>
      <c r="CH43" s="111" t="n"/>
      <c r="CI43" s="111" t="n"/>
      <c r="CJ43" s="111" t="n"/>
      <c r="CK43" s="111" t="n"/>
      <c r="CL43" s="111" t="n"/>
      <c r="CM43" s="111" t="n"/>
      <c r="CN43" s="111" t="n"/>
      <c r="CO43" s="111" t="n"/>
      <c r="CP43" s="111" t="n"/>
      <c r="CQ43" s="111" t="n"/>
      <c r="CR43" s="111" t="n"/>
      <c r="CS43" s="111" t="n"/>
      <c r="CT43" s="111" t="n"/>
      <c r="CU43" s="111" t="n"/>
      <c r="CV43" s="111" t="n"/>
      <c r="CW43" s="111" t="n"/>
      <c r="CX43" s="111" t="n"/>
    </row>
    <row r="44" outlineLevel="1" ht="12" customHeight="1">
      <c r="A44" s="96" t="n"/>
      <c r="B44" s="96" t="n"/>
      <c r="C44" s="96" t="n">
        <v>3</v>
      </c>
      <c r="D44" s="313" t="inlineStr">
        <is>
          <t>1.2.1</t>
        </is>
      </c>
      <c r="E44" s="97" t="n"/>
      <c r="F44" s="97" t="n"/>
      <c r="G44" s="97" t="inlineStr">
        <is>
          <t>[데이터수집]</t>
        </is>
      </c>
      <c r="H44" s="97" t="n"/>
      <c r="I44" s="97" t="n"/>
      <c r="J44" s="97" t="n"/>
      <c r="K44" s="97" t="n"/>
      <c r="L44" s="97" t="n"/>
      <c r="M44" s="97" t="n"/>
      <c r="N44" s="97" t="n"/>
      <c r="O44" s="97" t="n"/>
      <c r="P44" s="249" t="n">
        <v>46237</v>
      </c>
      <c r="Q44" s="249" t="n">
        <v>46237</v>
      </c>
      <c r="R44" s="97" t="n"/>
      <c r="S44" s="311" t="n"/>
      <c r="T44" s="311" t="n"/>
      <c r="U44" s="311" t="n"/>
      <c r="V44" s="311" t="n"/>
      <c r="W44" s="249" t="n"/>
      <c r="X44" s="249" t="n"/>
      <c r="Y44" s="312" t="n"/>
      <c r="Z44" s="99" t="n"/>
      <c r="AA44" s="311" t="n"/>
      <c r="AB44" s="238" t="inlineStr">
        <is>
          <t>조영훈</t>
        </is>
      </c>
      <c r="AC44" s="97" t="n"/>
      <c r="AD44" s="225" t="n"/>
      <c r="AE44" s="241" t="n"/>
      <c r="AF44" s="110" t="n"/>
      <c r="AG44" s="111" t="n"/>
      <c r="AH44" s="111" t="n"/>
      <c r="AI44" s="111" t="n"/>
      <c r="AJ44" s="111" t="n"/>
      <c r="AK44" s="111">
        <f>"      " &amp; TEXT(AE44,"#0.00%") &amp; " " &amp; "[데이터수집]" &amp; "(조영훈)" &amp; " " &amp; IF(P44="","",TEXT(P44,"M/D-")) &amp; IF(Q44="","",TEXT(Q44,"M/D")) &amp; " "</f>
        <v/>
      </c>
      <c r="AL44" s="111" t="n"/>
      <c r="AM44" s="111" t="n"/>
      <c r="AN44" s="111" t="n"/>
      <c r="AO44" s="111" t="n"/>
      <c r="AP44" s="111" t="n"/>
      <c r="AQ44" s="111" t="n"/>
      <c r="AR44" s="111" t="n"/>
      <c r="AS44" s="111">
        <f>" " &amp; TEXT(AE44,"#0.00%") &amp; " "</f>
        <v/>
      </c>
      <c r="AT44" s="111" t="n"/>
      <c r="AU44" s="111" t="n"/>
      <c r="AV44" s="111" t="n"/>
      <c r="AW44" s="111" t="n"/>
      <c r="AX44" s="111" t="n"/>
      <c r="AY44" s="111" t="n"/>
      <c r="AZ44" s="111" t="n"/>
      <c r="BA44" s="111" t="n"/>
      <c r="BB44" s="111" t="n"/>
      <c r="BC44" s="111" t="n"/>
      <c r="BD44" s="111" t="n"/>
      <c r="BE44" s="111" t="n"/>
      <c r="BF44" s="111">
        <f>"  " &amp; "Phase 2: G1 변수 중요도·알림 시스템" &amp; "(조영훈)" &amp; " " &amp; IF(P44="","",TEXT(P44,"M/D-")) &amp; IF(Q44="","",TEXT(Q44,"M/D")) &amp; " "</f>
        <v/>
      </c>
      <c r="BG44" s="111" t="n"/>
      <c r="BH44" s="111" t="n"/>
      <c r="BI44" s="111" t="n"/>
      <c r="BJ44" s="111" t="n"/>
      <c r="BK44" s="111" t="n"/>
      <c r="BL44" s="111" t="n"/>
      <c r="BM44" s="111" t="n"/>
      <c r="BN44" s="111" t="n"/>
      <c r="BO44" s="111" t="n"/>
      <c r="BP44" s="111" t="n"/>
      <c r="BQ44" s="111" t="n"/>
      <c r="BR44" s="111" t="n"/>
      <c r="BS44" s="111" t="n"/>
      <c r="BT44" s="111" t="n"/>
      <c r="BU44" s="111" t="n"/>
      <c r="BV44" s="111" t="n"/>
      <c r="BW44" s="111" t="n"/>
      <c r="BX44" s="111" t="n"/>
      <c r="BY44" s="111" t="n"/>
      <c r="BZ44" s="111" t="n"/>
      <c r="CA44" s="111" t="n"/>
      <c r="CB44" s="111" t="n"/>
      <c r="CC44" s="111" t="n"/>
      <c r="CD44" s="111" t="n"/>
      <c r="CE44" s="111" t="n"/>
      <c r="CF44" s="111" t="n"/>
      <c r="CG44" s="111" t="n"/>
      <c r="CH44" s="111" t="n"/>
      <c r="CI44" s="111" t="n"/>
      <c r="CJ44" s="111" t="n"/>
      <c r="CK44" s="111" t="n"/>
      <c r="CL44" s="111" t="n"/>
      <c r="CM44" s="111" t="n"/>
      <c r="CN44" s="111" t="n"/>
      <c r="CO44" s="111" t="n"/>
      <c r="CP44" s="111" t="n"/>
      <c r="CQ44" s="111" t="n"/>
      <c r="CR44" s="111" t="n"/>
      <c r="CS44" s="111" t="n"/>
      <c r="CT44" s="111" t="n"/>
      <c r="CU44" s="111" t="n"/>
      <c r="CV44" s="111" t="n"/>
      <c r="CW44" s="111" t="n"/>
      <c r="CX44" s="111" t="n"/>
    </row>
    <row r="45" outlineLevel="2" ht="12" customHeight="1">
      <c r="A45" s="96" t="n"/>
      <c r="B45" s="96" t="n"/>
      <c r="C45" s="96" t="n">
        <v>4</v>
      </c>
      <c r="D45" s="314" t="inlineStr">
        <is>
          <t>1.2.1.1</t>
        </is>
      </c>
      <c r="E45" s="97" t="n"/>
      <c r="F45" s="97" t="n"/>
      <c r="G45" s="97" t="n"/>
      <c r="H45" s="97" t="inlineStr">
        <is>
          <t>알림 트리거 로직 (2σ 임계값)</t>
        </is>
      </c>
      <c r="I45" s="97" t="n"/>
      <c r="J45" s="97" t="n"/>
      <c r="K45" s="97" t="n"/>
      <c r="L45" s="97" t="n"/>
      <c r="M45" s="97" t="n"/>
      <c r="N45" s="97" t="n"/>
      <c r="O45" s="97" t="inlineStr">
        <is>
          <t>src/risk/alert_engine.py</t>
        </is>
      </c>
      <c r="P45" s="249" t="n">
        <v>46237</v>
      </c>
      <c r="Q45" s="249" t="n">
        <v>46237</v>
      </c>
      <c r="R45" s="97" t="n"/>
      <c r="S45" s="311" t="n"/>
      <c r="T45" s="311" t="n"/>
      <c r="U45" s="311" t="n">
        <v>14</v>
      </c>
      <c r="V45" s="311" t="n">
        <v>10</v>
      </c>
      <c r="W45" s="249" t="n"/>
      <c r="X45" s="249" t="n"/>
      <c r="Y45" s="312" t="n"/>
      <c r="Z45" s="99" t="n"/>
      <c r="AA45" s="311" t="n"/>
      <c r="AB45" s="238" t="inlineStr">
        <is>
          <t>조영훈</t>
        </is>
      </c>
      <c r="AC45" s="97" t="n"/>
      <c r="AD45" s="225" t="n"/>
      <c r="AE45" s="237" t="n">
        <v>0</v>
      </c>
      <c r="AF45" s="110" t="n"/>
      <c r="AG45" s="111" t="n"/>
      <c r="AH45" s="111" t="n"/>
      <c r="AI45" s="111" t="n"/>
      <c r="AJ45" s="111" t="n"/>
      <c r="AK45" s="111">
        <f>"      " &amp; TEXT(AE45,"#0.00%") &amp; " " &amp; "알림 트리거 로직 (2σ 임계값)" &amp; "(조영훈)" &amp; " " &amp; IF(P45="","",TEXT(P45,"M/D-")) &amp; IF(Q45="","",TEXT(Q45,"M/D")) &amp; " "</f>
        <v/>
      </c>
      <c r="AL45" s="111" t="n"/>
      <c r="AM45" s="111" t="n"/>
      <c r="AN45" s="111" t="n"/>
      <c r="AO45" s="111" t="n"/>
      <c r="AP45" s="111" t="n"/>
      <c r="AQ45" s="111" t="n"/>
      <c r="AR45" s="111" t="n"/>
      <c r="AS45" s="111">
        <f>" " &amp; TEXT(AE45,"#0.00%") &amp; " "</f>
        <v/>
      </c>
      <c r="AT45" s="111" t="n"/>
      <c r="AU45" s="111" t="n"/>
      <c r="AV45" s="111">
        <f>" " &amp; "LASSO 피처 선택" &amp; "(조영훈)" &amp; " " &amp; IF(P45="","",TEXT(P45,"M/D-")) &amp; IF(Q45="","",TEXT(Q45,"M/D")) &amp; " "</f>
        <v/>
      </c>
      <c r="AW45" s="111" t="n"/>
      <c r="AX45" s="111" t="n"/>
      <c r="AY45" s="111" t="n"/>
      <c r="AZ45" s="111" t="n"/>
      <c r="BA45" s="111" t="n"/>
      <c r="BB45" s="111" t="n"/>
      <c r="BC45" s="111" t="n"/>
      <c r="BD45" s="111" t="n"/>
      <c r="BE45" s="111" t="n"/>
      <c r="BF45" s="111" t="n"/>
      <c r="BG45" s="111" t="n"/>
      <c r="BH45" s="111" t="n"/>
      <c r="BI45" s="111" t="n"/>
      <c r="BJ45" s="111" t="n"/>
      <c r="BK45" s="111" t="n"/>
      <c r="BL45" s="111" t="n"/>
      <c r="BM45" s="111" t="n"/>
      <c r="BN45" s="111" t="n"/>
      <c r="BO45" s="111" t="n"/>
      <c r="BP45" s="111" t="n"/>
      <c r="BQ45" s="111" t="n"/>
      <c r="BR45" s="111" t="n"/>
      <c r="BS45" s="111" t="n"/>
      <c r="BT45" s="111" t="n"/>
      <c r="BU45" s="111" t="n"/>
      <c r="BV45" s="111" t="n"/>
      <c r="BW45" s="111" t="n"/>
      <c r="BX45" s="111" t="n"/>
      <c r="BY45" s="111" t="n"/>
      <c r="BZ45" s="111" t="n"/>
      <c r="CA45" s="111" t="n"/>
      <c r="CB45" s="111" t="n"/>
      <c r="CC45" s="111" t="n"/>
      <c r="CD45" s="111" t="n"/>
      <c r="CE45" s="111" t="n"/>
      <c r="CF45" s="111" t="n"/>
      <c r="CG45" s="111" t="n"/>
      <c r="CH45" s="111" t="n"/>
      <c r="CI45" s="111" t="n"/>
      <c r="CJ45" s="111" t="n"/>
      <c r="CK45" s="111" t="n"/>
      <c r="CL45" s="111" t="n"/>
      <c r="CM45" s="111" t="n"/>
      <c r="CN45" s="111" t="n"/>
      <c r="CO45" s="111" t="n"/>
      <c r="CP45" s="111" t="n"/>
      <c r="CQ45" s="111" t="n"/>
      <c r="CR45" s="111" t="n"/>
      <c r="CS45" s="111" t="n"/>
      <c r="CT45" s="111" t="n"/>
      <c r="CU45" s="111" t="n"/>
      <c r="CV45" s="111" t="n"/>
      <c r="CW45" s="111" t="n"/>
      <c r="CX45" s="111" t="n"/>
    </row>
    <row r="46" outlineLevel="2" ht="12" customHeight="1">
      <c r="A46" s="96" t="n"/>
      <c r="B46" s="96" t="n"/>
      <c r="C46" s="96" t="n">
        <v>3</v>
      </c>
      <c r="D46" s="314" t="inlineStr">
        <is>
          <t>1.2.2</t>
        </is>
      </c>
      <c r="E46" s="97" t="n"/>
      <c r="F46" s="97" t="n"/>
      <c r="G46" s="97" t="inlineStr">
        <is>
          <t>[전처리]</t>
        </is>
      </c>
      <c r="H46" s="97" t="n"/>
      <c r="I46" s="97" t="n"/>
      <c r="J46" s="97" t="n"/>
      <c r="K46" s="97" t="n"/>
      <c r="L46" s="97" t="n"/>
      <c r="M46" s="97" t="n"/>
      <c r="N46" s="97" t="n"/>
      <c r="O46" s="97" t="n"/>
      <c r="P46" s="249" t="n">
        <v>46174</v>
      </c>
      <c r="Q46" s="249" t="n">
        <v>46194</v>
      </c>
      <c r="R46" s="97" t="n"/>
      <c r="S46" s="311" t="n"/>
      <c r="T46" s="311" t="n"/>
      <c r="U46" s="311" t="n"/>
      <c r="V46" s="311" t="n"/>
      <c r="W46" s="249" t="n"/>
      <c r="X46" s="249" t="n"/>
      <c r="Y46" s="312" t="n"/>
      <c r="Z46" s="99" t="n"/>
      <c r="AA46" s="311" t="n"/>
      <c r="AB46" s="238" t="inlineStr">
        <is>
          <t>조영훈</t>
        </is>
      </c>
      <c r="AC46" s="97" t="n"/>
      <c r="AD46" s="225" t="n"/>
      <c r="AE46" s="226" t="n"/>
      <c r="AF46" s="110" t="n"/>
      <c r="AG46" s="111" t="n"/>
      <c r="AH46" s="111" t="n"/>
      <c r="AI46" s="111" t="n"/>
      <c r="AJ46" s="111" t="n"/>
      <c r="AK46" s="111">
        <f>"      " &amp; TEXT(AE46,"#0.00%") &amp; " " &amp; "[전처리]" &amp; "(조영훈)" &amp; " " &amp; IF(P46="","",TEXT(P46,"M/D-")) &amp; IF(Q46="","",TEXT(Q46,"M/D")) &amp; " "</f>
        <v/>
      </c>
      <c r="AL46" s="111" t="n"/>
      <c r="AM46" s="111" t="n"/>
      <c r="AN46" s="111" t="n"/>
      <c r="AO46" s="111" t="n"/>
      <c r="AP46" s="111" t="n"/>
      <c r="AQ46" s="111" t="n"/>
      <c r="AR46" s="111" t="n"/>
      <c r="AS46" s="111" t="n"/>
      <c r="AT46" s="111" t="n"/>
      <c r="AU46" s="111" t="n"/>
      <c r="AV46" s="111">
        <f>" " &amp; TEXT(AE46,"#0.00%") &amp; " "</f>
        <v/>
      </c>
      <c r="AW46" s="111" t="n"/>
      <c r="AX46" s="111" t="n"/>
      <c r="AY46" s="111">
        <f>" " &amp; "XGBoost + SHAP 중요도" &amp; "(조영훈)" &amp; " " &amp; IF(P46="","",TEXT(P46,"M/D-")) &amp; IF(Q46="","",TEXT(Q46,"M/D")) &amp; " "</f>
        <v/>
      </c>
      <c r="AZ46" s="111" t="n"/>
      <c r="BA46" s="111" t="n"/>
      <c r="BB46" s="111" t="n"/>
      <c r="BC46" s="111" t="n"/>
      <c r="BD46" s="111" t="n"/>
      <c r="BE46" s="111" t="n"/>
      <c r="BF46" s="111" t="n"/>
      <c r="BG46" s="111" t="n"/>
      <c r="BH46" s="111" t="n"/>
      <c r="BI46" s="111" t="n"/>
      <c r="BJ46" s="111" t="n"/>
      <c r="BK46" s="111" t="n"/>
      <c r="BL46" s="111" t="n"/>
      <c r="BM46" s="111" t="n"/>
      <c r="BN46" s="111" t="n"/>
      <c r="BO46" s="111" t="n"/>
      <c r="BP46" s="111" t="n"/>
      <c r="BQ46" s="111" t="n"/>
      <c r="BR46" s="111" t="n"/>
      <c r="BS46" s="111" t="n"/>
      <c r="BT46" s="111" t="n"/>
      <c r="BU46" s="111" t="n"/>
      <c r="BV46" s="111" t="n"/>
      <c r="BW46" s="111" t="n"/>
      <c r="BX46" s="111" t="n"/>
      <c r="BY46" s="111" t="n"/>
      <c r="BZ46" s="111" t="n"/>
      <c r="CA46" s="111" t="n"/>
      <c r="CB46" s="111" t="n"/>
      <c r="CC46" s="111" t="n"/>
      <c r="CD46" s="111" t="n"/>
      <c r="CE46" s="111" t="n"/>
      <c r="CF46" s="111" t="n"/>
      <c r="CG46" s="111" t="n"/>
      <c r="CH46" s="111" t="n"/>
      <c r="CI46" s="111" t="n"/>
      <c r="CJ46" s="111" t="n"/>
      <c r="CK46" s="111" t="n"/>
      <c r="CL46" s="111" t="n"/>
      <c r="CM46" s="111" t="n"/>
      <c r="CN46" s="111" t="n"/>
      <c r="CO46" s="111" t="n"/>
      <c r="CP46" s="111" t="n"/>
      <c r="CQ46" s="111" t="n"/>
      <c r="CR46" s="111" t="n"/>
      <c r="CS46" s="111" t="n"/>
      <c r="CT46" s="111" t="n"/>
      <c r="CU46" s="111" t="n"/>
      <c r="CV46" s="111" t="n"/>
      <c r="CW46" s="111" t="n"/>
      <c r="CX46" s="111" t="n"/>
    </row>
    <row r="47" outlineLevel="2" ht="12" customHeight="1">
      <c r="A47" s="96" t="n"/>
      <c r="B47" s="96" t="n"/>
      <c r="C47" s="96" t="n">
        <v>4</v>
      </c>
      <c r="D47" s="314" t="inlineStr">
        <is>
          <t>1.2.2.1</t>
        </is>
      </c>
      <c r="E47" s="97" t="n"/>
      <c r="F47" s="97" t="n"/>
      <c r="G47" s="97" t="n"/>
      <c r="H47" s="97" t="inlineStr">
        <is>
          <t>LASSO 피처 선택</t>
        </is>
      </c>
      <c r="I47" s="97" t="n"/>
      <c r="J47" s="97" t="n"/>
      <c r="K47" s="97" t="n"/>
      <c r="L47" s="97" t="n"/>
      <c r="M47" s="97" t="n"/>
      <c r="N47" s="97" t="n"/>
      <c r="O47" s="97" t="inlineStr">
        <is>
          <t>src/forecasting/feature_selector.py</t>
        </is>
      </c>
      <c r="P47" s="249" t="n">
        <v>46174</v>
      </c>
      <c r="Q47" s="249" t="n">
        <v>46194</v>
      </c>
      <c r="R47" s="97" t="n"/>
      <c r="S47" s="311" t="n"/>
      <c r="T47" s="311" t="n"/>
      <c r="U47" s="311" t="n">
        <v>14</v>
      </c>
      <c r="V47" s="311" t="n">
        <v>11</v>
      </c>
      <c r="W47" s="249" t="n"/>
      <c r="X47" s="249" t="n"/>
      <c r="Y47" s="312" t="n"/>
      <c r="Z47" s="99" t="n"/>
      <c r="AA47" s="311" t="n"/>
      <c r="AB47" s="238" t="inlineStr">
        <is>
          <t>조영훈</t>
        </is>
      </c>
      <c r="AC47" s="97" t="n"/>
      <c r="AD47" s="225" t="n"/>
      <c r="AE47" s="226" t="n">
        <v>0</v>
      </c>
      <c r="AF47" s="110" t="n"/>
      <c r="AG47" s="111" t="n"/>
      <c r="AH47" s="111" t="n"/>
      <c r="AI47" s="111" t="n"/>
      <c r="AJ47" s="111" t="n"/>
      <c r="AK47" s="111">
        <f>"      " &amp; TEXT(AE47,"#0.00%") &amp; " " &amp; "LASSO 피처 선택" &amp; "(조영훈)" &amp; " " &amp; IF(P47="","",TEXT(P47,"M/D-")) &amp; IF(Q47="","",TEXT(Q47,"M/D")) &amp; " "</f>
        <v/>
      </c>
      <c r="AL47" s="111" t="n"/>
      <c r="AM47" s="111" t="n"/>
      <c r="AN47" s="111" t="n"/>
      <c r="AO47" s="111" t="n"/>
      <c r="AP47" s="111" t="n"/>
      <c r="AQ47" s="111" t="n"/>
      <c r="AR47" s="111" t="n"/>
      <c r="AS47" s="111" t="n"/>
      <c r="AT47" s="111" t="n"/>
      <c r="AU47" s="111" t="n"/>
      <c r="AV47" s="111" t="n"/>
      <c r="AW47" s="111">
        <f>"   " &amp; TEXT(AE47,"#0.00%") &amp; " "</f>
        <v/>
      </c>
      <c r="AX47" s="111" t="n"/>
      <c r="AY47" s="111" t="n"/>
      <c r="AZ47" s="111">
        <f>"   " &amp; "Granger 인과 검정" &amp; "(조영훈)" &amp; " " &amp; IF(P47="","",TEXT(P47,"M/D-")) &amp; IF(Q47="","",TEXT(Q47,"M/D")) &amp; " "</f>
        <v/>
      </c>
      <c r="BA47" s="111" t="n"/>
      <c r="BB47" s="111" t="n"/>
      <c r="BC47" s="111" t="n"/>
      <c r="BD47" s="111" t="n"/>
      <c r="BE47" s="111" t="n"/>
      <c r="BF47" s="111" t="n"/>
      <c r="BG47" s="111" t="n"/>
      <c r="BH47" s="111" t="n"/>
      <c r="BI47" s="111" t="n"/>
      <c r="BJ47" s="111" t="n"/>
      <c r="BK47" s="111" t="n"/>
      <c r="BL47" s="111" t="n"/>
      <c r="BM47" s="111" t="n"/>
      <c r="BN47" s="111" t="n"/>
      <c r="BO47" s="111" t="n"/>
      <c r="BP47" s="111" t="n"/>
      <c r="BQ47" s="111" t="n"/>
      <c r="BR47" s="111" t="n"/>
      <c r="BS47" s="111" t="n"/>
      <c r="BT47" s="111" t="n"/>
      <c r="BU47" s="111" t="n"/>
      <c r="BV47" s="111" t="n"/>
      <c r="BW47" s="111" t="n"/>
      <c r="BX47" s="111" t="n"/>
      <c r="BY47" s="111" t="n"/>
      <c r="BZ47" s="111" t="n"/>
      <c r="CA47" s="111" t="n"/>
      <c r="CB47" s="111" t="n"/>
      <c r="CC47" s="111" t="n"/>
      <c r="CD47" s="111" t="n"/>
      <c r="CE47" s="111" t="n"/>
      <c r="CF47" s="111" t="n"/>
      <c r="CG47" s="111" t="n"/>
      <c r="CH47" s="111" t="n"/>
      <c r="CI47" s="111" t="n"/>
      <c r="CJ47" s="111" t="n"/>
      <c r="CK47" s="111" t="n"/>
      <c r="CL47" s="111" t="n"/>
      <c r="CM47" s="111" t="n"/>
      <c r="CN47" s="111" t="n"/>
      <c r="CO47" s="111" t="n"/>
      <c r="CP47" s="111" t="n"/>
      <c r="CQ47" s="111" t="n"/>
      <c r="CR47" s="111" t="n"/>
      <c r="CS47" s="111" t="n"/>
      <c r="CT47" s="111" t="n"/>
      <c r="CU47" s="111" t="n"/>
      <c r="CV47" s="111" t="n"/>
      <c r="CW47" s="111" t="n"/>
      <c r="CX47" s="111" t="n"/>
    </row>
    <row r="48" outlineLevel="2" ht="12" customHeight="1">
      <c r="A48" s="96" t="n"/>
      <c r="B48" s="96" t="n"/>
      <c r="C48" s="96" t="n">
        <v>3</v>
      </c>
      <c r="D48" s="314" t="inlineStr">
        <is>
          <t>1.2.3</t>
        </is>
      </c>
      <c r="E48" s="97" t="n"/>
      <c r="F48" s="97" t="n"/>
      <c r="G48" s="97" t="inlineStr">
        <is>
          <t>[분석]</t>
        </is>
      </c>
      <c r="H48" s="97" t="n"/>
      <c r="I48" s="97" t="n"/>
      <c r="J48" s="97" t="n"/>
      <c r="K48" s="97" t="n"/>
      <c r="L48" s="97" t="n"/>
      <c r="M48" s="97" t="n"/>
      <c r="N48" s="97" t="n"/>
      <c r="O48" s="97" t="n"/>
      <c r="P48" s="249" t="n">
        <v>46195</v>
      </c>
      <c r="Q48" s="249" t="n">
        <v>46224</v>
      </c>
      <c r="R48" s="97" t="n"/>
      <c r="S48" s="311" t="n"/>
      <c r="T48" s="311" t="n"/>
      <c r="U48" s="311" t="n"/>
      <c r="V48" s="311" t="n"/>
      <c r="W48" s="249" t="n"/>
      <c r="X48" s="249" t="n"/>
      <c r="Y48" s="312" t="n"/>
      <c r="Z48" s="99" t="n"/>
      <c r="AA48" s="311" t="n"/>
      <c r="AB48" s="238" t="inlineStr">
        <is>
          <t>조영훈</t>
        </is>
      </c>
      <c r="AC48" s="97" t="n"/>
      <c r="AD48" s="225" t="n"/>
      <c r="AE48" s="226" t="n"/>
      <c r="AF48" s="110" t="n"/>
      <c r="AG48" s="111" t="n"/>
      <c r="AH48" s="111" t="n"/>
      <c r="AI48" s="111" t="n"/>
      <c r="AJ48" s="111" t="n"/>
      <c r="AK48" s="111">
        <f>"      " &amp; TEXT(AE48,"#0.00%") &amp; " " &amp; "[분석]" &amp; "(조영훈)" &amp; " " &amp; IF(P48="","",TEXT(P48,"M/D-")) &amp; IF(Q48="","",TEXT(Q48,"M/D")) &amp; " "</f>
        <v/>
      </c>
      <c r="AL48" s="111" t="n"/>
      <c r="AM48" s="111" t="n"/>
      <c r="AN48" s="111" t="n"/>
      <c r="AO48" s="111" t="n"/>
      <c r="AP48" s="111" t="n"/>
      <c r="AQ48" s="111" t="n"/>
      <c r="AR48" s="111" t="n"/>
      <c r="AS48" s="111" t="n"/>
      <c r="AT48" s="111" t="n"/>
      <c r="AU48" s="111" t="n"/>
      <c r="AV48" s="111" t="n"/>
      <c r="AW48" s="111" t="n"/>
      <c r="AX48" s="111" t="n"/>
      <c r="AY48" s="111">
        <f>"  " &amp; TEXT(AE48,"#0.00%") &amp; " "</f>
        <v/>
      </c>
      <c r="AZ48" s="111" t="n"/>
      <c r="BA48" s="111" t="n"/>
      <c r="BB48" s="111">
        <f>"  " &amp; "알림 트리거 로직 (2σ 임계값)" &amp; "(조영훈)" &amp; " " &amp; IF(P48="","",TEXT(P48,"M/D-")) &amp; IF(Q48="","",TEXT(Q48,"M/D")) &amp; " "</f>
        <v/>
      </c>
      <c r="BC48" s="111" t="n"/>
      <c r="BD48" s="111" t="n"/>
      <c r="BE48" s="111" t="n"/>
      <c r="BF48" s="111" t="n"/>
      <c r="BG48" s="111" t="n"/>
      <c r="BH48" s="111" t="n"/>
      <c r="BI48" s="111" t="n"/>
      <c r="BJ48" s="111" t="n"/>
      <c r="BK48" s="111" t="n"/>
      <c r="BL48" s="111" t="n"/>
      <c r="BM48" s="111" t="n"/>
      <c r="BN48" s="111" t="n"/>
      <c r="BO48" s="111" t="n"/>
      <c r="BP48" s="111" t="n"/>
      <c r="BQ48" s="111" t="n"/>
      <c r="BR48" s="111" t="n"/>
      <c r="BS48" s="111" t="n"/>
      <c r="BT48" s="111" t="n"/>
      <c r="BU48" s="111" t="n"/>
      <c r="BV48" s="111" t="n"/>
      <c r="BW48" s="111" t="n"/>
      <c r="BX48" s="111" t="n"/>
      <c r="BY48" s="111" t="n"/>
      <c r="BZ48" s="111" t="n"/>
      <c r="CA48" s="111" t="n"/>
      <c r="CB48" s="111" t="n"/>
      <c r="CC48" s="111" t="n"/>
      <c r="CD48" s="111" t="n"/>
      <c r="CE48" s="111" t="n"/>
      <c r="CF48" s="111" t="n"/>
      <c r="CG48" s="111" t="n"/>
      <c r="CH48" s="111" t="n"/>
      <c r="CI48" s="111" t="n"/>
      <c r="CJ48" s="111" t="n"/>
      <c r="CK48" s="111" t="n"/>
      <c r="CL48" s="111" t="n"/>
      <c r="CM48" s="111" t="n"/>
      <c r="CN48" s="111" t="n"/>
      <c r="CO48" s="111" t="n"/>
      <c r="CP48" s="111" t="n"/>
      <c r="CQ48" s="111" t="n"/>
      <c r="CR48" s="111" t="n"/>
      <c r="CS48" s="111" t="n"/>
      <c r="CT48" s="111" t="n"/>
      <c r="CU48" s="111" t="n"/>
      <c r="CV48" s="111" t="n"/>
      <c r="CW48" s="111" t="n"/>
      <c r="CX48" s="111" t="n"/>
    </row>
    <row r="49" outlineLevel="2" ht="12" customHeight="1">
      <c r="A49" s="96" t="n"/>
      <c r="B49" s="96" t="n"/>
      <c r="C49" s="96" t="n">
        <v>4</v>
      </c>
      <c r="D49" s="314" t="inlineStr">
        <is>
          <t>1.2.3.1</t>
        </is>
      </c>
      <c r="E49" s="97" t="n"/>
      <c r="F49" s="97" t="n"/>
      <c r="G49" s="97" t="n"/>
      <c r="H49" s="97" t="inlineStr">
        <is>
          <t>XGBoost + SHAP 중요도</t>
        </is>
      </c>
      <c r="I49" s="97" t="n"/>
      <c r="J49" s="97" t="n"/>
      <c r="K49" s="97" t="n"/>
      <c r="L49" s="97" t="n"/>
      <c r="M49" s="97" t="n"/>
      <c r="N49" s="97" t="n"/>
      <c r="O49" s="97" t="inlineStr">
        <is>
          <t>src/forecasting/importance_g1.py</t>
        </is>
      </c>
      <c r="P49" s="249" t="n">
        <v>46195</v>
      </c>
      <c r="Q49" s="249" t="n">
        <v>46215</v>
      </c>
      <c r="R49" s="97" t="n"/>
      <c r="S49" s="311" t="n"/>
      <c r="T49" s="311" t="n"/>
      <c r="U49" s="311" t="n">
        <v>15</v>
      </c>
      <c r="V49" s="311" t="n">
        <v>0</v>
      </c>
      <c r="W49" s="249" t="n"/>
      <c r="X49" s="249" t="n"/>
      <c r="Y49" s="312" t="n"/>
      <c r="Z49" s="99" t="n"/>
      <c r="AA49" s="311" t="n"/>
      <c r="AB49" s="238" t="inlineStr">
        <is>
          <t>조영훈</t>
        </is>
      </c>
      <c r="AC49" s="97" t="n"/>
      <c r="AD49" s="225" t="n"/>
      <c r="AE49" s="226" t="n">
        <v>0</v>
      </c>
      <c r="AF49" s="110" t="n"/>
      <c r="AG49" s="111" t="n"/>
      <c r="AH49" s="111" t="n"/>
      <c r="AI49" s="111" t="n"/>
      <c r="AJ49" s="111" t="n"/>
      <c r="AK49" s="111">
        <f>"      " &amp; TEXT(AE49,"#0.00%") &amp; " " &amp; "XGBoost + SHAP 중요도" &amp; "(조영훈)" &amp; " " &amp; IF(P49="","",TEXT(P49,"M/D-")) &amp; IF(Q49="","",TEXT(Q49,"M/D")) &amp; " "</f>
        <v/>
      </c>
      <c r="AL49" s="111" t="n"/>
      <c r="AM49" s="111" t="n"/>
      <c r="AN49" s="111" t="n"/>
      <c r="AO49" s="111" t="n"/>
      <c r="AP49" s="111" t="n"/>
      <c r="AQ49" s="111" t="n"/>
      <c r="AR49" s="111" t="n"/>
      <c r="AS49" s="111" t="n"/>
      <c r="AT49" s="111" t="n"/>
      <c r="AU49" s="111" t="n"/>
      <c r="AV49" s="111" t="n"/>
      <c r="AW49" s="111" t="n"/>
      <c r="AX49" s="111" t="n"/>
      <c r="AY49" s="111" t="n"/>
      <c r="AZ49" s="111" t="n"/>
      <c r="BA49" s="111" t="n"/>
      <c r="BB49" s="111">
        <f>" " &amp; TEXT(AE49,"#0.00%") &amp; " "</f>
        <v/>
      </c>
      <c r="BC49" s="111" t="n"/>
      <c r="BD49" s="111" t="n"/>
      <c r="BE49" s="111" t="n"/>
      <c r="BF49" s="111">
        <f>"  " &amp; "G1 대시보드·리포트" &amp; "(조영훈)" &amp; " " &amp; IF(P49="","",TEXT(P49,"M/D-")) &amp; IF(Q49="","",TEXT(Q49,"M/D")) &amp; " "</f>
        <v/>
      </c>
      <c r="BG49" s="111" t="n"/>
      <c r="BH49" s="111" t="n"/>
      <c r="BI49" s="111" t="n"/>
      <c r="BJ49" s="111" t="n"/>
      <c r="BK49" s="111" t="n"/>
      <c r="BL49" s="111" t="n"/>
      <c r="BM49" s="111" t="n"/>
      <c r="BN49" s="111" t="n"/>
      <c r="BO49" s="111" t="n"/>
      <c r="BP49" s="111" t="n"/>
      <c r="BQ49" s="111" t="n"/>
      <c r="BR49" s="111" t="n"/>
      <c r="BS49" s="111" t="n"/>
      <c r="BT49" s="111" t="n"/>
      <c r="BU49" s="111" t="n"/>
      <c r="BV49" s="111" t="n"/>
      <c r="BW49" s="111" t="n"/>
      <c r="BX49" s="111" t="n"/>
      <c r="BY49" s="111" t="n"/>
      <c r="BZ49" s="111" t="n"/>
      <c r="CA49" s="111" t="n"/>
      <c r="CB49" s="111" t="n"/>
      <c r="CC49" s="111" t="n"/>
      <c r="CD49" s="111" t="n"/>
      <c r="CE49" s="111" t="n"/>
      <c r="CF49" s="111" t="n"/>
      <c r="CG49" s="111" t="n"/>
      <c r="CH49" s="111" t="n"/>
      <c r="CI49" s="111" t="n"/>
      <c r="CJ49" s="111" t="n"/>
      <c r="CK49" s="111" t="n"/>
      <c r="CL49" s="111" t="n"/>
      <c r="CM49" s="111" t="n"/>
      <c r="CN49" s="111" t="n"/>
      <c r="CO49" s="111" t="n"/>
      <c r="CP49" s="111" t="n"/>
      <c r="CQ49" s="111" t="n"/>
      <c r="CR49" s="111" t="n"/>
      <c r="CS49" s="111" t="n"/>
      <c r="CT49" s="111" t="n"/>
      <c r="CU49" s="111" t="n"/>
      <c r="CV49" s="111" t="n"/>
      <c r="CW49" s="111" t="n"/>
      <c r="CX49" s="111" t="n"/>
    </row>
    <row r="50" outlineLevel="1" ht="12" customHeight="1">
      <c r="A50" s="96" t="n"/>
      <c r="B50" s="96" t="n"/>
      <c r="C50" s="96" t="n">
        <v>4</v>
      </c>
      <c r="D50" s="313" t="inlineStr">
        <is>
          <t>1.2.3.2</t>
        </is>
      </c>
      <c r="E50" s="97" t="n"/>
      <c r="F50" s="97" t="n"/>
      <c r="G50" s="97" t="n"/>
      <c r="H50" s="97" t="inlineStr">
        <is>
          <t>Granger 인과 검정</t>
        </is>
      </c>
      <c r="I50" s="97" t="n"/>
      <c r="J50" s="97" t="n"/>
      <c r="K50" s="97" t="n"/>
      <c r="L50" s="97" t="n"/>
      <c r="M50" s="97" t="n"/>
      <c r="N50" s="97" t="n"/>
      <c r="O50" s="97" t="inlineStr">
        <is>
          <t>src/analytics/granger_test.py</t>
        </is>
      </c>
      <c r="P50" s="249" t="n">
        <v>46204</v>
      </c>
      <c r="Q50" s="249" t="n">
        <v>46224</v>
      </c>
      <c r="R50" s="97" t="n"/>
      <c r="S50" s="311" t="n"/>
      <c r="T50" s="311" t="n"/>
      <c r="U50" s="311" t="n">
        <v>14</v>
      </c>
      <c r="V50" s="311" t="n">
        <v>0</v>
      </c>
      <c r="W50" s="249" t="n"/>
      <c r="X50" s="249" t="n"/>
      <c r="Y50" s="312" t="n"/>
      <c r="Z50" s="99" t="n"/>
      <c r="AA50" s="311" t="n"/>
      <c r="AB50" s="238" t="inlineStr">
        <is>
          <t>조영훈</t>
        </is>
      </c>
      <c r="AC50" s="97" t="n"/>
      <c r="AD50" s="225" t="n"/>
      <c r="AE50" s="227" t="n">
        <v>0</v>
      </c>
      <c r="AF50" s="110" t="n"/>
      <c r="AG50" s="111" t="n"/>
      <c r="AH50" s="111" t="n"/>
      <c r="AI50" s="111" t="n"/>
      <c r="AJ50" s="111" t="n"/>
      <c r="AK50" s="111">
        <f>"      " &amp; TEXT(AE50,"#0.00%") &amp; " " &amp; "Granger 인과 검정" &amp; "(조영훈)" &amp; " " &amp; IF(P50="","",TEXT(P50,"M/D-")) &amp; IF(Q50="","",TEXT(Q50,"M/D")) &amp; " "</f>
        <v/>
      </c>
      <c r="AL50" s="111" t="n"/>
      <c r="AM50" s="111" t="n"/>
      <c r="AN50" s="111" t="n"/>
      <c r="AO50" s="111" t="n"/>
      <c r="AP50" s="111" t="n"/>
      <c r="AQ50" s="111" t="n"/>
      <c r="AR50" s="111" t="n"/>
      <c r="AS50" s="111" t="n"/>
      <c r="AT50" s="111" t="n"/>
      <c r="AU50" s="111" t="n"/>
      <c r="AV50" s="111" t="n"/>
      <c r="AW50" s="111" t="n"/>
      <c r="AX50" s="111" t="n"/>
      <c r="AY50" s="111" t="n"/>
      <c r="AZ50" s="111" t="n"/>
      <c r="BA50" s="111" t="n"/>
      <c r="BB50" s="111" t="n"/>
      <c r="BC50" s="111" t="n"/>
      <c r="BD50" s="111" t="n"/>
      <c r="BE50" s="111" t="n"/>
      <c r="BF50" s="111">
        <f>"  " &amp; TEXT(AE50,"#0.00%") &amp; " "</f>
        <v/>
      </c>
      <c r="BG50" s="111" t="n"/>
      <c r="BH50" s="111" t="n"/>
      <c r="BI50" s="111" t="n"/>
      <c r="BJ50" s="111" t="n"/>
      <c r="BK50" s="111" t="n"/>
      <c r="BL50" s="111" t="n"/>
      <c r="BM50" s="111" t="n"/>
      <c r="BN50" s="111" t="n"/>
      <c r="BO50" s="111" t="n"/>
      <c r="BP50" s="111" t="n"/>
      <c r="BQ50" s="111" t="n"/>
      <c r="BR50" s="111" t="n"/>
      <c r="BS50" s="111" t="n"/>
      <c r="BT50" s="111" t="n"/>
      <c r="BU50" s="111" t="n"/>
      <c r="BV50" s="111" t="n"/>
      <c r="BW50" s="111">
        <f>"     " &amp; "Phase 3: G2 가격 밴드 예측 (상한·하한)" &amp; "(조영훈)" &amp; " " &amp; IF(P50="","",TEXT(P50,"M/D-")) &amp; IF(Q50="","",TEXT(Q50,"M/D")) &amp; " "</f>
        <v/>
      </c>
      <c r="BX50" s="111" t="n"/>
      <c r="BY50" s="111" t="n"/>
      <c r="BZ50" s="111" t="n"/>
      <c r="CA50" s="111" t="n"/>
      <c r="CB50" s="111" t="n"/>
      <c r="CC50" s="111" t="n"/>
      <c r="CD50" s="111" t="n"/>
      <c r="CE50" s="111" t="n"/>
      <c r="CF50" s="111" t="n"/>
      <c r="CG50" s="111" t="n"/>
      <c r="CH50" s="111" t="n"/>
      <c r="CI50" s="111" t="n"/>
      <c r="CJ50" s="111" t="n"/>
      <c r="CK50" s="111" t="n"/>
      <c r="CL50" s="111" t="n"/>
      <c r="CM50" s="111" t="n"/>
      <c r="CN50" s="111" t="n"/>
      <c r="CO50" s="111" t="n"/>
      <c r="CP50" s="111" t="n"/>
      <c r="CQ50" s="111" t="n"/>
      <c r="CR50" s="111" t="n"/>
      <c r="CS50" s="111" t="n"/>
      <c r="CT50" s="111" t="n"/>
      <c r="CU50" s="111" t="n"/>
      <c r="CV50" s="111" t="n"/>
      <c r="CW50" s="111" t="n"/>
      <c r="CX50" s="111" t="n"/>
    </row>
    <row r="51" outlineLevel="2" ht="12" customHeight="1">
      <c r="A51" s="96" t="n"/>
      <c r="B51" s="96" t="n"/>
      <c r="C51" s="96" t="n">
        <v>3</v>
      </c>
      <c r="D51" s="314" t="inlineStr">
        <is>
          <t>1.2.4</t>
        </is>
      </c>
      <c r="E51" s="97" t="n"/>
      <c r="F51" s="97" t="n"/>
      <c r="G51" s="97" t="inlineStr">
        <is>
          <t>[시각화]</t>
        </is>
      </c>
      <c r="H51" s="97" t="n"/>
      <c r="I51" s="97" t="n"/>
      <c r="J51" s="97" t="n"/>
      <c r="K51" s="97" t="n"/>
      <c r="L51" s="97" t="n"/>
      <c r="M51" s="97" t="n"/>
      <c r="N51" s="97" t="n"/>
      <c r="O51" s="97" t="n"/>
      <c r="P51" s="249" t="n">
        <v>46254</v>
      </c>
      <c r="Q51" s="249" t="n">
        <v>46265</v>
      </c>
      <c r="R51" s="97" t="n"/>
      <c r="S51" s="311" t="n"/>
      <c r="T51" s="311" t="n"/>
      <c r="U51" s="311" t="n"/>
      <c r="V51" s="311" t="n"/>
      <c r="W51" s="249" t="n"/>
      <c r="X51" s="249" t="n"/>
      <c r="Y51" s="312" t="n"/>
      <c r="Z51" s="99" t="n"/>
      <c r="AA51" s="311" t="n"/>
      <c r="AB51" s="238" t="inlineStr">
        <is>
          <t>조영훈</t>
        </is>
      </c>
      <c r="AC51" s="97" t="n"/>
      <c r="AD51" s="225" t="n"/>
      <c r="AE51" s="226" t="n"/>
      <c r="AF51" s="110" t="n"/>
      <c r="AG51" s="111" t="n"/>
      <c r="AH51" s="111" t="n"/>
      <c r="AI51" s="111" t="n"/>
      <c r="AJ51" s="111" t="n"/>
      <c r="AK51" s="111">
        <f>"      " &amp; TEXT(AE51,"#0.00%") &amp; " " &amp; "[시각화]" &amp; "(조영훈)" &amp; " " &amp; IF(P51="","",TEXT(P51,"M/D-")) &amp; IF(Q51="","",TEXT(Q51,"M/D")) &amp; " "</f>
        <v/>
      </c>
      <c r="AL51" s="111" t="n"/>
      <c r="AM51" s="111" t="n"/>
      <c r="AN51" s="111" t="n"/>
      <c r="AO51" s="111" t="n"/>
      <c r="AP51" s="111" t="n"/>
      <c r="AQ51" s="111" t="n"/>
      <c r="AR51" s="111" t="n"/>
      <c r="AS51" s="111" t="n"/>
      <c r="AT51" s="111" t="n"/>
      <c r="AU51" s="111" t="n"/>
      <c r="AV51" s="111" t="n"/>
      <c r="AW51" s="111" t="n"/>
      <c r="AX51" s="111" t="n"/>
      <c r="AY51" s="111" t="n"/>
      <c r="AZ51" s="111" t="n"/>
      <c r="BA51" s="111" t="n"/>
      <c r="BB51" s="111" t="n"/>
      <c r="BC51" s="111" t="n"/>
      <c r="BD51" s="111" t="n"/>
      <c r="BE51" s="111" t="n"/>
      <c r="BF51" s="111">
        <f>"  " &amp; TEXT(AE51,"#0.00%") &amp; " "</f>
        <v/>
      </c>
      <c r="BG51" s="111" t="n"/>
      <c r="BH51" s="111" t="n"/>
      <c r="BI51" s="111">
        <f>"  " &amp; "VMD 전처리 (추세·주기·노이즈 분리)" &amp; "(조영훈)" &amp; " " &amp; IF(P51="","",TEXT(P51,"M/D-")) &amp; IF(Q51="","",TEXT(Q51,"M/D")) &amp; " "</f>
        <v/>
      </c>
      <c r="BJ51" s="111" t="n"/>
      <c r="BK51" s="111" t="n"/>
      <c r="BL51" s="111" t="n"/>
      <c r="BM51" s="111" t="n"/>
      <c r="BN51" s="111" t="n"/>
      <c r="BO51" s="111" t="n"/>
      <c r="BP51" s="111" t="n"/>
      <c r="BQ51" s="111" t="n"/>
      <c r="BR51" s="111" t="n"/>
      <c r="BS51" s="111" t="n"/>
      <c r="BT51" s="111" t="n"/>
      <c r="BU51" s="111" t="n"/>
      <c r="BV51" s="111" t="n"/>
      <c r="BW51" s="111" t="n"/>
      <c r="BX51" s="111" t="n"/>
      <c r="BY51" s="111" t="n"/>
      <c r="BZ51" s="111" t="n"/>
      <c r="CA51" s="111" t="n"/>
      <c r="CB51" s="111" t="n"/>
      <c r="CC51" s="111" t="n"/>
      <c r="CD51" s="111" t="n"/>
      <c r="CE51" s="111" t="n"/>
      <c r="CF51" s="111" t="n"/>
      <c r="CG51" s="111" t="n"/>
      <c r="CH51" s="111" t="n"/>
      <c r="CI51" s="111" t="n"/>
      <c r="CJ51" s="111" t="n"/>
      <c r="CK51" s="111" t="n"/>
      <c r="CL51" s="111" t="n"/>
      <c r="CM51" s="111" t="n"/>
      <c r="CN51" s="111" t="n"/>
      <c r="CO51" s="111" t="n"/>
      <c r="CP51" s="111" t="n"/>
      <c r="CQ51" s="111" t="n"/>
      <c r="CR51" s="111" t="n"/>
      <c r="CS51" s="111" t="n"/>
      <c r="CT51" s="111" t="n"/>
      <c r="CU51" s="111" t="n"/>
      <c r="CV51" s="111" t="n"/>
      <c r="CW51" s="111" t="n"/>
      <c r="CX51" s="111" t="n"/>
    </row>
    <row r="52" outlineLevel="2" ht="12" customHeight="1">
      <c r="A52" s="96" t="n"/>
      <c r="B52" s="96" t="n"/>
      <c r="C52" s="96" t="n">
        <v>4</v>
      </c>
      <c r="D52" s="314" t="inlineStr">
        <is>
          <t>1.2.4.1</t>
        </is>
      </c>
      <c r="E52" s="97" t="n"/>
      <c r="F52" s="97" t="n"/>
      <c r="G52" s="97" t="n"/>
      <c r="H52" s="97" t="inlineStr">
        <is>
          <t>G1 대시보드·리포트</t>
        </is>
      </c>
      <c r="I52" s="97" t="n"/>
      <c r="J52" s="97" t="n"/>
      <c r="K52" s="97" t="n"/>
      <c r="L52" s="97" t="n"/>
      <c r="M52" s="97" t="n"/>
      <c r="N52" s="97" t="n"/>
      <c r="O52" s="97" t="inlineStr">
        <is>
          <t>reports/g1_importance_report.html</t>
        </is>
      </c>
      <c r="P52" s="249" t="n">
        <v>46254</v>
      </c>
      <c r="Q52" s="249" t="n">
        <v>46265</v>
      </c>
      <c r="R52" s="97" t="n"/>
      <c r="S52" s="311" t="n"/>
      <c r="T52" s="311" t="n"/>
      <c r="U52" s="311" t="n">
        <v>20</v>
      </c>
      <c r="V52" s="311" t="n">
        <v>8</v>
      </c>
      <c r="W52" s="249" t="n"/>
      <c r="X52" s="249" t="n"/>
      <c r="Y52" s="312" t="n"/>
      <c r="Z52" s="99" t="n"/>
      <c r="AA52" s="311" t="n"/>
      <c r="AB52" s="238" t="inlineStr">
        <is>
          <t>조영훈</t>
        </is>
      </c>
      <c r="AC52" s="97" t="n"/>
      <c r="AD52" s="225" t="n"/>
      <c r="AE52" s="226" t="n">
        <v>0</v>
      </c>
      <c r="AF52" s="110" t="n"/>
      <c r="AG52" s="111" t="n"/>
      <c r="AH52" s="111" t="n"/>
      <c r="AI52" s="111" t="n"/>
      <c r="AJ52" s="111" t="n"/>
      <c r="AK52" s="111">
        <f>"      " &amp; TEXT(AE52,"#0.00%") &amp; " " &amp; "G1 대시보드·리포트" &amp; "(조영훈)" &amp; " " &amp; IF(P52="","",TEXT(P52,"M/D-")) &amp; IF(Q52="","",TEXT(Q52,"M/D")) &amp; " "</f>
        <v/>
      </c>
      <c r="AL52" s="111" t="n"/>
      <c r="AM52" s="111" t="n"/>
      <c r="AN52" s="111" t="n"/>
      <c r="AO52" s="111" t="n"/>
      <c r="AP52" s="111" t="n"/>
      <c r="AQ52" s="111" t="n"/>
      <c r="AR52" s="111" t="n"/>
      <c r="AS52" s="111" t="n"/>
      <c r="AT52" s="111" t="n"/>
      <c r="AU52" s="111" t="n"/>
      <c r="AV52" s="111" t="n"/>
      <c r="AW52" s="111" t="n"/>
      <c r="AX52" s="111" t="n"/>
      <c r="AY52" s="111" t="n"/>
      <c r="AZ52" s="111" t="n"/>
      <c r="BA52" s="111" t="n"/>
      <c r="BB52" s="111" t="n"/>
      <c r="BC52" s="111" t="n"/>
      <c r="BD52" s="111" t="n"/>
      <c r="BE52" s="111" t="n"/>
      <c r="BF52" s="111" t="n"/>
      <c r="BG52" s="111" t="n"/>
      <c r="BH52" s="111">
        <f>"  " &amp; TEXT(AE52,"#0.00%") &amp; " "</f>
        <v/>
      </c>
      <c r="BI52" s="111" t="n"/>
      <c r="BJ52" s="111" t="n"/>
      <c r="BK52" s="111">
        <f>"  " &amp; "GARCH/EGARCH 변동성 모델" &amp; "(조영훈)" &amp; " " &amp; IF(P52="","",TEXT(P52,"M/D-")) &amp; IF(Q52="","",TEXT(Q52,"M/D")) &amp; " "</f>
        <v/>
      </c>
      <c r="BL52" s="111" t="n"/>
      <c r="BM52" s="111" t="n"/>
      <c r="BN52" s="111" t="n"/>
      <c r="BO52" s="111" t="n"/>
      <c r="BP52" s="111" t="n"/>
      <c r="BQ52" s="111" t="n"/>
      <c r="BR52" s="111" t="n"/>
      <c r="BS52" s="111" t="n"/>
      <c r="BT52" s="111" t="n"/>
      <c r="BU52" s="111" t="n"/>
      <c r="BV52" s="111" t="n"/>
      <c r="BW52" s="111" t="n"/>
      <c r="BX52" s="111" t="n"/>
      <c r="BY52" s="111" t="n"/>
      <c r="BZ52" s="111" t="n"/>
      <c r="CA52" s="111" t="n"/>
      <c r="CB52" s="111" t="n"/>
      <c r="CC52" s="111" t="n"/>
      <c r="CD52" s="111" t="n"/>
      <c r="CE52" s="111" t="n"/>
      <c r="CF52" s="111" t="n"/>
      <c r="CG52" s="111" t="n"/>
      <c r="CH52" s="111" t="n"/>
      <c r="CI52" s="111" t="n"/>
      <c r="CJ52" s="111" t="n"/>
      <c r="CK52" s="111" t="n"/>
      <c r="CL52" s="111" t="n"/>
      <c r="CM52" s="111" t="n"/>
      <c r="CN52" s="111" t="n"/>
      <c r="CO52" s="111" t="n"/>
      <c r="CP52" s="111" t="n"/>
      <c r="CQ52" s="111" t="n"/>
      <c r="CR52" s="111" t="n"/>
      <c r="CS52" s="111" t="n"/>
      <c r="CT52" s="111" t="n"/>
      <c r="CU52" s="111" t="n"/>
      <c r="CV52" s="111" t="n"/>
      <c r="CW52" s="111" t="n"/>
      <c r="CX52" s="111" t="n"/>
    </row>
    <row r="53" outlineLevel="2" ht="12" customHeight="1">
      <c r="A53" s="96" t="n"/>
      <c r="B53" s="96" t="inlineStr">
        <is>
          <t>G</t>
        </is>
      </c>
      <c r="C53" s="96" t="n">
        <v>2</v>
      </c>
      <c r="D53" s="314" t="inlineStr">
        <is>
          <t>1.3</t>
        </is>
      </c>
      <c r="E53" s="97" t="n"/>
      <c r="F53" s="97" t="inlineStr">
        <is>
          <t>Phase 3: G2 가격 밴드 예측 [Preview] (상한·하한)</t>
        </is>
      </c>
      <c r="G53" s="97" t="n"/>
      <c r="H53" s="97" t="n"/>
      <c r="I53" s="97" t="n"/>
      <c r="J53" s="97" t="n"/>
      <c r="K53" s="97" t="n"/>
      <c r="L53" s="97" t="n"/>
      <c r="M53" s="97" t="n"/>
      <c r="N53" s="97" t="n"/>
      <c r="O53" s="97" t="inlineStr">
        <is>
          <t>G2 가격 밴드 + 신뢰구간</t>
        </is>
      </c>
      <c r="P53" s="249" t="n">
        <v>46266</v>
      </c>
      <c r="Q53" s="249" t="n">
        <v>46387</v>
      </c>
      <c r="R53" s="97" t="n"/>
      <c r="S53" s="311" t="n"/>
      <c r="T53" s="311" t="n"/>
      <c r="U53" s="311" t="n">
        <v>83</v>
      </c>
      <c r="V53" s="311" t="n">
        <v>0</v>
      </c>
      <c r="W53" s="249" t="n"/>
      <c r="X53" s="249" t="n"/>
      <c r="Y53" s="312" t="n"/>
      <c r="Z53" s="99" t="n"/>
      <c r="AA53" s="311" t="n"/>
      <c r="AB53" s="238" t="inlineStr">
        <is>
          <t>조영훈</t>
        </is>
      </c>
      <c r="AC53" s="97" t="n"/>
      <c r="AD53" s="225" t="n"/>
      <c r="AE53" s="226" t="n">
        <v>0</v>
      </c>
      <c r="AF53" s="110" t="n"/>
      <c r="AG53" s="111" t="n"/>
      <c r="AH53" s="111" t="n"/>
      <c r="AI53" s="111" t="n"/>
      <c r="AJ53" s="111" t="n"/>
      <c r="AK53" s="111">
        <f>"      " &amp; TEXT(AE53,"#0.00%") &amp; " " &amp; "Phase 3: G2 가격 밴드 예측 [Preview] (상한·하한)" &amp; "(조영훈)" &amp; " " &amp; IF(P53="","",TEXT(P53,"M/D-")) &amp; IF(Q53="","",TEXT(Q53,"M/D")) &amp; " "</f>
        <v/>
      </c>
      <c r="AL53" s="111" t="n"/>
      <c r="AM53" s="111" t="n"/>
      <c r="AN53" s="111" t="n"/>
      <c r="AO53" s="111" t="n"/>
      <c r="AP53" s="111" t="n"/>
      <c r="AQ53" s="111" t="n"/>
      <c r="AR53" s="111" t="n"/>
      <c r="AS53" s="111" t="n"/>
      <c r="AT53" s="111" t="n"/>
      <c r="AU53" s="111" t="n"/>
      <c r="AV53" s="111" t="n"/>
      <c r="AW53" s="111" t="n"/>
      <c r="AX53" s="111" t="n"/>
      <c r="AY53" s="111" t="n"/>
      <c r="AZ53" s="111" t="n"/>
      <c r="BA53" s="111" t="n"/>
      <c r="BB53" s="111" t="n"/>
      <c r="BC53" s="111" t="n"/>
      <c r="BD53" s="111" t="n"/>
      <c r="BE53" s="111" t="n"/>
      <c r="BF53" s="111" t="n"/>
      <c r="BG53" s="111" t="n"/>
      <c r="BH53" s="111" t="n"/>
      <c r="BI53" s="111" t="n"/>
      <c r="BJ53" s="111">
        <f>"    " &amp; TEXT(AE53,"#0.00%") &amp; " "</f>
        <v/>
      </c>
      <c r="BK53" s="111" t="n"/>
      <c r="BL53" s="111" t="n"/>
      <c r="BM53" s="111" t="n"/>
      <c r="BN53" s="111" t="n"/>
      <c r="BO53" s="111" t="n"/>
      <c r="BP53" s="111" t="n"/>
      <c r="BQ53" s="111">
        <f>"" &amp; "LSTM/TFT 시퀀스 모델" &amp; "(조영훈)" &amp; " " &amp; IF(P53="","",TEXT(P53,"M/D-")) &amp; IF(Q53="","",TEXT(Q53,"M/D")) &amp; " "</f>
        <v/>
      </c>
      <c r="BR53" s="111" t="n"/>
      <c r="BS53" s="111" t="n"/>
      <c r="BT53" s="111" t="n"/>
      <c r="BU53" s="111" t="n"/>
      <c r="BV53" s="111" t="n"/>
      <c r="BW53" s="111" t="n"/>
      <c r="BX53" s="111" t="n"/>
      <c r="BY53" s="111" t="n"/>
      <c r="BZ53" s="111" t="n"/>
      <c r="CA53" s="111" t="n"/>
      <c r="CB53" s="111" t="n"/>
      <c r="CC53" s="111" t="n"/>
      <c r="CD53" s="111" t="n"/>
      <c r="CE53" s="111" t="n"/>
      <c r="CF53" s="111" t="n"/>
      <c r="CG53" s="111" t="n"/>
      <c r="CH53" s="111" t="n"/>
      <c r="CI53" s="111" t="n"/>
      <c r="CJ53" s="111" t="n"/>
      <c r="CK53" s="111" t="n"/>
      <c r="CL53" s="111" t="n"/>
      <c r="CM53" s="111" t="n"/>
      <c r="CN53" s="111" t="n"/>
      <c r="CO53" s="111" t="n"/>
      <c r="CP53" s="111" t="n"/>
      <c r="CQ53" s="111" t="n"/>
      <c r="CR53" s="111" t="n"/>
      <c r="CS53" s="111" t="n"/>
      <c r="CT53" s="111" t="n"/>
      <c r="CU53" s="111" t="n"/>
      <c r="CV53" s="111" t="n"/>
      <c r="CW53" s="111" t="n"/>
      <c r="CX53" s="111" t="n"/>
    </row>
    <row r="54" outlineLevel="2" ht="12" customHeight="1">
      <c r="A54" s="96" t="n"/>
      <c r="B54" s="96" t="n"/>
      <c r="C54" s="96" t="n">
        <v>3</v>
      </c>
      <c r="D54" s="314" t="inlineStr">
        <is>
          <t>1.3.1</t>
        </is>
      </c>
      <c r="E54" s="97" t="n"/>
      <c r="F54" s="97" t="n"/>
      <c r="G54" s="97" t="inlineStr">
        <is>
          <t>[데이터수집]</t>
        </is>
      </c>
      <c r="H54" s="97" t="n"/>
      <c r="I54" s="97" t="n"/>
      <c r="J54" s="97" t="n"/>
      <c r="K54" s="97" t="n"/>
      <c r="L54" s="97" t="n"/>
      <c r="M54" s="97" t="n"/>
      <c r="N54" s="97" t="n"/>
      <c r="O54" s="97" t="n"/>
      <c r="P54" s="249" t="n">
        <v>46340</v>
      </c>
      <c r="Q54" s="249" t="n">
        <v>46360</v>
      </c>
      <c r="R54" s="97" t="n"/>
      <c r="S54" s="311" t="n"/>
      <c r="T54" s="311" t="n"/>
      <c r="U54" s="311" t="n"/>
      <c r="V54" s="311" t="n"/>
      <c r="W54" s="249" t="n"/>
      <c r="X54" s="249" t="n"/>
      <c r="Y54" s="312" t="n"/>
      <c r="Z54" s="99" t="n"/>
      <c r="AA54" s="311" t="n"/>
      <c r="AB54" s="238" t="inlineStr">
        <is>
          <t>조영훈</t>
        </is>
      </c>
      <c r="AC54" s="97" t="n"/>
      <c r="AD54" s="225" t="n"/>
      <c r="AE54" s="226" t="n"/>
      <c r="AF54" s="110" t="n"/>
      <c r="AG54" s="111" t="n"/>
      <c r="AH54" s="111" t="n"/>
      <c r="AI54" s="111" t="n"/>
      <c r="AJ54" s="111" t="n"/>
      <c r="AK54" s="111">
        <f>"      " &amp; TEXT(AE54,"#0.00%") &amp; " " &amp; "[데이터수집]" &amp; "(조영훈)" &amp; " " &amp; IF(P54="","",TEXT(P54,"M/D-")) &amp; IF(Q54="","",TEXT(Q54,"M/D")) &amp; " "</f>
        <v/>
      </c>
      <c r="AL54" s="111" t="n"/>
      <c r="AM54" s="111" t="n"/>
      <c r="AN54" s="111" t="n"/>
      <c r="AO54" s="111" t="n"/>
      <c r="AP54" s="111" t="n"/>
      <c r="AQ54" s="111" t="n"/>
      <c r="AR54" s="111" t="n"/>
      <c r="AS54" s="111" t="n"/>
      <c r="AT54" s="111" t="n"/>
      <c r="AU54" s="111" t="n"/>
      <c r="AV54" s="111" t="n"/>
      <c r="AW54" s="111" t="n"/>
      <c r="AX54" s="111" t="n"/>
      <c r="AY54" s="111" t="n"/>
      <c r="AZ54" s="111" t="n"/>
      <c r="BA54" s="111" t="n"/>
      <c r="BB54" s="111" t="n"/>
      <c r="BC54" s="111" t="n"/>
      <c r="BD54" s="111" t="n"/>
      <c r="BE54" s="111" t="n"/>
      <c r="BF54" s="111" t="n"/>
      <c r="BG54" s="111" t="n"/>
      <c r="BH54" s="111" t="n"/>
      <c r="BI54" s="111" t="n"/>
      <c r="BJ54" s="111" t="n"/>
      <c r="BK54" s="111" t="n"/>
      <c r="BL54" s="111" t="n"/>
      <c r="BM54" s="111" t="n"/>
      <c r="BN54" s="111" t="n"/>
      <c r="BO54" s="111">
        <f>"" &amp; TEXT(AE54,"#0.00%") &amp; " "</f>
        <v/>
      </c>
      <c r="BP54" s="111" t="n"/>
      <c r="BQ54" s="111" t="n"/>
      <c r="BR54" s="111">
        <f>"" &amp; "CQR 예측 구간 (conformal)" &amp; "(조영훈)" &amp; " " &amp; IF(P54="","",TEXT(P54,"M/D-")) &amp; IF(Q54="","",TEXT(Q54,"M/D")) &amp; " "</f>
        <v/>
      </c>
      <c r="BS54" s="111" t="n"/>
      <c r="BT54" s="111" t="n"/>
      <c r="BU54" s="111" t="n"/>
      <c r="BV54" s="111" t="n"/>
      <c r="BW54" s="111" t="n"/>
      <c r="BX54" s="111" t="n"/>
      <c r="BY54" s="111" t="n"/>
      <c r="BZ54" s="111" t="n"/>
      <c r="CA54" s="111" t="n"/>
      <c r="CB54" s="111" t="n"/>
      <c r="CC54" s="111" t="n"/>
      <c r="CD54" s="111" t="n"/>
      <c r="CE54" s="111" t="n"/>
      <c r="CF54" s="111" t="n"/>
      <c r="CG54" s="111" t="n"/>
      <c r="CH54" s="111" t="n"/>
      <c r="CI54" s="111" t="n"/>
      <c r="CJ54" s="111" t="n"/>
      <c r="CK54" s="111" t="n"/>
      <c r="CL54" s="111" t="n"/>
      <c r="CM54" s="111" t="n"/>
      <c r="CN54" s="111" t="n"/>
      <c r="CO54" s="111" t="n"/>
      <c r="CP54" s="111" t="n"/>
      <c r="CQ54" s="111" t="n"/>
      <c r="CR54" s="111" t="n"/>
      <c r="CS54" s="111" t="n"/>
      <c r="CT54" s="111" t="n"/>
      <c r="CU54" s="111" t="n"/>
      <c r="CV54" s="111" t="n"/>
      <c r="CW54" s="111" t="n"/>
      <c r="CX54" s="111" t="n"/>
    </row>
    <row r="55" outlineLevel="2" ht="12" customHeight="1">
      <c r="A55" s="96" t="n"/>
      <c r="B55" s="96" t="n"/>
      <c r="C55" s="96" t="n">
        <v>4</v>
      </c>
      <c r="D55" s="314" t="inlineStr">
        <is>
          <t>1.3.1.1</t>
        </is>
      </c>
      <c r="E55" s="97" t="n"/>
      <c r="F55" s="97" t="n"/>
      <c r="G55" s="97" t="n"/>
      <c r="H55" s="97" t="inlineStr">
        <is>
          <t>FinBERT 감성 레이어</t>
        </is>
      </c>
      <c r="I55" s="97" t="n"/>
      <c r="J55" s="97" t="n"/>
      <c r="K55" s="97" t="n"/>
      <c r="L55" s="97" t="n"/>
      <c r="M55" s="97" t="n"/>
      <c r="N55" s="97" t="n"/>
      <c r="O55" s="97" t="inlineStr">
        <is>
          <t>src/forecasting/sentiment_g2.py</t>
        </is>
      </c>
      <c r="P55" s="249" t="n">
        <v>46340</v>
      </c>
      <c r="Q55" s="249" t="n">
        <v>46360</v>
      </c>
      <c r="R55" s="97" t="n"/>
      <c r="S55" s="311" t="n"/>
      <c r="T55" s="311" t="n"/>
      <c r="U55" s="311" t="n">
        <v>15</v>
      </c>
      <c r="V55" s="311" t="n">
        <v>0</v>
      </c>
      <c r="W55" s="249" t="n"/>
      <c r="X55" s="249" t="n"/>
      <c r="Y55" s="312" t="n"/>
      <c r="Z55" s="99" t="n"/>
      <c r="AA55" s="311" t="n"/>
      <c r="AB55" s="238" t="inlineStr">
        <is>
          <t>조영훈</t>
        </is>
      </c>
      <c r="AC55" s="97" t="n"/>
      <c r="AD55" s="225" t="n"/>
      <c r="AE55" s="226" t="n">
        <v>0</v>
      </c>
      <c r="AF55" s="110" t="n"/>
      <c r="AG55" s="111" t="n"/>
      <c r="AH55" s="111" t="n"/>
      <c r="AI55" s="111" t="n"/>
      <c r="AJ55" s="111" t="n"/>
      <c r="AK55" s="111">
        <f>"      " &amp; TEXT(AE55,"#0.00%") &amp; " " &amp; "FinBERT 감성 레이어" &amp; "(조영훈)" &amp; " " &amp; IF(P55="","",TEXT(P55,"M/D-")) &amp; IF(Q55="","",TEXT(Q55,"M/D")) &amp; " "</f>
        <v/>
      </c>
      <c r="AL55" s="111" t="n"/>
      <c r="AM55" s="111" t="n"/>
      <c r="AN55" s="111" t="n"/>
      <c r="AO55" s="111" t="n"/>
      <c r="AP55" s="111" t="n"/>
      <c r="AQ55" s="111" t="n"/>
      <c r="AR55" s="111" t="n"/>
      <c r="AS55" s="111" t="n"/>
      <c r="AT55" s="111" t="n"/>
      <c r="AU55" s="111" t="n"/>
      <c r="AV55" s="111" t="n"/>
      <c r="AW55" s="111" t="n"/>
      <c r="AX55" s="111" t="n"/>
      <c r="AY55" s="111" t="n"/>
      <c r="AZ55" s="111" t="n"/>
      <c r="BA55" s="111" t="n"/>
      <c r="BB55" s="111" t="n"/>
      <c r="BC55" s="111" t="n"/>
      <c r="BD55" s="111" t="n"/>
      <c r="BE55" s="111" t="n"/>
      <c r="BF55" s="111" t="n"/>
      <c r="BG55" s="111" t="n"/>
      <c r="BH55" s="111" t="n"/>
      <c r="BI55" s="111" t="n"/>
      <c r="BJ55" s="111" t="n"/>
      <c r="BK55" s="111" t="n"/>
      <c r="BL55" s="111" t="n"/>
      <c r="BM55" s="111" t="n"/>
      <c r="BN55" s="111" t="n"/>
      <c r="BO55" s="111" t="n"/>
      <c r="BP55" s="111">
        <f>"      " &amp; TEXT(AE55,"#0.00%") &amp; " " &amp; "FinBERT 감성 레이어" &amp; "(조영훈)" &amp; " " &amp; IF(P55="","",TEXT(P55,"M/D-")) &amp; IF(Q55="","",TEXT(Q55,"M/D")) &amp; " "</f>
        <v/>
      </c>
      <c r="BQ55" s="111" t="n"/>
      <c r="BR55" s="111" t="n"/>
      <c r="BS55" s="111" t="n"/>
      <c r="BT55" s="111" t="n"/>
      <c r="BU55" s="111" t="n"/>
      <c r="BV55" s="111" t="n"/>
      <c r="BW55" s="111" t="n"/>
      <c r="BX55" s="111" t="n"/>
      <c r="BY55" s="111" t="n"/>
      <c r="BZ55" s="111" t="n"/>
      <c r="CA55" s="111" t="n"/>
      <c r="CB55" s="111" t="n"/>
      <c r="CC55" s="111" t="n"/>
      <c r="CD55" s="111" t="n"/>
      <c r="CE55" s="111" t="n"/>
      <c r="CF55" s="111" t="n"/>
      <c r="CG55" s="111" t="n"/>
      <c r="CH55" s="111" t="n"/>
      <c r="CI55" s="111" t="n"/>
      <c r="CJ55" s="111" t="n"/>
      <c r="CK55" s="111" t="n"/>
      <c r="CL55" s="111" t="n"/>
      <c r="CM55" s="111" t="n"/>
      <c r="CN55" s="111" t="n"/>
      <c r="CO55" s="111" t="n"/>
      <c r="CP55" s="111" t="n"/>
      <c r="CQ55" s="111" t="n"/>
      <c r="CR55" s="111" t="n"/>
      <c r="CS55" s="111" t="n"/>
      <c r="CT55" s="111" t="n"/>
      <c r="CU55" s="111" t="n"/>
      <c r="CV55" s="111" t="n"/>
      <c r="CW55" s="111" t="n"/>
      <c r="CX55" s="111" t="n"/>
    </row>
    <row r="56" outlineLevel="2" ht="12" customHeight="1">
      <c r="A56" s="96" t="n"/>
      <c r="B56" s="96" t="n"/>
      <c r="C56" s="96" t="n">
        <v>3</v>
      </c>
      <c r="D56" s="314" t="inlineStr">
        <is>
          <t>1.3.2</t>
        </is>
      </c>
      <c r="E56" s="97" t="n"/>
      <c r="F56" s="97" t="n"/>
      <c r="G56" s="97" t="inlineStr">
        <is>
          <t>[처리·정제]</t>
        </is>
      </c>
      <c r="H56" s="97" t="n"/>
      <c r="I56" s="97" t="n"/>
      <c r="J56" s="97" t="n"/>
      <c r="K56" s="97" t="n"/>
      <c r="L56" s="97" t="n"/>
      <c r="M56" s="97" t="n"/>
      <c r="N56" s="97" t="n"/>
      <c r="O56" s="97" t="n"/>
      <c r="P56" s="249" t="n">
        <v>46357</v>
      </c>
      <c r="Q56" s="249" t="n">
        <v>46387</v>
      </c>
      <c r="R56" s="97" t="n"/>
      <c r="S56" s="311" t="n"/>
      <c r="T56" s="311" t="n"/>
      <c r="U56" s="311" t="n"/>
      <c r="V56" s="311" t="n"/>
      <c r="W56" s="249" t="n"/>
      <c r="X56" s="249" t="n"/>
      <c r="Y56" s="312" t="n"/>
      <c r="Z56" s="99" t="n"/>
      <c r="AA56" s="311" t="n"/>
      <c r="AB56" s="238" t="inlineStr">
        <is>
          <t>조영훈</t>
        </is>
      </c>
      <c r="AC56" s="97" t="n"/>
      <c r="AD56" s="225" t="n"/>
      <c r="AE56" s="226" t="n"/>
      <c r="AF56" s="110" t="n"/>
      <c r="AG56" s="111" t="n"/>
      <c r="AH56" s="111" t="n"/>
      <c r="AI56" s="111" t="n"/>
      <c r="AJ56" s="111" t="n"/>
      <c r="AK56" s="111">
        <f>"      " &amp; TEXT(AE56,"#0.00%") &amp; " " &amp; "[처리·정제]" &amp; "(조영훈)" &amp; " " &amp; IF(P56="","",TEXT(P56,"M/D-")) &amp; IF(Q56="","",TEXT(Q56,"M/D")) &amp; " "</f>
        <v/>
      </c>
      <c r="AL56" s="111" t="n"/>
      <c r="AM56" s="111" t="n"/>
      <c r="AN56" s="111" t="n"/>
      <c r="AO56" s="111" t="n"/>
      <c r="AP56" s="111" t="n"/>
      <c r="AQ56" s="111" t="n"/>
      <c r="AR56" s="111" t="n"/>
      <c r="AS56" s="111" t="n"/>
      <c r="AT56" s="111" t="n"/>
      <c r="AU56" s="111" t="n"/>
      <c r="AV56" s="111" t="n"/>
      <c r="AW56" s="111" t="n"/>
      <c r="AX56" s="111" t="n"/>
      <c r="AY56" s="111" t="n"/>
      <c r="AZ56" s="111" t="n"/>
      <c r="BA56" s="111" t="n"/>
      <c r="BB56" s="111" t="n"/>
      <c r="BC56" s="111" t="n"/>
      <c r="BD56" s="111" t="n"/>
      <c r="BE56" s="111" t="n"/>
      <c r="BF56" s="111" t="n"/>
      <c r="BG56" s="111" t="n"/>
      <c r="BH56" s="111" t="n"/>
      <c r="BI56" s="111" t="n"/>
      <c r="BJ56" s="111" t="n"/>
      <c r="BK56" s="111" t="n"/>
      <c r="BL56" s="111" t="n"/>
      <c r="BM56" s="111" t="n"/>
      <c r="BN56" s="111" t="n"/>
      <c r="BO56" s="111" t="n"/>
      <c r="BP56" s="111" t="n"/>
      <c r="BQ56" s="111" t="n"/>
      <c r="BR56" s="111" t="n"/>
      <c r="BS56" s="111">
        <f>"  " &amp; TEXT(AE56,"#0.00%") &amp; " "</f>
        <v/>
      </c>
      <c r="BT56" s="111" t="n"/>
      <c r="BU56" s="111" t="n"/>
      <c r="BV56" s="111" t="n"/>
      <c r="BW56" s="111">
        <f>"     " &amp; "Walk-forward 검증 · 기준선 비교" &amp; "(조영훈)" &amp; " " &amp; IF(P56="","",TEXT(P56,"M/D-")) &amp; IF(Q56="","",TEXT(Q56,"M/D")) &amp; " "</f>
        <v/>
      </c>
      <c r="BX56" s="111" t="n"/>
      <c r="BY56" s="111" t="n"/>
      <c r="BZ56" s="111" t="n"/>
      <c r="CA56" s="111" t="n"/>
      <c r="CB56" s="111" t="n"/>
      <c r="CC56" s="111" t="n"/>
      <c r="CD56" s="111" t="n"/>
      <c r="CE56" s="111" t="n"/>
      <c r="CF56" s="111" t="n"/>
      <c r="CG56" s="111" t="n"/>
      <c r="CH56" s="111" t="n"/>
      <c r="CI56" s="111" t="n"/>
      <c r="CJ56" s="111" t="n"/>
      <c r="CK56" s="111" t="n"/>
      <c r="CL56" s="111" t="n"/>
      <c r="CM56" s="111" t="n"/>
      <c r="CN56" s="111" t="n"/>
      <c r="CO56" s="111" t="n"/>
      <c r="CP56" s="111" t="n"/>
      <c r="CQ56" s="111" t="n"/>
      <c r="CR56" s="111" t="n"/>
      <c r="CS56" s="111" t="n"/>
      <c r="CT56" s="111" t="n"/>
      <c r="CU56" s="111" t="n"/>
      <c r="CV56" s="111" t="n"/>
      <c r="CW56" s="111" t="n"/>
      <c r="CX56" s="111" t="n"/>
    </row>
    <row r="57" outlineLevel="1" ht="12" customHeight="1">
      <c r="A57" s="96" t="n"/>
      <c r="B57" s="96" t="n"/>
      <c r="C57" s="96" t="n">
        <v>4</v>
      </c>
      <c r="D57" s="313" t="inlineStr">
        <is>
          <t>1.3.2.1</t>
        </is>
      </c>
      <c r="E57" s="97" t="n"/>
      <c r="F57" s="97" t="n"/>
      <c r="G57" s="97" t="n"/>
      <c r="H57" s="97" t="inlineStr">
        <is>
          <t>Walk-forward 검증 · 기준선 비교</t>
        </is>
      </c>
      <c r="I57" s="97" t="n"/>
      <c r="J57" s="97" t="n"/>
      <c r="K57" s="97" t="n"/>
      <c r="L57" s="97" t="n"/>
      <c r="M57" s="97" t="n"/>
      <c r="N57" s="97" t="n"/>
      <c r="O57" s="97" t="inlineStr">
        <is>
          <t>reports/g2_validation_report.md</t>
        </is>
      </c>
      <c r="P57" s="249" t="n">
        <v>46357</v>
      </c>
      <c r="Q57" s="249" t="n">
        <v>46387</v>
      </c>
      <c r="R57" s="97" t="n"/>
      <c r="S57" s="311" t="n"/>
      <c r="T57" s="311" t="n"/>
      <c r="U57" s="311" t="n">
        <v>22</v>
      </c>
      <c r="V57" s="311" t="n">
        <v>0</v>
      </c>
      <c r="W57" s="249" t="n"/>
      <c r="X57" s="249" t="n"/>
      <c r="Y57" s="312" t="n"/>
      <c r="Z57" s="99" t="n"/>
      <c r="AA57" s="311" t="n"/>
      <c r="AB57" s="238" t="inlineStr">
        <is>
          <t>조영훈</t>
        </is>
      </c>
      <c r="AC57" s="97" t="n"/>
      <c r="AD57" s="225" t="n"/>
      <c r="AE57" s="227" t="n">
        <v>0</v>
      </c>
      <c r="AF57" s="110" t="n"/>
      <c r="AG57" s="111" t="n"/>
      <c r="AH57" s="111" t="n"/>
      <c r="AI57" s="111" t="n"/>
      <c r="AJ57" s="111" t="n"/>
      <c r="AK57" s="111">
        <f>"      " &amp; TEXT(AE57,"#0.00%") &amp; " " &amp; "Walk-forward 검증 · 기준선 비교" &amp; "(조영훈)" &amp; " " &amp; IF(P57="","",TEXT(P57,"M/D-")) &amp; IF(Q57="","",TEXT(Q57,"M/D")) &amp; " "</f>
        <v/>
      </c>
      <c r="AL57" s="111" t="n"/>
      <c r="AM57" s="111" t="n"/>
      <c r="AN57" s="111" t="n"/>
      <c r="AO57" s="111" t="n"/>
      <c r="AP57" s="111" t="n"/>
      <c r="AQ57" s="111" t="n"/>
      <c r="AR57" s="111" t="n"/>
      <c r="AS57" s="111" t="n"/>
      <c r="AT57" s="111" t="n"/>
      <c r="AU57" s="111" t="n"/>
      <c r="AV57" s="111" t="n"/>
      <c r="AW57" s="111" t="n"/>
      <c r="AX57" s="111" t="n"/>
      <c r="AY57" s="111" t="n"/>
      <c r="AZ57" s="111" t="n"/>
      <c r="BA57" s="111" t="n"/>
      <c r="BB57" s="111" t="n"/>
      <c r="BC57" s="111" t="n"/>
      <c r="BD57" s="111" t="n"/>
      <c r="BE57" s="111" t="n"/>
      <c r="BF57" s="111" t="n"/>
      <c r="BG57" s="111" t="n"/>
      <c r="BH57" s="111" t="n"/>
      <c r="BI57" s="111" t="n"/>
      <c r="BJ57" s="111" t="n"/>
      <c r="BK57" s="111" t="n"/>
      <c r="BL57" s="111" t="n"/>
      <c r="BM57" s="111" t="n"/>
      <c r="BN57" s="111" t="n"/>
      <c r="BO57" s="111" t="n"/>
      <c r="BP57" s="111" t="n"/>
      <c r="BQ57" s="111" t="n"/>
      <c r="BR57" s="111" t="n"/>
      <c r="BS57" s="111" t="n"/>
      <c r="BT57" s="111" t="n"/>
      <c r="BU57" s="111" t="n"/>
      <c r="BV57" s="111" t="n"/>
      <c r="BW57" s="111">
        <f>"     " &amp; TEXT(AE57,"#0.00%") &amp; " "</f>
        <v/>
      </c>
      <c r="BX57" s="111" t="n"/>
      <c r="BY57" s="111" t="n"/>
      <c r="BZ57" s="111" t="n"/>
      <c r="CA57" s="111" t="n"/>
      <c r="CB57" s="111" t="n"/>
      <c r="CC57" s="111" t="n"/>
      <c r="CD57" s="111" t="n"/>
      <c r="CE57" s="111" t="n"/>
      <c r="CF57" s="111" t="n"/>
      <c r="CG57" s="111" t="n"/>
      <c r="CH57" s="111" t="n"/>
      <c r="CI57" s="111" t="n"/>
      <c r="CJ57" s="111">
        <f>"    " &amp; "Phase 4: G3 Bear·Bull·Hold 레짐 신호" &amp; "(TBD)" &amp; " " &amp; IF(P57="","",TEXT(P57,"M/D-")) &amp; IF(Q57="","",TEXT(Q57,"M/D")) &amp; " "</f>
        <v/>
      </c>
      <c r="CK57" s="111" t="n"/>
      <c r="CL57" s="111" t="n"/>
      <c r="CM57" s="111" t="n"/>
      <c r="CN57" s="111" t="n"/>
      <c r="CO57" s="111" t="n"/>
      <c r="CP57" s="111" t="n"/>
      <c r="CQ57" s="111" t="n"/>
      <c r="CR57" s="111" t="n"/>
      <c r="CS57" s="111" t="n"/>
      <c r="CT57" s="111" t="n"/>
      <c r="CU57" s="111" t="n"/>
      <c r="CV57" s="111" t="n"/>
      <c r="CW57" s="111" t="n"/>
      <c r="CX57" s="111" t="n"/>
    </row>
    <row r="58" outlineLevel="2" ht="12" customHeight="1">
      <c r="A58" s="96" t="n"/>
      <c r="B58" s="96" t="n"/>
      <c r="C58" s="96" t="n">
        <v>3</v>
      </c>
      <c r="D58" s="314" t="inlineStr">
        <is>
          <t>1.3.3</t>
        </is>
      </c>
      <c r="E58" s="97" t="n"/>
      <c r="F58" s="97" t="n"/>
      <c r="G58" s="97" t="inlineStr">
        <is>
          <t>[전처리]</t>
        </is>
      </c>
      <c r="H58" s="97" t="n"/>
      <c r="I58" s="97" t="n"/>
      <c r="J58" s="97" t="n"/>
      <c r="K58" s="97" t="n"/>
      <c r="L58" s="97" t="n"/>
      <c r="M58" s="97" t="n"/>
      <c r="N58" s="97" t="n"/>
      <c r="O58" s="97" t="n"/>
      <c r="P58" s="249" t="n">
        <v>46265</v>
      </c>
      <c r="Q58" s="249" t="n">
        <v>46286</v>
      </c>
      <c r="R58" s="97" t="n"/>
      <c r="S58" s="311" t="n"/>
      <c r="T58" s="311" t="n"/>
      <c r="U58" s="311" t="n"/>
      <c r="V58" s="311" t="n"/>
      <c r="W58" s="249" t="n"/>
      <c r="X58" s="249" t="n"/>
      <c r="Y58" s="312" t="n"/>
      <c r="Z58" s="99" t="n"/>
      <c r="AA58" s="311" t="n"/>
      <c r="AB58" s="238" t="inlineStr">
        <is>
          <t>조영훈</t>
        </is>
      </c>
      <c r="AC58" s="97" t="n"/>
      <c r="AD58" s="225" t="n"/>
      <c r="AE58" s="226" t="n"/>
      <c r="AF58" s="110" t="n"/>
      <c r="AG58" s="111" t="n"/>
      <c r="AH58" s="111" t="n"/>
      <c r="AI58" s="111" t="n"/>
      <c r="AJ58" s="111" t="n"/>
      <c r="AK58" s="111">
        <f>"      " &amp; TEXT(AE58,"#0.00%") &amp; " " &amp; "[전처리]" &amp; "(조영훈)" &amp; " " &amp; IF(P58="","",TEXT(P58,"M/D-")) &amp; IF(Q58="","",TEXT(Q58,"M/D")) &amp; " "</f>
        <v/>
      </c>
      <c r="AL58" s="111" t="n"/>
      <c r="AM58" s="111" t="n"/>
      <c r="AN58" s="111" t="n"/>
      <c r="AO58" s="111" t="n"/>
      <c r="AP58" s="111" t="n"/>
      <c r="AQ58" s="111" t="n"/>
      <c r="AR58" s="111" t="n"/>
      <c r="AS58" s="111" t="n"/>
      <c r="AT58" s="111" t="n"/>
      <c r="AU58" s="111" t="n"/>
      <c r="AV58" s="111" t="n"/>
      <c r="AW58" s="111" t="n"/>
      <c r="AX58" s="111" t="n"/>
      <c r="AY58" s="111" t="n"/>
      <c r="AZ58" s="111" t="n"/>
      <c r="BA58" s="111" t="n"/>
      <c r="BB58" s="111" t="n"/>
      <c r="BC58" s="111" t="n"/>
      <c r="BD58" s="111" t="n"/>
      <c r="BE58" s="111" t="n"/>
      <c r="BF58" s="111" t="n"/>
      <c r="BG58" s="111" t="n"/>
      <c r="BH58" s="111" t="n"/>
      <c r="BI58" s="111" t="n"/>
      <c r="BJ58" s="111" t="n"/>
      <c r="BK58" s="111" t="n"/>
      <c r="BL58" s="111" t="n"/>
      <c r="BM58" s="111" t="n"/>
      <c r="BN58" s="111" t="n"/>
      <c r="BO58" s="111" t="n"/>
      <c r="BP58" s="111" t="n"/>
      <c r="BQ58" s="111" t="n"/>
      <c r="BR58" s="111" t="n"/>
      <c r="BS58" s="111" t="n"/>
      <c r="BT58" s="111" t="n"/>
      <c r="BU58" s="111" t="n"/>
      <c r="BV58" s="111" t="n"/>
      <c r="BW58" s="111">
        <f>"     " &amp; TEXT(AE58,"#0.00%") &amp; " "</f>
        <v/>
      </c>
      <c r="BX58" s="111" t="n"/>
      <c r="BY58" s="111" t="n"/>
      <c r="BZ58" s="111" t="n"/>
      <c r="CA58" s="111" t="n"/>
      <c r="CB58" s="111">
        <f>" " &amp; "Markov 레짐 전환 모델" &amp; "(TBD)" &amp; " " &amp; IF(P58="","",TEXT(P58,"M/D-")) &amp; IF(Q58="","",TEXT(Q58,"M/D")) &amp; " "</f>
        <v/>
      </c>
      <c r="CC58" s="111" t="n"/>
      <c r="CD58" s="111" t="n"/>
      <c r="CE58" s="111" t="n"/>
      <c r="CF58" s="111" t="n"/>
      <c r="CG58" s="111" t="n"/>
      <c r="CH58" s="111" t="n"/>
      <c r="CI58" s="111" t="n"/>
      <c r="CJ58" s="111" t="n"/>
      <c r="CK58" s="111" t="n"/>
      <c r="CL58" s="111" t="n"/>
      <c r="CM58" s="111" t="n"/>
      <c r="CN58" s="111" t="n"/>
      <c r="CO58" s="111" t="n"/>
      <c r="CP58" s="111" t="n"/>
      <c r="CQ58" s="111" t="n"/>
      <c r="CR58" s="111" t="n"/>
      <c r="CS58" s="111" t="n"/>
      <c r="CT58" s="111" t="n"/>
      <c r="CU58" s="111" t="n"/>
      <c r="CV58" s="111" t="n"/>
      <c r="CW58" s="111" t="n"/>
      <c r="CX58" s="111" t="n"/>
    </row>
    <row r="59" outlineLevel="2" ht="12" customHeight="1">
      <c r="A59" s="96" t="n"/>
      <c r="B59" s="96" t="n"/>
      <c r="C59" s="96" t="n">
        <v>4</v>
      </c>
      <c r="D59" s="314" t="inlineStr">
        <is>
          <t>1.3.3.1</t>
        </is>
      </c>
      <c r="E59" s="97" t="n"/>
      <c r="F59" s="97" t="n"/>
      <c r="G59" s="97" t="n"/>
      <c r="H59" s="97" t="inlineStr">
        <is>
          <t>VMD 전처리 (추세·주기·노이즈 분리)</t>
        </is>
      </c>
      <c r="I59" s="97" t="n"/>
      <c r="J59" s="97" t="n"/>
      <c r="K59" s="97" t="n"/>
      <c r="L59" s="97" t="n"/>
      <c r="M59" s="97" t="n"/>
      <c r="N59" s="97" t="n"/>
      <c r="O59" s="97" t="inlineStr">
        <is>
          <t>src/forecasting/vmd_preprocess.py</t>
        </is>
      </c>
      <c r="P59" s="249" t="n">
        <v>46265</v>
      </c>
      <c r="Q59" s="249" t="n">
        <v>46286</v>
      </c>
      <c r="R59" s="97" t="n"/>
      <c r="S59" s="311" t="n"/>
      <c r="T59" s="311" t="n"/>
      <c r="U59" s="311" t="n">
        <v>15</v>
      </c>
      <c r="V59" s="311" t="n">
        <v>1</v>
      </c>
      <c r="W59" s="249" t="n"/>
      <c r="X59" s="249" t="n"/>
      <c r="Y59" s="312" t="n"/>
      <c r="Z59" s="99" t="n"/>
      <c r="AA59" s="311" t="n"/>
      <c r="AB59" s="238" t="inlineStr">
        <is>
          <t>조영훈</t>
        </is>
      </c>
      <c r="AC59" s="97" t="n"/>
      <c r="AD59" s="225" t="n"/>
      <c r="AE59" s="226" t="n">
        <v>0</v>
      </c>
      <c r="AF59" s="110" t="n"/>
      <c r="AG59" s="111" t="n"/>
      <c r="AH59" s="111" t="n"/>
      <c r="AI59" s="111" t="n"/>
      <c r="AJ59" s="111" t="n"/>
      <c r="AK59" s="111">
        <f>"      " &amp; TEXT(AE59,"#0.00%") &amp; " " &amp; "VMD 전처리 (추세·주기·노이즈 분리)" &amp; "(조영훈)" &amp; " " &amp; IF(P59="","",TEXT(P59,"M/D-")) &amp; IF(Q59="","",TEXT(Q59,"M/D")) &amp; " "</f>
        <v/>
      </c>
      <c r="AL59" s="111" t="n"/>
      <c r="AM59" s="111" t="n"/>
      <c r="AN59" s="111" t="n"/>
      <c r="AO59" s="111" t="n"/>
      <c r="AP59" s="111" t="n"/>
      <c r="AQ59" s="111" t="n"/>
      <c r="AR59" s="111" t="n"/>
      <c r="AS59" s="111" t="n"/>
      <c r="AT59" s="111" t="n"/>
      <c r="AU59" s="111" t="n"/>
      <c r="AV59" s="111" t="n"/>
      <c r="AW59" s="111" t="n"/>
      <c r="AX59" s="111" t="n"/>
      <c r="AY59" s="111" t="n"/>
      <c r="AZ59" s="111" t="n"/>
      <c r="BA59" s="111" t="n"/>
      <c r="BB59" s="111" t="n"/>
      <c r="BC59" s="111" t="n"/>
      <c r="BD59" s="111" t="n"/>
      <c r="BE59" s="111" t="n"/>
      <c r="BF59" s="111" t="n"/>
      <c r="BG59" s="111" t="n"/>
      <c r="BH59" s="111" t="n"/>
      <c r="BI59" s="111" t="n"/>
      <c r="BJ59" s="111" t="n"/>
      <c r="BK59" s="111" t="n"/>
      <c r="BL59" s="111" t="n"/>
      <c r="BM59" s="111" t="n"/>
      <c r="BN59" s="111" t="n"/>
      <c r="BO59" s="111" t="n"/>
      <c r="BP59" s="111" t="n"/>
      <c r="BQ59" s="111" t="n"/>
      <c r="BR59" s="111" t="n"/>
      <c r="BS59" s="111" t="n"/>
      <c r="BT59" s="111" t="n"/>
      <c r="BU59" s="111" t="n"/>
      <c r="BV59" s="111" t="n"/>
      <c r="BW59" s="111" t="n"/>
      <c r="BX59" s="111" t="n"/>
      <c r="BY59" s="111">
        <f>"     " &amp; TEXT(AE59,"#0.00%") &amp; " "</f>
        <v/>
      </c>
      <c r="BZ59" s="111" t="n"/>
      <c r="CA59" s="111" t="n"/>
      <c r="CB59" s="111" t="n"/>
      <c r="CC59" s="111" t="n"/>
      <c r="CD59" s="111">
        <f>" " &amp; "Monte Carlo P&amp;L 시뮬레이션" &amp; "(TBD)" &amp; " " &amp; IF(P59="","",TEXT(P59,"M/D-")) &amp; IF(Q59="","",TEXT(Q59,"M/D")) &amp; " "</f>
        <v/>
      </c>
      <c r="CE59" s="111" t="n"/>
      <c r="CF59" s="111" t="n"/>
      <c r="CG59" s="111" t="n"/>
      <c r="CH59" s="111" t="n"/>
      <c r="CI59" s="111" t="n"/>
      <c r="CJ59" s="111" t="n"/>
      <c r="CK59" s="111" t="n"/>
      <c r="CL59" s="111" t="n"/>
      <c r="CM59" s="111" t="n"/>
      <c r="CN59" s="111" t="n"/>
      <c r="CO59" s="111" t="n"/>
      <c r="CP59" s="111" t="n"/>
      <c r="CQ59" s="111" t="n"/>
      <c r="CR59" s="111" t="n"/>
      <c r="CS59" s="111" t="n"/>
      <c r="CT59" s="111" t="n"/>
      <c r="CU59" s="111" t="n"/>
      <c r="CV59" s="111" t="n"/>
      <c r="CW59" s="111" t="n"/>
      <c r="CX59" s="111" t="n"/>
    </row>
    <row r="60" outlineLevel="2" ht="12" customHeight="1">
      <c r="A60" s="96" t="n"/>
      <c r="B60" s="96" t="n"/>
      <c r="C60" s="96" t="n">
        <v>3</v>
      </c>
      <c r="D60" s="314" t="inlineStr">
        <is>
          <t>1.3.4</t>
        </is>
      </c>
      <c r="E60" s="97" t="n"/>
      <c r="F60" s="97" t="n"/>
      <c r="G60" s="97" t="inlineStr">
        <is>
          <t>[분석]</t>
        </is>
      </c>
      <c r="H60" s="97" t="n"/>
      <c r="I60" s="97" t="n"/>
      <c r="J60" s="97" t="n"/>
      <c r="K60" s="97" t="n"/>
      <c r="L60" s="97" t="n"/>
      <c r="M60" s="97" t="n"/>
      <c r="N60" s="97" t="n"/>
      <c r="O60" s="97" t="n"/>
      <c r="P60" s="249" t="n">
        <v>46280</v>
      </c>
      <c r="Q60" s="249" t="n">
        <v>46347</v>
      </c>
      <c r="R60" s="97" t="n"/>
      <c r="S60" s="311" t="n"/>
      <c r="T60" s="311" t="n"/>
      <c r="U60" s="311" t="n"/>
      <c r="V60" s="311" t="n"/>
      <c r="W60" s="249" t="n"/>
      <c r="X60" s="249" t="n"/>
      <c r="Y60" s="312" t="n"/>
      <c r="Z60" s="99" t="n"/>
      <c r="AA60" s="311" t="n"/>
      <c r="AB60" s="238" t="inlineStr">
        <is>
          <t>조영훈</t>
        </is>
      </c>
      <c r="AC60" s="97" t="n"/>
      <c r="AD60" s="225" t="n"/>
      <c r="AE60" s="226" t="n"/>
      <c r="AF60" s="110" t="n"/>
      <c r="AG60" s="111" t="n"/>
      <c r="AH60" s="111" t="n"/>
      <c r="AI60" s="111" t="n"/>
      <c r="AJ60" s="111" t="n"/>
      <c r="AK60" s="111">
        <f>"      " &amp; TEXT(AE60,"#0.00%") &amp; " " &amp; "[분석]" &amp; "(조영훈)" &amp; " " &amp; IF(P60="","",TEXT(P60,"M/D-")) &amp; IF(Q60="","",TEXT(Q60,"M/D")) &amp; " "</f>
        <v/>
      </c>
      <c r="AL60" s="111" t="n"/>
      <c r="AM60" s="111" t="n"/>
      <c r="AN60" s="111" t="n"/>
      <c r="AO60" s="111" t="n"/>
      <c r="AP60" s="111" t="n"/>
      <c r="AQ60" s="111" t="n"/>
      <c r="AR60" s="111" t="n"/>
      <c r="AS60" s="111" t="n"/>
      <c r="AT60" s="111" t="n"/>
      <c r="AU60" s="111" t="n"/>
      <c r="AV60" s="111" t="n"/>
      <c r="AW60" s="111" t="n"/>
      <c r="AX60" s="111" t="n"/>
      <c r="AY60" s="111" t="n"/>
      <c r="AZ60" s="111" t="n"/>
      <c r="BA60" s="111" t="n"/>
      <c r="BB60" s="111" t="n"/>
      <c r="BC60" s="111" t="n"/>
      <c r="BD60" s="111" t="n"/>
      <c r="BE60" s="111" t="n"/>
      <c r="BF60" s="111" t="n"/>
      <c r="BG60" s="111" t="n"/>
      <c r="BH60" s="111" t="n"/>
      <c r="BI60" s="111" t="n"/>
      <c r="BJ60" s="111" t="n"/>
      <c r="BK60" s="111" t="n"/>
      <c r="BL60" s="111" t="n"/>
      <c r="BM60" s="111" t="n"/>
      <c r="BN60" s="111" t="n"/>
      <c r="BO60" s="111" t="n"/>
      <c r="BP60" s="111" t="n"/>
      <c r="BQ60" s="111" t="n"/>
      <c r="BR60" s="111" t="n"/>
      <c r="BS60" s="111" t="n"/>
      <c r="BT60" s="111" t="n"/>
      <c r="BU60" s="111" t="n"/>
      <c r="BV60" s="111" t="n"/>
      <c r="BW60" s="111" t="n"/>
      <c r="BX60" s="111" t="n"/>
      <c r="BY60" s="111" t="n"/>
      <c r="BZ60" s="111" t="n"/>
      <c r="CA60" s="111" t="n"/>
      <c r="CB60" s="111">
        <f>" " &amp; TEXT(AE60,"#0.00%") &amp; " "</f>
        <v/>
      </c>
      <c r="CC60" s="111" t="n"/>
      <c r="CD60" s="111" t="n"/>
      <c r="CE60" s="111" t="n"/>
      <c r="CF60" s="111">
        <f>" " &amp; "HITL 구매 의사결정 게이트" &amp; "(TBD)" &amp; " " &amp; IF(P60="","",TEXT(P60,"M/D-")) &amp; IF(Q60="","",TEXT(Q60,"M/D")) &amp; " "</f>
        <v/>
      </c>
      <c r="CG60" s="111" t="n"/>
      <c r="CH60" s="111" t="n"/>
      <c r="CI60" s="111" t="n"/>
      <c r="CJ60" s="111" t="n"/>
      <c r="CK60" s="111" t="n"/>
      <c r="CL60" s="111" t="n"/>
      <c r="CM60" s="111" t="n"/>
      <c r="CN60" s="111" t="n"/>
      <c r="CO60" s="111" t="n"/>
      <c r="CP60" s="111" t="n"/>
      <c r="CQ60" s="111" t="n"/>
      <c r="CR60" s="111" t="n"/>
      <c r="CS60" s="111" t="n"/>
      <c r="CT60" s="111" t="n"/>
      <c r="CU60" s="111" t="n"/>
      <c r="CV60" s="111" t="n"/>
      <c r="CW60" s="111" t="n"/>
      <c r="CX60" s="111" t="n"/>
    </row>
    <row r="61" outlineLevel="2" ht="12" customHeight="1">
      <c r="A61" s="96" t="n"/>
      <c r="B61" s="96" t="n"/>
      <c r="C61" s="96" t="n">
        <v>4</v>
      </c>
      <c r="D61" s="314" t="inlineStr">
        <is>
          <t>1.3.4.1</t>
        </is>
      </c>
      <c r="E61" s="97" t="n"/>
      <c r="F61" s="97" t="n"/>
      <c r="G61" s="97" t="n"/>
      <c r="H61" s="97" t="inlineStr">
        <is>
          <t>GARCH/EGARCH 변동성 모델</t>
        </is>
      </c>
      <c r="I61" s="97" t="n"/>
      <c r="J61" s="97" t="n"/>
      <c r="K61" s="97" t="n"/>
      <c r="L61" s="97" t="n"/>
      <c r="M61" s="97" t="n"/>
      <c r="N61" s="97" t="n"/>
      <c r="O61" s="97" t="inlineStr">
        <is>
          <t>src/forecasting/garch_g2.py</t>
        </is>
      </c>
      <c r="P61" s="249" t="n">
        <v>46280</v>
      </c>
      <c r="Q61" s="249" t="n">
        <v>46300</v>
      </c>
      <c r="R61" s="97" t="n"/>
      <c r="S61" s="311" t="n"/>
      <c r="T61" s="311" t="n"/>
      <c r="U61" s="311" t="n">
        <v>12</v>
      </c>
      <c r="V61" s="311" t="n">
        <v>0</v>
      </c>
      <c r="W61" s="249" t="n"/>
      <c r="X61" s="249" t="n"/>
      <c r="Y61" s="312" t="n"/>
      <c r="Z61" s="99" t="n"/>
      <c r="AA61" s="311" t="n"/>
      <c r="AB61" s="238" t="inlineStr">
        <is>
          <t>조영훈</t>
        </is>
      </c>
      <c r="AC61" s="97" t="n"/>
      <c r="AD61" s="225" t="n"/>
      <c r="AE61" s="226" t="n">
        <v>0</v>
      </c>
      <c r="AF61" s="110" t="n"/>
      <c r="AG61" s="111" t="n"/>
      <c r="AH61" s="111" t="n"/>
      <c r="AI61" s="111" t="n"/>
      <c r="AJ61" s="111" t="n"/>
      <c r="AK61" s="111">
        <f>"      " &amp; TEXT(AE61,"#0.00%") &amp; " " &amp; "GARCH/EGARCH 변동성 모델" &amp; "(조영훈)" &amp; " " &amp; IF(P61="","",TEXT(P61,"M/D-")) &amp; IF(Q61="","",TEXT(Q61,"M/D")) &amp; " "</f>
        <v/>
      </c>
      <c r="AL61" s="111" t="n"/>
      <c r="AM61" s="111" t="n"/>
      <c r="AN61" s="111" t="n"/>
      <c r="AO61" s="111" t="n"/>
      <c r="AP61" s="111" t="n"/>
      <c r="AQ61" s="111" t="n"/>
      <c r="AR61" s="111" t="n"/>
      <c r="AS61" s="111" t="n"/>
      <c r="AT61" s="111" t="n"/>
      <c r="AU61" s="111" t="n"/>
      <c r="AV61" s="111" t="n"/>
      <c r="AW61" s="111" t="n"/>
      <c r="AX61" s="111" t="n"/>
      <c r="AY61" s="111" t="n"/>
      <c r="AZ61" s="111" t="n"/>
      <c r="BA61" s="111" t="n"/>
      <c r="BB61" s="111" t="n"/>
      <c r="BC61" s="111" t="n"/>
      <c r="BD61" s="111" t="n"/>
      <c r="BE61" s="111" t="n"/>
      <c r="BF61" s="111" t="n"/>
      <c r="BG61" s="111" t="n"/>
      <c r="BH61" s="111" t="n"/>
      <c r="BI61" s="111" t="n"/>
      <c r="BJ61" s="111" t="n"/>
      <c r="BK61" s="111" t="n"/>
      <c r="BL61" s="111" t="n"/>
      <c r="BM61" s="111" t="n"/>
      <c r="BN61" s="111" t="n"/>
      <c r="BO61" s="111" t="n"/>
      <c r="BP61" s="111" t="n"/>
      <c r="BQ61" s="111" t="n"/>
      <c r="BR61" s="111" t="n"/>
      <c r="BS61" s="111" t="n"/>
      <c r="BT61" s="111" t="n"/>
      <c r="BU61" s="111" t="n"/>
      <c r="BV61" s="111" t="n"/>
      <c r="BW61" s="111" t="n"/>
      <c r="BX61" s="111" t="n"/>
      <c r="BY61" s="111" t="n"/>
      <c r="BZ61" s="111" t="n"/>
      <c r="CA61" s="111" t="n"/>
      <c r="CB61" s="111" t="n"/>
      <c r="CC61" s="111" t="n"/>
      <c r="CD61" s="111">
        <f>" " &amp; TEXT(AE61,"#0.00%") &amp; " "</f>
        <v/>
      </c>
      <c r="CE61" s="111" t="n"/>
      <c r="CF61" s="111" t="n"/>
      <c r="CG61" s="111" t="n"/>
      <c r="CH61" s="111" t="n"/>
      <c r="CI61" s="111" t="n"/>
      <c r="CJ61" s="111">
        <f>"    " &amp; "G3 한국어 리포트·알림" &amp; "(TBD)" &amp; " " &amp; IF(P61="","",TEXT(P61,"M/D-")) &amp; IF(Q61="","",TEXT(Q61,"M/D")) &amp; " "</f>
        <v/>
      </c>
      <c r="CK61" s="111" t="n"/>
      <c r="CL61" s="111" t="n"/>
      <c r="CM61" s="111" t="n"/>
      <c r="CN61" s="111" t="n"/>
      <c r="CO61" s="111" t="n"/>
      <c r="CP61" s="111" t="n"/>
      <c r="CQ61" s="111" t="n"/>
      <c r="CR61" s="111" t="n"/>
      <c r="CS61" s="111" t="n"/>
      <c r="CT61" s="111" t="n"/>
      <c r="CU61" s="111" t="n"/>
      <c r="CV61" s="111" t="n"/>
      <c r="CW61" s="111" t="n"/>
      <c r="CX61" s="111" t="n"/>
    </row>
    <row r="62" outlineLevel="1" ht="12" customHeight="1">
      <c r="A62" s="96" t="n"/>
      <c r="B62" s="96" t="n"/>
      <c r="C62" s="96" t="n">
        <v>4</v>
      </c>
      <c r="D62" s="313" t="inlineStr">
        <is>
          <t>1.3.4.2</t>
        </is>
      </c>
      <c r="E62" s="97" t="n"/>
      <c r="F62" s="97" t="n"/>
      <c r="G62" s="97" t="n"/>
      <c r="H62" s="97" t="inlineStr">
        <is>
          <t>LSTM/TFT 시퀀스 모델</t>
        </is>
      </c>
      <c r="I62" s="97" t="n"/>
      <c r="J62" s="97" t="n"/>
      <c r="K62" s="97" t="n"/>
      <c r="L62" s="97" t="n"/>
      <c r="M62" s="97" t="n"/>
      <c r="N62" s="97" t="n"/>
      <c r="O62" s="97" t="inlineStr">
        <is>
          <t>src/forecasting/lstm_g2.py</t>
        </is>
      </c>
      <c r="P62" s="249" t="n">
        <v>46296</v>
      </c>
      <c r="Q62" s="249" t="n">
        <v>46340</v>
      </c>
      <c r="R62" s="97" t="n"/>
      <c r="S62" s="311" t="n"/>
      <c r="T62" s="311" t="n"/>
      <c r="U62" s="311" t="n">
        <v>30</v>
      </c>
      <c r="V62" s="311" t="n">
        <v>0</v>
      </c>
      <c r="W62" s="249" t="n"/>
      <c r="X62" s="249" t="n"/>
      <c r="Y62" s="312" t="n"/>
      <c r="Z62" s="99" t="n"/>
      <c r="AA62" s="311" t="n"/>
      <c r="AB62" s="238" t="inlineStr">
        <is>
          <t>조영훈</t>
        </is>
      </c>
      <c r="AC62" s="97" t="n"/>
      <c r="AD62" s="225" t="n"/>
      <c r="AE62" s="227" t="n">
        <v>0</v>
      </c>
      <c r="AF62" s="110" t="n"/>
      <c r="AG62" s="111" t="n"/>
      <c r="AH62" s="111" t="n"/>
      <c r="AI62" s="111" t="n"/>
      <c r="AJ62" s="111" t="n"/>
      <c r="AK62" s="111">
        <f>"      " &amp; TEXT(AE62,"#0.00%") &amp; " " &amp; "LSTM/TFT 시퀀스 모델" &amp; "(조영훈)" &amp; " " &amp; IF(P62="","",TEXT(P62,"M/D-")) &amp; IF(Q62="","",TEXT(Q62,"M/D")) &amp; " "</f>
        <v/>
      </c>
      <c r="AL62" s="111" t="n"/>
      <c r="AM62" s="111" t="n"/>
      <c r="AN62" s="111" t="n"/>
      <c r="AO62" s="111" t="n"/>
      <c r="AP62" s="111" t="n"/>
      <c r="AQ62" s="111" t="n"/>
      <c r="AR62" s="111" t="n"/>
      <c r="AS62" s="111" t="n"/>
      <c r="AT62" s="111" t="n"/>
      <c r="AU62" s="111" t="n"/>
      <c r="AV62" s="111" t="n"/>
      <c r="AW62" s="111" t="n"/>
      <c r="AX62" s="111" t="n"/>
      <c r="AY62" s="111" t="n"/>
      <c r="AZ62" s="111" t="n"/>
      <c r="BA62" s="111" t="n"/>
      <c r="BB62" s="111" t="n"/>
      <c r="BC62" s="111" t="n"/>
      <c r="BD62" s="111" t="n"/>
      <c r="BE62" s="111" t="n"/>
      <c r="BF62" s="111" t="n"/>
      <c r="BG62" s="111" t="n"/>
      <c r="BH62" s="111" t="n"/>
      <c r="BI62" s="111" t="n"/>
      <c r="BJ62" s="111" t="n"/>
      <c r="BK62" s="111" t="n"/>
      <c r="BL62" s="111" t="n"/>
      <c r="BM62" s="111" t="n"/>
      <c r="BN62" s="111" t="n"/>
      <c r="BO62" s="111" t="n"/>
      <c r="BP62" s="111" t="n"/>
      <c r="BQ62" s="111" t="n"/>
      <c r="BR62" s="111" t="n"/>
      <c r="BS62" s="111" t="n"/>
      <c r="BT62" s="111" t="n"/>
      <c r="BU62" s="111" t="n"/>
      <c r="BV62" s="111" t="n"/>
      <c r="BW62" s="111" t="n"/>
      <c r="BX62" s="111" t="n"/>
      <c r="BY62" s="111" t="n"/>
      <c r="BZ62" s="111" t="n"/>
      <c r="CA62" s="111" t="n"/>
      <c r="CB62" s="111" t="n"/>
      <c r="CC62" s="111" t="n"/>
      <c r="CD62" s="111" t="n"/>
      <c r="CE62" s="111" t="n"/>
      <c r="CF62" s="111">
        <f>" " &amp; TEXT(AE62,"#0.00%") &amp; " "</f>
        <v/>
      </c>
      <c r="CG62" s="111" t="n"/>
      <c r="CH62" s="111" t="n"/>
      <c r="CI62" s="111" t="n"/>
      <c r="CJ62" s="111" t="n"/>
      <c r="CK62" s="111" t="n"/>
      <c r="CL62" s="111" t="n"/>
      <c r="CM62" s="111" t="n"/>
      <c r="CN62" s="111" t="n"/>
      <c r="CO62" s="111" t="n"/>
      <c r="CP62" s="111" t="n"/>
      <c r="CQ62" s="111" t="n"/>
      <c r="CR62" s="111" t="n"/>
      <c r="CS62" s="111" t="n"/>
      <c r="CT62" s="111" t="n"/>
      <c r="CU62" s="111" t="n"/>
      <c r="CV62" s="111" t="n"/>
      <c r="CW62" s="111">
        <f>"    " &amp; "Phase 5: MLOps·운영·유지보수" &amp; "(TBD)" &amp; " " &amp; IF(P62="","",TEXT(P62,"M/D-")) &amp; IF(Q62="","",TEXT(Q62,"M/D")) &amp; " "</f>
        <v/>
      </c>
      <c r="CX62" s="111" t="n"/>
    </row>
    <row r="63" outlineLevel="2" ht="12" customHeight="1">
      <c r="A63" s="96" t="n"/>
      <c r="B63" s="96" t="n"/>
      <c r="C63" s="96" t="n">
        <v>4</v>
      </c>
      <c r="D63" s="314" t="inlineStr">
        <is>
          <t>1.3.4.3</t>
        </is>
      </c>
      <c r="E63" s="97" t="n"/>
      <c r="F63" s="97" t="n"/>
      <c r="G63" s="97" t="n"/>
      <c r="H63" s="97" t="inlineStr">
        <is>
          <t>CQR 예측 구간 (conformal)</t>
        </is>
      </c>
      <c r="I63" s="97" t="n"/>
      <c r="J63" s="97" t="n"/>
      <c r="K63" s="97" t="n"/>
      <c r="L63" s="97" t="n"/>
      <c r="M63" s="97" t="n"/>
      <c r="N63" s="97" t="n"/>
      <c r="O63" s="97" t="inlineStr">
        <is>
          <t>src/forecasting/cqr_g2.py</t>
        </is>
      </c>
      <c r="P63" s="249" t="n">
        <v>46327</v>
      </c>
      <c r="Q63" s="249" t="n">
        <v>46347</v>
      </c>
      <c r="R63" s="97" t="n"/>
      <c r="S63" s="311" t="n"/>
      <c r="T63" s="311" t="n"/>
      <c r="U63" s="311" t="n">
        <v>15</v>
      </c>
      <c r="V63" s="311" t="n">
        <v>0</v>
      </c>
      <c r="W63" s="249" t="n"/>
      <c r="X63" s="249" t="n"/>
      <c r="Y63" s="312" t="n"/>
      <c r="Z63" s="99" t="n"/>
      <c r="AA63" s="311" t="n"/>
      <c r="AB63" s="238" t="inlineStr">
        <is>
          <t>조영훈</t>
        </is>
      </c>
      <c r="AC63" s="97" t="n"/>
      <c r="AD63" s="225" t="n"/>
      <c r="AE63" s="226" t="n">
        <v>0</v>
      </c>
      <c r="AF63" s="110" t="n"/>
      <c r="AG63" s="111" t="n"/>
      <c r="AH63" s="111" t="n"/>
      <c r="AI63" s="111" t="n"/>
      <c r="AJ63" s="111" t="n"/>
      <c r="AK63" s="111">
        <f>"      " &amp; TEXT(AE63,"#0.00%") &amp; " " &amp; "CQR 예측 구간 (conformal)" &amp; "(조영훈)" &amp; " " &amp; IF(P63="","",TEXT(P63,"M/D-")) &amp; IF(Q63="","",TEXT(Q63,"M/D")) &amp; " "</f>
        <v/>
      </c>
      <c r="AL63" s="111" t="n"/>
      <c r="AM63" s="111" t="n"/>
      <c r="AN63" s="111" t="n"/>
      <c r="AO63" s="111" t="n"/>
      <c r="AP63" s="111" t="n"/>
      <c r="AQ63" s="111" t="n"/>
      <c r="AR63" s="111" t="n"/>
      <c r="AS63" s="111" t="n"/>
      <c r="AT63" s="111" t="n"/>
      <c r="AU63" s="111" t="n"/>
      <c r="AV63" s="111" t="n"/>
      <c r="AW63" s="111" t="n"/>
      <c r="AX63" s="111" t="n"/>
      <c r="AY63" s="111" t="n"/>
      <c r="AZ63" s="111" t="n"/>
      <c r="BA63" s="111" t="n"/>
      <c r="BB63" s="111" t="n"/>
      <c r="BC63" s="111" t="n"/>
      <c r="BD63" s="111" t="n"/>
      <c r="BE63" s="111" t="n"/>
      <c r="BF63" s="111" t="n"/>
      <c r="BG63" s="111" t="n"/>
      <c r="BH63" s="111" t="n"/>
      <c r="BI63" s="111" t="n"/>
      <c r="BJ63" s="111" t="n"/>
      <c r="BK63" s="111" t="n"/>
      <c r="BL63" s="111" t="n"/>
      <c r="BM63" s="111" t="n"/>
      <c r="BN63" s="111" t="n"/>
      <c r="BO63" s="111" t="n"/>
      <c r="BP63" s="111" t="n"/>
      <c r="BQ63" s="111" t="n"/>
      <c r="BR63" s="111" t="n"/>
      <c r="BS63" s="111" t="n"/>
      <c r="BT63" s="111" t="n"/>
      <c r="BU63" s="111" t="n"/>
      <c r="BV63" s="111" t="n"/>
      <c r="BW63" s="111" t="n"/>
      <c r="BX63" s="111" t="n"/>
      <c r="BY63" s="111" t="n"/>
      <c r="BZ63" s="111" t="n"/>
      <c r="CA63" s="111" t="n"/>
      <c r="CB63" s="111" t="n"/>
      <c r="CC63" s="111" t="n"/>
      <c r="CD63" s="111" t="n"/>
      <c r="CE63" s="111" t="n"/>
      <c r="CF63" s="111">
        <f>" " &amp; TEXT(AE63,"#0.00%") &amp; " "</f>
        <v/>
      </c>
      <c r="CG63" s="111" t="n"/>
      <c r="CH63" s="111" t="n"/>
      <c r="CI63" s="111" t="n"/>
      <c r="CJ63" s="111">
        <f>"    " &amp; "MLflow 모델 레지스트리" &amp; "(TBD)" &amp; " " &amp; IF(P63="","",TEXT(P63,"M/D-")) &amp; IF(Q63="","",TEXT(Q63,"M/D")) &amp; " "</f>
        <v/>
      </c>
      <c r="CK63" s="111" t="n"/>
      <c r="CL63" s="111" t="n"/>
      <c r="CM63" s="111" t="n"/>
      <c r="CN63" s="111" t="n"/>
      <c r="CO63" s="111" t="n"/>
      <c r="CP63" s="111" t="n"/>
      <c r="CQ63" s="111" t="n"/>
      <c r="CR63" s="111" t="n"/>
      <c r="CS63" s="111" t="n"/>
      <c r="CT63" s="111" t="n"/>
      <c r="CU63" s="111" t="n"/>
      <c r="CV63" s="111" t="n"/>
      <c r="CW63" s="111" t="n"/>
      <c r="CX63" s="111" t="n"/>
    </row>
    <row r="64" outlineLevel="2" ht="12" customHeight="1">
      <c r="A64" s="96" t="n"/>
      <c r="B64" s="96" t="inlineStr">
        <is>
          <t>G</t>
        </is>
      </c>
      <c r="C64" s="96" t="n">
        <v>2</v>
      </c>
      <c r="D64" s="314" t="inlineStr">
        <is>
          <t>1.4</t>
        </is>
      </c>
      <c r="E64" s="97" t="n"/>
      <c r="F64" s="97" t="inlineStr">
        <is>
          <t>Phase 4: G3 Bear·Bull·Hold 레짐 신호</t>
        </is>
      </c>
      <c r="G64" s="97" t="n"/>
      <c r="H64" s="97" t="n"/>
      <c r="I64" s="97" t="n"/>
      <c r="J64" s="97" t="n"/>
      <c r="K64" s="97" t="n"/>
      <c r="L64" s="97" t="n"/>
      <c r="M64" s="97" t="n"/>
      <c r="N64" s="97" t="n"/>
      <c r="O64" s="97" t="inlineStr">
        <is>
          <t>G3 구매 신호 + HITL 게이트</t>
        </is>
      </c>
      <c r="P64" s="249" t="n">
        <v>46388</v>
      </c>
      <c r="Q64" s="249" t="n">
        <v>46477</v>
      </c>
      <c r="R64" s="97" t="n"/>
      <c r="S64" s="311" t="n"/>
      <c r="T64" s="311" t="n"/>
      <c r="U64" s="311" t="n">
        <v>60</v>
      </c>
      <c r="V64" s="311" t="n">
        <v>0</v>
      </c>
      <c r="W64" s="249" t="n"/>
      <c r="X64" s="249" t="n"/>
      <c r="Y64" s="312" t="n"/>
      <c r="Z64" s="99" t="n"/>
      <c r="AA64" s="311" t="n"/>
      <c r="AB64" s="238" t="inlineStr">
        <is>
          <t>조영훈</t>
        </is>
      </c>
      <c r="AC64" s="97" t="n"/>
      <c r="AD64" s="225" t="n"/>
      <c r="AE64" s="226" t="n">
        <v>0</v>
      </c>
      <c r="AF64" s="110" t="n"/>
      <c r="AG64" s="111" t="n"/>
      <c r="AH64" s="111" t="n"/>
      <c r="AI64" s="111" t="n"/>
      <c r="AJ64" s="111" t="n"/>
      <c r="AK64" s="111">
        <f>"      " &amp; TEXT(AE64,"#0.00%") &amp; " " &amp; "Phase 4: G3 Bear·Bull·Hold 레짐 신호" &amp; "(조영훈)" &amp; " " &amp; IF(P64="","",TEXT(P64,"M/D-")) &amp; IF(Q64="","",TEXT(Q64,"M/D")) &amp; " "</f>
        <v/>
      </c>
      <c r="AL64" s="111" t="n"/>
      <c r="AM64" s="111" t="n"/>
      <c r="AN64" s="111" t="n"/>
      <c r="AO64" s="111" t="n"/>
      <c r="AP64" s="111" t="n"/>
      <c r="AQ64" s="111" t="n"/>
      <c r="AR64" s="111" t="n"/>
      <c r="AS64" s="111" t="n"/>
      <c r="AT64" s="111" t="n"/>
      <c r="AU64" s="111" t="n"/>
      <c r="AV64" s="111" t="n"/>
      <c r="AW64" s="111" t="n"/>
      <c r="AX64" s="111" t="n"/>
      <c r="AY64" s="111" t="n"/>
      <c r="AZ64" s="111" t="n"/>
      <c r="BA64" s="111" t="n"/>
      <c r="BB64" s="111" t="n"/>
      <c r="BC64" s="111" t="n"/>
      <c r="BD64" s="111" t="n"/>
      <c r="BE64" s="111" t="n"/>
      <c r="BF64" s="111" t="n"/>
      <c r="BG64" s="111" t="n"/>
      <c r="BH64" s="111" t="n"/>
      <c r="BI64" s="111" t="n"/>
      <c r="BJ64" s="111" t="n"/>
      <c r="BK64" s="111" t="n"/>
      <c r="BL64" s="111" t="n"/>
      <c r="BM64" s="111" t="n"/>
      <c r="BN64" s="111" t="n"/>
      <c r="BO64" s="111" t="n"/>
      <c r="BP64" s="111" t="n"/>
      <c r="BQ64" s="111" t="n"/>
      <c r="BR64" s="111" t="n"/>
      <c r="BS64" s="111" t="n"/>
      <c r="BT64" s="111" t="n"/>
      <c r="BU64" s="111" t="n"/>
      <c r="BV64" s="111" t="n"/>
      <c r="BW64" s="111" t="n"/>
      <c r="BX64" s="111" t="n"/>
      <c r="BY64" s="111" t="n"/>
      <c r="BZ64" s="111" t="n"/>
      <c r="CA64" s="111" t="n"/>
      <c r="CB64" s="111" t="n"/>
      <c r="CC64" s="111" t="n"/>
      <c r="CD64" s="111" t="n"/>
      <c r="CE64" s="111" t="n"/>
      <c r="CF64" s="111" t="n"/>
      <c r="CG64" s="111" t="n"/>
      <c r="CH64" s="111" t="n"/>
      <c r="CI64" s="111" t="n"/>
      <c r="CJ64" s="111">
        <f>"    " &amp; TEXT(AE64,"#0.00%") &amp; " "</f>
        <v/>
      </c>
      <c r="CK64" s="111" t="n"/>
      <c r="CL64" s="111" t="n"/>
      <c r="CM64" s="111" t="n"/>
      <c r="CN64" s="111" t="n"/>
      <c r="CO64" s="111" t="n"/>
      <c r="CP64" s="111" t="n"/>
      <c r="CQ64" s="111" t="n"/>
      <c r="CR64" s="111" t="n"/>
      <c r="CS64" s="111">
        <f>"  " &amp; "드리프트 모니터링·재학습 트리거" &amp; "(TBD)" &amp; " " &amp; IF(P64="","",TEXT(P64,"M/D-")) &amp; IF(Q64="","",TEXT(Q64,"M/D")) &amp; " "</f>
        <v/>
      </c>
      <c r="CT64" s="111" t="n"/>
      <c r="CU64" s="111" t="n"/>
      <c r="CV64" s="111" t="n"/>
      <c r="CW64" s="111" t="n"/>
      <c r="CX64" s="111" t="n"/>
    </row>
    <row r="65" outlineLevel="2" ht="12" customHeight="1">
      <c r="A65" s="96" t="n"/>
      <c r="B65" s="96" t="n"/>
      <c r="C65" s="96" t="n">
        <v>3</v>
      </c>
      <c r="D65" s="314" t="inlineStr">
        <is>
          <t>1.4.1</t>
        </is>
      </c>
      <c r="E65" s="97" t="n"/>
      <c r="F65" s="97" t="n"/>
      <c r="G65" s="97" t="inlineStr">
        <is>
          <t>[데이터수집]</t>
        </is>
      </c>
      <c r="H65" s="97" t="n"/>
      <c r="I65" s="97" t="n"/>
      <c r="J65" s="97" t="n"/>
      <c r="K65" s="97" t="n"/>
      <c r="L65" s="97" t="n"/>
      <c r="M65" s="97" t="n"/>
      <c r="N65" s="97" t="n"/>
      <c r="O65" s="97" t="n"/>
      <c r="P65" s="249" t="n">
        <v>46402</v>
      </c>
      <c r="Q65" s="249" t="n">
        <v>46446</v>
      </c>
      <c r="R65" s="97" t="n"/>
      <c r="S65" s="311" t="n"/>
      <c r="T65" s="311" t="n"/>
      <c r="U65" s="311" t="n"/>
      <c r="V65" s="311" t="n"/>
      <c r="W65" s="249" t="n"/>
      <c r="X65" s="249" t="n"/>
      <c r="Y65" s="312" t="n"/>
      <c r="Z65" s="99" t="n"/>
      <c r="AA65" s="311" t="n"/>
      <c r="AB65" s="238" t="inlineStr">
        <is>
          <t>조영훈</t>
        </is>
      </c>
      <c r="AC65" s="97" t="n"/>
      <c r="AD65" s="225" t="n"/>
      <c r="AE65" s="226" t="n"/>
      <c r="AF65" s="110" t="n"/>
      <c r="AG65" s="111" t="n"/>
      <c r="AH65" s="111" t="n"/>
      <c r="AI65" s="111" t="n"/>
      <c r="AJ65" s="111" t="n"/>
      <c r="AK65" s="111">
        <f>"      " &amp; TEXT(AE65,"#0.00%") &amp; " " &amp; "[데이터수집]" &amp; "(조영훈)" &amp; " " &amp; IF(P65="","",TEXT(P65,"M/D-")) &amp; IF(Q65="","",TEXT(Q65,"M/D")) &amp; " "</f>
        <v/>
      </c>
      <c r="AL65" s="111" t="n"/>
      <c r="AM65" s="111" t="n"/>
      <c r="AN65" s="111" t="n"/>
      <c r="AO65" s="111" t="n"/>
      <c r="AP65" s="111" t="n"/>
      <c r="AQ65" s="111" t="n"/>
      <c r="AR65" s="111" t="n"/>
      <c r="AS65" s="111" t="n"/>
      <c r="AT65" s="111" t="n"/>
      <c r="AU65" s="111" t="n"/>
      <c r="AV65" s="111" t="n"/>
      <c r="AW65" s="111" t="n"/>
      <c r="AX65" s="111" t="n"/>
      <c r="AY65" s="111" t="n"/>
      <c r="AZ65" s="111" t="n"/>
      <c r="BA65" s="111" t="n"/>
      <c r="BB65" s="111" t="n"/>
      <c r="BC65" s="111" t="n"/>
      <c r="BD65" s="111" t="n"/>
      <c r="BE65" s="111" t="n"/>
      <c r="BF65" s="111" t="n"/>
      <c r="BG65" s="111" t="n"/>
      <c r="BH65" s="111" t="n"/>
      <c r="BI65" s="111" t="n"/>
      <c r="BJ65" s="111" t="n"/>
      <c r="BK65" s="111" t="n"/>
      <c r="BL65" s="111" t="n"/>
      <c r="BM65" s="111" t="n"/>
      <c r="BN65" s="111" t="n"/>
      <c r="BO65" s="111" t="n"/>
      <c r="BP65" s="111" t="n"/>
      <c r="BQ65" s="111" t="n"/>
      <c r="BR65" s="111" t="n"/>
      <c r="BS65" s="111" t="n"/>
      <c r="BT65" s="111" t="n"/>
      <c r="BU65" s="111" t="n"/>
      <c r="BV65" s="111" t="n"/>
      <c r="BW65" s="111" t="n"/>
      <c r="BX65" s="111" t="n"/>
      <c r="BY65" s="111" t="n"/>
      <c r="BZ65" s="111" t="n"/>
      <c r="CA65" s="111" t="n"/>
      <c r="CB65" s="111" t="n"/>
      <c r="CC65" s="111" t="n"/>
      <c r="CD65" s="111" t="n"/>
      <c r="CE65" s="111" t="n"/>
      <c r="CF65" s="111" t="n"/>
      <c r="CG65" s="111" t="n"/>
      <c r="CH65" s="111" t="n"/>
      <c r="CI65" s="111" t="n"/>
      <c r="CJ65" s="111" t="n"/>
      <c r="CK65" s="111" t="n"/>
      <c r="CL65" s="111" t="n"/>
      <c r="CM65" s="111" t="n"/>
      <c r="CN65" s="111">
        <f>"      " &amp; TEXT(AE65,"#0.00%") &amp; " "</f>
        <v/>
      </c>
      <c r="CO65" s="111" t="n"/>
      <c r="CP65" s="111" t="n"/>
      <c r="CQ65" s="111" t="n"/>
      <c r="CR65" s="111" t="n"/>
      <c r="CS65" s="111" t="n"/>
      <c r="CT65" s="111" t="n"/>
      <c r="CU65" s="111" t="n"/>
      <c r="CV65" s="111" t="n"/>
      <c r="CW65" s="111">
        <f>"    " &amp; "운영 문서·교육" &amp; "(TBD)" &amp; " " &amp; IF(P65="","",TEXT(P65,"M/D-")) &amp; IF(Q65="","",TEXT(Q65,"M/D")) &amp; " "</f>
        <v/>
      </c>
      <c r="CX65" s="111" t="n"/>
    </row>
    <row r="66" ht="12" customHeight="1">
      <c r="A66" s="216" t="n"/>
      <c r="B66" s="216" t="n"/>
      <c r="C66" s="216" t="n">
        <v>4</v>
      </c>
      <c r="D66" s="217" t="inlineStr">
        <is>
          <t>1.4.1.1</t>
        </is>
      </c>
      <c r="E66" s="218" t="n"/>
      <c r="F66" s="218" t="n"/>
      <c r="G66" s="218" t="n"/>
      <c r="H66" s="218" t="inlineStr">
        <is>
          <t>Monte Carlo P&amp;L 시뮬레이션</t>
        </is>
      </c>
      <c r="I66" s="218" t="n"/>
      <c r="J66" s="218" t="n"/>
      <c r="K66" s="218" t="n"/>
      <c r="L66" s="218" t="n"/>
      <c r="M66" s="218" t="n"/>
      <c r="N66" s="218" t="n"/>
      <c r="O66" s="218" t="inlineStr">
        <is>
          <t>src/risk/monte_carlo_g3.py</t>
        </is>
      </c>
      <c r="P66" s="219" t="n">
        <v>46402</v>
      </c>
      <c r="Q66" s="219" t="n">
        <v>46432</v>
      </c>
      <c r="R66" s="218" t="n"/>
      <c r="S66" s="315" t="n"/>
      <c r="T66" s="315" t="n"/>
      <c r="U66" s="315" t="n">
        <v>19</v>
      </c>
      <c r="V66" s="315" t="n">
        <v>0</v>
      </c>
      <c r="W66" s="219" t="n"/>
      <c r="X66" s="219" t="n"/>
      <c r="Y66" s="316" t="n"/>
      <c r="Z66" s="222" t="n"/>
      <c r="AA66" s="315" t="n"/>
      <c r="AB66" s="218" t="inlineStr">
        <is>
          <t>조영훈</t>
        </is>
      </c>
      <c r="AC66" s="218" t="n"/>
      <c r="AD66" s="223" t="n"/>
      <c r="AE66" s="224" t="n">
        <v>0</v>
      </c>
      <c r="AF66" s="109" t="n"/>
      <c r="AG66" s="109" t="n"/>
      <c r="AH66" s="109" t="n"/>
      <c r="AI66" s="109" t="n"/>
      <c r="AJ66" s="109" t="n"/>
      <c r="AK66" s="109">
        <f>"      " &amp; TEXT(AE66,"#0.00%") &amp; " " &amp; "Monte Carlo P&amp;L 시뮬레이션" &amp; "(조영훈)" &amp; " " &amp; IF(P66="","",TEXT(P66,"M/D-")) &amp; IF(Q66="","",TEXT(Q66,"M/D")) &amp; " "</f>
        <v/>
      </c>
      <c r="AL66" s="109" t="n"/>
      <c r="AM66" s="109" t="n"/>
      <c r="AN66" s="109" t="n"/>
      <c r="AO66" s="109" t="n"/>
      <c r="AP66" s="109" t="n"/>
      <c r="AQ66" s="109" t="n"/>
      <c r="AR66" s="109" t="n"/>
      <c r="AS66" s="109" t="n"/>
      <c r="AT66" s="109" t="n"/>
      <c r="AU66" s="109" t="n"/>
      <c r="AV66" s="109" t="n"/>
      <c r="AW66" s="109" t="n"/>
      <c r="AX66" s="109" t="n"/>
      <c r="AY66" s="109" t="n"/>
      <c r="AZ66" s="109" t="n"/>
      <c r="BA66" s="109" t="n"/>
      <c r="BB66" s="109" t="n"/>
      <c r="BC66" s="109" t="n"/>
      <c r="BD66" s="109" t="n"/>
      <c r="BE66" s="109" t="n"/>
      <c r="BF66" s="109" t="n"/>
      <c r="BG66" s="109" t="n"/>
      <c r="BH66" s="109" t="n"/>
      <c r="BI66" s="109" t="n"/>
      <c r="BJ66" s="109" t="n"/>
      <c r="BK66" s="109" t="n"/>
      <c r="BL66" s="109" t="n"/>
      <c r="BM66" s="109" t="n"/>
      <c r="BN66" s="109" t="n"/>
      <c r="BO66" s="109" t="n"/>
      <c r="BP66" s="109" t="n"/>
      <c r="BQ66" s="109" t="n"/>
      <c r="BR66" s="109" t="n"/>
      <c r="BS66" s="109" t="n"/>
      <c r="BT66" s="109" t="n"/>
      <c r="BU66" s="109" t="n"/>
      <c r="BV66" s="109" t="n"/>
      <c r="BW66" s="109" t="n"/>
      <c r="BX66" s="109" t="n"/>
      <c r="BY66" s="109" t="n"/>
      <c r="BZ66" s="109" t="n"/>
      <c r="CA66" s="109" t="n"/>
      <c r="CB66" s="109" t="n"/>
      <c r="CC66" s="109" t="n"/>
      <c r="CD66" s="109" t="n"/>
      <c r="CE66" s="109" t="n"/>
      <c r="CF66" s="109" t="n"/>
      <c r="CG66" s="109" t="n"/>
      <c r="CH66" s="109" t="n"/>
      <c r="CI66" s="109" t="n"/>
      <c r="CJ66" s="109" t="n"/>
      <c r="CK66" s="109" t="n"/>
      <c r="CL66" s="109" t="n"/>
      <c r="CM66" s="109" t="n"/>
      <c r="CN66" s="109" t="n"/>
      <c r="CO66" s="109" t="n"/>
      <c r="CP66" s="109" t="n"/>
      <c r="CQ66" s="109" t="n"/>
      <c r="CR66" s="109" t="n"/>
      <c r="CS66" s="109" t="n"/>
      <c r="CT66" s="109" t="n"/>
      <c r="CU66" s="109" t="n"/>
      <c r="CV66" s="109" t="n"/>
      <c r="CW66" s="109" t="n"/>
      <c r="CX66" s="109" t="n"/>
    </row>
    <row r="67" ht="12" customHeight="1">
      <c r="A67" s="96" t="n"/>
      <c r="B67" s="96" t="n"/>
      <c r="C67" s="96" t="n">
        <v>4</v>
      </c>
      <c r="D67" s="108" t="inlineStr">
        <is>
          <t>1.4.1.2</t>
        </is>
      </c>
      <c r="E67" s="97" t="n"/>
      <c r="F67" s="97" t="n"/>
      <c r="G67" s="97" t="n"/>
      <c r="H67" s="97" t="inlineStr">
        <is>
          <t>HITL 구매 의사결정 게이트</t>
        </is>
      </c>
      <c r="I67" s="97" t="n"/>
      <c r="J67" s="97" t="n"/>
      <c r="K67" s="97" t="n"/>
      <c r="L67" s="97" t="n"/>
      <c r="M67" s="97" t="n"/>
      <c r="N67" s="97" t="n"/>
      <c r="O67" s="97" t="inlineStr">
        <is>
          <t>src/risk/procurement_gate.py</t>
        </is>
      </c>
      <c r="P67" s="249" t="n">
        <v>46419</v>
      </c>
      <c r="Q67" s="249" t="n">
        <v>46446</v>
      </c>
      <c r="R67" s="97" t="n"/>
      <c r="S67" s="311" t="n"/>
      <c r="T67" s="311" t="n"/>
      <c r="U67" s="311" t="n">
        <v>18</v>
      </c>
      <c r="V67" s="311" t="n">
        <v>0</v>
      </c>
      <c r="W67" s="249" t="n"/>
      <c r="X67" s="249" t="n"/>
      <c r="Y67" s="312" t="n"/>
      <c r="Z67" s="99" t="n"/>
      <c r="AA67" s="311" t="n"/>
      <c r="AB67" s="97" t="inlineStr">
        <is>
          <t>조영훈</t>
        </is>
      </c>
      <c r="AC67" s="97" t="n"/>
      <c r="AD67" s="107" t="n"/>
      <c r="AE67" s="180" t="n">
        <v>0</v>
      </c>
      <c r="AK67">
        <f>"      " &amp; TEXT(AE67,"#0.00%") &amp; " " &amp; "HITL 구매 의사결정 게이트" &amp; "(조영훈)" &amp; " " &amp; IF(P67="","",TEXT(P67,"M/D-")) &amp; IF(Q67="","",TEXT(Q67,"M/D")) &amp; " "</f>
        <v/>
      </c>
    </row>
    <row r="68" ht="12" customHeight="1">
      <c r="A68" s="96" t="n"/>
      <c r="B68" s="96" t="n"/>
      <c r="C68" s="96" t="n">
        <v>3</v>
      </c>
      <c r="D68" s="108" t="inlineStr">
        <is>
          <t>1.4.2</t>
        </is>
      </c>
      <c r="E68" s="97" t="n"/>
      <c r="F68" s="97" t="n"/>
      <c r="G68" s="97" t="inlineStr">
        <is>
          <t>[분석]</t>
        </is>
      </c>
      <c r="H68" s="97" t="n"/>
      <c r="I68" s="97" t="n"/>
      <c r="J68" s="97" t="n"/>
      <c r="K68" s="97" t="n"/>
      <c r="L68" s="97" t="n"/>
      <c r="M68" s="97" t="n"/>
      <c r="N68" s="97" t="n"/>
      <c r="O68" s="97" t="n"/>
      <c r="P68" s="249" t="n">
        <v>46388</v>
      </c>
      <c r="Q68" s="249" t="n">
        <v>46418</v>
      </c>
      <c r="R68" s="97" t="n"/>
      <c r="S68" s="311" t="n"/>
      <c r="T68" s="311" t="n"/>
      <c r="U68" s="311" t="n"/>
      <c r="V68" s="311" t="n"/>
      <c r="W68" s="249" t="n"/>
      <c r="X68" s="249" t="n"/>
      <c r="Y68" s="312" t="n"/>
      <c r="Z68" s="99" t="n"/>
      <c r="AA68" s="311" t="n"/>
      <c r="AB68" s="97" t="inlineStr">
        <is>
          <t>조영훈</t>
        </is>
      </c>
      <c r="AC68" s="97" t="n"/>
      <c r="AD68" s="107" t="n"/>
      <c r="AE68" s="180" t="n"/>
      <c r="AK68">
        <f>"      " &amp; TEXT(AE68,"#0.00%") &amp; " " &amp; "[분석]" &amp; "(조영훈)" &amp; " " &amp; IF(P68="","",TEXT(P68,"M/D-")) &amp; IF(Q68="","",TEXT(Q68,"M/D")) &amp; " "</f>
        <v/>
      </c>
    </row>
    <row r="69" ht="12" customHeight="1">
      <c r="A69" s="96" t="n"/>
      <c r="B69" s="96" t="n"/>
      <c r="C69" s="96" t="n">
        <v>4</v>
      </c>
      <c r="D69" s="108" t="inlineStr">
        <is>
          <t>1.4.2.1</t>
        </is>
      </c>
      <c r="E69" s="97" t="n"/>
      <c r="F69" s="97" t="n"/>
      <c r="G69" s="97" t="n"/>
      <c r="H69" s="97" t="inlineStr">
        <is>
          <t>Markov 레짐 전환 모델</t>
        </is>
      </c>
      <c r="I69" s="97" t="n"/>
      <c r="J69" s="97" t="n"/>
      <c r="K69" s="97" t="n"/>
      <c r="L69" s="97" t="n"/>
      <c r="M69" s="97" t="n"/>
      <c r="N69" s="97" t="n"/>
      <c r="O69" s="97" t="inlineStr">
        <is>
          <t>src/risk/regime_g3.py</t>
        </is>
      </c>
      <c r="P69" s="249" t="n">
        <v>46388</v>
      </c>
      <c r="Q69" s="249" t="n">
        <v>46418</v>
      </c>
      <c r="R69" s="97" t="n"/>
      <c r="S69" s="311" t="n"/>
      <c r="T69" s="311" t="n"/>
      <c r="U69" s="311" t="n">
        <v>20</v>
      </c>
      <c r="V69" s="311" t="n">
        <v>0</v>
      </c>
      <c r="W69" s="249" t="n"/>
      <c r="X69" s="249" t="n"/>
      <c r="Y69" s="312" t="n"/>
      <c r="Z69" s="99" t="n"/>
      <c r="AA69" s="311" t="n"/>
      <c r="AB69" s="97" t="inlineStr">
        <is>
          <t>조영훈</t>
        </is>
      </c>
      <c r="AC69" s="97" t="n"/>
      <c r="AD69" s="107" t="n"/>
      <c r="AE69" s="180" t="n">
        <v>0</v>
      </c>
      <c r="AK69">
        <f>"      " &amp; TEXT(AE69,"#0.00%") &amp; " " &amp; "Markov 레짐 전환 모델" &amp; "(조영훈)" &amp; " " &amp; IF(P69="","",TEXT(P69,"M/D-")) &amp; IF(Q69="","",TEXT(Q69,"M/D")) &amp; " "</f>
        <v/>
      </c>
    </row>
    <row r="70" ht="12" customHeight="1">
      <c r="A70" s="96" t="n"/>
      <c r="B70" s="96" t="n"/>
      <c r="C70" s="96" t="n">
        <v>3</v>
      </c>
      <c r="D70" s="108" t="inlineStr">
        <is>
          <t>1.4.3</t>
        </is>
      </c>
      <c r="E70" s="97" t="n"/>
      <c r="F70" s="97" t="n"/>
      <c r="G70" s="97" t="inlineStr">
        <is>
          <t>[시각화]</t>
        </is>
      </c>
      <c r="H70" s="97" t="n"/>
      <c r="I70" s="97" t="n"/>
      <c r="J70" s="97" t="n"/>
      <c r="K70" s="97" t="n"/>
      <c r="L70" s="97" t="n"/>
      <c r="M70" s="97" t="n"/>
      <c r="N70" s="97" t="n"/>
      <c r="O70" s="97" t="n"/>
      <c r="P70" s="249" t="n">
        <v>46433</v>
      </c>
      <c r="Q70" s="249" t="n">
        <v>46477</v>
      </c>
      <c r="R70" s="97" t="n"/>
      <c r="S70" s="311" t="n"/>
      <c r="T70" s="311" t="n"/>
      <c r="U70" s="311" t="n"/>
      <c r="V70" s="311" t="n"/>
      <c r="W70" s="249" t="n"/>
      <c r="X70" s="249" t="n"/>
      <c r="Y70" s="312" t="n"/>
      <c r="Z70" s="99" t="n"/>
      <c r="AA70" s="311" t="n"/>
      <c r="AB70" s="97" t="inlineStr">
        <is>
          <t>조영훈</t>
        </is>
      </c>
      <c r="AC70" s="97" t="n"/>
      <c r="AD70" s="107" t="n"/>
      <c r="AE70" s="186" t="n"/>
      <c r="AK70">
        <f>"      " &amp; TEXT(AE70,"#0.00%") &amp; " " &amp; "[시각화]" &amp; "(조영훈)" &amp; " " &amp; IF(P70="","",TEXT(P70,"M/D-")) &amp; IF(Q70="","",TEXT(Q70,"M/D")) &amp; " "</f>
        <v/>
      </c>
    </row>
    <row r="71" ht="12" customHeight="1">
      <c r="A71" s="96" t="n"/>
      <c r="B71" s="96" t="n"/>
      <c r="C71" s="96" t="n">
        <v>4</v>
      </c>
      <c r="D71" s="108" t="inlineStr">
        <is>
          <t>1.4.3.1</t>
        </is>
      </c>
      <c r="E71" s="97" t="n"/>
      <c r="F71" s="97" t="n"/>
      <c r="G71" s="97" t="n"/>
      <c r="H71" s="97" t="inlineStr">
        <is>
          <t>G3 한국어 리포트·알림</t>
        </is>
      </c>
      <c r="I71" s="97" t="n"/>
      <c r="J71" s="97" t="n"/>
      <c r="K71" s="97" t="n"/>
      <c r="L71" s="97" t="n"/>
      <c r="M71" s="97" t="n"/>
      <c r="N71" s="97" t="n"/>
      <c r="O71" s="97" t="inlineStr">
        <is>
          <t>reports/g3_procurement_signal.md</t>
        </is>
      </c>
      <c r="P71" s="249" t="n">
        <v>46433</v>
      </c>
      <c r="Q71" s="249" t="n">
        <v>46477</v>
      </c>
      <c r="R71" s="97" t="n"/>
      <c r="S71" s="311" t="n"/>
      <c r="T71" s="311" t="n"/>
      <c r="U71" s="311" t="n">
        <v>32</v>
      </c>
      <c r="V71" s="311" t="n">
        <v>0</v>
      </c>
      <c r="W71" s="249" t="n"/>
      <c r="X71" s="249" t="n"/>
      <c r="Y71" s="312" t="n"/>
      <c r="Z71" s="99" t="n"/>
      <c r="AA71" s="311" t="n"/>
      <c r="AB71" s="97" t="inlineStr">
        <is>
          <t>조영훈</t>
        </is>
      </c>
      <c r="AC71" s="97" t="n"/>
      <c r="AD71" s="107" t="n"/>
      <c r="AE71" s="180" t="n">
        <v>0</v>
      </c>
      <c r="AK71">
        <f>"      " &amp; TEXT(AE71,"#0.00%") &amp; " " &amp; "G3 한국어 리포트·알림" &amp; "(조영훈)" &amp; " " &amp; IF(P71="","",TEXT(P71,"M/D-")) &amp; IF(Q71="","",TEXT(Q71,"M/D")) &amp; " "</f>
        <v/>
      </c>
    </row>
    <row r="72" ht="12" customHeight="1">
      <c r="A72" s="96" t="n"/>
      <c r="B72" s="96" t="inlineStr">
        <is>
          <t>G</t>
        </is>
      </c>
      <c r="C72" s="96" t="n">
        <v>2</v>
      </c>
      <c r="D72" s="108" t="inlineStr">
        <is>
          <t>1.5</t>
        </is>
      </c>
      <c r="E72" s="97" t="n"/>
      <c r="F72" s="97" t="inlineStr">
        <is>
          <t>Phase 5: MLOps·운영·유지보수 · Azure ML 이관</t>
        </is>
      </c>
      <c r="G72" s="97" t="n"/>
      <c r="H72" s="97" t="n"/>
      <c r="I72" s="97" t="n"/>
      <c r="J72" s="97" t="n"/>
      <c r="K72" s="97" t="n"/>
      <c r="L72" s="97" t="n"/>
      <c r="M72" s="97" t="n"/>
      <c r="N72" s="97" t="n"/>
      <c r="O72" s="97" t="inlineStr">
        <is>
          <t>MLflow 레지스트리 + 모니터링</t>
        </is>
      </c>
      <c r="P72" s="249" t="n">
        <v>46447</v>
      </c>
      <c r="Q72" s="249" t="n">
        <v>46568</v>
      </c>
      <c r="R72" s="97" t="n"/>
      <c r="S72" s="311" t="n"/>
      <c r="T72" s="311" t="n"/>
      <c r="U72" s="311" t="n">
        <v>85</v>
      </c>
      <c r="V72" s="311" t="n">
        <v>0</v>
      </c>
      <c r="W72" s="249" t="n"/>
      <c r="X72" s="249" t="n"/>
      <c r="Y72" s="312" t="n"/>
      <c r="Z72" s="99" t="n"/>
      <c r="AA72" s="311" t="n"/>
      <c r="AB72" s="97" t="inlineStr">
        <is>
          <t>조영훈</t>
        </is>
      </c>
      <c r="AC72" s="97" t="n"/>
      <c r="AD72" s="107" t="n"/>
      <c r="AE72" s="180" t="n">
        <v>0</v>
      </c>
      <c r="AK72">
        <f>"      " &amp; TEXT(AE72,"#0.00%") &amp; " " &amp; "Phase 5: MLOps·운영·유지보수 · Azure ML 이관" &amp; "(조영훈)" &amp; " " &amp; IF(P72="","",TEXT(P72,"M/D-")) &amp; IF(Q72="","",TEXT(Q72,"M/D")) &amp; " "</f>
        <v/>
      </c>
    </row>
    <row r="73" ht="12" customHeight="1">
      <c r="A73" s="96" t="n"/>
      <c r="B73" s="96" t="n"/>
      <c r="C73" s="96" t="n">
        <v>3</v>
      </c>
      <c r="D73" s="108" t="inlineStr">
        <is>
          <t>1.5.1</t>
        </is>
      </c>
      <c r="E73" s="97" t="n"/>
      <c r="F73" s="97" t="n"/>
      <c r="G73" s="97" t="inlineStr">
        <is>
          <t>[데이터수집]</t>
        </is>
      </c>
      <c r="H73" s="97" t="n"/>
      <c r="I73" s="97" t="n"/>
      <c r="J73" s="97" t="n"/>
      <c r="K73" s="97" t="n"/>
      <c r="L73" s="97" t="n"/>
      <c r="M73" s="97" t="n"/>
      <c r="N73" s="97" t="n"/>
      <c r="O73" s="97" t="n"/>
      <c r="P73" s="249" t="n">
        <v>46478</v>
      </c>
      <c r="Q73" s="249" t="n">
        <v>46538</v>
      </c>
      <c r="R73" s="97" t="n"/>
      <c r="S73" s="311" t="n"/>
      <c r="T73" s="311" t="n"/>
      <c r="U73" s="311" t="n"/>
      <c r="V73" s="311" t="n"/>
      <c r="W73" s="249" t="n"/>
      <c r="X73" s="249" t="n"/>
      <c r="Y73" s="312" t="n"/>
      <c r="Z73" s="99" t="n"/>
      <c r="AA73" s="311" t="n"/>
      <c r="AB73" s="97" t="inlineStr">
        <is>
          <t>조영훈</t>
        </is>
      </c>
      <c r="AC73" s="97" t="n"/>
      <c r="AD73" s="107" t="n"/>
      <c r="AE73" s="186" t="n"/>
      <c r="AK73">
        <f>"      " &amp; TEXT(AE73,"#0.00%") &amp; " " &amp; "[데이터수집]" &amp; "(조영훈)" &amp; " " &amp; IF(P73="","",TEXT(P73,"M/D-")) &amp; IF(Q73="","",TEXT(Q73,"M/D")) &amp; " "</f>
        <v/>
      </c>
    </row>
    <row r="74" ht="12" customHeight="1">
      <c r="A74" s="96" t="n"/>
      <c r="B74" s="96" t="n"/>
      <c r="C74" s="96" t="n">
        <v>4</v>
      </c>
      <c r="D74" s="108" t="inlineStr">
        <is>
          <t>1.5.1.1</t>
        </is>
      </c>
      <c r="E74" s="97" t="n"/>
      <c r="F74" s="97" t="n"/>
      <c r="G74" s="97" t="n"/>
      <c r="H74" s="97" t="inlineStr">
        <is>
          <t>드리프트 모니터링·재학습 트리거</t>
        </is>
      </c>
      <c r="I74" s="97" t="n"/>
      <c r="J74" s="97" t="n"/>
      <c r="K74" s="97" t="n"/>
      <c r="L74" s="97" t="n"/>
      <c r="M74" s="97" t="n"/>
      <c r="N74" s="97" t="n"/>
      <c r="O74" s="97" t="inlineStr">
        <is>
          <t>src/pipeline/drift_monitor.py</t>
        </is>
      </c>
      <c r="P74" s="249" t="n">
        <v>46478</v>
      </c>
      <c r="Q74" s="249" t="n">
        <v>46538</v>
      </c>
      <c r="R74" s="97" t="n"/>
      <c r="S74" s="311" t="n"/>
      <c r="T74" s="311" t="n"/>
      <c r="U74" s="311" t="n">
        <v>41</v>
      </c>
      <c r="V74" s="311" t="n">
        <v>0</v>
      </c>
      <c r="W74" s="249" t="n"/>
      <c r="X74" s="249" t="n"/>
      <c r="Y74" s="312" t="n"/>
      <c r="Z74" s="99" t="n"/>
      <c r="AA74" s="311" t="n"/>
      <c r="AB74" s="97" t="inlineStr">
        <is>
          <t>조영훈</t>
        </is>
      </c>
      <c r="AC74" s="97" t="n"/>
      <c r="AD74" s="107" t="n"/>
      <c r="AE74" s="186" t="n">
        <v>0</v>
      </c>
      <c r="AK74">
        <f>"      " &amp; TEXT(AE74,"#0.00%") &amp; " " &amp; "드리프트 모니터링·재학습 트리거" &amp; "(조영훈)" &amp; " " &amp; IF(P74="","",TEXT(P74,"M/D-")) &amp; IF(Q74="","",TEXT(Q74,"M/D")) &amp; " "</f>
        <v/>
      </c>
    </row>
    <row r="75" ht="12" customHeight="1">
      <c r="A75" s="96" t="n"/>
      <c r="B75" s="96" t="n"/>
      <c r="C75" s="96" t="n">
        <v>3</v>
      </c>
      <c r="D75" s="108" t="inlineStr">
        <is>
          <t>1.5.2</t>
        </is>
      </c>
      <c r="E75" s="97" t="n"/>
      <c r="F75" s="97" t="n"/>
      <c r="G75" s="97" t="inlineStr">
        <is>
          <t>[분석]</t>
        </is>
      </c>
      <c r="H75" s="97" t="n"/>
      <c r="I75" s="97" t="n"/>
      <c r="J75" s="97" t="n"/>
      <c r="K75" s="97" t="n"/>
      <c r="L75" s="97" t="n"/>
      <c r="M75" s="97" t="n"/>
      <c r="N75" s="97" t="n"/>
      <c r="O75" s="97" t="n"/>
      <c r="P75" s="249" t="n">
        <v>46447</v>
      </c>
      <c r="Q75" s="249" t="n">
        <v>46477</v>
      </c>
      <c r="R75" s="97" t="n"/>
      <c r="S75" s="311" t="n"/>
      <c r="T75" s="311" t="n"/>
      <c r="U75" s="311" t="n"/>
      <c r="V75" s="311" t="n"/>
      <c r="W75" s="249" t="n"/>
      <c r="X75" s="249" t="n"/>
      <c r="Y75" s="312" t="n"/>
      <c r="Z75" s="99" t="n"/>
      <c r="AA75" s="311" t="n"/>
      <c r="AB75" s="97" t="inlineStr">
        <is>
          <t>조영훈</t>
        </is>
      </c>
      <c r="AC75" s="97" t="n"/>
      <c r="AD75" s="107" t="n"/>
      <c r="AE75" s="180" t="n"/>
      <c r="AK75">
        <f>"      " &amp; TEXT(AE75,"#0.00%") &amp; " " &amp; "[분석]" &amp; "(조영훈)" &amp; " " &amp; IF(P75="","",TEXT(P75,"M/D-")) &amp; IF(Q75="","",TEXT(Q75,"M/D")) &amp; " "</f>
        <v/>
      </c>
    </row>
    <row r="76" ht="12" customHeight="1">
      <c r="A76" s="96" t="n"/>
      <c r="B76" s="96" t="n"/>
      <c r="C76" s="96" t="n">
        <v>4</v>
      </c>
      <c r="D76" s="108" t="inlineStr">
        <is>
          <t>1.5.2.1</t>
        </is>
      </c>
      <c r="E76" s="97" t="n"/>
      <c r="F76" s="97" t="n"/>
      <c r="G76" s="97" t="n"/>
      <c r="H76" s="97" t="inlineStr">
        <is>
          <t>MLflow 모델 레지스트리</t>
        </is>
      </c>
      <c r="I76" s="97" t="n"/>
      <c r="J76" s="97" t="n"/>
      <c r="K76" s="97" t="n"/>
      <c r="L76" s="97" t="n"/>
      <c r="M76" s="97" t="n"/>
      <c r="N76" s="97" t="n"/>
      <c r="O76" s="97" t="inlineStr">
        <is>
          <t>Azure ML Model Registry</t>
        </is>
      </c>
      <c r="P76" s="249" t="n">
        <v>46447</v>
      </c>
      <c r="Q76" s="249" t="n">
        <v>46477</v>
      </c>
      <c r="R76" s="97" t="n"/>
      <c r="S76" s="311" t="n"/>
      <c r="T76" s="311" t="n"/>
      <c r="U76" s="311" t="n">
        <v>22</v>
      </c>
      <c r="V76" s="311" t="n">
        <v>0</v>
      </c>
      <c r="W76" s="249" t="n"/>
      <c r="X76" s="249" t="n"/>
      <c r="Y76" s="312" t="n"/>
      <c r="Z76" s="99" t="n"/>
      <c r="AA76" s="311" t="n"/>
      <c r="AB76" s="97" t="inlineStr">
        <is>
          <t>조영훈</t>
        </is>
      </c>
      <c r="AC76" s="97" t="n"/>
      <c r="AD76" s="107" t="n"/>
      <c r="AE76" s="186" t="n">
        <v>0</v>
      </c>
      <c r="AK76">
        <f>"      " &amp; TEXT(AE76,"#0.00%") &amp; " " &amp; "MLflow 모델 레지스트리" &amp; "(조영훈)" &amp; " " &amp; IF(P76="","",TEXT(P76,"M/D-")) &amp; IF(Q76="","",TEXT(Q76,"M/D")) &amp; " "</f>
        <v/>
      </c>
    </row>
    <row r="77" ht="12" customHeight="1">
      <c r="A77" s="96" t="n"/>
      <c r="B77" s="96" t="n"/>
      <c r="C77" s="96" t="n">
        <v>3</v>
      </c>
      <c r="D77" s="108" t="inlineStr">
        <is>
          <t>1.5.3</t>
        </is>
      </c>
      <c r="E77" s="97" t="n"/>
      <c r="F77" s="97" t="n"/>
      <c r="G77" s="97" t="inlineStr">
        <is>
          <t>[아키텍처]</t>
        </is>
      </c>
      <c r="H77" s="97" t="n"/>
      <c r="I77" s="97" t="n"/>
      <c r="J77" s="97" t="n"/>
      <c r="K77" s="97" t="n"/>
      <c r="L77" s="97" t="n"/>
      <c r="M77" s="97" t="n"/>
      <c r="N77" s="97" t="n"/>
      <c r="O77" s="97" t="n"/>
      <c r="P77" s="249" t="n">
        <v>46508</v>
      </c>
      <c r="Q77" s="249" t="n">
        <v>46568</v>
      </c>
      <c r="R77" s="97" t="n"/>
      <c r="S77" s="311" t="n"/>
      <c r="T77" s="311" t="n"/>
      <c r="U77" s="311" t="n"/>
      <c r="V77" s="311" t="n"/>
      <c r="W77" s="249" t="n"/>
      <c r="X77" s="249" t="n"/>
      <c r="Y77" s="312" t="n"/>
      <c r="Z77" s="99" t="n"/>
      <c r="AA77" s="311" t="n"/>
      <c r="AB77" s="97" t="inlineStr">
        <is>
          <t>조영훈</t>
        </is>
      </c>
      <c r="AC77" s="97" t="n"/>
      <c r="AD77" s="107" t="n"/>
      <c r="AE77" s="180" t="n"/>
      <c r="AK77">
        <f>"      " &amp; TEXT(AE77,"#0.00%") &amp; " " &amp; "[아키텍처]" &amp; "(조영훈)" &amp; " " &amp; IF(P77="","",TEXT(P77,"M/D-")) &amp; IF(Q77="","",TEXT(Q77,"M/D")) &amp; " "</f>
        <v/>
      </c>
    </row>
    <row r="78" ht="12" customHeight="1">
      <c r="A78" s="96" t="n"/>
      <c r="B78" s="96" t="n"/>
      <c r="C78" s="96" t="n">
        <v>4</v>
      </c>
      <c r="D78" s="108" t="inlineStr">
        <is>
          <t>1.5.3.1</t>
        </is>
      </c>
      <c r="E78" s="97" t="n"/>
      <c r="F78" s="97" t="n"/>
      <c r="G78" s="97" t="n"/>
      <c r="H78" s="97" t="inlineStr">
        <is>
          <t>운영 문서·교육</t>
        </is>
      </c>
      <c r="I78" s="97" t="n"/>
      <c r="J78" s="97" t="n"/>
      <c r="K78" s="97" t="n"/>
      <c r="L78" s="97" t="n"/>
      <c r="M78" s="97" t="n"/>
      <c r="N78" s="97" t="n"/>
      <c r="O78" s="97" t="inlineStr">
        <is>
          <t>docs/operations_guide.md</t>
        </is>
      </c>
      <c r="P78" s="249" t="n">
        <v>46508</v>
      </c>
      <c r="Q78" s="249" t="n">
        <v>46568</v>
      </c>
      <c r="R78" s="97" t="n"/>
      <c r="S78" s="311" t="n"/>
      <c r="T78" s="311" t="n"/>
      <c r="U78" s="311" t="n">
        <v>41</v>
      </c>
      <c r="V78" s="311" t="n">
        <v>0</v>
      </c>
      <c r="W78" s="249" t="n"/>
      <c r="X78" s="249" t="n"/>
      <c r="Y78" s="312" t="n"/>
      <c r="Z78" s="99" t="n"/>
      <c r="AA78" s="311" t="n"/>
      <c r="AB78" s="97" t="inlineStr">
        <is>
          <t>조영훈</t>
        </is>
      </c>
      <c r="AC78" s="97" t="n"/>
      <c r="AD78" s="107" t="n"/>
      <c r="AE78" s="180" t="n">
        <v>0</v>
      </c>
      <c r="AK78">
        <f>"      " &amp; TEXT(AE78,"#0.00%") &amp; " " &amp; "운영 문서·교육" &amp; "(조영훈)" &amp; " " &amp; IF(P78="","",TEXT(P78,"M/D-")) &amp; IF(Q78="","",TEXT(Q78,"M/D")) &amp; " "</f>
        <v/>
      </c>
    </row>
    <row r="79" ht="12" customHeight="1">
      <c r="A79" s="96" t="n"/>
      <c r="B79" s="96" t="n"/>
      <c r="C79" s="96" t="n"/>
      <c r="D79" s="108" t="n"/>
      <c r="E79" s="97" t="n"/>
      <c r="F79" s="97" t="n"/>
      <c r="G79" s="97" t="n"/>
      <c r="H79" s="97" t="n"/>
      <c r="I79" s="97" t="n"/>
      <c r="J79" s="97" t="n"/>
      <c r="K79" s="97" t="n"/>
      <c r="L79" s="97" t="n"/>
      <c r="M79" s="97" t="n"/>
      <c r="N79" s="97" t="n"/>
      <c r="O79" s="97" t="n"/>
      <c r="P79" s="249" t="n"/>
      <c r="Q79" s="249" t="n"/>
      <c r="R79" s="97" t="n"/>
      <c r="S79" s="311" t="n"/>
      <c r="T79" s="311" t="n"/>
      <c r="U79" s="311" t="n"/>
      <c r="V79" s="311" t="n"/>
      <c r="W79" s="249" t="n"/>
      <c r="X79" s="249" t="n"/>
      <c r="Y79" s="312" t="n"/>
      <c r="Z79" s="99" t="n"/>
      <c r="AA79" s="311" t="n"/>
      <c r="AB79" s="97" t="n"/>
      <c r="AC79" s="97" t="n"/>
      <c r="AD79" s="107" t="n"/>
      <c r="AE79" s="180" t="n"/>
    </row>
    <row r="80" ht="12" customHeight="1">
      <c r="A80" s="96" t="n"/>
      <c r="B80" s="96" t="n"/>
      <c r="C80" s="96" t="n"/>
      <c r="D80" s="108" t="n"/>
      <c r="E80" s="97" t="n"/>
      <c r="F80" s="97" t="n"/>
      <c r="G80" s="97" t="n"/>
      <c r="H80" s="97" t="n"/>
      <c r="I80" s="97" t="n"/>
      <c r="J80" s="97" t="n"/>
      <c r="K80" s="97" t="n"/>
      <c r="L80" s="97" t="n"/>
      <c r="M80" s="97" t="n"/>
      <c r="N80" s="97" t="n"/>
      <c r="O80" s="97" t="n"/>
      <c r="P80" s="249" t="n"/>
      <c r="Q80" s="249" t="n"/>
      <c r="R80" s="97" t="n"/>
      <c r="S80" s="311" t="n"/>
      <c r="T80" s="311" t="n"/>
      <c r="U80" s="311" t="n"/>
      <c r="V80" s="311" t="n"/>
      <c r="W80" s="249" t="n"/>
      <c r="X80" s="249" t="n"/>
      <c r="Y80" s="312" t="n"/>
      <c r="Z80" s="99" t="n"/>
      <c r="AA80" s="311" t="n"/>
      <c r="AB80" s="97" t="n"/>
      <c r="AC80" s="97" t="n"/>
      <c r="AD80" s="107" t="n"/>
      <c r="AE80" s="180" t="n"/>
    </row>
    <row r="81" ht="12" customHeight="1">
      <c r="A81" s="142" t="n"/>
      <c r="B81" s="142" t="n"/>
      <c r="C81" s="142" t="n"/>
      <c r="D81" s="143" t="n"/>
      <c r="E81" s="144" t="n"/>
      <c r="F81" s="144" t="n"/>
      <c r="G81" s="144" t="n"/>
      <c r="H81" s="144" t="n"/>
      <c r="I81" s="144" t="n"/>
      <c r="J81" s="144" t="n"/>
      <c r="K81" s="144" t="n"/>
      <c r="L81" s="144" t="n"/>
      <c r="M81" s="144" t="n"/>
      <c r="N81" s="144" t="n"/>
      <c r="O81" s="144" t="n"/>
      <c r="P81" s="145" t="n"/>
      <c r="Q81" s="145" t="n"/>
      <c r="R81" s="144" t="n"/>
      <c r="S81" s="317" t="n"/>
      <c r="T81" s="317" t="n"/>
      <c r="U81" s="317" t="n"/>
      <c r="V81" s="317" t="n"/>
      <c r="W81" s="145" t="n"/>
      <c r="X81" s="145" t="n"/>
      <c r="Y81" s="318" t="n"/>
      <c r="Z81" s="146" t="n"/>
      <c r="AA81" s="317" t="n"/>
      <c r="AB81" s="144" t="n"/>
      <c r="AC81" s="144" t="n"/>
      <c r="AD81" s="147" t="n"/>
      <c r="AE81" s="148" t="n"/>
    </row>
  </sheetData>
  <mergeCells count="58">
    <mergeCell ref="BX2:CA2"/>
    <mergeCell ref="CJ2:CM2"/>
    <mergeCell ref="AC3:AC4"/>
    <mergeCell ref="B3:B4"/>
    <mergeCell ref="AE3:AE4"/>
    <mergeCell ref="AZ3:BC3"/>
    <mergeCell ref="BL3:BO3"/>
    <mergeCell ref="X3:X4"/>
    <mergeCell ref="AR2:AU2"/>
    <mergeCell ref="Z3:Z4"/>
    <mergeCell ref="AZ2:BC2"/>
    <mergeCell ref="BX3:CA3"/>
    <mergeCell ref="BL2:BO2"/>
    <mergeCell ref="CV2:CY2"/>
    <mergeCell ref="AR3:AU3"/>
    <mergeCell ref="A3:A4"/>
    <mergeCell ref="AF3:AI3"/>
    <mergeCell ref="AN3:AQ3"/>
    <mergeCell ref="U3:U4"/>
    <mergeCell ref="D3:D4"/>
    <mergeCell ref="W3:W4"/>
    <mergeCell ref="CJ3:CM3"/>
    <mergeCell ref="AJ2:AM2"/>
    <mergeCell ref="CB2:CE2"/>
    <mergeCell ref="CV3:CY3"/>
    <mergeCell ref="CF2:CI2"/>
    <mergeCell ref="CN2:CQ2"/>
    <mergeCell ref="AA3:AA4"/>
    <mergeCell ref="P3:P4"/>
    <mergeCell ref="AV3:AY3"/>
    <mergeCell ref="R3:R4"/>
    <mergeCell ref="T3:T4"/>
    <mergeCell ref="BD3:BG3"/>
    <mergeCell ref="BP3:BS3"/>
    <mergeCell ref="AB3:AB4"/>
    <mergeCell ref="AV2:AY2"/>
    <mergeCell ref="AD3:AD4"/>
    <mergeCell ref="BH3:BK3"/>
    <mergeCell ref="BD2:BG2"/>
    <mergeCell ref="CR2:CU2"/>
    <mergeCell ref="BP2:BS2"/>
    <mergeCell ref="CB3:CE3"/>
    <mergeCell ref="BH2:BK2"/>
    <mergeCell ref="C3:C4"/>
    <mergeCell ref="O3:O4"/>
    <mergeCell ref="V3:V4"/>
    <mergeCell ref="AJ3:AM3"/>
    <mergeCell ref="Q3:Q4"/>
    <mergeCell ref="E3:N4"/>
    <mergeCell ref="Y3:Y4"/>
    <mergeCell ref="S3:S4"/>
    <mergeCell ref="BT3:BW3"/>
    <mergeCell ref="CF3:CI3"/>
    <mergeCell ref="CN3:CQ3"/>
    <mergeCell ref="AF2:AI2"/>
    <mergeCell ref="BT2:BW2"/>
    <mergeCell ref="CR3:CU3"/>
    <mergeCell ref="AN2:AQ2"/>
  </mergeCells>
  <conditionalFormatting sqref="D5:AD65">
    <cfRule type="expression" priority="2" dxfId="1">
      <formula>($B5="G")</formula>
    </cfRule>
  </conditionalFormatting>
  <conditionalFormatting sqref="W5:X65">
    <cfRule type="expression" priority="1" dxfId="0">
      <formula>($P5&amp;$Q5&lt;&gt;$W5&amp;$X5)</formula>
    </cfRule>
  </conditionalFormatting>
  <hyperlinks>
    <hyperlink xmlns:r="http://schemas.openxmlformats.org/officeDocument/2006/relationships" ref="AF1" display="https://xlworks.net/xlgantt-project-scheduler/" r:id="rId1"/>
    <hyperlink xmlns:r="http://schemas.openxmlformats.org/officeDocument/2006/relationships" ref="AG1" display="https://xlworks.net/xlgantt-project-scheduler/" r:id="rId2"/>
    <hyperlink xmlns:r="http://schemas.openxmlformats.org/officeDocument/2006/relationships" ref="AH1" display="https://xlworks.net/xlgantt-project-scheduler/" r:id="rId3"/>
    <hyperlink xmlns:r="http://schemas.openxmlformats.org/officeDocument/2006/relationships" ref="AI1" display="https://xlworks.net/xlgantt-project-scheduler/" r:id="rId4"/>
    <hyperlink xmlns:r="http://schemas.openxmlformats.org/officeDocument/2006/relationships" ref="AJ1" display="https://xlworks.net/xlgantt-project-scheduler/" r:id="rId5"/>
    <hyperlink xmlns:r="http://schemas.openxmlformats.org/officeDocument/2006/relationships" ref="AK1" display="https://xlworks.net/xlgantt-project-scheduler/" r:id="rId6"/>
    <hyperlink xmlns:r="http://schemas.openxmlformats.org/officeDocument/2006/relationships" ref="AL1" display="https://xlworks.net/xlgantt-project-scheduler/" r:id="rId7"/>
    <hyperlink xmlns:r="http://schemas.openxmlformats.org/officeDocument/2006/relationships" ref="AM1" display="https://xlworks.net/xlgantt-project-scheduler/" r:id="rId8"/>
    <hyperlink xmlns:r="http://schemas.openxmlformats.org/officeDocument/2006/relationships" ref="AN1" display="https://xlworks.net/xlgantt-project-scheduler/" r:id="rId9"/>
    <hyperlink xmlns:r="http://schemas.openxmlformats.org/officeDocument/2006/relationships" ref="AO1" display="https://xlworks.net/xlgantt-project-scheduler/" r:id="rId10"/>
    <hyperlink xmlns:r="http://schemas.openxmlformats.org/officeDocument/2006/relationships" ref="AP1" display="https://xlworks.net/xlgantt-project-scheduler/" r:id="rId11"/>
    <hyperlink xmlns:r="http://schemas.openxmlformats.org/officeDocument/2006/relationships" ref="AQ1" display="https://xlworks.net/xlgantt-project-scheduler/" r:id="rId12"/>
    <hyperlink xmlns:r="http://schemas.openxmlformats.org/officeDocument/2006/relationships" ref="AR1" display="https://xlworks.net/xlgantt-project-scheduler/" r:id="rId13"/>
    <hyperlink xmlns:r="http://schemas.openxmlformats.org/officeDocument/2006/relationships" ref="AS1" display="https://xlworks.net/xlgantt-project-scheduler/" r:id="rId14"/>
    <hyperlink xmlns:r="http://schemas.openxmlformats.org/officeDocument/2006/relationships" ref="AT1" display="https://xlworks.net/xlgantt-project-scheduler/" r:id="rId15"/>
    <hyperlink xmlns:r="http://schemas.openxmlformats.org/officeDocument/2006/relationships" ref="AU1" display="https://xlworks.net/xlgantt-project-scheduler/" r:id="rId16"/>
    <hyperlink xmlns:r="http://schemas.openxmlformats.org/officeDocument/2006/relationships" ref="AV1" display="https://xlworks.net/xlgantt-project-scheduler/" r:id="rId17"/>
    <hyperlink xmlns:r="http://schemas.openxmlformats.org/officeDocument/2006/relationships" ref="AW1" display="https://xlworks.net/xlgantt-project-scheduler/" r:id="rId18"/>
    <hyperlink xmlns:r="http://schemas.openxmlformats.org/officeDocument/2006/relationships" ref="AX1" display="https://xlworks.net/xlgantt-project-scheduler/" r:id="rId19"/>
    <hyperlink xmlns:r="http://schemas.openxmlformats.org/officeDocument/2006/relationships" ref="AY1" display="https://xlworks.net/xlgantt-project-scheduler/" r:id="rId20"/>
    <hyperlink xmlns:r="http://schemas.openxmlformats.org/officeDocument/2006/relationships" ref="AZ1" display="https://xlworks.net/xlgantt-project-scheduler/" r:id="rId21"/>
    <hyperlink xmlns:r="http://schemas.openxmlformats.org/officeDocument/2006/relationships" ref="BA1" display="https://xlworks.net/xlgantt-project-scheduler/" r:id="rId22"/>
    <hyperlink xmlns:r="http://schemas.openxmlformats.org/officeDocument/2006/relationships" ref="BB1" display="https://xlworks.net/xlgantt-project-scheduler/" r:id="rId23"/>
    <hyperlink xmlns:r="http://schemas.openxmlformats.org/officeDocument/2006/relationships" ref="BC1" display="https://xlworks.net/xlgantt-project-scheduler/" r:id="rId24"/>
    <hyperlink xmlns:r="http://schemas.openxmlformats.org/officeDocument/2006/relationships" ref="BD1" display="https://xlworks.net/xlgantt-project-scheduler/" r:id="rId25"/>
    <hyperlink xmlns:r="http://schemas.openxmlformats.org/officeDocument/2006/relationships" ref="BE1" display="https://xlworks.net/xlgantt-project-scheduler/" r:id="rId26"/>
    <hyperlink xmlns:r="http://schemas.openxmlformats.org/officeDocument/2006/relationships" ref="BF1" display="https://xlworks.net/xlgantt-project-scheduler/" r:id="rId27"/>
    <hyperlink xmlns:r="http://schemas.openxmlformats.org/officeDocument/2006/relationships" ref="BG1" display="https://xlworks.net/xlgantt-project-scheduler/" r:id="rId28"/>
    <hyperlink xmlns:r="http://schemas.openxmlformats.org/officeDocument/2006/relationships" ref="BH1" display="https://xlworks.net/xlgantt-project-scheduler/" r:id="rId29"/>
    <hyperlink xmlns:r="http://schemas.openxmlformats.org/officeDocument/2006/relationships" ref="BI1" display="https://xlworks.net/xlgantt-project-scheduler/" r:id="rId30"/>
    <hyperlink xmlns:r="http://schemas.openxmlformats.org/officeDocument/2006/relationships" ref="BJ1" display="https://xlworks.net/xlgantt-project-scheduler/" r:id="rId31"/>
  </hyperlinks>
  <pageMargins left="0.1968503937007874" right="0.2362204724409449" top="0.4330708661417323" bottom="0.2362204724409449" header="0.2362204724409449" footer="0.1968503937007874"/>
  <pageSetup orientation="landscape" paperSize="9" scale="41"/>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4" min="1" max="1"/>
    <col width="13.25" customWidth="1" style="52" min="2" max="2"/>
    <col width="9.875" customWidth="1" style="55" min="3" max="3"/>
    <col width="31.375" customWidth="1" style="55" min="4" max="4"/>
    <col width="14.125" customWidth="1" style="55" min="5" max="6"/>
    <col width="28.375" customWidth="1" style="55" min="7" max="7"/>
    <col width="10" customWidth="1" style="55" min="8" max="9"/>
    <col width="8.875" bestFit="1" customWidth="1" style="55" min="10" max="10"/>
    <col width="10" customWidth="1" style="55" min="11" max="22"/>
    <col hidden="1" width="10" customWidth="1" style="55" min="23" max="23"/>
    <col width="10" customWidth="1" style="55" min="24" max="26"/>
    <col hidden="1" width="13" customWidth="1" style="55" min="27" max="27"/>
    <col width="10" customWidth="1" style="55" min="28" max="28"/>
    <col width="10" customWidth="1" style="55" min="29" max="16384"/>
  </cols>
  <sheetData>
    <row r="1" ht="36.95" customFormat="1" customHeight="1" s="293">
      <c r="A1" s="230" t="inlineStr">
        <is>
          <t>프로젝트 진척률 - 일정변경 관리할때</t>
        </is>
      </c>
      <c r="B1" s="1" t="n"/>
      <c r="C1" s="1" t="n"/>
      <c r="D1" s="1" t="n"/>
      <c r="E1" s="1" t="n"/>
      <c r="F1" s="1" t="n"/>
      <c r="G1" s="1" t="n"/>
      <c r="H1" s="1" t="n"/>
      <c r="I1" s="1" t="n"/>
      <c r="J1" s="1" t="n"/>
      <c r="K1" s="1" t="n"/>
      <c r="L1" s="292" t="n"/>
      <c r="O1" s="2" t="n"/>
      <c r="P1" s="2" t="n"/>
      <c r="Q1" s="2" t="n"/>
    </row>
    <row r="2" ht="12.75" customFormat="1" customHeight="1" s="291">
      <c r="A2" s="4" t="inlineStr">
        <is>
          <t>* 프로젝트 작업량과 진척률을 보여줍니다.</t>
        </is>
      </c>
      <c r="B2" s="5" t="n"/>
    </row>
    <row r="3" ht="12.75" customFormat="1" customHeight="1" s="291">
      <c r="A3" s="4" t="inlineStr">
        <is>
          <t>* "스케줄업데이트" 버튼 클릭 시 아래 항목이 자동계산됩니다.</t>
        </is>
      </c>
      <c r="B3" s="5" t="n"/>
    </row>
    <row r="4" ht="12.75" customFormat="1" customHeight="1" s="291">
      <c r="A4" s="290" t="n"/>
      <c r="C4" s="319" t="n"/>
      <c r="D4" s="7" t="n"/>
      <c r="E4" s="7" t="n"/>
      <c r="F4" s="7" t="n"/>
    </row>
    <row r="5" ht="12.75" customFormat="1" customHeight="1" s="13">
      <c r="A5" s="8" t="n"/>
      <c r="B5" s="9" t="n"/>
      <c r="C5" s="10" t="n"/>
      <c r="D5" s="11" t="n"/>
      <c r="E5" s="12" t="n"/>
      <c r="F5" s="12" t="n"/>
      <c r="G5" s="12" t="n"/>
    </row>
    <row r="6" ht="12.75" customFormat="1" customHeight="1" s="13">
      <c r="A6" s="14" t="inlineStr">
        <is>
          <t>프로젝트 전체 작업량</t>
        </is>
      </c>
      <c r="B6" s="320" t="n">
        <v>743</v>
      </c>
      <c r="C6" s="13" t="inlineStr">
        <is>
          <t>Man/Day</t>
        </is>
      </c>
      <c r="D6" s="289" t="inlineStr">
        <is>
          <t>프로젝트 전체의 작업량을 Man/Day로 표시, 자원수를 적용한 값</t>
        </is>
      </c>
      <c r="E6" s="288" t="n"/>
      <c r="F6" s="288" t="n"/>
      <c r="G6" s="288" t="n"/>
    </row>
    <row r="7" ht="12.75" customFormat="1" customHeight="1" s="13">
      <c r="A7" s="15" t="n"/>
      <c r="B7" s="16" t="n"/>
      <c r="C7" s="17" t="n"/>
      <c r="D7" s="18" t="n"/>
      <c r="E7" s="18" t="n"/>
      <c r="F7" s="18" t="n"/>
      <c r="G7" s="18" t="n"/>
    </row>
    <row r="8" ht="12.75" customFormat="1" customHeight="1" s="13">
      <c r="A8" s="19" t="n"/>
      <c r="B8" s="20" t="n"/>
      <c r="D8" s="21" t="n"/>
      <c r="E8" s="21" t="n"/>
      <c r="F8" s="21" t="n"/>
      <c r="G8" s="21" t="n"/>
      <c r="J8" s="22" t="n"/>
    </row>
    <row r="9" ht="12.75" customFormat="1" customHeight="1" s="13">
      <c r="A9" s="14" t="inlineStr">
        <is>
          <t>현재일까지 계획된 작업량</t>
        </is>
      </c>
      <c r="B9" s="320" t="n">
        <v>375</v>
      </c>
      <c r="C9" s="13" t="inlineStr">
        <is>
          <t>Man/Day</t>
        </is>
      </c>
      <c r="D9" s="294" t="inlineStr">
        <is>
          <t>프로젝트 시작일부터 현재일까지의 작업량(현재 날짜까지 진행되었어야 할 작업량) (PV)</t>
        </is>
      </c>
      <c r="E9" s="288" t="n"/>
      <c r="F9" s="288" t="n"/>
      <c r="G9" s="288" t="n"/>
    </row>
    <row r="10" ht="12.75" customFormat="1" customHeight="1" s="13">
      <c r="A10" s="23" t="n"/>
      <c r="B10" s="16" t="n"/>
      <c r="C10" s="17" t="n"/>
      <c r="D10" s="24" t="n"/>
      <c r="E10" s="24" t="n"/>
      <c r="F10" s="24" t="n"/>
      <c r="G10" s="24" t="n"/>
    </row>
    <row r="11" ht="13.5" customFormat="1" customHeight="1" s="13">
      <c r="A11" s="25" t="n"/>
      <c r="B11" s="20" t="n"/>
      <c r="D11" s="21" t="n"/>
      <c r="E11" s="21" t="n"/>
      <c r="F11" s="21" t="n"/>
      <c r="G11" s="21" t="n"/>
    </row>
    <row r="12" ht="12.75" customFormat="1" customHeight="1" s="13">
      <c r="A12" s="26" t="inlineStr">
        <is>
          <t>실적기성</t>
        </is>
      </c>
      <c r="B12" s="320" t="n">
        <v>343</v>
      </c>
      <c r="C12" s="13" t="inlineStr">
        <is>
          <t>Man/Day</t>
        </is>
      </c>
      <c r="D12" s="294" t="inlineStr">
        <is>
          <t>실적기성(프로젝트 전체 작업량 x 실적 진척률) (EV)</t>
        </is>
      </c>
      <c r="E12" s="288" t="n"/>
      <c r="F12" s="288" t="n"/>
      <c r="G12" s="288" t="n"/>
    </row>
    <row r="13" ht="12.75" customFormat="1" customHeight="1" s="261">
      <c r="A13" s="27" t="n"/>
      <c r="B13" s="16" t="n"/>
      <c r="C13" s="28" t="n"/>
      <c r="D13" s="24" t="n"/>
      <c r="E13" s="24" t="n"/>
      <c r="F13" s="24" t="n"/>
      <c r="G13" s="24" t="n"/>
      <c r="K13" s="30" t="n"/>
    </row>
    <row r="14" ht="14.25" customFormat="1" customHeight="1" s="261">
      <c r="A14" s="25" t="n"/>
      <c r="B14" s="31" t="n"/>
      <c r="C14" s="32" t="n"/>
      <c r="D14" s="21" t="n"/>
      <c r="E14" s="21" t="n"/>
      <c r="F14" s="21" t="n"/>
      <c r="G14" s="21" t="n"/>
    </row>
    <row r="15" ht="12.75" customFormat="1" customHeight="1" s="13">
      <c r="A15" s="26" t="inlineStr">
        <is>
          <t>실제 투입된 작업량</t>
        </is>
      </c>
      <c r="B15" s="320" t="n">
        <v>390</v>
      </c>
      <c r="C15" s="13" t="inlineStr">
        <is>
          <t>Man/Day</t>
        </is>
      </c>
      <c r="D15" s="287" t="inlineStr">
        <is>
          <t>일정변경 관리할 때 현재까지 실제로 투입된 작업량을 표시함 (AC)</t>
        </is>
      </c>
      <c r="E15" s="288" t="n"/>
      <c r="F15" s="288" t="n"/>
      <c r="G15" s="288" t="n"/>
    </row>
    <row r="16" ht="12.75" customFormat="1" customHeight="1" s="13">
      <c r="A16" s="27" t="n"/>
      <c r="B16" s="33" t="n"/>
      <c r="C16" s="34" t="n"/>
      <c r="D16" s="24" t="n"/>
      <c r="E16" s="24" t="n"/>
      <c r="F16" s="24" t="n"/>
      <c r="G16" s="24" t="n"/>
    </row>
    <row r="17" ht="12.75" customFormat="1" customHeight="1" s="261">
      <c r="A17" s="35" t="n"/>
      <c r="B17" s="31" t="n"/>
      <c r="C17" s="32" t="n"/>
      <c r="D17" s="21" t="n"/>
      <c r="E17" s="21" t="n"/>
      <c r="F17" s="21" t="n"/>
      <c r="G17" s="21" t="n"/>
    </row>
    <row r="18" ht="12.75" customFormat="1" customHeight="1" s="13">
      <c r="A18" s="14" t="inlineStr">
        <is>
          <t>계획 진척률(A)</t>
        </is>
      </c>
      <c r="B18" s="36" t="n">
        <v>0.5047106325706595</v>
      </c>
      <c r="D18" s="287" t="inlineStr">
        <is>
          <t>현재날짜까지 계획된 진척률, WBS의 "계획진척률"의 전체 합계 진척률을 표시</t>
        </is>
      </c>
      <c r="E18" s="288" t="n"/>
      <c r="F18" s="288" t="n"/>
      <c r="G18" s="288" t="n"/>
    </row>
    <row r="19" ht="12.75" customFormat="1" customHeight="1" s="13">
      <c r="A19" s="37" t="n"/>
      <c r="B19" s="33" t="n"/>
      <c r="C19" s="34" t="n"/>
      <c r="D19" s="24" t="n"/>
      <c r="E19" s="24" t="n"/>
      <c r="F19" s="24" t="n"/>
      <c r="G19" s="24" t="n"/>
    </row>
    <row r="20" ht="12.75" customFormat="1" customHeight="1" s="13">
      <c r="A20" s="38" t="n"/>
      <c r="B20" s="9" t="n"/>
      <c r="C20" s="10" t="n"/>
      <c r="D20" s="21" t="n"/>
      <c r="E20" s="21" t="n"/>
      <c r="F20" s="21" t="n"/>
      <c r="G20" s="21" t="n"/>
    </row>
    <row r="21" ht="12.75" customFormat="1" customHeight="1" s="13">
      <c r="A21" s="14" t="inlineStr">
        <is>
          <t>실적 진척률(B)</t>
        </is>
      </c>
      <c r="B21" s="36" t="n">
        <v>0.4616419919246299</v>
      </c>
      <c r="D21" s="287" t="inlineStr">
        <is>
          <t>현재날짜까지 실제로 진행된 진척률, WBS의 "실적진척률"의 전체 합계 진척률을 표시</t>
        </is>
      </c>
      <c r="E21" s="288" t="n"/>
      <c r="F21" s="288" t="n"/>
      <c r="G21" s="288" t="n"/>
    </row>
    <row r="22" ht="12.75" customFormat="1" customHeight="1" s="13">
      <c r="A22" s="39" t="n"/>
      <c r="B22" s="40" t="n"/>
      <c r="C22" s="41" t="n"/>
      <c r="D22" s="24" t="n"/>
      <c r="E22" s="24" t="n"/>
      <c r="F22" s="24" t="n"/>
      <c r="G22" s="24" t="n"/>
    </row>
    <row r="23" ht="13.5" customFormat="1" customHeight="1" s="13">
      <c r="A23" s="42" t="n"/>
      <c r="B23" s="43" t="n"/>
      <c r="C23" s="44" t="n"/>
      <c r="D23" s="45" t="n"/>
      <c r="E23" s="45" t="n"/>
      <c r="F23" s="45" t="n"/>
      <c r="G23" s="45" t="n"/>
    </row>
    <row r="24" ht="12.75" customFormat="1" customHeight="1" s="13">
      <c r="A24" s="14" t="inlineStr">
        <is>
          <t>차이(B-A)</t>
        </is>
      </c>
      <c r="B24" s="46">
        <f>ACTUAL_RATE-PLANNED_RATE</f>
        <v/>
      </c>
      <c r="D24" s="289" t="inlineStr">
        <is>
          <t>양수이면 계획보다 빨리 진행, 음수이면 지연</t>
        </is>
      </c>
      <c r="E24" s="288" t="n"/>
      <c r="F24" s="288" t="n"/>
      <c r="G24" s="288" t="n"/>
    </row>
    <row r="25" ht="12.75" customFormat="1" customHeight="1" s="13">
      <c r="A25" s="47" t="n"/>
      <c r="B25" s="48" t="n"/>
      <c r="C25" s="49" t="n"/>
      <c r="D25" s="50" t="n"/>
      <c r="E25" s="50" t="n"/>
      <c r="F25" s="50" t="n"/>
      <c r="G25" s="50" t="n"/>
    </row>
    <row r="26" customFormat="1" s="53">
      <c r="A26" s="51" t="n"/>
      <c r="B26" s="52" t="n"/>
    </row>
    <row r="27">
      <c r="B27" s="321" t="n"/>
      <c r="G27" s="54" t="n"/>
    </row>
    <row r="28">
      <c r="B28" s="176" t="n"/>
    </row>
    <row r="29">
      <c r="B29" s="56" t="n"/>
    </row>
    <row r="30">
      <c r="B30" s="322"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2">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2"/>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8" min="1" max="1"/>
    <col width="10" bestFit="1" customWidth="1" style="228" min="2" max="3"/>
    <col width="9.125" customWidth="1" style="228" min="4" max="4"/>
    <col width="10.625" bestFit="1" customWidth="1" style="228" min="5" max="5"/>
    <col width="10.625" bestFit="1" customWidth="1" style="229" min="6" max="6"/>
    <col width="10" bestFit="1" customWidth="1" style="228" min="7" max="8"/>
    <col width="9" bestFit="1" customWidth="1" style="228" min="9" max="9"/>
    <col width="10.625" bestFit="1" customWidth="1" style="228" min="10" max="12"/>
    <col width="9.125" customWidth="1" style="228" min="13" max="16384"/>
  </cols>
  <sheetData>
    <row r="1" ht="36.95" customHeight="1">
      <c r="B1" s="230" t="inlineStr">
        <is>
          <t>프로젝트 진척률(월별)</t>
        </is>
      </c>
    </row>
    <row r="2">
      <c r="B2" s="228" t="inlineStr">
        <is>
          <t>* 월별로 프로젝트 진척률을 보여줍니다.</t>
        </is>
      </c>
    </row>
    <row r="3">
      <c r="B3" s="228" t="inlineStr">
        <is>
          <t>* "진척률(월별)" 메뉴를 클릭해야 갱신됨</t>
        </is>
      </c>
    </row>
    <row r="6" ht="45" customHeight="1">
      <c r="B6" s="181" t="inlineStr">
        <is>
          <t>시작일</t>
        </is>
      </c>
      <c r="C6" s="182" t="inlineStr">
        <is>
          <t>완료일</t>
        </is>
      </c>
      <c r="D6" s="182" t="inlineStr">
        <is>
          <t>계획작업량(Man-Day)</t>
        </is>
      </c>
      <c r="E6" s="182" t="inlineStr">
        <is>
          <t>계획작업량 누적(Man-Day)</t>
        </is>
      </c>
      <c r="F6" s="195" t="inlineStr">
        <is>
          <t>계획작업량 진척률</t>
        </is>
      </c>
      <c r="G6" s="182" t="inlineStr">
        <is>
          <t>실적기성(Man-Day)</t>
        </is>
      </c>
      <c r="H6" s="182" t="inlineStr">
        <is>
          <t>실적기성 누적(Man-Day)</t>
        </is>
      </c>
      <c r="I6" s="182" t="inlineStr">
        <is>
          <t>실적기성 진척률</t>
        </is>
      </c>
      <c r="J6" s="182" t="inlineStr">
        <is>
          <t>실제투입작업량(Man-Day)</t>
        </is>
      </c>
      <c r="K6" s="182" t="inlineStr">
        <is>
          <t>실제투입작업량 누적(Man-Day)</t>
        </is>
      </c>
      <c r="L6" s="196" t="inlineStr">
        <is>
          <t>실제투입작업량 진척률</t>
        </is>
      </c>
    </row>
    <row r="7">
      <c r="B7" s="231" t="n">
        <v>46086</v>
      </c>
      <c r="C7" s="231" t="n">
        <v>46112</v>
      </c>
      <c r="D7" s="232" t="n">
        <v>121</v>
      </c>
      <c r="E7" s="232" t="n">
        <v>121</v>
      </c>
      <c r="F7" s="235" t="n">
        <v>0.1908517350157729</v>
      </c>
      <c r="G7" s="232" t="n">
        <v>101.48</v>
      </c>
      <c r="H7" s="232" t="n">
        <v>101.48</v>
      </c>
      <c r="I7" s="235" t="n">
        <v>0.1600638111040047</v>
      </c>
      <c r="J7" s="232" t="n">
        <v>121</v>
      </c>
      <c r="K7" s="232" t="n">
        <v>121</v>
      </c>
      <c r="L7" s="235" t="n">
        <v>0.1908517350157729</v>
      </c>
    </row>
    <row r="8">
      <c r="B8" s="233" t="n">
        <v>46113</v>
      </c>
      <c r="C8" s="233" t="n">
        <v>46142</v>
      </c>
      <c r="D8" s="234" t="n">
        <v>103</v>
      </c>
      <c r="E8" s="234" t="n">
        <v>224</v>
      </c>
      <c r="F8" s="236" t="n">
        <v>0.3533123028391167</v>
      </c>
      <c r="G8" s="234" t="n">
        <v>120.52</v>
      </c>
      <c r="H8" s="234" t="n">
        <v>222</v>
      </c>
      <c r="I8" s="236" t="n">
        <v>0.3501577287066245</v>
      </c>
      <c r="J8" s="234" t="n">
        <v>148</v>
      </c>
      <c r="K8" s="234" t="n">
        <v>269</v>
      </c>
      <c r="L8" s="236" t="n">
        <v>0.4242902208201893</v>
      </c>
    </row>
    <row r="9">
      <c r="B9" s="233" t="n">
        <v>46143</v>
      </c>
      <c r="C9" s="233" t="n">
        <v>46173</v>
      </c>
      <c r="D9" s="234" t="n">
        <v>31</v>
      </c>
      <c r="E9" s="234" t="n">
        <v>255</v>
      </c>
      <c r="F9" s="236" t="n">
        <v>0.4022082018927445</v>
      </c>
      <c r="G9" s="234" t="n">
        <v>0</v>
      </c>
      <c r="H9" s="234" t="n">
        <v>222</v>
      </c>
      <c r="I9" s="236" t="n">
        <v>0.3501577287066245</v>
      </c>
      <c r="J9" s="234" t="n">
        <v>0</v>
      </c>
      <c r="K9" s="234" t="n">
        <v>269</v>
      </c>
      <c r="L9" s="236" t="n">
        <v>0.4242902208201893</v>
      </c>
    </row>
    <row r="10">
      <c r="B10" s="233" t="n">
        <v>46174</v>
      </c>
      <c r="C10" s="233" t="n">
        <v>46203</v>
      </c>
      <c r="D10" s="234" t="n">
        <v>21</v>
      </c>
      <c r="E10" s="234" t="n">
        <v>276</v>
      </c>
      <c r="F10" s="236" t="n">
        <v>0.4353312302839117</v>
      </c>
      <c r="G10" s="234" t="n">
        <v>0</v>
      </c>
      <c r="H10" s="234" t="n">
        <v>222</v>
      </c>
      <c r="I10" s="236" t="n">
        <v>0.3501577287066245</v>
      </c>
      <c r="J10" s="234" t="n">
        <v>0</v>
      </c>
      <c r="K10" s="234" t="n">
        <v>269</v>
      </c>
      <c r="L10" s="236" t="n">
        <v>0.4242902208201893</v>
      </c>
    </row>
    <row r="11">
      <c r="B11" s="233" t="n">
        <v>46204</v>
      </c>
      <c r="C11" s="233" t="n">
        <v>46234</v>
      </c>
      <c r="D11" s="234" t="n">
        <v>35</v>
      </c>
      <c r="E11" s="234" t="n">
        <v>311</v>
      </c>
      <c r="F11" s="236" t="n">
        <v>0.4905362776025237</v>
      </c>
      <c r="G11" s="234" t="n">
        <v>0</v>
      </c>
      <c r="H11" s="234" t="n">
        <v>222</v>
      </c>
      <c r="I11" s="236" t="n">
        <v>0.3501577287066245</v>
      </c>
      <c r="J11" s="234" t="n">
        <v>0</v>
      </c>
      <c r="K11" s="234" t="n">
        <v>269</v>
      </c>
      <c r="L11" s="236" t="n">
        <v>0.4242902208201893</v>
      </c>
    </row>
    <row r="12">
      <c r="B12" s="233" t="n">
        <v>46235</v>
      </c>
      <c r="C12" s="233" t="n">
        <v>46265</v>
      </c>
      <c r="D12" s="234" t="n">
        <v>21</v>
      </c>
      <c r="E12" s="234" t="n">
        <v>332</v>
      </c>
      <c r="F12" s="236" t="n">
        <v>0.5236593059936908</v>
      </c>
      <c r="G12" s="234" t="n">
        <v>0</v>
      </c>
      <c r="H12" s="234" t="n">
        <v>222</v>
      </c>
      <c r="I12" s="236" t="n">
        <v>0.3501577287066245</v>
      </c>
      <c r="J12" s="234" t="n">
        <v>0</v>
      </c>
      <c r="K12" s="234" t="n">
        <v>269</v>
      </c>
      <c r="L12" s="236" t="n">
        <v>0.4242902208201893</v>
      </c>
    </row>
    <row r="13">
      <c r="B13" s="233" t="n">
        <v>46266</v>
      </c>
      <c r="C13" s="233" t="n">
        <v>46295</v>
      </c>
      <c r="D13" s="234" t="n">
        <v>25</v>
      </c>
      <c r="E13" s="234" t="n">
        <v>357</v>
      </c>
      <c r="F13" s="236" t="n">
        <v>0.5630914826498423</v>
      </c>
      <c r="G13" s="234" t="n">
        <v>0</v>
      </c>
      <c r="H13" s="234" t="n">
        <v>222</v>
      </c>
      <c r="I13" s="236" t="n">
        <v>0.3501577287066245</v>
      </c>
      <c r="J13" s="234" t="n">
        <v>0</v>
      </c>
      <c r="K13" s="234" t="n">
        <v>269</v>
      </c>
      <c r="L13" s="236" t="n">
        <v>0.4242902208201893</v>
      </c>
    </row>
    <row r="14">
      <c r="B14" s="233" t="n">
        <v>46296</v>
      </c>
      <c r="C14" s="233" t="n">
        <v>46326</v>
      </c>
      <c r="D14" s="234" t="n">
        <v>22</v>
      </c>
      <c r="E14" s="234" t="n">
        <v>379</v>
      </c>
      <c r="F14" s="236" t="n">
        <v>0.5977917981072555</v>
      </c>
      <c r="G14" s="234" t="n">
        <v>0</v>
      </c>
      <c r="H14" s="234" t="n">
        <v>222</v>
      </c>
      <c r="I14" s="236" t="n">
        <v>0.3501577287066245</v>
      </c>
      <c r="J14" s="234" t="n">
        <v>0</v>
      </c>
      <c r="K14" s="234" t="n">
        <v>269</v>
      </c>
      <c r="L14" s="236" t="n">
        <v>0.4242902208201893</v>
      </c>
    </row>
    <row r="15">
      <c r="B15" s="233" t="n">
        <v>46327</v>
      </c>
      <c r="C15" s="233" t="n">
        <v>46356</v>
      </c>
      <c r="D15" s="234" t="n">
        <v>36</v>
      </c>
      <c r="E15" s="234" t="n">
        <v>415</v>
      </c>
      <c r="F15" s="236" t="n">
        <v>0.6545741324921136</v>
      </c>
      <c r="G15" s="234" t="n">
        <v>0</v>
      </c>
      <c r="H15" s="234" t="n">
        <v>222</v>
      </c>
      <c r="I15" s="236" t="n">
        <v>0.3501577287066245</v>
      </c>
      <c r="J15" s="234" t="n">
        <v>0</v>
      </c>
      <c r="K15" s="234" t="n">
        <v>269</v>
      </c>
      <c r="L15" s="236" t="n">
        <v>0.4242902208201893</v>
      </c>
    </row>
    <row r="16">
      <c r="B16" s="233" t="n">
        <v>46357</v>
      </c>
      <c r="C16" s="233" t="n">
        <v>46387</v>
      </c>
      <c r="D16" s="234" t="n">
        <v>26</v>
      </c>
      <c r="E16" s="234" t="n">
        <v>441</v>
      </c>
      <c r="F16" s="236" t="n">
        <v>0.695583596214511</v>
      </c>
      <c r="G16" s="234" t="n">
        <v>0</v>
      </c>
      <c r="H16" s="234" t="n">
        <v>222</v>
      </c>
      <c r="I16" s="236" t="n">
        <v>0.3501577287066245</v>
      </c>
      <c r="J16" s="234" t="n">
        <v>0</v>
      </c>
      <c r="K16" s="234" t="n">
        <v>269</v>
      </c>
      <c r="L16" s="236" t="n">
        <v>0.4242902208201893</v>
      </c>
    </row>
    <row r="17">
      <c r="B17" s="233" t="n">
        <v>46388</v>
      </c>
      <c r="C17" s="233" t="n">
        <v>46418</v>
      </c>
      <c r="D17" s="234" t="n">
        <v>31</v>
      </c>
      <c r="E17" s="234" t="n">
        <v>472</v>
      </c>
      <c r="F17" s="236" t="n">
        <v>0.7444794952681388</v>
      </c>
      <c r="G17" s="234" t="n">
        <v>0</v>
      </c>
      <c r="H17" s="234" t="n">
        <v>222</v>
      </c>
      <c r="I17" s="236" t="n">
        <v>0.3501577287066245</v>
      </c>
      <c r="J17" s="234" t="n">
        <v>0</v>
      </c>
      <c r="K17" s="234" t="n">
        <v>269</v>
      </c>
      <c r="L17" s="236" t="n">
        <v>0.4242902208201893</v>
      </c>
    </row>
    <row r="18">
      <c r="B18" s="233" t="n">
        <v>46419</v>
      </c>
      <c r="C18" s="233" t="n">
        <v>46446</v>
      </c>
      <c r="D18" s="234" t="n">
        <v>36</v>
      </c>
      <c r="E18" s="234" t="n">
        <v>508</v>
      </c>
      <c r="F18" s="236" t="n">
        <v>0.8012618296529969</v>
      </c>
      <c r="G18" s="234" t="n">
        <v>0</v>
      </c>
      <c r="H18" s="234" t="n">
        <v>222</v>
      </c>
      <c r="I18" s="236" t="n">
        <v>0.3501577287066245</v>
      </c>
      <c r="J18" s="234" t="n">
        <v>0</v>
      </c>
      <c r="K18" s="234" t="n">
        <v>269</v>
      </c>
      <c r="L18" s="236" t="n">
        <v>0.4242902208201893</v>
      </c>
    </row>
    <row r="19">
      <c r="B19" s="233" t="n">
        <v>46447</v>
      </c>
      <c r="C19" s="233" t="n">
        <v>46477</v>
      </c>
      <c r="D19" s="234" t="n">
        <v>44</v>
      </c>
      <c r="E19" s="234" t="n">
        <v>552</v>
      </c>
      <c r="F19" s="236" t="n">
        <v>0.8706624605678234</v>
      </c>
      <c r="G19" s="234" t="n">
        <v>0</v>
      </c>
      <c r="H19" s="234" t="n">
        <v>222</v>
      </c>
      <c r="I19" s="236" t="n">
        <v>0.3501577287066245</v>
      </c>
      <c r="J19" s="234" t="n">
        <v>0</v>
      </c>
      <c r="K19" s="234" t="n">
        <v>269</v>
      </c>
      <c r="L19" s="236" t="n">
        <v>0.4242902208201893</v>
      </c>
    </row>
    <row r="20">
      <c r="B20" s="233" t="n">
        <v>46478</v>
      </c>
      <c r="C20" s="233" t="n">
        <v>46507</v>
      </c>
      <c r="D20" s="234" t="n">
        <v>22</v>
      </c>
      <c r="E20" s="234" t="n">
        <v>574</v>
      </c>
      <c r="F20" s="236" t="n">
        <v>0.9053627760252366</v>
      </c>
      <c r="G20" s="234" t="n">
        <v>0</v>
      </c>
      <c r="H20" s="234" t="n">
        <v>222</v>
      </c>
      <c r="I20" s="236" t="n">
        <v>0.3501577287066245</v>
      </c>
      <c r="J20" s="234" t="n">
        <v>0</v>
      </c>
      <c r="K20" s="234" t="n">
        <v>269</v>
      </c>
      <c r="L20" s="236" t="n">
        <v>0.4242902208201893</v>
      </c>
    </row>
    <row r="21">
      <c r="B21" s="233" t="n">
        <v>46508</v>
      </c>
      <c r="C21" s="233" t="n">
        <v>46538</v>
      </c>
      <c r="D21" s="234" t="n">
        <v>38</v>
      </c>
      <c r="E21" s="234" t="n">
        <v>612</v>
      </c>
      <c r="F21" s="236" t="n">
        <v>0.9652996845425867</v>
      </c>
      <c r="G21" s="234" t="n">
        <v>0</v>
      </c>
      <c r="H21" s="234" t="n">
        <v>222</v>
      </c>
      <c r="I21" s="236" t="n">
        <v>0.3501577287066245</v>
      </c>
      <c r="J21" s="234" t="n">
        <v>0</v>
      </c>
      <c r="K21" s="234" t="n">
        <v>269</v>
      </c>
      <c r="L21" s="236" t="n">
        <v>0.4242902208201893</v>
      </c>
    </row>
    <row r="22">
      <c r="B22" s="233" t="n">
        <v>46539</v>
      </c>
      <c r="C22" s="233" t="n">
        <v>46568</v>
      </c>
      <c r="D22" s="234" t="n">
        <v>22</v>
      </c>
      <c r="E22" s="234" t="n">
        <v>634</v>
      </c>
      <c r="F22" s="236" t="n">
        <v>1</v>
      </c>
      <c r="G22" s="234" t="n">
        <v>0</v>
      </c>
      <c r="H22" s="234" t="n">
        <v>222</v>
      </c>
      <c r="I22" s="236" t="n">
        <v>0.3501577287066245</v>
      </c>
      <c r="J22" s="234" t="n">
        <v>0</v>
      </c>
      <c r="K22" s="234" t="n">
        <v>269</v>
      </c>
      <c r="L22" s="236" t="n">
        <v>0.4242902208201893</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topLeftCell="A85"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183" t="inlineStr">
        <is>
          <t>날짜</t>
        </is>
      </c>
      <c r="B1" s="183" t="inlineStr">
        <is>
          <t>주차</t>
        </is>
      </c>
      <c r="C1" s="183" t="inlineStr">
        <is>
          <t>일일 계획작업량(Man-Day)</t>
        </is>
      </c>
      <c r="D1" s="183" t="inlineStr">
        <is>
          <t>계획작업량 누적(Man-Day)</t>
        </is>
      </c>
      <c r="E1" s="183" t="inlineStr">
        <is>
          <t>계획작업량 진척률</t>
        </is>
      </c>
      <c r="F1" s="183" t="inlineStr">
        <is>
          <t>일일 실적기성(Man-Day)</t>
        </is>
      </c>
      <c r="G1" s="183" t="inlineStr">
        <is>
          <t>실적기성 누적(Man-Day)</t>
        </is>
      </c>
      <c r="H1" s="183" t="inlineStr">
        <is>
          <t>실적기성 진척률</t>
        </is>
      </c>
      <c r="I1" s="183" t="inlineStr">
        <is>
          <t>일일 실제투입작업량(Man-Day)</t>
        </is>
      </c>
      <c r="J1" s="183" t="inlineStr">
        <is>
          <t>실제투입작업량 누적(Man-Day)</t>
        </is>
      </c>
      <c r="K1" s="183" t="inlineStr">
        <is>
          <t>실제투입작업량 진척률</t>
        </is>
      </c>
    </row>
    <row r="2">
      <c r="A2" s="323" t="n">
        <v>46086</v>
      </c>
      <c r="B2" s="184" t="n">
        <v>10</v>
      </c>
      <c r="C2" s="185" t="n">
        <v>3</v>
      </c>
      <c r="D2" s="185" t="n">
        <v>3</v>
      </c>
      <c r="E2" s="175" t="n">
        <v>0.01182499014584155</v>
      </c>
      <c r="F2" s="185" t="n">
        <v>3</v>
      </c>
      <c r="G2" s="185" t="n">
        <v>3</v>
      </c>
      <c r="H2" s="175" t="n">
        <v>0.01182499014584155</v>
      </c>
      <c r="I2" s="185" t="n">
        <v>0</v>
      </c>
      <c r="J2" s="185" t="n">
        <v>0</v>
      </c>
      <c r="K2" s="175" t="n">
        <v>0</v>
      </c>
    </row>
    <row r="3">
      <c r="A3" s="323" t="n">
        <v>46087</v>
      </c>
      <c r="B3" s="184" t="n">
        <v>10</v>
      </c>
      <c r="C3" s="185" t="n">
        <v>1</v>
      </c>
      <c r="D3" s="185" t="n">
        <v>4</v>
      </c>
      <c r="E3" s="175" t="n">
        <v>0.01576665352778873</v>
      </c>
      <c r="F3" s="185" t="n">
        <v>1</v>
      </c>
      <c r="G3" s="185" t="n">
        <v>4</v>
      </c>
      <c r="H3" s="175" t="n">
        <v>0.01576665352778873</v>
      </c>
      <c r="I3" s="185" t="n">
        <v>0</v>
      </c>
      <c r="J3" s="185" t="n">
        <v>0</v>
      </c>
      <c r="K3" s="175" t="n">
        <v>0</v>
      </c>
    </row>
    <row r="4">
      <c r="A4" s="323" t="n">
        <v>46088</v>
      </c>
      <c r="B4" s="184" t="n">
        <v>10</v>
      </c>
      <c r="C4" s="185" t="n">
        <v>0</v>
      </c>
      <c r="D4" s="185" t="n">
        <v>4</v>
      </c>
      <c r="E4" s="175" t="n">
        <v>0.01576665352778873</v>
      </c>
      <c r="F4" s="185" t="n">
        <v>0</v>
      </c>
      <c r="G4" s="185" t="n">
        <v>4</v>
      </c>
      <c r="H4" s="175" t="n">
        <v>0.01576665352778873</v>
      </c>
      <c r="I4" s="185" t="n">
        <v>0</v>
      </c>
      <c r="J4" s="185" t="n">
        <v>0</v>
      </c>
      <c r="K4" s="175" t="n">
        <v>0</v>
      </c>
    </row>
    <row r="5">
      <c r="A5" s="323" t="n">
        <v>46089</v>
      </c>
      <c r="B5" s="184" t="n">
        <v>11</v>
      </c>
      <c r="C5" s="185" t="n">
        <v>0</v>
      </c>
      <c r="D5" s="185" t="n">
        <v>4</v>
      </c>
      <c r="E5" s="175" t="n">
        <v>0.01576665352778873</v>
      </c>
      <c r="F5" s="185" t="n">
        <v>0</v>
      </c>
      <c r="G5" s="185" t="n">
        <v>4</v>
      </c>
      <c r="H5" s="175" t="n">
        <v>0.01576665352778873</v>
      </c>
      <c r="I5" s="185" t="n">
        <v>0</v>
      </c>
      <c r="J5" s="185" t="n">
        <v>0</v>
      </c>
      <c r="K5" s="175" t="n">
        <v>0</v>
      </c>
    </row>
    <row r="6">
      <c r="A6" s="323" t="n">
        <v>46090</v>
      </c>
      <c r="B6" s="184" t="n">
        <v>11</v>
      </c>
      <c r="C6" s="185" t="n">
        <v>1</v>
      </c>
      <c r="D6" s="185" t="n">
        <v>5</v>
      </c>
      <c r="E6" s="175" t="n">
        <v>0.01970831690973591</v>
      </c>
      <c r="F6" s="185" t="n">
        <v>1</v>
      </c>
      <c r="G6" s="185" t="n">
        <v>5</v>
      </c>
      <c r="H6" s="175" t="n">
        <v>0.01970831690973591</v>
      </c>
      <c r="I6" s="185" t="n">
        <v>0</v>
      </c>
      <c r="J6" s="185" t="n">
        <v>0</v>
      </c>
      <c r="K6" s="175" t="n">
        <v>0</v>
      </c>
    </row>
    <row r="7">
      <c r="A7" s="323" t="n">
        <v>46091</v>
      </c>
      <c r="B7" s="184" t="n">
        <v>11</v>
      </c>
      <c r="C7" s="185" t="n">
        <v>1</v>
      </c>
      <c r="D7" s="185" t="n">
        <v>6</v>
      </c>
      <c r="E7" s="175" t="n">
        <v>0.02364998029168309</v>
      </c>
      <c r="F7" s="185" t="n">
        <v>1</v>
      </c>
      <c r="G7" s="185" t="n">
        <v>6</v>
      </c>
      <c r="H7" s="175" t="n">
        <v>0.02364998029168309</v>
      </c>
      <c r="I7" s="185" t="n">
        <v>0</v>
      </c>
      <c r="J7" s="185" t="n">
        <v>0</v>
      </c>
      <c r="K7" s="175" t="n">
        <v>0</v>
      </c>
    </row>
    <row r="8">
      <c r="A8" s="323" t="n">
        <v>46092</v>
      </c>
      <c r="B8" s="184" t="n">
        <v>11</v>
      </c>
      <c r="C8" s="185" t="n">
        <v>1</v>
      </c>
      <c r="D8" s="185" t="n">
        <v>7</v>
      </c>
      <c r="E8" s="175" t="n">
        <v>0.02759164367363027</v>
      </c>
      <c r="F8" s="185" t="n">
        <v>1</v>
      </c>
      <c r="G8" s="185" t="n">
        <v>7</v>
      </c>
      <c r="H8" s="175" t="n">
        <v>0.02759164367363027</v>
      </c>
      <c r="I8" s="185" t="n">
        <v>0</v>
      </c>
      <c r="J8" s="185" t="n">
        <v>0</v>
      </c>
      <c r="K8" s="175" t="n">
        <v>0</v>
      </c>
    </row>
    <row r="9">
      <c r="A9" s="323" t="n">
        <v>46093</v>
      </c>
      <c r="B9" s="184" t="n">
        <v>11</v>
      </c>
      <c r="C9" s="185" t="n">
        <v>2</v>
      </c>
      <c r="D9" s="185" t="n">
        <v>9</v>
      </c>
      <c r="E9" s="175" t="n">
        <v>0.03547497043752464</v>
      </c>
      <c r="F9" s="185" t="n">
        <v>2</v>
      </c>
      <c r="G9" s="185" t="n">
        <v>9</v>
      </c>
      <c r="H9" s="175" t="n">
        <v>0.03547497043752464</v>
      </c>
      <c r="I9" s="185" t="n">
        <v>0</v>
      </c>
      <c r="J9" s="185" t="n">
        <v>0</v>
      </c>
      <c r="K9" s="175" t="n">
        <v>0</v>
      </c>
    </row>
    <row r="10">
      <c r="A10" s="323" t="n">
        <v>46094</v>
      </c>
      <c r="B10" s="184" t="n">
        <v>11</v>
      </c>
      <c r="C10" s="185" t="n">
        <v>2</v>
      </c>
      <c r="D10" s="185" t="n">
        <v>11</v>
      </c>
      <c r="E10" s="175" t="n">
        <v>0.043358297201419</v>
      </c>
      <c r="F10" s="185" t="n">
        <v>2</v>
      </c>
      <c r="G10" s="185" t="n">
        <v>11</v>
      </c>
      <c r="H10" s="175" t="n">
        <v>0.043358297201419</v>
      </c>
      <c r="I10" s="185" t="n">
        <v>0</v>
      </c>
      <c r="J10" s="185" t="n">
        <v>0</v>
      </c>
      <c r="K10" s="175" t="n">
        <v>0</v>
      </c>
    </row>
    <row r="11">
      <c r="A11" s="323" t="n">
        <v>46095</v>
      </c>
      <c r="B11" s="184" t="n">
        <v>11</v>
      </c>
      <c r="C11" s="185" t="n">
        <v>0</v>
      </c>
      <c r="D11" s="185" t="n">
        <v>11</v>
      </c>
      <c r="E11" s="175" t="n">
        <v>0.043358297201419</v>
      </c>
      <c r="F11" s="185" t="n">
        <v>0</v>
      </c>
      <c r="G11" s="185" t="n">
        <v>11</v>
      </c>
      <c r="H11" s="175" t="n">
        <v>0.043358297201419</v>
      </c>
      <c r="I11" s="185" t="n">
        <v>0</v>
      </c>
      <c r="J11" s="185" t="n">
        <v>0</v>
      </c>
      <c r="K11" s="175" t="n">
        <v>0</v>
      </c>
    </row>
    <row r="12">
      <c r="A12" s="323" t="n">
        <v>46096</v>
      </c>
      <c r="B12" s="184" t="n">
        <v>12</v>
      </c>
      <c r="C12" s="185" t="n">
        <v>0</v>
      </c>
      <c r="D12" s="185" t="n">
        <v>11</v>
      </c>
      <c r="E12" s="175" t="n">
        <v>0.043358297201419</v>
      </c>
      <c r="F12" s="185" t="n">
        <v>0</v>
      </c>
      <c r="G12" s="185" t="n">
        <v>11</v>
      </c>
      <c r="H12" s="175" t="n">
        <v>0.043358297201419</v>
      </c>
      <c r="I12" s="185" t="n">
        <v>0</v>
      </c>
      <c r="J12" s="185" t="n">
        <v>0</v>
      </c>
      <c r="K12" s="175" t="n">
        <v>0</v>
      </c>
    </row>
    <row r="13">
      <c r="A13" s="323" t="n">
        <v>46097</v>
      </c>
      <c r="B13" s="184" t="n">
        <v>12</v>
      </c>
      <c r="C13" s="185" t="n">
        <v>2</v>
      </c>
      <c r="D13" s="185" t="n">
        <v>13</v>
      </c>
      <c r="E13" s="175" t="n">
        <v>0.05124162396531336</v>
      </c>
      <c r="F13" s="185" t="n">
        <v>2</v>
      </c>
      <c r="G13" s="185" t="n">
        <v>13</v>
      </c>
      <c r="H13" s="175" t="n">
        <v>0.05124162396531336</v>
      </c>
      <c r="I13" s="185" t="n">
        <v>0</v>
      </c>
      <c r="J13" s="185" t="n">
        <v>0</v>
      </c>
      <c r="K13" s="175" t="n">
        <v>0</v>
      </c>
    </row>
    <row r="14">
      <c r="A14" s="323" t="n">
        <v>46098</v>
      </c>
      <c r="B14" s="184" t="n">
        <v>12</v>
      </c>
      <c r="C14" s="185" t="n">
        <v>1</v>
      </c>
      <c r="D14" s="185" t="n">
        <v>14</v>
      </c>
      <c r="E14" s="175" t="n">
        <v>0.05518328734726054</v>
      </c>
      <c r="F14" s="185" t="n">
        <v>1</v>
      </c>
      <c r="G14" s="185" t="n">
        <v>14</v>
      </c>
      <c r="H14" s="175" t="n">
        <v>0.05518328734726054</v>
      </c>
      <c r="I14" s="185" t="n">
        <v>0</v>
      </c>
      <c r="J14" s="185" t="n">
        <v>0</v>
      </c>
      <c r="K14" s="175" t="n">
        <v>0</v>
      </c>
    </row>
    <row r="15">
      <c r="A15" s="323" t="n">
        <v>46099</v>
      </c>
      <c r="B15" s="184" t="n">
        <v>12</v>
      </c>
      <c r="C15" s="185" t="n">
        <v>1</v>
      </c>
      <c r="D15" s="185" t="n">
        <v>15</v>
      </c>
      <c r="E15" s="175" t="n">
        <v>0.05912495072920773</v>
      </c>
      <c r="F15" s="185" t="n">
        <v>1</v>
      </c>
      <c r="G15" s="185" t="n">
        <v>15</v>
      </c>
      <c r="H15" s="175" t="n">
        <v>0.05912495072920773</v>
      </c>
      <c r="I15" s="185" t="n">
        <v>0</v>
      </c>
      <c r="J15" s="185" t="n">
        <v>0</v>
      </c>
      <c r="K15" s="175" t="n">
        <v>0</v>
      </c>
    </row>
    <row r="16">
      <c r="A16" s="323" t="n">
        <v>46100</v>
      </c>
      <c r="B16" s="184" t="n">
        <v>12</v>
      </c>
      <c r="C16" s="185" t="n">
        <v>2</v>
      </c>
      <c r="D16" s="185" t="n">
        <v>17</v>
      </c>
      <c r="E16" s="175" t="n">
        <v>0.06700827749310209</v>
      </c>
      <c r="F16" s="185" t="n">
        <v>2</v>
      </c>
      <c r="G16" s="185" t="n">
        <v>17</v>
      </c>
      <c r="H16" s="175" t="n">
        <v>0.06700827749310209</v>
      </c>
      <c r="I16" s="185" t="n">
        <v>0</v>
      </c>
      <c r="J16" s="185" t="n">
        <v>0</v>
      </c>
      <c r="K16" s="175" t="n">
        <v>0</v>
      </c>
    </row>
    <row r="17">
      <c r="A17" s="323" t="n">
        <v>46101</v>
      </c>
      <c r="B17" s="184" t="n">
        <v>12</v>
      </c>
      <c r="C17" s="185" t="n">
        <v>2</v>
      </c>
      <c r="D17" s="185" t="n">
        <v>19</v>
      </c>
      <c r="E17" s="175" t="n">
        <v>0.07489160425699645</v>
      </c>
      <c r="F17" s="185" t="n">
        <v>2</v>
      </c>
      <c r="G17" s="185" t="n">
        <v>19</v>
      </c>
      <c r="H17" s="175" t="n">
        <v>0.07489160425699645</v>
      </c>
      <c r="I17" s="185" t="n">
        <v>0</v>
      </c>
      <c r="J17" s="185" t="n">
        <v>0</v>
      </c>
      <c r="K17" s="175" t="n">
        <v>0</v>
      </c>
    </row>
    <row r="18">
      <c r="A18" s="323" t="n">
        <v>46102</v>
      </c>
      <c r="B18" s="184" t="n">
        <v>12</v>
      </c>
      <c r="C18" s="185" t="n">
        <v>0</v>
      </c>
      <c r="D18" s="185" t="n">
        <v>19</v>
      </c>
      <c r="E18" s="175" t="n">
        <v>0.07489160425699645</v>
      </c>
      <c r="F18" s="185" t="n">
        <v>0</v>
      </c>
      <c r="G18" s="185" t="n">
        <v>19</v>
      </c>
      <c r="H18" s="175" t="n">
        <v>0.07489160425699645</v>
      </c>
      <c r="I18" s="185" t="n">
        <v>0</v>
      </c>
      <c r="J18" s="185" t="n">
        <v>0</v>
      </c>
      <c r="K18" s="175" t="n">
        <v>0</v>
      </c>
    </row>
    <row r="19">
      <c r="A19" s="323" t="n">
        <v>46103</v>
      </c>
      <c r="B19" s="184" t="n">
        <v>13</v>
      </c>
      <c r="C19" s="185" t="n">
        <v>0</v>
      </c>
      <c r="D19" s="185" t="n">
        <v>19</v>
      </c>
      <c r="E19" s="175" t="n">
        <v>0.07489160425699645</v>
      </c>
      <c r="F19" s="185" t="n">
        <v>0</v>
      </c>
      <c r="G19" s="185" t="n">
        <v>19</v>
      </c>
      <c r="H19" s="175" t="n">
        <v>0.07489160425699645</v>
      </c>
      <c r="I19" s="185" t="n">
        <v>0</v>
      </c>
      <c r="J19" s="185" t="n">
        <v>0</v>
      </c>
      <c r="K19" s="175" t="n">
        <v>0</v>
      </c>
    </row>
    <row r="20">
      <c r="A20" s="323" t="n">
        <v>46104</v>
      </c>
      <c r="B20" s="184" t="n">
        <v>13</v>
      </c>
      <c r="C20" s="185" t="n">
        <v>2</v>
      </c>
      <c r="D20" s="185" t="n">
        <v>21</v>
      </c>
      <c r="E20" s="175" t="n">
        <v>0.08277493102089081</v>
      </c>
      <c r="F20" s="185" t="n">
        <v>2</v>
      </c>
      <c r="G20" s="185" t="n">
        <v>21</v>
      </c>
      <c r="H20" s="175" t="n">
        <v>0.08277493102089081</v>
      </c>
      <c r="I20" s="185" t="n">
        <v>0</v>
      </c>
      <c r="J20" s="185" t="n">
        <v>0</v>
      </c>
      <c r="K20" s="175" t="n">
        <v>0</v>
      </c>
    </row>
    <row r="21">
      <c r="A21" s="323" t="n">
        <v>46105</v>
      </c>
      <c r="B21" s="184" t="n">
        <v>13</v>
      </c>
      <c r="C21" s="185" t="n">
        <v>2</v>
      </c>
      <c r="D21" s="185" t="n">
        <v>23</v>
      </c>
      <c r="E21" s="175" t="n">
        <v>0.09065825778478519</v>
      </c>
      <c r="F21" s="185" t="n">
        <v>2</v>
      </c>
      <c r="G21" s="185" t="n">
        <v>23</v>
      </c>
      <c r="H21" s="175" t="n">
        <v>0.09065825778478519</v>
      </c>
      <c r="I21" s="185" t="n">
        <v>0</v>
      </c>
      <c r="J21" s="185" t="n">
        <v>0</v>
      </c>
      <c r="K21" s="175" t="n">
        <v>0</v>
      </c>
    </row>
    <row r="22">
      <c r="A22" s="323" t="n">
        <v>46106</v>
      </c>
      <c r="B22" s="184" t="n">
        <v>13</v>
      </c>
      <c r="C22" s="185" t="n">
        <v>2</v>
      </c>
      <c r="D22" s="185" t="n">
        <v>25</v>
      </c>
      <c r="E22" s="175" t="n">
        <v>0.09854158454867955</v>
      </c>
      <c r="F22" s="185" t="n">
        <v>2</v>
      </c>
      <c r="G22" s="185" t="n">
        <v>25</v>
      </c>
      <c r="H22" s="175" t="n">
        <v>0.09854158454867955</v>
      </c>
      <c r="I22" s="185" t="n">
        <v>0</v>
      </c>
      <c r="J22" s="185" t="n">
        <v>0</v>
      </c>
      <c r="K22" s="175" t="n">
        <v>0</v>
      </c>
    </row>
    <row r="23">
      <c r="A23" s="323" t="n">
        <v>46107</v>
      </c>
      <c r="B23" s="184" t="n">
        <v>13</v>
      </c>
      <c r="C23" s="185" t="n">
        <v>5.7</v>
      </c>
      <c r="D23" s="185" t="n">
        <v>30.7</v>
      </c>
      <c r="E23" s="175" t="n">
        <v>0.1210090658257785</v>
      </c>
      <c r="F23" s="185" t="n">
        <v>5.19</v>
      </c>
      <c r="G23" s="185" t="n">
        <v>30.19</v>
      </c>
      <c r="H23" s="175" t="n">
        <v>0.1189988175009854</v>
      </c>
      <c r="I23" s="185" t="n">
        <v>0</v>
      </c>
      <c r="J23" s="185" t="n">
        <v>0</v>
      </c>
      <c r="K23" s="175" t="n">
        <v>0</v>
      </c>
    </row>
    <row r="24">
      <c r="A24" s="323" t="n">
        <v>46108</v>
      </c>
      <c r="B24" s="184" t="n">
        <v>13</v>
      </c>
      <c r="C24" s="185" t="n">
        <v>4.7</v>
      </c>
      <c r="D24" s="185" t="n">
        <v>35.4</v>
      </c>
      <c r="E24" s="175" t="n">
        <v>0.1395348837209302</v>
      </c>
      <c r="F24" s="185" t="n">
        <v>4.19</v>
      </c>
      <c r="G24" s="185" t="n">
        <v>34.38</v>
      </c>
      <c r="H24" s="175" t="n">
        <v>0.1355143870713441</v>
      </c>
      <c r="I24" s="185" t="n">
        <v>0</v>
      </c>
      <c r="J24" s="185" t="n">
        <v>0</v>
      </c>
      <c r="K24" s="175" t="n">
        <v>0</v>
      </c>
    </row>
    <row r="25">
      <c r="A25" s="323" t="n">
        <v>46109</v>
      </c>
      <c r="B25" s="184" t="n">
        <v>13</v>
      </c>
      <c r="C25" s="185" t="n">
        <v>0</v>
      </c>
      <c r="D25" s="185" t="n">
        <v>35.4</v>
      </c>
      <c r="E25" s="175" t="n">
        <v>0.1395348837209302</v>
      </c>
      <c r="F25" s="185" t="n">
        <v>0</v>
      </c>
      <c r="G25" s="185" t="n">
        <v>34.38</v>
      </c>
      <c r="H25" s="175" t="n">
        <v>0.1355143870713441</v>
      </c>
      <c r="I25" s="185" t="n">
        <v>0</v>
      </c>
      <c r="J25" s="185" t="n">
        <v>0</v>
      </c>
      <c r="K25" s="175" t="n">
        <v>0</v>
      </c>
    </row>
    <row r="26">
      <c r="A26" s="323" t="n">
        <v>46110</v>
      </c>
      <c r="B26" s="184" t="n">
        <v>14</v>
      </c>
      <c r="C26" s="185" t="n">
        <v>0</v>
      </c>
      <c r="D26" s="185" t="n">
        <v>35.4</v>
      </c>
      <c r="E26" s="175" t="n">
        <v>0.1395348837209302</v>
      </c>
      <c r="F26" s="185" t="n">
        <v>0</v>
      </c>
      <c r="G26" s="185" t="n">
        <v>34.38</v>
      </c>
      <c r="H26" s="175" t="n">
        <v>0.1355143870713441</v>
      </c>
      <c r="I26" s="185" t="n">
        <v>0</v>
      </c>
      <c r="J26" s="185" t="n">
        <v>0</v>
      </c>
      <c r="K26" s="175" t="n">
        <v>0</v>
      </c>
    </row>
    <row r="27">
      <c r="A27" s="323" t="n">
        <v>46111</v>
      </c>
      <c r="B27" s="184" t="n">
        <v>14</v>
      </c>
      <c r="C27" s="185" t="n">
        <v>4.7</v>
      </c>
      <c r="D27" s="185" t="n">
        <v>40.1</v>
      </c>
      <c r="E27" s="175" t="n">
        <v>0.158060701616082</v>
      </c>
      <c r="F27" s="185" t="n">
        <v>4.19</v>
      </c>
      <c r="G27" s="185" t="n">
        <v>38.57</v>
      </c>
      <c r="H27" s="175" t="n">
        <v>0.1520299566417028</v>
      </c>
      <c r="I27" s="185" t="n">
        <v>0</v>
      </c>
      <c r="J27" s="185" t="n">
        <v>0</v>
      </c>
      <c r="K27" s="175" t="n">
        <v>0</v>
      </c>
    </row>
    <row r="28">
      <c r="A28" s="323" t="n">
        <v>46112</v>
      </c>
      <c r="B28" s="184" t="n">
        <v>14</v>
      </c>
      <c r="C28" s="185" t="n">
        <v>1</v>
      </c>
      <c r="D28" s="185" t="n">
        <v>41.1</v>
      </c>
      <c r="E28" s="175" t="n">
        <v>0.1620023649980292</v>
      </c>
      <c r="F28" s="185" t="n">
        <v>1</v>
      </c>
      <c r="G28" s="185" t="n">
        <v>39.57</v>
      </c>
      <c r="H28" s="175" t="n">
        <v>0.1559716200236499</v>
      </c>
      <c r="I28" s="185" t="n">
        <v>0</v>
      </c>
      <c r="J28" s="185" t="n">
        <v>0</v>
      </c>
      <c r="K28" s="175" t="n">
        <v>0</v>
      </c>
    </row>
    <row r="29">
      <c r="A29" s="323" t="n">
        <v>46113</v>
      </c>
      <c r="B29" s="184" t="n">
        <v>14</v>
      </c>
      <c r="C29" s="185" t="n">
        <v>1</v>
      </c>
      <c r="D29" s="185" t="n">
        <v>42.1</v>
      </c>
      <c r="E29" s="175" t="n">
        <v>0.1659440283799763</v>
      </c>
      <c r="F29" s="185" t="n">
        <v>1</v>
      </c>
      <c r="G29" s="185" t="n">
        <v>40.57</v>
      </c>
      <c r="H29" s="175" t="n">
        <v>0.1599132834055971</v>
      </c>
      <c r="I29" s="185" t="n">
        <v>0</v>
      </c>
      <c r="J29" s="185" t="n">
        <v>0</v>
      </c>
      <c r="K29" s="175" t="n">
        <v>0</v>
      </c>
    </row>
    <row r="30">
      <c r="A30" s="323" t="n">
        <v>46114</v>
      </c>
      <c r="B30" s="184" t="n">
        <v>14</v>
      </c>
      <c r="C30" s="185" t="n">
        <v>2.2</v>
      </c>
      <c r="D30" s="185" t="n">
        <v>44.3</v>
      </c>
      <c r="E30" s="175" t="n">
        <v>0.1746156878202602</v>
      </c>
      <c r="F30" s="185" t="n">
        <v>3.2</v>
      </c>
      <c r="G30" s="185" t="n">
        <v>43.77</v>
      </c>
      <c r="H30" s="175" t="n">
        <v>0.1725266062278281</v>
      </c>
      <c r="I30" s="185" t="n">
        <v>0</v>
      </c>
      <c r="J30" s="185" t="n">
        <v>0</v>
      </c>
      <c r="K30" s="175" t="n">
        <v>0</v>
      </c>
    </row>
    <row r="31">
      <c r="A31" s="323" t="n">
        <v>46115</v>
      </c>
      <c r="B31" s="184" t="n">
        <v>14</v>
      </c>
      <c r="C31" s="185" t="n">
        <v>2</v>
      </c>
      <c r="D31" s="185" t="n">
        <v>46.3</v>
      </c>
      <c r="E31" s="175" t="n">
        <v>0.1824990145841545</v>
      </c>
      <c r="F31" s="185" t="n">
        <v>3</v>
      </c>
      <c r="G31" s="185" t="n">
        <v>46.77</v>
      </c>
      <c r="H31" s="175" t="n">
        <v>0.1843515963736697</v>
      </c>
      <c r="I31" s="185" t="n">
        <v>0</v>
      </c>
      <c r="J31" s="185" t="n">
        <v>0</v>
      </c>
      <c r="K31" s="175" t="n">
        <v>0</v>
      </c>
    </row>
    <row r="32">
      <c r="A32" s="323" t="n">
        <v>46116</v>
      </c>
      <c r="B32" s="184" t="n">
        <v>14</v>
      </c>
      <c r="C32" s="185" t="n">
        <v>0</v>
      </c>
      <c r="D32" s="185" t="n">
        <v>46.3</v>
      </c>
      <c r="E32" s="175" t="n">
        <v>0.1824990145841545</v>
      </c>
      <c r="F32" s="185" t="n">
        <v>0</v>
      </c>
      <c r="G32" s="185" t="n">
        <v>46.77</v>
      </c>
      <c r="H32" s="175" t="n">
        <v>0.1843515963736697</v>
      </c>
      <c r="I32" s="185" t="n">
        <v>0</v>
      </c>
      <c r="J32" s="185" t="n">
        <v>0</v>
      </c>
      <c r="K32" s="175" t="n">
        <v>0</v>
      </c>
    </row>
    <row r="33">
      <c r="A33" s="323" t="n">
        <v>46117</v>
      </c>
      <c r="B33" s="184" t="n">
        <v>15</v>
      </c>
      <c r="C33" s="185" t="n">
        <v>0</v>
      </c>
      <c r="D33" s="185" t="n">
        <v>46.3</v>
      </c>
      <c r="E33" s="175" t="n">
        <v>0.1824990145841545</v>
      </c>
      <c r="F33" s="185" t="n">
        <v>0</v>
      </c>
      <c r="G33" s="185" t="n">
        <v>46.77</v>
      </c>
      <c r="H33" s="175" t="n">
        <v>0.1843515963736697</v>
      </c>
      <c r="I33" s="185" t="n">
        <v>0</v>
      </c>
      <c r="J33" s="185" t="n">
        <v>0</v>
      </c>
      <c r="K33" s="175" t="n">
        <v>0</v>
      </c>
    </row>
    <row r="34">
      <c r="A34" s="323" t="n">
        <v>46118</v>
      </c>
      <c r="B34" s="184" t="n">
        <v>15</v>
      </c>
      <c r="C34" s="185" t="n">
        <v>3</v>
      </c>
      <c r="D34" s="185" t="n">
        <v>49.3</v>
      </c>
      <c r="E34" s="175" t="n">
        <v>0.1943240047299961</v>
      </c>
      <c r="F34" s="185" t="n">
        <v>3</v>
      </c>
      <c r="G34" s="185" t="n">
        <v>49.77</v>
      </c>
      <c r="H34" s="175" t="n">
        <v>0.1961765865195112</v>
      </c>
      <c r="I34" s="185" t="n">
        <v>0</v>
      </c>
      <c r="J34" s="185" t="n">
        <v>0</v>
      </c>
      <c r="K34" s="175" t="n">
        <v>0</v>
      </c>
    </row>
    <row r="35">
      <c r="A35" s="323" t="n">
        <v>46119</v>
      </c>
      <c r="B35" s="184" t="n">
        <v>15</v>
      </c>
      <c r="C35" s="185" t="n">
        <v>2</v>
      </c>
      <c r="D35" s="185" t="n">
        <v>51.3</v>
      </c>
      <c r="E35" s="175" t="n">
        <v>0.2022073314938904</v>
      </c>
      <c r="F35" s="185" t="n">
        <v>9.699999999999999</v>
      </c>
      <c r="G35" s="185" t="n">
        <v>59.47</v>
      </c>
      <c r="H35" s="175" t="n">
        <v>0.2344107213243989</v>
      </c>
      <c r="I35" s="185" t="n">
        <v>0</v>
      </c>
      <c r="J35" s="185" t="n">
        <v>0</v>
      </c>
      <c r="K35" s="175" t="n">
        <v>0</v>
      </c>
    </row>
    <row r="36">
      <c r="A36" s="323" t="n">
        <v>46120</v>
      </c>
      <c r="B36" s="184" t="n">
        <v>15</v>
      </c>
      <c r="C36" s="185" t="n">
        <v>2</v>
      </c>
      <c r="D36" s="185" t="n">
        <v>53.3</v>
      </c>
      <c r="E36" s="175" t="n">
        <v>0.2100906582577848</v>
      </c>
      <c r="F36" s="185" t="n">
        <v>0</v>
      </c>
      <c r="G36" s="185" t="n">
        <v>59.47</v>
      </c>
      <c r="H36" s="175" t="n">
        <v>0.2344107213243989</v>
      </c>
      <c r="I36" s="185" t="n">
        <v>0</v>
      </c>
      <c r="J36" s="185" t="n">
        <v>0</v>
      </c>
      <c r="K36" s="175" t="n">
        <v>0</v>
      </c>
    </row>
    <row r="37">
      <c r="A37" s="323" t="n">
        <v>46121</v>
      </c>
      <c r="B37" s="184" t="n">
        <v>15</v>
      </c>
      <c r="C37" s="185" t="n">
        <v>2</v>
      </c>
      <c r="D37" s="185" t="n">
        <v>55.3</v>
      </c>
      <c r="E37" s="175" t="n">
        <v>0.2179739850216792</v>
      </c>
      <c r="F37" s="185" t="n">
        <v>0</v>
      </c>
      <c r="G37" s="185" t="n">
        <v>59.47</v>
      </c>
      <c r="H37" s="175" t="n">
        <v>0.2344107213243989</v>
      </c>
      <c r="I37" s="185" t="n">
        <v>0</v>
      </c>
      <c r="J37" s="185" t="n">
        <v>0</v>
      </c>
      <c r="K37" s="175" t="n">
        <v>0</v>
      </c>
    </row>
    <row r="38">
      <c r="A38" s="323" t="n">
        <v>46122</v>
      </c>
      <c r="B38" s="184" t="n">
        <v>15</v>
      </c>
      <c r="C38" s="185" t="n">
        <v>2</v>
      </c>
      <c r="D38" s="185" t="n">
        <v>57.3</v>
      </c>
      <c r="E38" s="175" t="n">
        <v>0.2258573117855735</v>
      </c>
      <c r="F38" s="185" t="n">
        <v>0</v>
      </c>
      <c r="G38" s="185" t="n">
        <v>59.47</v>
      </c>
      <c r="H38" s="175" t="n">
        <v>0.2344107213243989</v>
      </c>
      <c r="I38" s="185" t="n">
        <v>0</v>
      </c>
      <c r="J38" s="185" t="n">
        <v>0</v>
      </c>
      <c r="K38" s="175" t="n">
        <v>0</v>
      </c>
    </row>
    <row r="39">
      <c r="A39" s="323" t="n">
        <v>46123</v>
      </c>
      <c r="B39" s="184" t="n">
        <v>15</v>
      </c>
      <c r="C39" s="185" t="n">
        <v>0</v>
      </c>
      <c r="D39" s="185" t="n">
        <v>57.3</v>
      </c>
      <c r="E39" s="175" t="n">
        <v>0.2258573117855735</v>
      </c>
      <c r="F39" s="185" t="n">
        <v>0</v>
      </c>
      <c r="G39" s="185" t="n">
        <v>59.47</v>
      </c>
      <c r="H39" s="175" t="n">
        <v>0.2344107213243989</v>
      </c>
      <c r="I39" s="185" t="n">
        <v>0</v>
      </c>
      <c r="J39" s="185" t="n">
        <v>0</v>
      </c>
      <c r="K39" s="175" t="n">
        <v>0</v>
      </c>
    </row>
    <row r="40">
      <c r="A40" s="323" t="n">
        <v>46124</v>
      </c>
      <c r="B40" s="184" t="n">
        <v>16</v>
      </c>
      <c r="C40" s="185" t="n">
        <v>0</v>
      </c>
      <c r="D40" s="185" t="n">
        <v>57.3</v>
      </c>
      <c r="E40" s="175" t="n">
        <v>0.2258573117855735</v>
      </c>
      <c r="F40" s="185" t="n">
        <v>0</v>
      </c>
      <c r="G40" s="185" t="n">
        <v>59.47</v>
      </c>
      <c r="H40" s="175" t="n">
        <v>0.2344107213243989</v>
      </c>
      <c r="I40" s="185" t="n">
        <v>0</v>
      </c>
      <c r="J40" s="185" t="n">
        <v>0</v>
      </c>
      <c r="K40" s="175" t="n">
        <v>0</v>
      </c>
    </row>
    <row r="41">
      <c r="A41" s="323" t="n">
        <v>46125</v>
      </c>
      <c r="B41" s="184" t="n">
        <v>16</v>
      </c>
      <c r="C41" s="185" t="n">
        <v>2</v>
      </c>
      <c r="D41" s="185" t="n">
        <v>59.3</v>
      </c>
      <c r="E41" s="175" t="n">
        <v>0.2337406385494679</v>
      </c>
      <c r="F41" s="185" t="n">
        <v>0</v>
      </c>
      <c r="G41" s="185" t="n">
        <v>59.47</v>
      </c>
      <c r="H41" s="175" t="n">
        <v>0.2344107213243989</v>
      </c>
      <c r="I41" s="185" t="n">
        <v>0</v>
      </c>
      <c r="J41" s="185" t="n">
        <v>0</v>
      </c>
      <c r="K41" s="175" t="n">
        <v>0</v>
      </c>
    </row>
    <row r="42">
      <c r="A42" s="323" t="n">
        <v>46126</v>
      </c>
      <c r="B42" s="184" t="n">
        <v>16</v>
      </c>
      <c r="C42" s="185" t="n">
        <v>1</v>
      </c>
      <c r="D42" s="185" t="n">
        <v>60.3</v>
      </c>
      <c r="E42" s="175" t="n">
        <v>0.2376823019314151</v>
      </c>
      <c r="F42" s="185" t="n">
        <v>0</v>
      </c>
      <c r="G42" s="185" t="n">
        <v>59.47</v>
      </c>
      <c r="H42" s="175" t="n">
        <v>0.2344107213243989</v>
      </c>
      <c r="I42" s="185" t="n">
        <v>0</v>
      </c>
      <c r="J42" s="185" t="n">
        <v>0</v>
      </c>
      <c r="K42" s="175" t="n">
        <v>0</v>
      </c>
    </row>
    <row r="43">
      <c r="A43" s="323" t="n">
        <v>46127</v>
      </c>
      <c r="B43" s="184" t="n">
        <v>16</v>
      </c>
      <c r="C43" s="185" t="n">
        <v>1</v>
      </c>
      <c r="D43" s="185" t="n">
        <v>61.3</v>
      </c>
      <c r="E43" s="175" t="n">
        <v>0.2416239653133623</v>
      </c>
      <c r="F43" s="185" t="n">
        <v>0</v>
      </c>
      <c r="G43" s="185" t="n">
        <v>59.47</v>
      </c>
      <c r="H43" s="175" t="n">
        <v>0.2344107213243989</v>
      </c>
      <c r="I43" s="185" t="n">
        <v>0</v>
      </c>
      <c r="J43" s="185" t="n">
        <v>0</v>
      </c>
      <c r="K43" s="175" t="n">
        <v>0</v>
      </c>
    </row>
    <row r="44">
      <c r="A44" s="323" t="n">
        <v>46128</v>
      </c>
      <c r="B44" s="184" t="n">
        <v>16</v>
      </c>
      <c r="C44" s="185" t="n">
        <v>1</v>
      </c>
      <c r="D44" s="185" t="n">
        <v>62.3</v>
      </c>
      <c r="E44" s="175" t="n">
        <v>0.2455656286953095</v>
      </c>
      <c r="F44" s="185" t="n">
        <v>0</v>
      </c>
      <c r="G44" s="185" t="n">
        <v>59.47</v>
      </c>
      <c r="H44" s="175" t="n">
        <v>0.2344107213243989</v>
      </c>
      <c r="I44" s="185" t="n">
        <v>0</v>
      </c>
      <c r="J44" s="185" t="n">
        <v>0</v>
      </c>
      <c r="K44" s="175" t="n">
        <v>0</v>
      </c>
    </row>
    <row r="45">
      <c r="A45" s="323" t="n">
        <v>46129</v>
      </c>
      <c r="B45" s="184" t="n">
        <v>16</v>
      </c>
      <c r="C45" s="185" t="n">
        <v>1</v>
      </c>
      <c r="D45" s="185" t="n">
        <v>63.3</v>
      </c>
      <c r="E45" s="175" t="n">
        <v>0.2495072920772566</v>
      </c>
      <c r="F45" s="185" t="n">
        <v>0</v>
      </c>
      <c r="G45" s="185" t="n">
        <v>59.47</v>
      </c>
      <c r="H45" s="175" t="n">
        <v>0.2344107213243989</v>
      </c>
      <c r="I45" s="185" t="n">
        <v>0</v>
      </c>
      <c r="J45" s="185" t="n">
        <v>0</v>
      </c>
      <c r="K45" s="175" t="n">
        <v>0</v>
      </c>
    </row>
    <row r="46">
      <c r="A46" s="323" t="n">
        <v>46130</v>
      </c>
      <c r="B46" s="184" t="n">
        <v>16</v>
      </c>
      <c r="C46" s="185" t="n">
        <v>0</v>
      </c>
      <c r="D46" s="185" t="n">
        <v>63.3</v>
      </c>
      <c r="E46" s="175" t="n">
        <v>0.2495072920772566</v>
      </c>
      <c r="F46" s="185" t="n">
        <v>0</v>
      </c>
      <c r="G46" s="185" t="n">
        <v>59.47</v>
      </c>
      <c r="H46" s="175" t="n">
        <v>0.2344107213243989</v>
      </c>
      <c r="I46" s="185" t="n">
        <v>0</v>
      </c>
      <c r="J46" s="185" t="n">
        <v>0</v>
      </c>
      <c r="K46" s="175" t="n">
        <v>0</v>
      </c>
    </row>
    <row r="47">
      <c r="A47" s="323" t="n">
        <v>46131</v>
      </c>
      <c r="B47" s="184" t="n">
        <v>17</v>
      </c>
      <c r="C47" s="185" t="n">
        <v>0</v>
      </c>
      <c r="D47" s="185" t="n">
        <v>63.3</v>
      </c>
      <c r="E47" s="175" t="n">
        <v>0.2495072920772566</v>
      </c>
      <c r="F47" s="185" t="n">
        <v>0</v>
      </c>
      <c r="G47" s="185" t="n">
        <v>59.47</v>
      </c>
      <c r="H47" s="175" t="n">
        <v>0.2344107213243989</v>
      </c>
      <c r="I47" s="185" t="n">
        <v>0</v>
      </c>
      <c r="J47" s="185" t="n">
        <v>0</v>
      </c>
      <c r="K47" s="175" t="n">
        <v>0</v>
      </c>
    </row>
    <row r="48">
      <c r="A48" s="323" t="n">
        <v>46132</v>
      </c>
      <c r="B48" s="184" t="n">
        <v>17</v>
      </c>
      <c r="C48" s="185" t="n">
        <v>1</v>
      </c>
      <c r="D48" s="185" t="n">
        <v>64.3</v>
      </c>
      <c r="E48" s="175" t="n">
        <v>0.2534489554592038</v>
      </c>
      <c r="F48" s="185" t="n">
        <v>0</v>
      </c>
      <c r="G48" s="185" t="n">
        <v>59.47</v>
      </c>
      <c r="H48" s="175" t="n">
        <v>0.2344107213243989</v>
      </c>
      <c r="I48" s="185" t="n">
        <v>0</v>
      </c>
      <c r="J48" s="185" t="n">
        <v>0</v>
      </c>
      <c r="K48" s="175" t="n">
        <v>0</v>
      </c>
    </row>
    <row r="49">
      <c r="A49" s="323" t="n">
        <v>46133</v>
      </c>
      <c r="B49" s="184" t="n">
        <v>17</v>
      </c>
      <c r="C49" s="185" t="n">
        <v>1</v>
      </c>
      <c r="D49" s="185" t="n">
        <v>65.3</v>
      </c>
      <c r="E49" s="175" t="n">
        <v>0.257390618841151</v>
      </c>
      <c r="F49" s="185" t="n">
        <v>0</v>
      </c>
      <c r="G49" s="185" t="n">
        <v>59.47</v>
      </c>
      <c r="H49" s="175" t="n">
        <v>0.2344107213243989</v>
      </c>
      <c r="I49" s="185" t="n">
        <v>0</v>
      </c>
      <c r="J49" s="185" t="n">
        <v>0</v>
      </c>
      <c r="K49" s="175" t="n">
        <v>0</v>
      </c>
    </row>
    <row r="50">
      <c r="A50" s="323" t="n">
        <v>46134</v>
      </c>
      <c r="B50" s="184" t="n">
        <v>17</v>
      </c>
      <c r="C50" s="185" t="n">
        <v>1</v>
      </c>
      <c r="D50" s="185" t="n">
        <v>66.3</v>
      </c>
      <c r="E50" s="175" t="n">
        <v>0.2613322822230982</v>
      </c>
      <c r="F50" s="185" t="n">
        <v>0</v>
      </c>
      <c r="G50" s="185" t="n">
        <v>59.47</v>
      </c>
      <c r="H50" s="175" t="n">
        <v>0.2344107213243989</v>
      </c>
      <c r="I50" s="185" t="n">
        <v>0</v>
      </c>
      <c r="J50" s="185" t="n">
        <v>0</v>
      </c>
      <c r="K50" s="175" t="n">
        <v>0</v>
      </c>
    </row>
    <row r="51">
      <c r="A51" s="323" t="n">
        <v>46135</v>
      </c>
      <c r="B51" s="184" t="n">
        <v>17</v>
      </c>
      <c r="C51" s="185" t="n">
        <v>1</v>
      </c>
      <c r="D51" s="185" t="n">
        <v>67.3</v>
      </c>
      <c r="E51" s="175" t="n">
        <v>0.2652739456050454</v>
      </c>
      <c r="F51" s="185" t="n">
        <v>0</v>
      </c>
      <c r="G51" s="185" t="n">
        <v>59.47</v>
      </c>
      <c r="H51" s="175" t="n">
        <v>0.2344107213243989</v>
      </c>
      <c r="I51" s="185" t="n">
        <v>0</v>
      </c>
      <c r="J51" s="185" t="n">
        <v>0</v>
      </c>
      <c r="K51" s="175" t="n">
        <v>0</v>
      </c>
    </row>
    <row r="52">
      <c r="A52" s="323" t="n">
        <v>46136</v>
      </c>
      <c r="B52" s="184" t="n">
        <v>17</v>
      </c>
      <c r="C52" s="185" t="n">
        <v>1</v>
      </c>
      <c r="D52" s="185" t="n">
        <v>68.3</v>
      </c>
      <c r="E52" s="175" t="n">
        <v>0.2692156089869926</v>
      </c>
      <c r="F52" s="185" t="n">
        <v>0</v>
      </c>
      <c r="G52" s="185" t="n">
        <v>59.47</v>
      </c>
      <c r="H52" s="175" t="n">
        <v>0.2344107213243989</v>
      </c>
      <c r="I52" s="185" t="n">
        <v>0</v>
      </c>
      <c r="J52" s="185" t="n">
        <v>0</v>
      </c>
      <c r="K52" s="175" t="n">
        <v>0</v>
      </c>
    </row>
    <row r="53">
      <c r="A53" s="323" t="n">
        <v>46137</v>
      </c>
      <c r="B53" s="184" t="n">
        <v>17</v>
      </c>
      <c r="C53" s="185" t="n">
        <v>0</v>
      </c>
      <c r="D53" s="185" t="n">
        <v>68.3</v>
      </c>
      <c r="E53" s="175" t="n">
        <v>0.2692156089869926</v>
      </c>
      <c r="F53" s="185" t="n">
        <v>0</v>
      </c>
      <c r="G53" s="185" t="n">
        <v>59.47</v>
      </c>
      <c r="H53" s="175" t="n">
        <v>0.2344107213243989</v>
      </c>
      <c r="I53" s="185" t="n">
        <v>0</v>
      </c>
      <c r="J53" s="185" t="n">
        <v>0</v>
      </c>
      <c r="K53" s="175" t="n">
        <v>0</v>
      </c>
    </row>
    <row r="54">
      <c r="A54" s="323" t="n">
        <v>46138</v>
      </c>
      <c r="B54" s="184" t="n">
        <v>18</v>
      </c>
      <c r="C54" s="185" t="n">
        <v>0</v>
      </c>
      <c r="D54" s="185" t="n">
        <v>68.3</v>
      </c>
      <c r="E54" s="175" t="n">
        <v>0.2692156089869926</v>
      </c>
      <c r="F54" s="185" t="n">
        <v>0</v>
      </c>
      <c r="G54" s="185" t="n">
        <v>59.47</v>
      </c>
      <c r="H54" s="175" t="n">
        <v>0.2344107213243989</v>
      </c>
      <c r="I54" s="185" t="n">
        <v>0</v>
      </c>
      <c r="J54" s="185" t="n">
        <v>0</v>
      </c>
      <c r="K54" s="175" t="n">
        <v>0</v>
      </c>
    </row>
    <row r="55">
      <c r="A55" s="323" t="n">
        <v>46139</v>
      </c>
      <c r="B55" s="184" t="n">
        <v>18</v>
      </c>
      <c r="C55" s="185" t="n">
        <v>1</v>
      </c>
      <c r="D55" s="185" t="n">
        <v>69.3</v>
      </c>
      <c r="E55" s="175" t="n">
        <v>0.2731572723689398</v>
      </c>
      <c r="F55" s="185" t="n">
        <v>0</v>
      </c>
      <c r="G55" s="185" t="n">
        <v>59.47</v>
      </c>
      <c r="H55" s="175" t="n">
        <v>0.2344107213243989</v>
      </c>
      <c r="I55" s="185" t="n">
        <v>0</v>
      </c>
      <c r="J55" s="185" t="n">
        <v>0</v>
      </c>
      <c r="K55" s="175" t="n">
        <v>0</v>
      </c>
    </row>
    <row r="56">
      <c r="A56" s="323" t="n">
        <v>46140</v>
      </c>
      <c r="B56" s="184" t="n">
        <v>18</v>
      </c>
      <c r="C56" s="185" t="n">
        <v>0</v>
      </c>
      <c r="D56" s="185" t="n">
        <v>69.3</v>
      </c>
      <c r="E56" s="175" t="n">
        <v>0.2731572723689398</v>
      </c>
      <c r="F56" s="185" t="n">
        <v>0</v>
      </c>
      <c r="G56" s="185" t="n">
        <v>59.47</v>
      </c>
      <c r="H56" s="175" t="n">
        <v>0.2344107213243989</v>
      </c>
      <c r="I56" s="185" t="n">
        <v>0</v>
      </c>
      <c r="J56" s="185" t="n">
        <v>0</v>
      </c>
      <c r="K56" s="175" t="n">
        <v>0</v>
      </c>
    </row>
    <row r="57">
      <c r="A57" s="323" t="n">
        <v>46141</v>
      </c>
      <c r="B57" s="184" t="n">
        <v>18</v>
      </c>
      <c r="C57" s="185" t="n">
        <v>0</v>
      </c>
      <c r="D57" s="185" t="n">
        <v>69.3</v>
      </c>
      <c r="E57" s="175" t="n">
        <v>0.2731572723689398</v>
      </c>
      <c r="F57" s="185" t="n">
        <v>0</v>
      </c>
      <c r="G57" s="185" t="n">
        <v>59.47</v>
      </c>
      <c r="H57" s="175" t="n">
        <v>0.2344107213243989</v>
      </c>
      <c r="I57" s="185" t="n">
        <v>0</v>
      </c>
      <c r="J57" s="185" t="n">
        <v>0</v>
      </c>
      <c r="K57" s="175" t="n">
        <v>0</v>
      </c>
    </row>
    <row r="58">
      <c r="A58" s="323" t="n">
        <v>46142</v>
      </c>
      <c r="B58" s="184" t="n">
        <v>18</v>
      </c>
      <c r="C58" s="185" t="n">
        <v>1.2</v>
      </c>
      <c r="D58" s="185" t="n">
        <v>70.5</v>
      </c>
      <c r="E58" s="175" t="n">
        <v>0.2778872684272764</v>
      </c>
      <c r="F58" s="185" t="n">
        <v>0</v>
      </c>
      <c r="G58" s="185" t="n">
        <v>59.47</v>
      </c>
      <c r="H58" s="175" t="n">
        <v>0.2344107213243989</v>
      </c>
      <c r="I58" s="185" t="n">
        <v>0</v>
      </c>
      <c r="J58" s="185" t="n">
        <v>0</v>
      </c>
      <c r="K58" s="175" t="n">
        <v>0</v>
      </c>
    </row>
    <row r="59">
      <c r="A59" s="323" t="n">
        <v>46143</v>
      </c>
      <c r="B59" s="184" t="n">
        <v>18</v>
      </c>
      <c r="C59" s="185" t="n">
        <v>1</v>
      </c>
      <c r="D59" s="185" t="n">
        <v>71.5</v>
      </c>
      <c r="E59" s="175" t="n">
        <v>0.2818289318092236</v>
      </c>
      <c r="F59" s="185" t="n">
        <v>0</v>
      </c>
      <c r="G59" s="185" t="n">
        <v>59.47</v>
      </c>
      <c r="H59" s="175" t="n">
        <v>0.2344107213243989</v>
      </c>
      <c r="I59" s="185" t="n">
        <v>0</v>
      </c>
      <c r="J59" s="185" t="n">
        <v>0</v>
      </c>
      <c r="K59" s="175" t="n">
        <v>0</v>
      </c>
    </row>
    <row r="60">
      <c r="A60" s="323" t="n">
        <v>46144</v>
      </c>
      <c r="B60" s="184" t="n">
        <v>18</v>
      </c>
      <c r="C60" s="185" t="n">
        <v>0</v>
      </c>
      <c r="D60" s="185" t="n">
        <v>71.5</v>
      </c>
      <c r="E60" s="175" t="n">
        <v>0.2818289318092236</v>
      </c>
      <c r="F60" s="185" t="n">
        <v>0</v>
      </c>
      <c r="G60" s="185" t="n">
        <v>59.47</v>
      </c>
      <c r="H60" s="175" t="n">
        <v>0.2344107213243989</v>
      </c>
      <c r="I60" s="185" t="n">
        <v>0</v>
      </c>
      <c r="J60" s="185" t="n">
        <v>0</v>
      </c>
      <c r="K60" s="175" t="n">
        <v>0</v>
      </c>
    </row>
    <row r="61">
      <c r="A61" s="323" t="n">
        <v>46145</v>
      </c>
      <c r="B61" s="184" t="n">
        <v>19</v>
      </c>
      <c r="C61" s="185" t="n">
        <v>0</v>
      </c>
      <c r="D61" s="185" t="n">
        <v>71.5</v>
      </c>
      <c r="E61" s="175" t="n">
        <v>0.2818289318092236</v>
      </c>
      <c r="F61" s="185" t="n">
        <v>0</v>
      </c>
      <c r="G61" s="185" t="n">
        <v>59.47</v>
      </c>
      <c r="H61" s="175" t="n">
        <v>0.2344107213243989</v>
      </c>
      <c r="I61" s="185" t="n">
        <v>0</v>
      </c>
      <c r="J61" s="185" t="n">
        <v>0</v>
      </c>
      <c r="K61" s="175" t="n">
        <v>0</v>
      </c>
    </row>
    <row r="62">
      <c r="A62" s="323" t="n">
        <v>46146</v>
      </c>
      <c r="B62" s="184" t="n">
        <v>19</v>
      </c>
      <c r="C62" s="185" t="n">
        <v>3</v>
      </c>
      <c r="D62" s="185" t="n">
        <v>74.5</v>
      </c>
      <c r="E62" s="175" t="n">
        <v>0.2936539219550651</v>
      </c>
      <c r="F62" s="185" t="n">
        <v>0</v>
      </c>
      <c r="G62" s="185" t="n">
        <v>59.47</v>
      </c>
      <c r="H62" s="175" t="n">
        <v>0.2344107213243989</v>
      </c>
      <c r="I62" s="185" t="n">
        <v>0</v>
      </c>
      <c r="J62" s="185" t="n">
        <v>0</v>
      </c>
      <c r="K62" s="175" t="n">
        <v>0</v>
      </c>
    </row>
    <row r="63">
      <c r="A63" s="323" t="n">
        <v>46147</v>
      </c>
      <c r="B63" s="184" t="n">
        <v>19</v>
      </c>
      <c r="C63" s="185" t="n">
        <v>0</v>
      </c>
      <c r="D63" s="185" t="n">
        <v>74.5</v>
      </c>
      <c r="E63" s="175" t="n">
        <v>0.2936539219550651</v>
      </c>
      <c r="F63" s="185" t="n">
        <v>0</v>
      </c>
      <c r="G63" s="185" t="n">
        <v>59.47</v>
      </c>
      <c r="H63" s="175" t="n">
        <v>0.2344107213243989</v>
      </c>
      <c r="I63" s="185" t="n">
        <v>0</v>
      </c>
      <c r="J63" s="185" t="n">
        <v>0</v>
      </c>
      <c r="K63" s="175" t="n">
        <v>0</v>
      </c>
    </row>
    <row r="64">
      <c r="A64" s="323" t="n">
        <v>46148</v>
      </c>
      <c r="B64" s="184" t="n">
        <v>19</v>
      </c>
      <c r="C64" s="185" t="n">
        <v>3</v>
      </c>
      <c r="D64" s="185" t="n">
        <v>77.5</v>
      </c>
      <c r="E64" s="175" t="n">
        <v>0.3054789121009067</v>
      </c>
      <c r="F64" s="185" t="n">
        <v>0</v>
      </c>
      <c r="G64" s="185" t="n">
        <v>59.47</v>
      </c>
      <c r="H64" s="175" t="n">
        <v>0.2344107213243989</v>
      </c>
      <c r="I64" s="185" t="n">
        <v>0</v>
      </c>
      <c r="J64" s="185" t="n">
        <v>0</v>
      </c>
      <c r="K64" s="175" t="n">
        <v>0</v>
      </c>
    </row>
    <row r="65">
      <c r="A65" s="323" t="n">
        <v>46149</v>
      </c>
      <c r="B65" s="184" t="n">
        <v>19</v>
      </c>
      <c r="C65" s="185" t="n">
        <v>5</v>
      </c>
      <c r="D65" s="185" t="n">
        <v>82.5</v>
      </c>
      <c r="E65" s="175" t="n">
        <v>0.3251872290106426</v>
      </c>
      <c r="F65" s="185" t="n">
        <v>0</v>
      </c>
      <c r="G65" s="185" t="n">
        <v>59.47</v>
      </c>
      <c r="H65" s="175" t="n">
        <v>0.2344107213243989</v>
      </c>
      <c r="I65" s="185" t="n">
        <v>0</v>
      </c>
      <c r="J65" s="185" t="n">
        <v>0</v>
      </c>
      <c r="K65" s="175" t="n">
        <v>0</v>
      </c>
    </row>
    <row r="66">
      <c r="A66" s="323" t="n">
        <v>46150</v>
      </c>
      <c r="B66" s="184" t="n">
        <v>19</v>
      </c>
      <c r="C66" s="185" t="n">
        <v>4</v>
      </c>
      <c r="D66" s="185" t="n">
        <v>86.5</v>
      </c>
      <c r="E66" s="175" t="n">
        <v>0.3409538825384313</v>
      </c>
      <c r="F66" s="185" t="n">
        <v>0</v>
      </c>
      <c r="G66" s="185" t="n">
        <v>59.47</v>
      </c>
      <c r="H66" s="175" t="n">
        <v>0.2344107213243989</v>
      </c>
      <c r="I66" s="185" t="n">
        <v>0</v>
      </c>
      <c r="J66" s="185" t="n">
        <v>0</v>
      </c>
      <c r="K66" s="175" t="n">
        <v>0</v>
      </c>
    </row>
    <row r="67">
      <c r="A67" s="323" t="n">
        <v>46151</v>
      </c>
      <c r="B67" s="184" t="n">
        <v>19</v>
      </c>
      <c r="C67" s="185" t="n">
        <v>0</v>
      </c>
      <c r="D67" s="185" t="n">
        <v>86.5</v>
      </c>
      <c r="E67" s="175" t="n">
        <v>0.3409538825384313</v>
      </c>
      <c r="F67" s="185" t="n">
        <v>0</v>
      </c>
      <c r="G67" s="185" t="n">
        <v>59.47</v>
      </c>
      <c r="H67" s="175" t="n">
        <v>0.2344107213243989</v>
      </c>
      <c r="I67" s="185" t="n">
        <v>0</v>
      </c>
      <c r="J67" s="185" t="n">
        <v>0</v>
      </c>
      <c r="K67" s="175" t="n">
        <v>0</v>
      </c>
    </row>
    <row r="68">
      <c r="A68" s="323" t="n">
        <v>46152</v>
      </c>
      <c r="B68" s="184" t="n">
        <v>20</v>
      </c>
      <c r="C68" s="185" t="n">
        <v>0</v>
      </c>
      <c r="D68" s="185" t="n">
        <v>86.5</v>
      </c>
      <c r="E68" s="175" t="n">
        <v>0.3409538825384313</v>
      </c>
      <c r="F68" s="185" t="n">
        <v>0</v>
      </c>
      <c r="G68" s="185" t="n">
        <v>59.47</v>
      </c>
      <c r="H68" s="175" t="n">
        <v>0.2344107213243989</v>
      </c>
      <c r="I68" s="185" t="n">
        <v>0</v>
      </c>
      <c r="J68" s="185" t="n">
        <v>0</v>
      </c>
      <c r="K68" s="175" t="n">
        <v>0</v>
      </c>
    </row>
    <row r="69">
      <c r="A69" s="323" t="n">
        <v>46153</v>
      </c>
      <c r="B69" s="184" t="n">
        <v>20</v>
      </c>
      <c r="C69" s="185" t="n">
        <v>3</v>
      </c>
      <c r="D69" s="185" t="n">
        <v>89.5</v>
      </c>
      <c r="E69" s="175" t="n">
        <v>0.3527788726842728</v>
      </c>
      <c r="F69" s="185" t="n">
        <v>0</v>
      </c>
      <c r="G69" s="185" t="n">
        <v>59.47</v>
      </c>
      <c r="H69" s="175" t="n">
        <v>0.2344107213243989</v>
      </c>
      <c r="I69" s="185" t="n">
        <v>0</v>
      </c>
      <c r="J69" s="185" t="n">
        <v>0</v>
      </c>
      <c r="K69" s="175" t="n">
        <v>0</v>
      </c>
    </row>
    <row r="70">
      <c r="A70" s="323" t="n">
        <v>46154</v>
      </c>
      <c r="B70" s="184" t="n">
        <v>20</v>
      </c>
      <c r="C70" s="185" t="n">
        <v>3</v>
      </c>
      <c r="D70" s="185" t="n">
        <v>92.5</v>
      </c>
      <c r="E70" s="175" t="n">
        <v>0.3646038628301144</v>
      </c>
      <c r="F70" s="185" t="n">
        <v>0</v>
      </c>
      <c r="G70" s="185" t="n">
        <v>59.47</v>
      </c>
      <c r="H70" s="175" t="n">
        <v>0.2344107213243989</v>
      </c>
      <c r="I70" s="185" t="n">
        <v>0</v>
      </c>
      <c r="J70" s="185" t="n">
        <v>0</v>
      </c>
      <c r="K70" s="175" t="n">
        <v>0</v>
      </c>
    </row>
    <row r="71">
      <c r="A71" s="323" t="n">
        <v>46155</v>
      </c>
      <c r="B71" s="184" t="n">
        <v>20</v>
      </c>
      <c r="C71" s="185" t="n">
        <v>3</v>
      </c>
      <c r="D71" s="185" t="n">
        <v>95.5</v>
      </c>
      <c r="E71" s="175" t="n">
        <v>0.3764288529759559</v>
      </c>
      <c r="F71" s="185" t="n">
        <v>0</v>
      </c>
      <c r="G71" s="185" t="n">
        <v>59.47</v>
      </c>
      <c r="H71" s="175" t="n">
        <v>0.2344107213243989</v>
      </c>
      <c r="I71" s="185" t="n">
        <v>0</v>
      </c>
      <c r="J71" s="185" t="n">
        <v>0</v>
      </c>
      <c r="K71" s="175" t="n">
        <v>0</v>
      </c>
    </row>
    <row r="72">
      <c r="A72" s="323" t="n">
        <v>46156</v>
      </c>
      <c r="B72" s="184" t="n">
        <v>20</v>
      </c>
      <c r="C72" s="185" t="n">
        <v>3</v>
      </c>
      <c r="D72" s="185" t="n">
        <v>98.5</v>
      </c>
      <c r="E72" s="175" t="n">
        <v>0.3882538431217974</v>
      </c>
      <c r="F72" s="185" t="n">
        <v>0</v>
      </c>
      <c r="G72" s="185" t="n">
        <v>59.47</v>
      </c>
      <c r="H72" s="175" t="n">
        <v>0.2344107213243989</v>
      </c>
      <c r="I72" s="185" t="n">
        <v>0</v>
      </c>
      <c r="J72" s="185" t="n">
        <v>0</v>
      </c>
      <c r="K72" s="175" t="n">
        <v>0</v>
      </c>
    </row>
    <row r="73">
      <c r="A73" s="323" t="n">
        <v>46157</v>
      </c>
      <c r="B73" s="184" t="n">
        <v>20</v>
      </c>
      <c r="C73" s="185" t="n">
        <v>3</v>
      </c>
      <c r="D73" s="185" t="n">
        <v>101.5</v>
      </c>
      <c r="E73" s="175" t="n">
        <v>0.400078833267639</v>
      </c>
      <c r="F73" s="185" t="n">
        <v>0</v>
      </c>
      <c r="G73" s="185" t="n">
        <v>59.47</v>
      </c>
      <c r="H73" s="175" t="n">
        <v>0.2344107213243989</v>
      </c>
      <c r="I73" s="185" t="n">
        <v>0</v>
      </c>
      <c r="J73" s="185" t="n">
        <v>0</v>
      </c>
      <c r="K73" s="175" t="n">
        <v>0</v>
      </c>
    </row>
    <row r="74">
      <c r="A74" s="323" t="n">
        <v>46158</v>
      </c>
      <c r="B74" s="184" t="n">
        <v>20</v>
      </c>
      <c r="C74" s="185" t="n">
        <v>0</v>
      </c>
      <c r="D74" s="185" t="n">
        <v>101.5</v>
      </c>
      <c r="E74" s="175" t="n">
        <v>0.400078833267639</v>
      </c>
      <c r="F74" s="185" t="n">
        <v>0</v>
      </c>
      <c r="G74" s="185" t="n">
        <v>59.47</v>
      </c>
      <c r="H74" s="175" t="n">
        <v>0.2344107213243989</v>
      </c>
      <c r="I74" s="185" t="n">
        <v>0</v>
      </c>
      <c r="J74" s="185" t="n">
        <v>0</v>
      </c>
      <c r="K74" s="175" t="n">
        <v>0</v>
      </c>
    </row>
    <row r="75">
      <c r="A75" s="323" t="n">
        <v>46159</v>
      </c>
      <c r="B75" s="184" t="n">
        <v>21</v>
      </c>
      <c r="C75" s="185" t="n">
        <v>0</v>
      </c>
      <c r="D75" s="185" t="n">
        <v>101.5</v>
      </c>
      <c r="E75" s="175" t="n">
        <v>0.400078833267639</v>
      </c>
      <c r="F75" s="185" t="n">
        <v>0</v>
      </c>
      <c r="G75" s="185" t="n">
        <v>59.47</v>
      </c>
      <c r="H75" s="175" t="n">
        <v>0.2344107213243989</v>
      </c>
      <c r="I75" s="185" t="n">
        <v>0</v>
      </c>
      <c r="J75" s="185" t="n">
        <v>0</v>
      </c>
      <c r="K75" s="175" t="n">
        <v>0</v>
      </c>
    </row>
    <row r="76">
      <c r="A76" s="323" t="n">
        <v>46160</v>
      </c>
      <c r="B76" s="184" t="n">
        <v>21</v>
      </c>
      <c r="C76" s="185" t="n">
        <v>4</v>
      </c>
      <c r="D76" s="185" t="n">
        <v>105.5</v>
      </c>
      <c r="E76" s="175" t="n">
        <v>0.4158454867954278</v>
      </c>
      <c r="F76" s="185" t="n">
        <v>0</v>
      </c>
      <c r="G76" s="185" t="n">
        <v>59.47</v>
      </c>
      <c r="H76" s="175" t="n">
        <v>0.2344107213243989</v>
      </c>
      <c r="I76" s="185" t="n">
        <v>0</v>
      </c>
      <c r="J76" s="185" t="n">
        <v>0</v>
      </c>
      <c r="K76" s="175" t="n">
        <v>0</v>
      </c>
    </row>
    <row r="77">
      <c r="A77" s="323" t="n">
        <v>46161</v>
      </c>
      <c r="B77" s="184" t="n">
        <v>21</v>
      </c>
      <c r="C77" s="185" t="n">
        <v>3</v>
      </c>
      <c r="D77" s="185" t="n">
        <v>108.5</v>
      </c>
      <c r="E77" s="175" t="n">
        <v>0.4276704769412693</v>
      </c>
      <c r="F77" s="185" t="n">
        <v>0</v>
      </c>
      <c r="G77" s="185" t="n">
        <v>59.47</v>
      </c>
      <c r="H77" s="175" t="n">
        <v>0.2344107213243989</v>
      </c>
      <c r="I77" s="185" t="n">
        <v>0</v>
      </c>
      <c r="J77" s="185" t="n">
        <v>0</v>
      </c>
      <c r="K77" s="175" t="n">
        <v>0</v>
      </c>
    </row>
    <row r="78">
      <c r="A78" s="323" t="n">
        <v>46162</v>
      </c>
      <c r="B78" s="184" t="n">
        <v>21</v>
      </c>
      <c r="C78" s="185" t="n">
        <v>3</v>
      </c>
      <c r="D78" s="185" t="n">
        <v>111.5</v>
      </c>
      <c r="E78" s="175" t="n">
        <v>0.4394954670871108</v>
      </c>
      <c r="F78" s="185" t="n">
        <v>0</v>
      </c>
      <c r="G78" s="185" t="n">
        <v>59.47</v>
      </c>
      <c r="H78" s="175" t="n">
        <v>0.2344107213243989</v>
      </c>
      <c r="I78" s="185" t="n">
        <v>0</v>
      </c>
      <c r="J78" s="185" t="n">
        <v>0</v>
      </c>
      <c r="K78" s="175" t="n">
        <v>0</v>
      </c>
    </row>
    <row r="79">
      <c r="A79" s="323" t="n">
        <v>46163</v>
      </c>
      <c r="B79" s="184" t="n">
        <v>21</v>
      </c>
      <c r="C79" s="185" t="n">
        <v>4</v>
      </c>
      <c r="D79" s="185" t="n">
        <v>115.5</v>
      </c>
      <c r="E79" s="175" t="n">
        <v>0.4552621206148996</v>
      </c>
      <c r="F79" s="185" t="n">
        <v>0</v>
      </c>
      <c r="G79" s="185" t="n">
        <v>59.47</v>
      </c>
      <c r="H79" s="175" t="n">
        <v>0.2344107213243989</v>
      </c>
      <c r="I79" s="185" t="n">
        <v>0</v>
      </c>
      <c r="J79" s="185" t="n">
        <v>0</v>
      </c>
      <c r="K79" s="175" t="n">
        <v>0</v>
      </c>
    </row>
    <row r="80">
      <c r="A80" s="323" t="n">
        <v>46164</v>
      </c>
      <c r="B80" s="184" t="n">
        <v>21</v>
      </c>
      <c r="C80" s="185" t="n">
        <v>4</v>
      </c>
      <c r="D80" s="185" t="n">
        <v>119.5</v>
      </c>
      <c r="E80" s="175" t="n">
        <v>0.4710287741426883</v>
      </c>
      <c r="F80" s="185" t="n">
        <v>0</v>
      </c>
      <c r="G80" s="185" t="n">
        <v>59.47</v>
      </c>
      <c r="H80" s="175" t="n">
        <v>0.2344107213243989</v>
      </c>
      <c r="I80" s="185" t="n">
        <v>0</v>
      </c>
      <c r="J80" s="185" t="n">
        <v>0</v>
      </c>
      <c r="K80" s="175" t="n">
        <v>0</v>
      </c>
    </row>
    <row r="81">
      <c r="A81" s="323" t="n">
        <v>46165</v>
      </c>
      <c r="B81" s="184" t="n">
        <v>21</v>
      </c>
      <c r="C81" s="185" t="n">
        <v>0</v>
      </c>
      <c r="D81" s="185" t="n">
        <v>119.5</v>
      </c>
      <c r="E81" s="175" t="n">
        <v>0.4710287741426883</v>
      </c>
      <c r="F81" s="185" t="n">
        <v>0</v>
      </c>
      <c r="G81" s="185" t="n">
        <v>59.47</v>
      </c>
      <c r="H81" s="175" t="n">
        <v>0.2344107213243989</v>
      </c>
      <c r="I81" s="185" t="n">
        <v>0</v>
      </c>
      <c r="J81" s="185" t="n">
        <v>0</v>
      </c>
      <c r="K81" s="175" t="n">
        <v>0</v>
      </c>
    </row>
    <row r="82">
      <c r="A82" s="323" t="n">
        <v>46166</v>
      </c>
      <c r="B82" s="184" t="n">
        <v>22</v>
      </c>
      <c r="C82" s="185" t="n">
        <v>0</v>
      </c>
      <c r="D82" s="185" t="n">
        <v>119.5</v>
      </c>
      <c r="E82" s="175" t="n">
        <v>0.4710287741426883</v>
      </c>
      <c r="F82" s="185" t="n">
        <v>0</v>
      </c>
      <c r="G82" s="185" t="n">
        <v>59.47</v>
      </c>
      <c r="H82" s="175" t="n">
        <v>0.2344107213243989</v>
      </c>
      <c r="I82" s="185" t="n">
        <v>0</v>
      </c>
      <c r="J82" s="185" t="n">
        <v>0</v>
      </c>
      <c r="K82" s="175" t="n">
        <v>0</v>
      </c>
    </row>
    <row r="83">
      <c r="A83" s="323" t="n">
        <v>46167</v>
      </c>
      <c r="B83" s="184" t="n">
        <v>22</v>
      </c>
      <c r="C83" s="185" t="n">
        <v>0</v>
      </c>
      <c r="D83" s="185" t="n">
        <v>119.5</v>
      </c>
      <c r="E83" s="175" t="n">
        <v>0.4710287741426883</v>
      </c>
      <c r="F83" s="185" t="n">
        <v>0</v>
      </c>
      <c r="G83" s="185" t="n">
        <v>59.47</v>
      </c>
      <c r="H83" s="175" t="n">
        <v>0.2344107213243989</v>
      </c>
      <c r="I83" s="185" t="n">
        <v>0</v>
      </c>
      <c r="J83" s="185" t="n">
        <v>0</v>
      </c>
      <c r="K83" s="175" t="n">
        <v>0</v>
      </c>
    </row>
    <row r="84">
      <c r="A84" s="323" t="n">
        <v>46168</v>
      </c>
      <c r="B84" s="184" t="n">
        <v>22</v>
      </c>
      <c r="C84" s="185" t="n">
        <v>4</v>
      </c>
      <c r="D84" s="185" t="n">
        <v>123.5</v>
      </c>
      <c r="E84" s="175" t="n">
        <v>0.486795427670477</v>
      </c>
      <c r="F84" s="185" t="n">
        <v>0</v>
      </c>
      <c r="G84" s="185" t="n">
        <v>59.47</v>
      </c>
      <c r="H84" s="175" t="n">
        <v>0.2344107213243989</v>
      </c>
      <c r="I84" s="185" t="n">
        <v>0</v>
      </c>
      <c r="J84" s="185" t="n">
        <v>0</v>
      </c>
      <c r="K84" s="175" t="n">
        <v>0</v>
      </c>
    </row>
    <row r="85">
      <c r="A85" s="323" t="n">
        <v>46169</v>
      </c>
      <c r="B85" s="184" t="n">
        <v>22</v>
      </c>
      <c r="C85" s="185" t="n">
        <v>4</v>
      </c>
      <c r="D85" s="185" t="n">
        <v>127.5</v>
      </c>
      <c r="E85" s="175" t="n">
        <v>0.5025620811982657</v>
      </c>
      <c r="F85" s="185" t="n">
        <v>0</v>
      </c>
      <c r="G85" s="185" t="n">
        <v>59.47</v>
      </c>
      <c r="H85" s="175" t="n">
        <v>0.2344107213243989</v>
      </c>
      <c r="I85" s="185" t="n">
        <v>0</v>
      </c>
      <c r="J85" s="185" t="n">
        <v>0</v>
      </c>
      <c r="K85" s="175" t="n">
        <v>0</v>
      </c>
    </row>
    <row r="86">
      <c r="A86" s="323" t="n">
        <v>46170</v>
      </c>
      <c r="B86" s="184" t="n">
        <v>22</v>
      </c>
      <c r="C86" s="185" t="n">
        <v>4</v>
      </c>
      <c r="D86" s="185" t="n">
        <v>131.5</v>
      </c>
      <c r="E86" s="175" t="n">
        <v>0.5183287347260545</v>
      </c>
      <c r="F86" s="185" t="n">
        <v>0</v>
      </c>
      <c r="G86" s="185" t="n">
        <v>59.47</v>
      </c>
      <c r="H86" s="175" t="n">
        <v>0.2344107213243989</v>
      </c>
      <c r="I86" s="185" t="n">
        <v>0</v>
      </c>
      <c r="J86" s="185" t="n">
        <v>0</v>
      </c>
      <c r="K86" s="175" t="n">
        <v>0</v>
      </c>
    </row>
    <row r="87">
      <c r="A87" s="323" t="n">
        <v>46171</v>
      </c>
      <c r="B87" s="184" t="n">
        <v>22</v>
      </c>
      <c r="C87" s="185" t="n">
        <v>4</v>
      </c>
      <c r="D87" s="185" t="n">
        <v>135.5</v>
      </c>
      <c r="E87" s="175" t="n">
        <v>0.5340953882538432</v>
      </c>
      <c r="F87" s="185" t="n">
        <v>0</v>
      </c>
      <c r="G87" s="185" t="n">
        <v>59.47</v>
      </c>
      <c r="H87" s="175" t="n">
        <v>0.2344107213243989</v>
      </c>
      <c r="I87" s="185" t="n">
        <v>0</v>
      </c>
      <c r="J87" s="185" t="n">
        <v>0</v>
      </c>
      <c r="K87" s="175" t="n">
        <v>0</v>
      </c>
    </row>
    <row r="88">
      <c r="A88" s="323" t="n">
        <v>46172</v>
      </c>
      <c r="B88" s="184" t="n">
        <v>22</v>
      </c>
      <c r="C88" s="185" t="n">
        <v>0</v>
      </c>
      <c r="D88" s="185" t="n">
        <v>135.5</v>
      </c>
      <c r="E88" s="175" t="n">
        <v>0.5340953882538432</v>
      </c>
      <c r="F88" s="185" t="n">
        <v>0</v>
      </c>
      <c r="G88" s="185" t="n">
        <v>59.47</v>
      </c>
      <c r="H88" s="175" t="n">
        <v>0.2344107213243989</v>
      </c>
      <c r="I88" s="185" t="n">
        <v>0</v>
      </c>
      <c r="J88" s="185" t="n">
        <v>0</v>
      </c>
      <c r="K88" s="175" t="n">
        <v>0</v>
      </c>
    </row>
    <row r="89">
      <c r="A89" s="323" t="n">
        <v>46173</v>
      </c>
      <c r="B89" s="184" t="n">
        <v>23</v>
      </c>
      <c r="C89" s="185" t="n">
        <v>0</v>
      </c>
      <c r="D89" s="185" t="n">
        <v>135.5</v>
      </c>
      <c r="E89" s="175" t="n">
        <v>0.5340953882538432</v>
      </c>
      <c r="F89" s="185" t="n">
        <v>0</v>
      </c>
      <c r="G89" s="185" t="n">
        <v>59.47</v>
      </c>
      <c r="H89" s="175" t="n">
        <v>0.2344107213243989</v>
      </c>
      <c r="I89" s="185" t="n">
        <v>0</v>
      </c>
      <c r="J89" s="185" t="n">
        <v>0</v>
      </c>
      <c r="K89" s="175" t="n">
        <v>0</v>
      </c>
    </row>
    <row r="90">
      <c r="A90" s="323" t="n">
        <v>46174</v>
      </c>
      <c r="B90" s="184" t="n">
        <v>23</v>
      </c>
      <c r="C90" s="185" t="n">
        <v>4</v>
      </c>
      <c r="D90" s="185" t="n">
        <v>139.5</v>
      </c>
      <c r="E90" s="175" t="n">
        <v>0.5498620417816319</v>
      </c>
      <c r="F90" s="185" t="n">
        <v>0</v>
      </c>
      <c r="G90" s="185" t="n">
        <v>59.47</v>
      </c>
      <c r="H90" s="175" t="n">
        <v>0.2344107213243989</v>
      </c>
      <c r="I90" s="185" t="n">
        <v>0</v>
      </c>
      <c r="J90" s="185" t="n">
        <v>0</v>
      </c>
      <c r="K90" s="175" t="n">
        <v>0</v>
      </c>
    </row>
    <row r="91">
      <c r="A91" s="323" t="n">
        <v>46175</v>
      </c>
      <c r="B91" s="184" t="n">
        <v>23</v>
      </c>
      <c r="C91" s="185" t="n">
        <v>4</v>
      </c>
      <c r="D91" s="185" t="n">
        <v>143.5</v>
      </c>
      <c r="E91" s="175" t="n">
        <v>0.5656286953094206</v>
      </c>
      <c r="F91" s="185" t="n">
        <v>0</v>
      </c>
      <c r="G91" s="185" t="n">
        <v>59.47</v>
      </c>
      <c r="H91" s="175" t="n">
        <v>0.2344107213243989</v>
      </c>
      <c r="I91" s="185" t="n">
        <v>0</v>
      </c>
      <c r="J91" s="185" t="n">
        <v>0</v>
      </c>
      <c r="K91" s="175" t="n">
        <v>0</v>
      </c>
    </row>
    <row r="92">
      <c r="A92" s="323" t="n">
        <v>46176</v>
      </c>
      <c r="B92" s="184" t="n">
        <v>23</v>
      </c>
      <c r="C92" s="185" t="n">
        <v>0</v>
      </c>
      <c r="D92" s="185" t="n">
        <v>143.5</v>
      </c>
      <c r="E92" s="175" t="n">
        <v>0.5656286953094206</v>
      </c>
      <c r="F92" s="185" t="n">
        <v>0</v>
      </c>
      <c r="G92" s="185" t="n">
        <v>59.47</v>
      </c>
      <c r="H92" s="175" t="n">
        <v>0.2344107213243989</v>
      </c>
      <c r="I92" s="185" t="n">
        <v>0</v>
      </c>
      <c r="J92" s="185" t="n">
        <v>0</v>
      </c>
      <c r="K92" s="175" t="n">
        <v>0</v>
      </c>
    </row>
    <row r="93">
      <c r="A93" s="323" t="n">
        <v>46177</v>
      </c>
      <c r="B93" s="184" t="n">
        <v>23</v>
      </c>
      <c r="C93" s="185" t="n">
        <v>4.2</v>
      </c>
      <c r="D93" s="185" t="n">
        <v>147.7</v>
      </c>
      <c r="E93" s="175" t="n">
        <v>0.5821836815135987</v>
      </c>
      <c r="F93" s="185" t="n">
        <v>0</v>
      </c>
      <c r="G93" s="185" t="n">
        <v>59.47</v>
      </c>
      <c r="H93" s="175" t="n">
        <v>0.2344107213243989</v>
      </c>
      <c r="I93" s="185" t="n">
        <v>0</v>
      </c>
      <c r="J93" s="185" t="n">
        <v>0</v>
      </c>
      <c r="K93" s="175" t="n">
        <v>0</v>
      </c>
    </row>
    <row r="94">
      <c r="A94" s="323" t="n">
        <v>46178</v>
      </c>
      <c r="B94" s="184" t="n">
        <v>23</v>
      </c>
      <c r="C94" s="185" t="n">
        <v>4</v>
      </c>
      <c r="D94" s="185" t="n">
        <v>151.7</v>
      </c>
      <c r="E94" s="175" t="n">
        <v>0.5979503350413874</v>
      </c>
      <c r="F94" s="185" t="n">
        <v>0</v>
      </c>
      <c r="G94" s="185" t="n">
        <v>59.47</v>
      </c>
      <c r="H94" s="175" t="n">
        <v>0.2344107213243989</v>
      </c>
      <c r="I94" s="185" t="n">
        <v>0</v>
      </c>
      <c r="J94" s="185" t="n">
        <v>0</v>
      </c>
      <c r="K94" s="175" t="n">
        <v>0</v>
      </c>
    </row>
    <row r="95">
      <c r="A95" s="323" t="n">
        <v>46179</v>
      </c>
      <c r="B95" s="184" t="n">
        <v>23</v>
      </c>
      <c r="C95" s="185" t="n">
        <v>0</v>
      </c>
      <c r="D95" s="185" t="n">
        <v>151.7</v>
      </c>
      <c r="E95" s="175" t="n">
        <v>0.5979503350413874</v>
      </c>
      <c r="F95" s="185" t="n">
        <v>0</v>
      </c>
      <c r="G95" s="185" t="n">
        <v>59.47</v>
      </c>
      <c r="H95" s="175" t="n">
        <v>0.2344107213243989</v>
      </c>
      <c r="I95" s="185" t="n">
        <v>0</v>
      </c>
      <c r="J95" s="185" t="n">
        <v>0</v>
      </c>
      <c r="K95" s="175" t="n">
        <v>0</v>
      </c>
    </row>
    <row r="96">
      <c r="A96" s="323" t="n">
        <v>46180</v>
      </c>
      <c r="B96" s="184" t="n">
        <v>24</v>
      </c>
      <c r="C96" s="185" t="n">
        <v>0</v>
      </c>
      <c r="D96" s="185" t="n">
        <v>151.7</v>
      </c>
      <c r="E96" s="175" t="n">
        <v>0.5979503350413874</v>
      </c>
      <c r="F96" s="185" t="n">
        <v>0</v>
      </c>
      <c r="G96" s="185" t="n">
        <v>59.47</v>
      </c>
      <c r="H96" s="175" t="n">
        <v>0.2344107213243989</v>
      </c>
      <c r="I96" s="185" t="n">
        <v>0</v>
      </c>
      <c r="J96" s="185" t="n">
        <v>0</v>
      </c>
      <c r="K96" s="175" t="n">
        <v>0</v>
      </c>
    </row>
    <row r="97">
      <c r="A97" s="323" t="n">
        <v>46181</v>
      </c>
      <c r="B97" s="184" t="n">
        <v>24</v>
      </c>
      <c r="C97" s="185" t="n">
        <v>4</v>
      </c>
      <c r="D97" s="185" t="n">
        <v>155.7</v>
      </c>
      <c r="E97" s="175" t="n">
        <v>0.6137169885691762</v>
      </c>
      <c r="F97" s="185" t="n">
        <v>0</v>
      </c>
      <c r="G97" s="185" t="n">
        <v>59.47</v>
      </c>
      <c r="H97" s="175" t="n">
        <v>0.2344107213243989</v>
      </c>
      <c r="I97" s="185" t="n">
        <v>0</v>
      </c>
      <c r="J97" s="185" t="n">
        <v>0</v>
      </c>
      <c r="K97" s="175" t="n">
        <v>0</v>
      </c>
    </row>
    <row r="98">
      <c r="A98" s="323" t="n">
        <v>46182</v>
      </c>
      <c r="B98" s="184" t="n">
        <v>24</v>
      </c>
      <c r="C98" s="185" t="n">
        <v>4</v>
      </c>
      <c r="D98" s="185" t="n">
        <v>159.7</v>
      </c>
      <c r="E98" s="175" t="n">
        <v>0.6294836420969649</v>
      </c>
      <c r="F98" s="185" t="n">
        <v>0</v>
      </c>
      <c r="G98" s="185" t="n">
        <v>59.47</v>
      </c>
      <c r="H98" s="175" t="n">
        <v>0.2344107213243989</v>
      </c>
      <c r="I98" s="185" t="n">
        <v>0</v>
      </c>
      <c r="J98" s="185" t="n">
        <v>0</v>
      </c>
      <c r="K98" s="175" t="n">
        <v>0</v>
      </c>
    </row>
    <row r="99">
      <c r="A99" s="323" t="n">
        <v>46183</v>
      </c>
      <c r="B99" s="184" t="n">
        <v>24</v>
      </c>
      <c r="C99" s="185" t="n">
        <v>4</v>
      </c>
      <c r="D99" s="185" t="n">
        <v>163.7</v>
      </c>
      <c r="E99" s="175" t="n">
        <v>0.6452502956247537</v>
      </c>
      <c r="F99" s="185" t="n">
        <v>0</v>
      </c>
      <c r="G99" s="185" t="n">
        <v>59.47</v>
      </c>
      <c r="H99" s="175" t="n">
        <v>0.2344107213243989</v>
      </c>
      <c r="I99" s="185" t="n">
        <v>0</v>
      </c>
      <c r="J99" s="185" t="n">
        <v>0</v>
      </c>
      <c r="K99" s="175" t="n">
        <v>0</v>
      </c>
    </row>
    <row r="100">
      <c r="A100" s="323" t="n">
        <v>46184</v>
      </c>
      <c r="B100" s="184" t="n">
        <v>24</v>
      </c>
      <c r="C100" s="185" t="n">
        <v>4</v>
      </c>
      <c r="D100" s="185" t="n">
        <v>167.7</v>
      </c>
      <c r="E100" s="175" t="n">
        <v>0.6610169491525424</v>
      </c>
      <c r="F100" s="185" t="n">
        <v>0</v>
      </c>
      <c r="G100" s="185" t="n">
        <v>59.47</v>
      </c>
      <c r="H100" s="175" t="n">
        <v>0.2344107213243989</v>
      </c>
      <c r="I100" s="185" t="n">
        <v>0</v>
      </c>
      <c r="J100" s="185" t="n">
        <v>0</v>
      </c>
      <c r="K100" s="175" t="n">
        <v>0</v>
      </c>
    </row>
    <row r="101">
      <c r="A101" s="323" t="n">
        <v>46185</v>
      </c>
      <c r="B101" s="184" t="n">
        <v>24</v>
      </c>
      <c r="C101" s="185" t="n">
        <v>4</v>
      </c>
      <c r="D101" s="185" t="n">
        <v>171.7</v>
      </c>
      <c r="E101" s="175" t="n">
        <v>0.6767836026803311</v>
      </c>
      <c r="F101" s="185" t="n">
        <v>0</v>
      </c>
      <c r="G101" s="185" t="n">
        <v>59.47</v>
      </c>
      <c r="H101" s="175" t="n">
        <v>0.2344107213243989</v>
      </c>
      <c r="I101" s="185" t="n">
        <v>0</v>
      </c>
      <c r="J101" s="185" t="n">
        <v>0</v>
      </c>
      <c r="K101" s="175" t="n">
        <v>0</v>
      </c>
    </row>
    <row r="102">
      <c r="A102" s="323" t="n">
        <v>46186</v>
      </c>
      <c r="B102" s="184" t="n">
        <v>24</v>
      </c>
      <c r="C102" s="185" t="n">
        <v>0</v>
      </c>
      <c r="D102" s="185" t="n">
        <v>171.7</v>
      </c>
      <c r="E102" s="175" t="n">
        <v>0.6767836026803311</v>
      </c>
      <c r="F102" s="185" t="n">
        <v>0</v>
      </c>
      <c r="G102" s="185" t="n">
        <v>59.47</v>
      </c>
      <c r="H102" s="175" t="n">
        <v>0.2344107213243989</v>
      </c>
      <c r="I102" s="185" t="n">
        <v>0</v>
      </c>
      <c r="J102" s="185" t="n">
        <v>0</v>
      </c>
      <c r="K102" s="175" t="n">
        <v>0</v>
      </c>
    </row>
    <row r="103">
      <c r="A103" s="323" t="n">
        <v>46187</v>
      </c>
      <c r="B103" s="184" t="n">
        <v>25</v>
      </c>
      <c r="C103" s="185" t="n">
        <v>0</v>
      </c>
      <c r="D103" s="185" t="n">
        <v>171.7</v>
      </c>
      <c r="E103" s="175" t="n">
        <v>0.6767836026803311</v>
      </c>
      <c r="F103" s="185" t="n">
        <v>0</v>
      </c>
      <c r="G103" s="185" t="n">
        <v>59.47</v>
      </c>
      <c r="H103" s="175" t="n">
        <v>0.2344107213243989</v>
      </c>
      <c r="I103" s="185" t="n">
        <v>0</v>
      </c>
      <c r="J103" s="185" t="n">
        <v>0</v>
      </c>
      <c r="K103" s="175" t="n">
        <v>0</v>
      </c>
    </row>
    <row r="104">
      <c r="A104" s="323" t="n">
        <v>46188</v>
      </c>
      <c r="B104" s="184" t="n">
        <v>25</v>
      </c>
      <c r="C104" s="185" t="n">
        <v>4</v>
      </c>
      <c r="D104" s="185" t="n">
        <v>175.7</v>
      </c>
      <c r="E104" s="175" t="n">
        <v>0.6925502562081198</v>
      </c>
      <c r="F104" s="185" t="n">
        <v>0</v>
      </c>
      <c r="G104" s="185" t="n">
        <v>59.47</v>
      </c>
      <c r="H104" s="175" t="n">
        <v>0.2344107213243989</v>
      </c>
      <c r="I104" s="185" t="n">
        <v>0</v>
      </c>
      <c r="J104" s="185" t="n">
        <v>0</v>
      </c>
      <c r="K104" s="175" t="n">
        <v>0</v>
      </c>
    </row>
    <row r="105">
      <c r="A105" s="323" t="n">
        <v>46189</v>
      </c>
      <c r="B105" s="184" t="n">
        <v>25</v>
      </c>
      <c r="C105" s="185" t="n">
        <v>4</v>
      </c>
      <c r="D105" s="185" t="n">
        <v>179.7</v>
      </c>
      <c r="E105" s="175" t="n">
        <v>0.7083169097359086</v>
      </c>
      <c r="F105" s="185" t="n">
        <v>0</v>
      </c>
      <c r="G105" s="185" t="n">
        <v>59.47</v>
      </c>
      <c r="H105" s="175" t="n">
        <v>0.2344107213243989</v>
      </c>
      <c r="I105" s="185" t="n">
        <v>0</v>
      </c>
      <c r="J105" s="185" t="n">
        <v>0</v>
      </c>
      <c r="K105" s="175" t="n">
        <v>0</v>
      </c>
    </row>
    <row r="106">
      <c r="A106" s="323" t="n">
        <v>46190</v>
      </c>
      <c r="B106" s="184" t="n">
        <v>25</v>
      </c>
      <c r="C106" s="185" t="n">
        <v>4</v>
      </c>
      <c r="D106" s="185" t="n">
        <v>183.7</v>
      </c>
      <c r="E106" s="175" t="n">
        <v>0.7240835632636973</v>
      </c>
      <c r="F106" s="185" t="n">
        <v>0</v>
      </c>
      <c r="G106" s="185" t="n">
        <v>59.47</v>
      </c>
      <c r="H106" s="175" t="n">
        <v>0.2344107213243989</v>
      </c>
      <c r="I106" s="185" t="n">
        <v>0</v>
      </c>
      <c r="J106" s="185" t="n">
        <v>0</v>
      </c>
      <c r="K106" s="175" t="n">
        <v>0</v>
      </c>
    </row>
    <row r="107">
      <c r="A107" s="323" t="n">
        <v>46191</v>
      </c>
      <c r="B107" s="184" t="n">
        <v>25</v>
      </c>
      <c r="C107" s="185" t="n">
        <v>5</v>
      </c>
      <c r="D107" s="185" t="n">
        <v>188.7</v>
      </c>
      <c r="E107" s="175" t="n">
        <v>0.7437918801734332</v>
      </c>
      <c r="F107" s="185" t="n">
        <v>0</v>
      </c>
      <c r="G107" s="185" t="n">
        <v>59.47</v>
      </c>
      <c r="H107" s="175" t="n">
        <v>0.2344107213243989</v>
      </c>
      <c r="I107" s="185" t="n">
        <v>0</v>
      </c>
      <c r="J107" s="185" t="n">
        <v>0</v>
      </c>
      <c r="K107" s="175" t="n">
        <v>0</v>
      </c>
    </row>
    <row r="108">
      <c r="A108" s="323" t="n">
        <v>46192</v>
      </c>
      <c r="B108" s="184" t="n">
        <v>25</v>
      </c>
      <c r="C108" s="185" t="n">
        <v>5</v>
      </c>
      <c r="D108" s="185" t="n">
        <v>193.7</v>
      </c>
      <c r="E108" s="175" t="n">
        <v>0.7635001970831691</v>
      </c>
      <c r="F108" s="185" t="n">
        <v>0</v>
      </c>
      <c r="G108" s="185" t="n">
        <v>59.47</v>
      </c>
      <c r="H108" s="175" t="n">
        <v>0.2344107213243989</v>
      </c>
      <c r="I108" s="185" t="n">
        <v>0</v>
      </c>
      <c r="J108" s="185" t="n">
        <v>0</v>
      </c>
      <c r="K108" s="175" t="n">
        <v>0</v>
      </c>
    </row>
    <row r="109">
      <c r="A109" s="323" t="n">
        <v>46193</v>
      </c>
      <c r="B109" s="184" t="n">
        <v>25</v>
      </c>
      <c r="C109" s="185" t="n">
        <v>0</v>
      </c>
      <c r="D109" s="185" t="n">
        <v>193.7</v>
      </c>
      <c r="E109" s="175" t="n">
        <v>0.7635001970831691</v>
      </c>
      <c r="F109" s="185" t="n">
        <v>0</v>
      </c>
      <c r="G109" s="185" t="n">
        <v>59.47</v>
      </c>
      <c r="H109" s="175" t="n">
        <v>0.2344107213243989</v>
      </c>
      <c r="I109" s="185" t="n">
        <v>0</v>
      </c>
      <c r="J109" s="185" t="n">
        <v>0</v>
      </c>
      <c r="K109" s="175" t="n">
        <v>0</v>
      </c>
    </row>
    <row r="110">
      <c r="A110" s="323" t="n">
        <v>46194</v>
      </c>
      <c r="B110" s="184" t="n">
        <v>26</v>
      </c>
      <c r="C110" s="185" t="n">
        <v>0</v>
      </c>
      <c r="D110" s="185" t="n">
        <v>193.7</v>
      </c>
      <c r="E110" s="175" t="n">
        <v>0.7635001970831691</v>
      </c>
      <c r="F110" s="185" t="n">
        <v>0</v>
      </c>
      <c r="G110" s="185" t="n">
        <v>59.47</v>
      </c>
      <c r="H110" s="175" t="n">
        <v>0.2344107213243989</v>
      </c>
      <c r="I110" s="185" t="n">
        <v>0</v>
      </c>
      <c r="J110" s="185" t="n">
        <v>0</v>
      </c>
      <c r="K110" s="175" t="n">
        <v>0</v>
      </c>
    </row>
    <row r="111">
      <c r="A111" s="323" t="n">
        <v>46195</v>
      </c>
      <c r="B111" s="184" t="n">
        <v>26</v>
      </c>
      <c r="C111" s="185" t="n">
        <v>5</v>
      </c>
      <c r="D111" s="185" t="n">
        <v>198.7</v>
      </c>
      <c r="E111" s="175" t="n">
        <v>0.783208513992905</v>
      </c>
      <c r="F111" s="185" t="n">
        <v>0</v>
      </c>
      <c r="G111" s="185" t="n">
        <v>59.47</v>
      </c>
      <c r="H111" s="175" t="n">
        <v>0.2344107213243989</v>
      </c>
      <c r="I111" s="185" t="n">
        <v>0</v>
      </c>
      <c r="J111" s="185" t="n">
        <v>0</v>
      </c>
      <c r="K111" s="175" t="n">
        <v>0</v>
      </c>
    </row>
    <row r="112">
      <c r="A112" s="323" t="n">
        <v>46196</v>
      </c>
      <c r="B112" s="184" t="n">
        <v>26</v>
      </c>
      <c r="C112" s="185" t="n">
        <v>5</v>
      </c>
      <c r="D112" s="185" t="n">
        <v>203.7</v>
      </c>
      <c r="E112" s="175" t="n">
        <v>0.8029168309026409</v>
      </c>
      <c r="F112" s="185" t="n">
        <v>0</v>
      </c>
      <c r="G112" s="185" t="n">
        <v>59.47</v>
      </c>
      <c r="H112" s="175" t="n">
        <v>0.2344107213243989</v>
      </c>
      <c r="I112" s="185" t="n">
        <v>0</v>
      </c>
      <c r="J112" s="185" t="n">
        <v>0</v>
      </c>
      <c r="K112" s="175" t="n">
        <v>0</v>
      </c>
    </row>
    <row r="113">
      <c r="A113" s="323" t="n">
        <v>46197</v>
      </c>
      <c r="B113" s="184" t="n">
        <v>26</v>
      </c>
      <c r="C113" s="185" t="n">
        <v>5</v>
      </c>
      <c r="D113" s="185" t="n">
        <v>208.7</v>
      </c>
      <c r="E113" s="175" t="n">
        <v>0.8226251478123768</v>
      </c>
      <c r="F113" s="185" t="n">
        <v>0</v>
      </c>
      <c r="G113" s="185" t="n">
        <v>59.47</v>
      </c>
      <c r="H113" s="175" t="n">
        <v>0.2344107213243989</v>
      </c>
      <c r="I113" s="185" t="n">
        <v>0</v>
      </c>
      <c r="J113" s="185" t="n">
        <v>0</v>
      </c>
      <c r="K113" s="175" t="n">
        <v>0</v>
      </c>
    </row>
    <row r="114">
      <c r="A114" s="323" t="n">
        <v>46198</v>
      </c>
      <c r="B114" s="184" t="n">
        <v>26</v>
      </c>
      <c r="C114" s="185" t="n">
        <v>5</v>
      </c>
      <c r="D114" s="185" t="n">
        <v>213.7</v>
      </c>
      <c r="E114" s="175" t="n">
        <v>0.8423334647221127</v>
      </c>
      <c r="F114" s="185" t="n">
        <v>0</v>
      </c>
      <c r="G114" s="185" t="n">
        <v>59.47</v>
      </c>
      <c r="H114" s="175" t="n">
        <v>0.2344107213243989</v>
      </c>
      <c r="I114" s="185" t="n">
        <v>0</v>
      </c>
      <c r="J114" s="185" t="n">
        <v>0</v>
      </c>
      <c r="K114" s="175" t="n">
        <v>0</v>
      </c>
    </row>
    <row r="115">
      <c r="A115" s="323" t="n">
        <v>46199</v>
      </c>
      <c r="B115" s="184" t="n">
        <v>26</v>
      </c>
      <c r="C115" s="185" t="n">
        <v>4</v>
      </c>
      <c r="D115" s="185" t="n">
        <v>217.7</v>
      </c>
      <c r="E115" s="175" t="n">
        <v>0.8581001182499014</v>
      </c>
      <c r="F115" s="185" t="n">
        <v>0</v>
      </c>
      <c r="G115" s="185" t="n">
        <v>59.47</v>
      </c>
      <c r="H115" s="175" t="n">
        <v>0.2344107213243989</v>
      </c>
      <c r="I115" s="185" t="n">
        <v>0</v>
      </c>
      <c r="J115" s="185" t="n">
        <v>0</v>
      </c>
      <c r="K115" s="175" t="n">
        <v>0</v>
      </c>
    </row>
    <row r="116">
      <c r="A116" s="323" t="n">
        <v>46200</v>
      </c>
      <c r="B116" s="184" t="n">
        <v>26</v>
      </c>
      <c r="C116" s="185" t="n">
        <v>0</v>
      </c>
      <c r="D116" s="185" t="n">
        <v>217.7</v>
      </c>
      <c r="E116" s="175" t="n">
        <v>0.8581001182499014</v>
      </c>
      <c r="F116" s="185" t="n">
        <v>0</v>
      </c>
      <c r="G116" s="185" t="n">
        <v>59.47</v>
      </c>
      <c r="H116" s="175" t="n">
        <v>0.2344107213243989</v>
      </c>
      <c r="I116" s="185" t="n">
        <v>0</v>
      </c>
      <c r="J116" s="185" t="n">
        <v>0</v>
      </c>
      <c r="K116" s="175" t="n">
        <v>0</v>
      </c>
    </row>
    <row r="117">
      <c r="A117" s="323" t="n">
        <v>46201</v>
      </c>
      <c r="B117" s="184" t="n">
        <v>27</v>
      </c>
      <c r="C117" s="185" t="n">
        <v>0</v>
      </c>
      <c r="D117" s="185" t="n">
        <v>217.7</v>
      </c>
      <c r="E117" s="175" t="n">
        <v>0.8581001182499014</v>
      </c>
      <c r="F117" s="185" t="n">
        <v>0</v>
      </c>
      <c r="G117" s="185" t="n">
        <v>59.47</v>
      </c>
      <c r="H117" s="175" t="n">
        <v>0.2344107213243989</v>
      </c>
      <c r="I117" s="185" t="n">
        <v>0</v>
      </c>
      <c r="J117" s="185" t="n">
        <v>0</v>
      </c>
      <c r="K117" s="175" t="n">
        <v>0</v>
      </c>
    </row>
    <row r="118">
      <c r="A118" s="323" t="n">
        <v>46202</v>
      </c>
      <c r="B118" s="184" t="n">
        <v>27</v>
      </c>
      <c r="C118" s="185" t="n">
        <v>4</v>
      </c>
      <c r="D118" s="185" t="n">
        <v>221.7</v>
      </c>
      <c r="E118" s="175" t="n">
        <v>0.8738667717776902</v>
      </c>
      <c r="F118" s="185" t="n">
        <v>0</v>
      </c>
      <c r="G118" s="185" t="n">
        <v>59.47</v>
      </c>
      <c r="H118" s="175" t="n">
        <v>0.2344107213243989</v>
      </c>
      <c r="I118" s="185" t="n">
        <v>0</v>
      </c>
      <c r="J118" s="185" t="n">
        <v>0</v>
      </c>
      <c r="K118" s="175" t="n">
        <v>0</v>
      </c>
    </row>
    <row r="119">
      <c r="A119" s="323" t="n">
        <v>46203</v>
      </c>
      <c r="B119" s="184" t="n">
        <v>27</v>
      </c>
      <c r="C119" s="185" t="n">
        <v>1</v>
      </c>
      <c r="D119" s="185" t="n">
        <v>222.7</v>
      </c>
      <c r="E119" s="175" t="n">
        <v>0.8778084351596374</v>
      </c>
      <c r="F119" s="185" t="n">
        <v>0</v>
      </c>
      <c r="G119" s="185" t="n">
        <v>59.47</v>
      </c>
      <c r="H119" s="175" t="n">
        <v>0.2344107213243989</v>
      </c>
      <c r="I119" s="185" t="n">
        <v>0</v>
      </c>
      <c r="J119" s="185" t="n">
        <v>0</v>
      </c>
      <c r="K119" s="175" t="n">
        <v>0</v>
      </c>
    </row>
    <row r="120">
      <c r="A120" s="323" t="n">
        <v>46204</v>
      </c>
      <c r="B120" s="184" t="n">
        <v>27</v>
      </c>
      <c r="C120" s="185" t="n">
        <v>1</v>
      </c>
      <c r="D120" s="185" t="n">
        <v>223.7</v>
      </c>
      <c r="E120" s="175" t="n">
        <v>0.8817500985415846</v>
      </c>
      <c r="F120" s="185" t="n">
        <v>0</v>
      </c>
      <c r="G120" s="185" t="n">
        <v>59.47</v>
      </c>
      <c r="H120" s="175" t="n">
        <v>0.2344107213243989</v>
      </c>
      <c r="I120" s="185" t="n">
        <v>0</v>
      </c>
      <c r="J120" s="185" t="n">
        <v>0</v>
      </c>
      <c r="K120" s="175" t="n">
        <v>0</v>
      </c>
    </row>
    <row r="121">
      <c r="A121" s="323" t="n">
        <v>46205</v>
      </c>
      <c r="B121" s="184" t="n">
        <v>27</v>
      </c>
      <c r="C121" s="185" t="n">
        <v>1</v>
      </c>
      <c r="D121" s="185" t="n">
        <v>224.7</v>
      </c>
      <c r="E121" s="175" t="n">
        <v>0.8856917619235317</v>
      </c>
      <c r="F121" s="185" t="n">
        <v>0</v>
      </c>
      <c r="G121" s="185" t="n">
        <v>59.47</v>
      </c>
      <c r="H121" s="175" t="n">
        <v>0.2344107213243989</v>
      </c>
      <c r="I121" s="185" t="n">
        <v>0</v>
      </c>
      <c r="J121" s="185" t="n">
        <v>0</v>
      </c>
      <c r="K121" s="175" t="n">
        <v>0</v>
      </c>
    </row>
    <row r="122">
      <c r="A122" s="323" t="n">
        <v>46206</v>
      </c>
      <c r="B122" s="184" t="n">
        <v>27</v>
      </c>
      <c r="C122" s="185" t="n">
        <v>1</v>
      </c>
      <c r="D122" s="185" t="n">
        <v>225.7</v>
      </c>
      <c r="E122" s="175" t="n">
        <v>0.889633425305479</v>
      </c>
      <c r="F122" s="185" t="n">
        <v>0</v>
      </c>
      <c r="G122" s="185" t="n">
        <v>59.47</v>
      </c>
      <c r="H122" s="175" t="n">
        <v>0.2344107213243989</v>
      </c>
      <c r="I122" s="185" t="n">
        <v>0</v>
      </c>
      <c r="J122" s="185" t="n">
        <v>0</v>
      </c>
      <c r="K122" s="175" t="n">
        <v>0</v>
      </c>
    </row>
    <row r="123">
      <c r="A123" s="323" t="n">
        <v>46207</v>
      </c>
      <c r="B123" s="184" t="n">
        <v>27</v>
      </c>
      <c r="C123" s="185" t="n">
        <v>0</v>
      </c>
      <c r="D123" s="185" t="n">
        <v>225.7</v>
      </c>
      <c r="E123" s="175" t="n">
        <v>0.889633425305479</v>
      </c>
      <c r="F123" s="185" t="n">
        <v>0</v>
      </c>
      <c r="G123" s="185" t="n">
        <v>59.47</v>
      </c>
      <c r="H123" s="175" t="n">
        <v>0.2344107213243989</v>
      </c>
      <c r="I123" s="185" t="n">
        <v>0</v>
      </c>
      <c r="J123" s="185" t="n">
        <v>0</v>
      </c>
      <c r="K123" s="175" t="n">
        <v>0</v>
      </c>
    </row>
    <row r="124">
      <c r="A124" s="323" t="n">
        <v>46208</v>
      </c>
      <c r="B124" s="184" t="n">
        <v>28</v>
      </c>
      <c r="C124" s="185" t="n">
        <v>0</v>
      </c>
      <c r="D124" s="185" t="n">
        <v>225.7</v>
      </c>
      <c r="E124" s="175" t="n">
        <v>0.889633425305479</v>
      </c>
      <c r="F124" s="185" t="n">
        <v>0</v>
      </c>
      <c r="G124" s="185" t="n">
        <v>59.47</v>
      </c>
      <c r="H124" s="175" t="n">
        <v>0.2344107213243989</v>
      </c>
      <c r="I124" s="185" t="n">
        <v>0</v>
      </c>
      <c r="J124" s="185" t="n">
        <v>0</v>
      </c>
      <c r="K124" s="175" t="n">
        <v>0</v>
      </c>
    </row>
    <row r="125">
      <c r="A125" s="323" t="n">
        <v>46209</v>
      </c>
      <c r="B125" s="184" t="n">
        <v>28</v>
      </c>
      <c r="C125" s="185" t="n">
        <v>1</v>
      </c>
      <c r="D125" s="185" t="n">
        <v>226.7</v>
      </c>
      <c r="E125" s="175" t="n">
        <v>0.8935750886874261</v>
      </c>
      <c r="F125" s="185" t="n">
        <v>0</v>
      </c>
      <c r="G125" s="185" t="n">
        <v>59.47</v>
      </c>
      <c r="H125" s="175" t="n">
        <v>0.2344107213243989</v>
      </c>
      <c r="I125" s="185" t="n">
        <v>0</v>
      </c>
      <c r="J125" s="185" t="n">
        <v>0</v>
      </c>
      <c r="K125" s="175" t="n">
        <v>0</v>
      </c>
    </row>
    <row r="126">
      <c r="A126" s="323" t="n">
        <v>46210</v>
      </c>
      <c r="B126" s="184" t="n">
        <v>28</v>
      </c>
      <c r="C126" s="185" t="n">
        <v>0</v>
      </c>
      <c r="D126" s="185" t="n">
        <v>226.7</v>
      </c>
      <c r="E126" s="175" t="n">
        <v>0.8935750886874261</v>
      </c>
      <c r="F126" s="185" t="n">
        <v>0</v>
      </c>
      <c r="G126" s="185" t="n">
        <v>59.47</v>
      </c>
      <c r="H126" s="175" t="n">
        <v>0.2344107213243989</v>
      </c>
      <c r="I126" s="185" t="n">
        <v>0</v>
      </c>
      <c r="J126" s="185" t="n">
        <v>0</v>
      </c>
      <c r="K126" s="175" t="n">
        <v>0</v>
      </c>
    </row>
    <row r="127">
      <c r="A127" s="323" t="n">
        <v>46211</v>
      </c>
      <c r="B127" s="184" t="n">
        <v>28</v>
      </c>
      <c r="C127" s="185" t="n">
        <v>0</v>
      </c>
      <c r="D127" s="185" t="n">
        <v>226.7</v>
      </c>
      <c r="E127" s="175" t="n">
        <v>0.8935750886874261</v>
      </c>
      <c r="F127" s="185" t="n">
        <v>0</v>
      </c>
      <c r="G127" s="185" t="n">
        <v>59.47</v>
      </c>
      <c r="H127" s="175" t="n">
        <v>0.2344107213243989</v>
      </c>
      <c r="I127" s="185" t="n">
        <v>0</v>
      </c>
      <c r="J127" s="185" t="n">
        <v>0</v>
      </c>
      <c r="K127" s="175" t="n">
        <v>0</v>
      </c>
    </row>
    <row r="128">
      <c r="A128" s="323" t="n">
        <v>46212</v>
      </c>
      <c r="B128" s="184" t="n">
        <v>28</v>
      </c>
      <c r="C128" s="185" t="n">
        <v>3</v>
      </c>
      <c r="D128" s="185" t="n">
        <v>229.7</v>
      </c>
      <c r="E128" s="175" t="n">
        <v>0.9054000788332677</v>
      </c>
      <c r="F128" s="185" t="n">
        <v>0</v>
      </c>
      <c r="G128" s="185" t="n">
        <v>59.47</v>
      </c>
      <c r="H128" s="175" t="n">
        <v>0.2344107213243989</v>
      </c>
      <c r="I128" s="185" t="n">
        <v>0</v>
      </c>
      <c r="J128" s="185" t="n">
        <v>0</v>
      </c>
      <c r="K128" s="175" t="n">
        <v>0</v>
      </c>
    </row>
    <row r="129">
      <c r="A129" s="323" t="n">
        <v>46213</v>
      </c>
      <c r="B129" s="184" t="n">
        <v>28</v>
      </c>
      <c r="C129" s="185" t="n">
        <v>3</v>
      </c>
      <c r="D129" s="185" t="n">
        <v>232.7</v>
      </c>
      <c r="E129" s="175" t="n">
        <v>0.9172250689791092</v>
      </c>
      <c r="F129" s="185" t="n">
        <v>0</v>
      </c>
      <c r="G129" s="185" t="n">
        <v>59.47</v>
      </c>
      <c r="H129" s="175" t="n">
        <v>0.2344107213243989</v>
      </c>
      <c r="I129" s="185" t="n">
        <v>0</v>
      </c>
      <c r="J129" s="185" t="n">
        <v>0</v>
      </c>
      <c r="K129" s="175" t="n">
        <v>0</v>
      </c>
    </row>
    <row r="130">
      <c r="A130" s="323" t="n">
        <v>46214</v>
      </c>
      <c r="B130" s="184" t="n">
        <v>28</v>
      </c>
      <c r="C130" s="185" t="n">
        <v>0</v>
      </c>
      <c r="D130" s="185" t="n">
        <v>232.7</v>
      </c>
      <c r="E130" s="175" t="n">
        <v>0.9172250689791092</v>
      </c>
      <c r="F130" s="185" t="n">
        <v>0</v>
      </c>
      <c r="G130" s="185" t="n">
        <v>59.47</v>
      </c>
      <c r="H130" s="175" t="n">
        <v>0.2344107213243989</v>
      </c>
      <c r="I130" s="185" t="n">
        <v>0</v>
      </c>
      <c r="J130" s="185" t="n">
        <v>0</v>
      </c>
      <c r="K130" s="175" t="n">
        <v>0</v>
      </c>
    </row>
    <row r="131">
      <c r="A131" s="323" t="n">
        <v>46215</v>
      </c>
      <c r="B131" s="184" t="n">
        <v>29</v>
      </c>
      <c r="C131" s="185" t="n">
        <v>0</v>
      </c>
      <c r="D131" s="185" t="n">
        <v>232.7</v>
      </c>
      <c r="E131" s="175" t="n">
        <v>0.9172250689791092</v>
      </c>
      <c r="F131" s="185" t="n">
        <v>0</v>
      </c>
      <c r="G131" s="185" t="n">
        <v>59.47</v>
      </c>
      <c r="H131" s="175" t="n">
        <v>0.2344107213243989</v>
      </c>
      <c r="I131" s="185" t="n">
        <v>0</v>
      </c>
      <c r="J131" s="185" t="n">
        <v>0</v>
      </c>
      <c r="K131" s="175" t="n">
        <v>0</v>
      </c>
    </row>
    <row r="132">
      <c r="A132" s="323" t="n">
        <v>46216</v>
      </c>
      <c r="B132" s="184" t="n">
        <v>29</v>
      </c>
      <c r="C132" s="185" t="n">
        <v>3</v>
      </c>
      <c r="D132" s="185" t="n">
        <v>235.7</v>
      </c>
      <c r="E132" s="175" t="n">
        <v>0.9290500591249508</v>
      </c>
      <c r="F132" s="185" t="n">
        <v>0</v>
      </c>
      <c r="G132" s="185" t="n">
        <v>59.47</v>
      </c>
      <c r="H132" s="175" t="n">
        <v>0.2344107213243989</v>
      </c>
      <c r="I132" s="185" t="n">
        <v>0</v>
      </c>
      <c r="J132" s="185" t="n">
        <v>0</v>
      </c>
      <c r="K132" s="175" t="n">
        <v>0</v>
      </c>
    </row>
    <row r="133">
      <c r="A133" s="323" t="n">
        <v>46217</v>
      </c>
      <c r="B133" s="184" t="n">
        <v>29</v>
      </c>
      <c r="C133" s="185" t="n">
        <v>0</v>
      </c>
      <c r="D133" s="185" t="n">
        <v>235.7</v>
      </c>
      <c r="E133" s="175" t="n">
        <v>0.9290500591249508</v>
      </c>
      <c r="F133" s="185" t="n">
        <v>0</v>
      </c>
      <c r="G133" s="185" t="n">
        <v>59.47</v>
      </c>
      <c r="H133" s="175" t="n">
        <v>0.2344107213243989</v>
      </c>
      <c r="I133" s="185" t="n">
        <v>0</v>
      </c>
      <c r="J133" s="185" t="n">
        <v>0</v>
      </c>
      <c r="K133" s="175" t="n">
        <v>0</v>
      </c>
    </row>
    <row r="134">
      <c r="A134" s="323" t="n">
        <v>46218</v>
      </c>
      <c r="B134" s="184" t="n">
        <v>29</v>
      </c>
      <c r="C134" s="185" t="n">
        <v>0</v>
      </c>
      <c r="D134" s="185" t="n">
        <v>235.7</v>
      </c>
      <c r="E134" s="175" t="n">
        <v>0.9290500591249508</v>
      </c>
      <c r="F134" s="185" t="n">
        <v>0</v>
      </c>
      <c r="G134" s="185" t="n">
        <v>59.47</v>
      </c>
      <c r="H134" s="175" t="n">
        <v>0.2344107213243989</v>
      </c>
      <c r="I134" s="185" t="n">
        <v>0</v>
      </c>
      <c r="J134" s="185" t="n">
        <v>0</v>
      </c>
      <c r="K134" s="175" t="n">
        <v>0</v>
      </c>
    </row>
    <row r="135">
      <c r="A135" s="323" t="n">
        <v>46219</v>
      </c>
      <c r="B135" s="184" t="n">
        <v>29</v>
      </c>
      <c r="C135" s="185" t="n">
        <v>2</v>
      </c>
      <c r="D135" s="185" t="n">
        <v>237.7</v>
      </c>
      <c r="E135" s="175" t="n">
        <v>0.9369333858888451</v>
      </c>
      <c r="F135" s="185" t="n">
        <v>0</v>
      </c>
      <c r="G135" s="185" t="n">
        <v>59.47</v>
      </c>
      <c r="H135" s="175" t="n">
        <v>0.2344107213243989</v>
      </c>
      <c r="I135" s="185" t="n">
        <v>0</v>
      </c>
      <c r="J135" s="185" t="n">
        <v>0</v>
      </c>
      <c r="K135" s="175" t="n">
        <v>0</v>
      </c>
    </row>
    <row r="136">
      <c r="A136" s="323" t="n">
        <v>46220</v>
      </c>
      <c r="B136" s="184" t="n">
        <v>29</v>
      </c>
      <c r="C136" s="185" t="n">
        <v>0</v>
      </c>
      <c r="D136" s="185" t="n">
        <v>237.7</v>
      </c>
      <c r="E136" s="175" t="n">
        <v>0.9369333858888451</v>
      </c>
      <c r="F136" s="185" t="n">
        <v>0</v>
      </c>
      <c r="G136" s="185" t="n">
        <v>59.47</v>
      </c>
      <c r="H136" s="175" t="n">
        <v>0.2344107213243989</v>
      </c>
      <c r="I136" s="185" t="n">
        <v>0</v>
      </c>
      <c r="J136" s="185" t="n">
        <v>0</v>
      </c>
      <c r="K136" s="175" t="n">
        <v>0</v>
      </c>
    </row>
    <row r="137">
      <c r="A137" s="323" t="n">
        <v>46221</v>
      </c>
      <c r="B137" s="184" t="n">
        <v>29</v>
      </c>
      <c r="C137" s="185" t="n">
        <v>0</v>
      </c>
      <c r="D137" s="185" t="n">
        <v>237.7</v>
      </c>
      <c r="E137" s="175" t="n">
        <v>0.9369333858888451</v>
      </c>
      <c r="F137" s="185" t="n">
        <v>0</v>
      </c>
      <c r="G137" s="185" t="n">
        <v>59.47</v>
      </c>
      <c r="H137" s="175" t="n">
        <v>0.2344107213243989</v>
      </c>
      <c r="I137" s="185" t="n">
        <v>0</v>
      </c>
      <c r="J137" s="185" t="n">
        <v>0</v>
      </c>
      <c r="K137" s="175" t="n">
        <v>0</v>
      </c>
    </row>
    <row r="138">
      <c r="A138" s="323" t="n">
        <v>46222</v>
      </c>
      <c r="B138" s="184" t="n">
        <v>30</v>
      </c>
      <c r="C138" s="185" t="n">
        <v>0</v>
      </c>
      <c r="D138" s="185" t="n">
        <v>237.7</v>
      </c>
      <c r="E138" s="175" t="n">
        <v>0.9369333858888451</v>
      </c>
      <c r="F138" s="185" t="n">
        <v>0</v>
      </c>
      <c r="G138" s="185" t="n">
        <v>59.47</v>
      </c>
      <c r="H138" s="175" t="n">
        <v>0.2344107213243989</v>
      </c>
      <c r="I138" s="185" t="n">
        <v>0</v>
      </c>
      <c r="J138" s="185" t="n">
        <v>0</v>
      </c>
      <c r="K138" s="175" t="n">
        <v>0</v>
      </c>
    </row>
    <row r="139">
      <c r="A139" s="323" t="n">
        <v>46223</v>
      </c>
      <c r="B139" s="184" t="n">
        <v>30</v>
      </c>
      <c r="C139" s="185" t="n">
        <v>1</v>
      </c>
      <c r="D139" s="185" t="n">
        <v>238.7</v>
      </c>
      <c r="E139" s="175" t="n">
        <v>0.9408750492707922</v>
      </c>
      <c r="F139" s="185" t="n">
        <v>0</v>
      </c>
      <c r="G139" s="185" t="n">
        <v>59.47</v>
      </c>
      <c r="H139" s="175" t="n">
        <v>0.2344107213243989</v>
      </c>
      <c r="I139" s="185" t="n">
        <v>0</v>
      </c>
      <c r="J139" s="185" t="n">
        <v>0</v>
      </c>
      <c r="K139" s="175" t="n">
        <v>0</v>
      </c>
    </row>
    <row r="140">
      <c r="A140" s="323" t="n">
        <v>46224</v>
      </c>
      <c r="B140" s="184" t="n">
        <v>30</v>
      </c>
      <c r="C140" s="185" t="n">
        <v>1</v>
      </c>
      <c r="D140" s="185" t="n">
        <v>239.7</v>
      </c>
      <c r="E140" s="175" t="n">
        <v>0.9448167126527395</v>
      </c>
      <c r="F140" s="185" t="n">
        <v>0</v>
      </c>
      <c r="G140" s="185" t="n">
        <v>59.47</v>
      </c>
      <c r="H140" s="175" t="n">
        <v>0.2344107213243989</v>
      </c>
      <c r="I140" s="185" t="n">
        <v>0</v>
      </c>
      <c r="J140" s="185" t="n">
        <v>0</v>
      </c>
      <c r="K140" s="175" t="n">
        <v>0</v>
      </c>
    </row>
    <row r="141">
      <c r="A141" s="323" t="n">
        <v>46225</v>
      </c>
      <c r="B141" s="184" t="n">
        <v>30</v>
      </c>
      <c r="C141" s="185" t="n">
        <v>1</v>
      </c>
      <c r="D141" s="185" t="n">
        <v>240.7</v>
      </c>
      <c r="E141" s="175" t="n">
        <v>0.9487583760346866</v>
      </c>
      <c r="F141" s="185" t="n">
        <v>0</v>
      </c>
      <c r="G141" s="185" t="n">
        <v>59.47</v>
      </c>
      <c r="H141" s="175" t="n">
        <v>0.2344107213243989</v>
      </c>
      <c r="I141" s="185" t="n">
        <v>0</v>
      </c>
      <c r="J141" s="185" t="n">
        <v>0</v>
      </c>
      <c r="K141" s="175" t="n">
        <v>0</v>
      </c>
    </row>
    <row r="142">
      <c r="A142" s="323" t="n">
        <v>46226</v>
      </c>
      <c r="B142" s="184" t="n">
        <v>30</v>
      </c>
      <c r="C142" s="185" t="n">
        <v>2</v>
      </c>
      <c r="D142" s="185" t="n">
        <v>242.7</v>
      </c>
      <c r="E142" s="175" t="n">
        <v>0.956641702798581</v>
      </c>
      <c r="F142" s="185" t="n">
        <v>0</v>
      </c>
      <c r="G142" s="185" t="n">
        <v>59.47</v>
      </c>
      <c r="H142" s="175" t="n">
        <v>0.2344107213243989</v>
      </c>
      <c r="I142" s="185" t="n">
        <v>0</v>
      </c>
      <c r="J142" s="185" t="n">
        <v>0</v>
      </c>
      <c r="K142" s="175" t="n">
        <v>0</v>
      </c>
    </row>
    <row r="143">
      <c r="A143" s="323" t="n">
        <v>46227</v>
      </c>
      <c r="B143" s="184" t="n">
        <v>30</v>
      </c>
      <c r="C143" s="185" t="n">
        <v>2</v>
      </c>
      <c r="D143" s="185" t="n">
        <v>244.7</v>
      </c>
      <c r="E143" s="175" t="n">
        <v>0.9645250295624753</v>
      </c>
      <c r="F143" s="185" t="n">
        <v>0</v>
      </c>
      <c r="G143" s="185" t="n">
        <v>59.47</v>
      </c>
      <c r="H143" s="175" t="n">
        <v>0.2344107213243989</v>
      </c>
      <c r="I143" s="185" t="n">
        <v>0</v>
      </c>
      <c r="J143" s="185" t="n">
        <v>0</v>
      </c>
      <c r="K143" s="175" t="n">
        <v>0</v>
      </c>
    </row>
    <row r="144">
      <c r="A144" s="323" t="n">
        <v>46228</v>
      </c>
      <c r="B144" s="184" t="n">
        <v>30</v>
      </c>
      <c r="C144" s="185" t="n">
        <v>0</v>
      </c>
      <c r="D144" s="185" t="n">
        <v>244.7</v>
      </c>
      <c r="E144" s="175" t="n">
        <v>0.9645250295624753</v>
      </c>
      <c r="F144" s="185" t="n">
        <v>0</v>
      </c>
      <c r="G144" s="185" t="n">
        <v>59.47</v>
      </c>
      <c r="H144" s="175" t="n">
        <v>0.2344107213243989</v>
      </c>
      <c r="I144" s="185" t="n">
        <v>0</v>
      </c>
      <c r="J144" s="185" t="n">
        <v>0</v>
      </c>
      <c r="K144" s="175" t="n">
        <v>0</v>
      </c>
    </row>
    <row r="145">
      <c r="A145" s="323" t="n">
        <v>46229</v>
      </c>
      <c r="B145" s="184" t="n">
        <v>31</v>
      </c>
      <c r="C145" s="185" t="n">
        <v>0</v>
      </c>
      <c r="D145" s="185" t="n">
        <v>244.7</v>
      </c>
      <c r="E145" s="175" t="n">
        <v>0.9645250295624753</v>
      </c>
      <c r="F145" s="185" t="n">
        <v>0</v>
      </c>
      <c r="G145" s="185" t="n">
        <v>59.47</v>
      </c>
      <c r="H145" s="175" t="n">
        <v>0.2344107213243989</v>
      </c>
      <c r="I145" s="185" t="n">
        <v>0</v>
      </c>
      <c r="J145" s="185" t="n">
        <v>0</v>
      </c>
      <c r="K145" s="175" t="n">
        <v>0</v>
      </c>
    </row>
    <row r="146">
      <c r="A146" s="323" t="n">
        <v>46230</v>
      </c>
      <c r="B146" s="184" t="n">
        <v>31</v>
      </c>
      <c r="C146" s="185" t="n">
        <v>2</v>
      </c>
      <c r="D146" s="185" t="n">
        <v>246.7</v>
      </c>
      <c r="E146" s="175" t="n">
        <v>0.9724083563263697</v>
      </c>
      <c r="F146" s="185" t="n">
        <v>0</v>
      </c>
      <c r="G146" s="185" t="n">
        <v>59.47</v>
      </c>
      <c r="H146" s="175" t="n">
        <v>0.2344107213243989</v>
      </c>
      <c r="I146" s="185" t="n">
        <v>0</v>
      </c>
      <c r="J146" s="185" t="n">
        <v>0</v>
      </c>
      <c r="K146" s="175" t="n">
        <v>0</v>
      </c>
    </row>
    <row r="147">
      <c r="A147" s="323" t="n">
        <v>46231</v>
      </c>
      <c r="B147" s="184" t="n">
        <v>31</v>
      </c>
      <c r="C147" s="185" t="n">
        <v>1</v>
      </c>
      <c r="D147" s="185" t="n">
        <v>247.7</v>
      </c>
      <c r="E147" s="175" t="n">
        <v>0.9763500197083169</v>
      </c>
      <c r="F147" s="185" t="n">
        <v>0</v>
      </c>
      <c r="G147" s="185" t="n">
        <v>59.47</v>
      </c>
      <c r="H147" s="175" t="n">
        <v>0.2344107213243989</v>
      </c>
      <c r="I147" s="185" t="n">
        <v>0</v>
      </c>
      <c r="J147" s="185" t="n">
        <v>0</v>
      </c>
      <c r="K147" s="175" t="n">
        <v>0</v>
      </c>
    </row>
    <row r="148">
      <c r="A148" s="323" t="n">
        <v>46232</v>
      </c>
      <c r="B148" s="184" t="n">
        <v>31</v>
      </c>
      <c r="C148" s="185" t="n">
        <v>1</v>
      </c>
      <c r="D148" s="185" t="n">
        <v>248.7</v>
      </c>
      <c r="E148" s="175" t="n">
        <v>0.980291683090264</v>
      </c>
      <c r="F148" s="185" t="n">
        <v>0</v>
      </c>
      <c r="G148" s="185" t="n">
        <v>59.47</v>
      </c>
      <c r="H148" s="175" t="n">
        <v>0.2344107213243989</v>
      </c>
      <c r="I148" s="185" t="n">
        <v>0</v>
      </c>
      <c r="J148" s="185" t="n">
        <v>0</v>
      </c>
      <c r="K148" s="175" t="n">
        <v>0</v>
      </c>
    </row>
    <row r="149">
      <c r="A149" s="323" t="n">
        <v>46233</v>
      </c>
      <c r="B149" s="184" t="n">
        <v>31</v>
      </c>
      <c r="C149" s="185" t="n">
        <v>1</v>
      </c>
      <c r="D149" s="185" t="n">
        <v>249.7</v>
      </c>
      <c r="E149" s="175" t="n">
        <v>0.9842333464722113</v>
      </c>
      <c r="F149" s="185" t="n">
        <v>0</v>
      </c>
      <c r="G149" s="185" t="n">
        <v>59.47</v>
      </c>
      <c r="H149" s="175" t="n">
        <v>0.2344107213243989</v>
      </c>
      <c r="I149" s="185" t="n">
        <v>0</v>
      </c>
      <c r="J149" s="185" t="n">
        <v>0</v>
      </c>
      <c r="K149" s="175" t="n">
        <v>0</v>
      </c>
    </row>
    <row r="150">
      <c r="A150" s="323" t="n">
        <v>46234</v>
      </c>
      <c r="B150" s="184" t="n">
        <v>31</v>
      </c>
      <c r="C150" s="185" t="n">
        <v>1</v>
      </c>
      <c r="D150" s="185" t="n">
        <v>250.7</v>
      </c>
      <c r="E150" s="175" t="n">
        <v>0.9881750098541584</v>
      </c>
      <c r="F150" s="185" t="n">
        <v>0</v>
      </c>
      <c r="G150" s="185" t="n">
        <v>59.47</v>
      </c>
      <c r="H150" s="175" t="n">
        <v>0.2344107213243989</v>
      </c>
      <c r="I150" s="185" t="n">
        <v>0</v>
      </c>
      <c r="J150" s="185" t="n">
        <v>0</v>
      </c>
      <c r="K150" s="175" t="n">
        <v>0</v>
      </c>
    </row>
    <row r="151">
      <c r="A151" s="323" t="n">
        <v>46235</v>
      </c>
      <c r="B151" s="184" t="n">
        <v>31</v>
      </c>
      <c r="C151" s="185" t="n">
        <v>0</v>
      </c>
      <c r="D151" s="185" t="n">
        <v>250.7</v>
      </c>
      <c r="E151" s="175" t="n">
        <v>0.9881750098541584</v>
      </c>
      <c r="F151" s="185" t="n">
        <v>0</v>
      </c>
      <c r="G151" s="185" t="n">
        <v>59.47</v>
      </c>
      <c r="H151" s="175" t="n">
        <v>0.2344107213243989</v>
      </c>
      <c r="I151" s="185" t="n">
        <v>0</v>
      </c>
      <c r="J151" s="185" t="n">
        <v>0</v>
      </c>
      <c r="K151" s="175" t="n">
        <v>0</v>
      </c>
    </row>
    <row r="152">
      <c r="A152" s="323" t="n">
        <v>46236</v>
      </c>
      <c r="B152" s="184" t="n">
        <v>32</v>
      </c>
      <c r="C152" s="185" t="n">
        <v>0</v>
      </c>
      <c r="D152" s="185" t="n">
        <v>250.7</v>
      </c>
      <c r="E152" s="175" t="n">
        <v>0.9881750098541584</v>
      </c>
      <c r="F152" s="185" t="n">
        <v>0</v>
      </c>
      <c r="G152" s="185" t="n">
        <v>59.47</v>
      </c>
      <c r="H152" s="175" t="n">
        <v>0.2344107213243989</v>
      </c>
      <c r="I152" s="185" t="n">
        <v>0</v>
      </c>
      <c r="J152" s="185" t="n">
        <v>0</v>
      </c>
      <c r="K152" s="175" t="n">
        <v>0</v>
      </c>
    </row>
    <row r="153">
      <c r="A153" s="323" t="n">
        <v>46237</v>
      </c>
      <c r="B153" s="184" t="n">
        <v>32</v>
      </c>
      <c r="C153" s="185" t="n">
        <v>3</v>
      </c>
      <c r="D153" s="185" t="n">
        <v>253.7</v>
      </c>
      <c r="E153" s="175" t="n">
        <v>1</v>
      </c>
      <c r="F153" s="185" t="n">
        <v>0</v>
      </c>
      <c r="G153" s="185" t="n">
        <v>59.47</v>
      </c>
      <c r="H153" s="175" t="n">
        <v>0.2344107213243989</v>
      </c>
      <c r="I153" s="185" t="n">
        <v>0</v>
      </c>
      <c r="J153" s="185" t="n">
        <v>0</v>
      </c>
      <c r="K153" s="175" t="n">
        <v>0</v>
      </c>
    </row>
    <row r="154">
      <c r="A154" s="323" t="n">
        <v>46238</v>
      </c>
      <c r="B154" s="184" t="n">
        <v>32</v>
      </c>
      <c r="C154" s="185" t="n">
        <v>0</v>
      </c>
      <c r="D154" s="185" t="n">
        <v>253.7</v>
      </c>
      <c r="E154" s="175" t="n">
        <v>1</v>
      </c>
      <c r="F154" s="185" t="n">
        <v>0</v>
      </c>
      <c r="G154" s="185" t="n">
        <v>59.47</v>
      </c>
      <c r="H154" s="175" t="n">
        <v>0.2344107213243989</v>
      </c>
      <c r="I154" s="185" t="n">
        <v>0</v>
      </c>
      <c r="J154" s="185" t="n">
        <v>0</v>
      </c>
      <c r="K154" s="175" t="n">
        <v>0</v>
      </c>
    </row>
    <row r="155">
      <c r="A155" s="323" t="n">
        <v>46239</v>
      </c>
      <c r="B155" s="184" t="n">
        <v>32</v>
      </c>
      <c r="C155" s="185" t="n">
        <v>0</v>
      </c>
      <c r="D155" s="185" t="n">
        <v>253.7</v>
      </c>
      <c r="E155" s="175" t="n">
        <v>1</v>
      </c>
      <c r="F155" s="185" t="n">
        <v>0</v>
      </c>
      <c r="G155" s="185" t="n">
        <v>59.47</v>
      </c>
      <c r="H155" s="175" t="n">
        <v>0.2344107213243989</v>
      </c>
      <c r="I155" s="185" t="n">
        <v>0</v>
      </c>
      <c r="J155" s="185" t="n">
        <v>0</v>
      </c>
      <c r="K155" s="175" t="n">
        <v>0</v>
      </c>
    </row>
    <row r="156">
      <c r="A156" s="323" t="n">
        <v>46240</v>
      </c>
      <c r="B156" s="184" t="n">
        <v>32</v>
      </c>
      <c r="C156" s="185" t="n">
        <v>0</v>
      </c>
      <c r="D156" s="185" t="n">
        <v>253.7</v>
      </c>
      <c r="E156" s="175" t="n">
        <v>1</v>
      </c>
      <c r="F156" s="185" t="n">
        <v>0</v>
      </c>
      <c r="G156" s="185" t="n">
        <v>59.47</v>
      </c>
      <c r="H156" s="175" t="n">
        <v>0.2344107213243989</v>
      </c>
      <c r="I156" s="185" t="n">
        <v>0</v>
      </c>
      <c r="J156" s="185" t="n">
        <v>0</v>
      </c>
      <c r="K156" s="175"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0" sqref="A10"/>
    </sheetView>
  </sheetViews>
  <sheetFormatPr baseColWidth="8" defaultColWidth="10" defaultRowHeight="15"/>
  <cols>
    <col width="31.625" customWidth="1" style="57" min="1" max="1"/>
    <col width="14.5" customWidth="1" style="57" min="2" max="2"/>
    <col width="7.625" customWidth="1" style="57" min="3" max="3"/>
    <col width="21.5" customWidth="1" style="57" min="4" max="4"/>
    <col width="14.125" customWidth="1" style="57" min="5" max="5"/>
    <col width="11.625" bestFit="1" customWidth="1" style="57" min="6" max="6"/>
    <col width="24.25" customWidth="1" style="57" min="7" max="7"/>
    <col width="18.375" bestFit="1" customWidth="1" style="57" min="8" max="8"/>
    <col width="11.125" bestFit="1" customWidth="1" style="57" min="9" max="9"/>
    <col width="27.375" bestFit="1" customWidth="1" style="57" min="10" max="10"/>
    <col width="10" customWidth="1" style="57" min="11" max="26"/>
    <col hidden="1" width="13" customWidth="1" style="57" min="27" max="27"/>
    <col width="10" customWidth="1" style="57" min="28" max="28"/>
    <col width="10" customWidth="1" style="57" min="29" max="16384"/>
  </cols>
  <sheetData>
    <row r="1" ht="36.95" customHeight="1">
      <c r="A1" s="230" t="inlineStr">
        <is>
          <t xml:space="preserve"> 프로젝트 휴무일 Calendar 설정</t>
        </is>
      </c>
      <c r="B1" s="230" t="n"/>
      <c r="C1" s="230" t="n"/>
      <c r="D1" s="230" t="n"/>
      <c r="E1" s="230" t="n"/>
      <c r="F1" s="230" t="n"/>
      <c r="G1" s="230" t="n"/>
      <c r="H1" s="230" t="n"/>
    </row>
    <row r="2" ht="78.75" customFormat="1" customHeight="1" s="298">
      <c r="A2" s="297"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298">
      <c r="A3" s="295" t="inlineStr">
        <is>
          <t>표준캘린더</t>
        </is>
      </c>
      <c r="B3" s="296" t="n"/>
      <c r="D3" s="295" t="inlineStr">
        <is>
          <t>사용자정의 캘린더1</t>
        </is>
      </c>
      <c r="E3" s="296" t="n"/>
      <c r="G3" s="295" t="inlineStr">
        <is>
          <t>사용자정의 캘린더2</t>
        </is>
      </c>
      <c r="H3" s="296" t="n"/>
    </row>
    <row r="4" ht="19.5" customFormat="1" customHeight="1" s="60">
      <c r="A4" s="59" t="inlineStr">
        <is>
          <t>휴무일명</t>
        </is>
      </c>
      <c r="B4" s="59" t="inlineStr">
        <is>
          <t>휴무일자</t>
        </is>
      </c>
      <c r="D4" s="59" t="inlineStr">
        <is>
          <t>휴무일명</t>
        </is>
      </c>
      <c r="E4" s="59" t="inlineStr">
        <is>
          <t>휴무일자</t>
        </is>
      </c>
      <c r="G4" s="59" t="inlineStr">
        <is>
          <t>휴무일명</t>
        </is>
      </c>
      <c r="H4" s="59" t="inlineStr">
        <is>
          <t>휴무일자</t>
        </is>
      </c>
    </row>
    <row r="5" ht="16.5" customFormat="1" customHeight="1" s="68">
      <c r="A5" s="66" t="inlineStr">
        <is>
          <t>2025년 신정</t>
        </is>
      </c>
      <c r="B5" s="67" t="n">
        <v>45658</v>
      </c>
      <c r="C5" s="68">
        <f>IF(B5&gt;0,TEXT(B5,"(aaa)"),"")</f>
        <v/>
      </c>
      <c r="D5" s="66" t="n"/>
      <c r="E5" s="67" t="n"/>
      <c r="F5" s="68">
        <f>IF(E5&gt;0,TEXT(E5,"(aaa)"),"")</f>
        <v/>
      </c>
      <c r="G5" s="66" t="n"/>
      <c r="H5" s="67" t="n"/>
      <c r="I5" s="68">
        <f>IF(H5&gt;0,TEXT(H5,"(aaa)"),"")</f>
        <v/>
      </c>
    </row>
    <row r="6" ht="16.5" customFormat="1" customHeight="1" s="68">
      <c r="A6" s="66" t="inlineStr">
        <is>
          <t>2025년 임시공휴일</t>
        </is>
      </c>
      <c r="B6" s="67" t="n">
        <v>45684</v>
      </c>
      <c r="C6" s="68">
        <f>IF(B6&gt;0,TEXT(B6,"(aaa)"),"")</f>
        <v/>
      </c>
      <c r="D6" s="66" t="n"/>
      <c r="E6" s="67" t="n"/>
      <c r="F6" s="68">
        <f>IF(E6&gt;0,TEXT(E6,"(aaa)"),"")</f>
        <v/>
      </c>
      <c r="G6" s="66" t="n"/>
      <c r="H6" s="67" t="n"/>
      <c r="I6" s="68">
        <f>IF(H6&gt;0,TEXT(H6,"(aaa)"),"")</f>
        <v/>
      </c>
    </row>
    <row r="7" ht="16.5" customFormat="1" customHeight="1" s="68">
      <c r="A7" s="66" t="inlineStr">
        <is>
          <t>2025년 설 연휴</t>
        </is>
      </c>
      <c r="B7" s="67" t="n">
        <v>45685</v>
      </c>
      <c r="C7" s="68">
        <f>IF(B7&gt;0,TEXT(B7,"(aaa)"),"")</f>
        <v/>
      </c>
      <c r="D7" s="66" t="n"/>
      <c r="E7" s="67" t="n"/>
      <c r="F7" s="68">
        <f>IF(E7&gt;0,TEXT(E7,"(aaa)"),"")</f>
        <v/>
      </c>
      <c r="G7" s="66" t="n"/>
      <c r="H7" s="67" t="n"/>
      <c r="I7" s="68">
        <f>IF(H7&gt;0,TEXT(H7,"(aaa)"),"")</f>
        <v/>
      </c>
    </row>
    <row r="8" ht="16.5" customFormat="1" customHeight="1" s="68">
      <c r="A8" s="66" t="inlineStr">
        <is>
          <t>2025년 설날</t>
        </is>
      </c>
      <c r="B8" s="67" t="n">
        <v>45686</v>
      </c>
      <c r="C8" s="68">
        <f>IF(B8&gt;0,TEXT(B8,"(aaa)"),"")</f>
        <v/>
      </c>
      <c r="D8" s="66" t="n"/>
      <c r="E8" s="67" t="n"/>
      <c r="F8" s="68">
        <f>IF(E8&gt;0,TEXT(E8,"(aaa)"),"")</f>
        <v/>
      </c>
      <c r="G8" s="66" t="n"/>
      <c r="H8" s="67" t="n"/>
      <c r="I8" s="68">
        <f>IF(H8&gt;0,TEXT(H8,"(aaa)"),"")</f>
        <v/>
      </c>
    </row>
    <row r="9" ht="16.5" customFormat="1" customHeight="1" s="68">
      <c r="A9" s="66" t="inlineStr">
        <is>
          <t>2025년 설 연휴</t>
        </is>
      </c>
      <c r="B9" s="67" t="n">
        <v>45687</v>
      </c>
      <c r="C9" s="68">
        <f>IF(B9&gt;0,TEXT(B9,"(aaa)"),"")</f>
        <v/>
      </c>
      <c r="D9" s="66" t="n"/>
      <c r="E9" s="67" t="n"/>
      <c r="F9" s="68">
        <f>IF(E9&gt;0,TEXT(E9,"(aaa)"),"")</f>
        <v/>
      </c>
      <c r="G9" s="66" t="n"/>
      <c r="H9" s="67" t="n"/>
      <c r="I9" s="68">
        <f>IF(H9&gt;0,TEXT(H9,"(aaa)"),"")</f>
        <v/>
      </c>
    </row>
    <row r="10" ht="16.5" customFormat="1" customHeight="1" s="68">
      <c r="A10" s="66" t="inlineStr">
        <is>
          <t>2025년 대체공휴일(삼일절)</t>
        </is>
      </c>
      <c r="B10" s="67" t="n">
        <v>45719</v>
      </c>
      <c r="C10" s="68">
        <f>IF(B10&gt;0,TEXT(B10,"(aaa)"),"")</f>
        <v/>
      </c>
      <c r="D10" s="66" t="n"/>
      <c r="E10" s="67" t="n"/>
      <c r="F10" s="68">
        <f>IF(E10&gt;0,TEXT(E10,"(aaa)"),"")</f>
        <v/>
      </c>
      <c r="G10" s="66" t="n"/>
      <c r="H10" s="67" t="n"/>
      <c r="I10" s="68">
        <f>IF(H10&gt;0,TEXT(H10,"(aaa)"),"")</f>
        <v/>
      </c>
    </row>
    <row r="11" ht="16.5" customFormat="1" customHeight="1" s="68">
      <c r="A11" s="66" t="inlineStr">
        <is>
          <t>2025년 어린이날</t>
        </is>
      </c>
      <c r="B11" s="67" t="n">
        <v>45782</v>
      </c>
      <c r="C11" s="68">
        <f>IF(B11&gt;0,TEXT(B11,"(aaa)"),"")</f>
        <v/>
      </c>
      <c r="D11" s="66" t="n"/>
      <c r="E11" s="67" t="n"/>
      <c r="F11" s="68">
        <f>IF(E11&gt;0,TEXT(E11,"(aaa)"),"")</f>
        <v/>
      </c>
      <c r="G11" s="66" t="n"/>
      <c r="H11" s="67" t="n"/>
      <c r="I11" s="68">
        <f>IF(H11&gt;0,TEXT(H11,"(aaa)"),"")</f>
        <v/>
      </c>
    </row>
    <row r="12" ht="16.5" customFormat="1" customHeight="1" s="68">
      <c r="A12" s="66" t="inlineStr">
        <is>
          <t>2025년 대체공휴일</t>
        </is>
      </c>
      <c r="B12" s="67" t="n">
        <v>45783</v>
      </c>
      <c r="C12" s="68">
        <f>IF(B12&gt;0,TEXT(B12,"(aaa)"),"")</f>
        <v/>
      </c>
      <c r="D12" s="66" t="n"/>
      <c r="E12" s="67" t="n"/>
      <c r="F12" s="68">
        <f>IF(E12&gt;0,TEXT(E12,"(aaa)"),"")</f>
        <v/>
      </c>
      <c r="G12" s="66" t="n"/>
      <c r="H12" s="67" t="n"/>
      <c r="I12" s="68">
        <f>IF(H12&gt;0,TEXT(H12,"(aaa)"),"")</f>
        <v/>
      </c>
    </row>
    <row r="13" ht="16.5" customFormat="1" customHeight="1" s="68">
      <c r="A13" s="66" t="inlineStr">
        <is>
          <t>21대 대통령 선거일</t>
        </is>
      </c>
      <c r="B13" s="67" t="n">
        <v>45811</v>
      </c>
      <c r="C13" s="68">
        <f>IF(B13&gt;0,TEXT(B13,"(aaa)"),"")</f>
        <v/>
      </c>
      <c r="D13" s="66" t="n"/>
      <c r="E13" s="67" t="n"/>
      <c r="F13" s="68">
        <f>IF(E13&gt;0,TEXT(E13,"(aaa)"),"")</f>
        <v/>
      </c>
      <c r="G13" s="66" t="n"/>
      <c r="H13" s="67" t="n"/>
      <c r="I13" s="68">
        <f>IF(H13&gt;0,TEXT(H13,"(aaa)"),"")</f>
        <v/>
      </c>
    </row>
    <row r="14" ht="16.5" customFormat="1" customHeight="1" s="68">
      <c r="A14" s="66" t="inlineStr">
        <is>
          <t>2025년 현충일</t>
        </is>
      </c>
      <c r="B14" s="67" t="n">
        <v>45814</v>
      </c>
      <c r="C14" s="68">
        <f>IF(B14&gt;0,TEXT(B14,"(aaa)"),"")</f>
        <v/>
      </c>
      <c r="D14" s="66" t="n"/>
      <c r="E14" s="67" t="n"/>
      <c r="F14" s="68">
        <f>IF(E14&gt;0,TEXT(E14,"(aaa)"),"")</f>
        <v/>
      </c>
      <c r="G14" s="66" t="n"/>
      <c r="H14" s="67" t="n"/>
      <c r="I14" s="68">
        <f>IF(H14&gt;0,TEXT(H14,"(aaa)"),"")</f>
        <v/>
      </c>
    </row>
    <row r="15" ht="16.5" customFormat="1" customHeight="1" s="68">
      <c r="A15" s="66" t="inlineStr">
        <is>
          <t>2025년 광복절</t>
        </is>
      </c>
      <c r="B15" s="67" t="n">
        <v>45884</v>
      </c>
      <c r="C15" s="68">
        <f>IF(B15&gt;0,TEXT(B15,"(aaa)"),"")</f>
        <v/>
      </c>
      <c r="D15" s="66" t="n"/>
      <c r="E15" s="67" t="n"/>
      <c r="F15" s="68">
        <f>IF(E15&gt;0,TEXT(E15,"(aaa)"),"")</f>
        <v/>
      </c>
      <c r="G15" s="66" t="n"/>
      <c r="H15" s="67" t="n"/>
      <c r="I15" s="68">
        <f>IF(H15&gt;0,TEXT(H15,"(aaa)"),"")</f>
        <v/>
      </c>
    </row>
    <row r="16" ht="16.5" customFormat="1" customHeight="1" s="68">
      <c r="A16" s="66" t="inlineStr">
        <is>
          <t>2025년 개천절</t>
        </is>
      </c>
      <c r="B16" s="67" t="n">
        <v>45933</v>
      </c>
      <c r="C16" s="68">
        <f>IF(B16&gt;0,TEXT(B16,"(aaa)"),"")</f>
        <v/>
      </c>
      <c r="D16" s="66" t="n"/>
      <c r="E16" s="67" t="n"/>
      <c r="F16" s="68">
        <f>IF(E16&gt;0,TEXT(E16,"(aaa)"),"")</f>
        <v/>
      </c>
      <c r="G16" s="66" t="n"/>
      <c r="H16" s="67" t="n"/>
      <c r="I16" s="68">
        <f>IF(H16&gt;0,TEXT(H16,"(aaa)"),"")</f>
        <v/>
      </c>
    </row>
    <row r="17" ht="16.5" customFormat="1" customHeight="1" s="68">
      <c r="A17" s="66" t="inlineStr">
        <is>
          <t>2025년 추석</t>
        </is>
      </c>
      <c r="B17" s="67" t="n">
        <v>45936</v>
      </c>
      <c r="C17" s="68">
        <f>IF(B17&gt;0,TEXT(B17,"(aaa)"),"")</f>
        <v/>
      </c>
      <c r="D17" s="66" t="n"/>
      <c r="E17" s="67" t="n"/>
      <c r="F17" s="68">
        <f>IF(E17&gt;0,TEXT(E17,"(aaa)"),"")</f>
        <v/>
      </c>
      <c r="G17" s="66" t="n"/>
      <c r="H17" s="67" t="n"/>
      <c r="I17" s="68">
        <f>IF(H17&gt;0,TEXT(H17,"(aaa)"),"")</f>
        <v/>
      </c>
    </row>
    <row r="18" ht="16.5" customFormat="1" customHeight="1" s="68">
      <c r="A18" s="66" t="inlineStr">
        <is>
          <t>2025년 추석 연휴</t>
        </is>
      </c>
      <c r="B18" s="67" t="n">
        <v>45937</v>
      </c>
      <c r="C18" s="68">
        <f>IF(B18&gt;0,TEXT(B18,"(aaa)"),"")</f>
        <v/>
      </c>
      <c r="D18" s="66" t="n"/>
      <c r="E18" s="67" t="n"/>
      <c r="F18" s="68">
        <f>IF(E18&gt;0,TEXT(E18,"(aaa)"),"")</f>
        <v/>
      </c>
      <c r="G18" s="66" t="n"/>
      <c r="H18" s="67" t="n"/>
      <c r="I18" s="68">
        <f>IF(H18&gt;0,TEXT(H18,"(aaa)"),"")</f>
        <v/>
      </c>
    </row>
    <row r="19" ht="17.25" customFormat="1" customHeight="1" s="68">
      <c r="A19" s="66" t="inlineStr">
        <is>
          <t>2025년 대체공휴일(추석)</t>
        </is>
      </c>
      <c r="B19" s="67" t="n">
        <v>45938</v>
      </c>
      <c r="C19" s="68">
        <f>IF(B19&gt;0,TEXT(B19,"(aaa)"),"")</f>
        <v/>
      </c>
      <c r="D19" s="66" t="n"/>
      <c r="E19" s="67" t="n"/>
      <c r="F19" s="68">
        <f>IF(E19&gt;0,TEXT(E19,"(aaa)"),"")</f>
        <v/>
      </c>
      <c r="G19" s="66" t="n"/>
      <c r="H19" s="67" t="n"/>
      <c r="I19" s="68">
        <f>IF(H19&gt;0,TEXT(H19,"(aaa)"),"")</f>
        <v/>
      </c>
      <c r="J19" s="69" t="n"/>
    </row>
    <row r="20" ht="17.25" customFormat="1" customHeight="1" s="68">
      <c r="A20" s="66" t="inlineStr">
        <is>
          <t>2025년 한글날</t>
        </is>
      </c>
      <c r="B20" s="67" t="n">
        <v>45939</v>
      </c>
      <c r="C20" s="68">
        <f>IF(B20&gt;0,TEXT(B20,"(aaa)"),"")</f>
        <v/>
      </c>
      <c r="D20" s="66" t="n"/>
      <c r="E20" s="67" t="n"/>
      <c r="F20" s="68">
        <f>IF(E20&gt;0,TEXT(E20,"(aaa)"),"")</f>
        <v/>
      </c>
      <c r="G20" s="66" t="n"/>
      <c r="H20" s="67" t="n"/>
      <c r="I20" s="68">
        <f>IF(H20&gt;0,TEXT(H20,"(aaa)"),"")</f>
        <v/>
      </c>
      <c r="J20" s="69" t="n"/>
    </row>
    <row r="21" ht="16.5" customFormat="1" customHeight="1" s="68">
      <c r="A21" s="66" t="inlineStr">
        <is>
          <t>2025년 성탄절</t>
        </is>
      </c>
      <c r="B21" s="67" t="n">
        <v>46016</v>
      </c>
      <c r="C21" s="68">
        <f>IF(B21&gt;0,TEXT(B21,"(aaa)"),"")</f>
        <v/>
      </c>
      <c r="D21" s="66" t="n"/>
      <c r="E21" s="67" t="n"/>
      <c r="F21" s="68">
        <f>IF(E21&gt;0,TEXT(E21,"(aaa)"),"")</f>
        <v/>
      </c>
      <c r="G21" s="66" t="n"/>
      <c r="H21" s="67" t="n"/>
      <c r="I21" s="68">
        <f>IF(H21&gt;0,TEXT(H21,"(aaa)"),"")</f>
        <v/>
      </c>
    </row>
    <row r="22" ht="16.5" customFormat="1" customHeight="1" s="68">
      <c r="A22" s="66" t="inlineStr">
        <is>
          <t>2026년 신정</t>
        </is>
      </c>
      <c r="B22" s="67" t="n">
        <v>46023</v>
      </c>
      <c r="C22" s="68">
        <f>IF(B22&gt;0,TEXT(B22,"(aaa)"),"")</f>
        <v/>
      </c>
      <c r="D22" s="66" t="n"/>
      <c r="E22" s="67" t="n"/>
      <c r="F22" s="68">
        <f>IF(E22&gt;0,TEXT(E22,"(aaa)"),"")</f>
        <v/>
      </c>
      <c r="G22" s="66" t="n"/>
      <c r="H22" s="67" t="n"/>
      <c r="I22" s="68">
        <f>IF(H22&gt;0,TEXT(H22,"(aaa)"),"")</f>
        <v/>
      </c>
    </row>
    <row r="23" ht="16.5" customFormat="1" customHeight="1" s="68">
      <c r="A23" s="66" t="inlineStr">
        <is>
          <t>2026년 설 연휴</t>
        </is>
      </c>
      <c r="B23" s="67" t="n">
        <v>46069</v>
      </c>
      <c r="C23" s="68">
        <f>IF(B23&gt;0,TEXT(B23,"(aaa)"),"")</f>
        <v/>
      </c>
      <c r="D23" s="66" t="n"/>
      <c r="E23" s="67" t="n"/>
      <c r="F23" s="68">
        <f>IF(E23&gt;0,TEXT(E23,"(aaa)"),"")</f>
        <v/>
      </c>
      <c r="G23" s="66" t="n"/>
      <c r="H23" s="67" t="n"/>
      <c r="I23" s="68">
        <f>IF(H23&gt;0,TEXT(H23,"(aaa)"),"")</f>
        <v/>
      </c>
    </row>
    <row r="24" ht="16.5" customFormat="1" customHeight="1" s="68">
      <c r="A24" s="66" t="inlineStr">
        <is>
          <t>2026년 설날</t>
        </is>
      </c>
      <c r="B24" s="67" t="n">
        <v>46070</v>
      </c>
      <c r="C24" s="68">
        <f>IF(B24&gt;0,TEXT(B24,"(aaa)"),"")</f>
        <v/>
      </c>
      <c r="D24" s="66" t="n"/>
      <c r="E24" s="67" t="n"/>
      <c r="F24" s="68">
        <f>IF(E24&gt;0,TEXT(E24,"(aaa)"),"")</f>
        <v/>
      </c>
      <c r="G24" s="66" t="n"/>
      <c r="H24" s="67" t="n"/>
      <c r="I24" s="68">
        <f>IF(H24&gt;0,TEXT(H24,"(aaa)"),"")</f>
        <v/>
      </c>
    </row>
    <row r="25" ht="16.5" customFormat="1" customHeight="1" s="68">
      <c r="A25" s="66" t="inlineStr">
        <is>
          <t>2026년 설 연휴</t>
        </is>
      </c>
      <c r="B25" s="67" t="n">
        <v>46071</v>
      </c>
      <c r="C25" s="68">
        <f>IF(B25&gt;0,TEXT(B25,"(aaa)"),"")</f>
        <v/>
      </c>
      <c r="D25" s="66" t="n"/>
      <c r="E25" s="67" t="n"/>
      <c r="F25" s="68">
        <f>IF(E25&gt;0,TEXT(E25,"(aaa)"),"")</f>
        <v/>
      </c>
      <c r="G25" s="66" t="n"/>
      <c r="H25" s="67" t="n"/>
      <c r="I25" s="68">
        <f>IF(H25&gt;0,TEXT(H25,"(aaa)"),"")</f>
        <v/>
      </c>
    </row>
    <row r="26" ht="16.5" customFormat="1" customHeight="1" s="68">
      <c r="A26" s="66" t="inlineStr">
        <is>
          <t>2026년 대체공휴일(삼일절)</t>
        </is>
      </c>
      <c r="B26" s="67" t="n">
        <v>46083</v>
      </c>
      <c r="C26" s="68">
        <f>IF(B26&gt;0,TEXT(B26,"(aaa)"),"")</f>
        <v/>
      </c>
      <c r="D26" s="66" t="n"/>
      <c r="E26" s="67" t="n"/>
      <c r="F26" s="68">
        <f>IF(E26&gt;0,TEXT(E26,"(aaa)"),"")</f>
        <v/>
      </c>
      <c r="G26" s="66" t="n"/>
      <c r="H26" s="67" t="n"/>
      <c r="I26" s="68">
        <f>IF(H26&gt;0,TEXT(H26,"(aaa)"),"")</f>
        <v/>
      </c>
    </row>
    <row r="27" ht="16.5" customFormat="1" customHeight="1" s="68">
      <c r="A27" s="66" t="inlineStr">
        <is>
          <t>2026년 어린이날</t>
        </is>
      </c>
      <c r="B27" s="67" t="n">
        <v>46147</v>
      </c>
      <c r="C27" s="68">
        <f>IF(B27&gt;0,TEXT(B27,"(aaa)"),"")</f>
        <v/>
      </c>
      <c r="D27" s="66" t="n"/>
      <c r="E27" s="67" t="n"/>
      <c r="F27" s="68">
        <f>IF(E27&gt;0,TEXT(E27,"(aaa)"),"")</f>
        <v/>
      </c>
      <c r="G27" s="66" t="n"/>
      <c r="H27" s="67" t="n"/>
      <c r="I27" s="68">
        <f>IF(H27&gt;0,TEXT(H27,"(aaa)"),"")</f>
        <v/>
      </c>
    </row>
    <row r="28" ht="16.5" customFormat="1" customHeight="1" s="68">
      <c r="A28" s="66" t="inlineStr">
        <is>
          <t>2026년 대체공휴일(부처님오신날)</t>
        </is>
      </c>
      <c r="B28" s="67" t="n">
        <v>46167</v>
      </c>
      <c r="C28" s="68">
        <f>IF(B28&gt;0,TEXT(B28,"(aaa)"),"")</f>
        <v/>
      </c>
      <c r="D28" s="66" t="n"/>
      <c r="E28" s="67" t="n"/>
      <c r="F28" s="68">
        <f>IF(E28&gt;0,TEXT(E28,"(aaa)"),"")</f>
        <v/>
      </c>
      <c r="G28" s="66" t="n"/>
      <c r="H28" s="67" t="n"/>
      <c r="I28" s="68">
        <f>IF(H28&gt;0,TEXT(H28,"(aaa)"),"")</f>
        <v/>
      </c>
    </row>
    <row r="29" ht="16.5" customFormat="1" customHeight="1" s="68">
      <c r="A29" s="66" t="inlineStr">
        <is>
          <t>2026년 전국동시지방선거</t>
        </is>
      </c>
      <c r="B29" s="67" t="n">
        <v>46176</v>
      </c>
      <c r="C29" s="68">
        <f>IF(B29&gt;0,TEXT(B29,"(aaa)"),"")</f>
        <v/>
      </c>
      <c r="D29" s="66" t="n"/>
      <c r="E29" s="67" t="n"/>
      <c r="F29" s="68">
        <f>IF(E29&gt;0,TEXT(E29,"(aaa)"),"")</f>
        <v/>
      </c>
      <c r="G29" s="66" t="n"/>
      <c r="H29" s="67" t="n"/>
      <c r="I29" s="68">
        <f>IF(H29&gt;0,TEXT(H29,"(aaa)"),"")</f>
        <v/>
      </c>
    </row>
    <row r="30" ht="16.5" customFormat="1" customHeight="1" s="68">
      <c r="A30" s="66" t="inlineStr">
        <is>
          <t>2026년 제헌절</t>
        </is>
      </c>
      <c r="B30" s="67" t="n">
        <v>46220</v>
      </c>
      <c r="C30" s="68">
        <f>IF(B30&gt;0,TEXT(B30,"(aaa)"),"")</f>
        <v/>
      </c>
      <c r="D30" s="66" t="n"/>
      <c r="E30" s="67" t="n"/>
      <c r="F30" s="68">
        <f>IF(E30&gt;0,TEXT(E30,"(aaa)"),"")</f>
        <v/>
      </c>
      <c r="G30" s="66" t="n"/>
      <c r="H30" s="67" t="n"/>
      <c r="I30" s="68">
        <f>IF(H30&gt;0,TEXT(H30,"(aaa)"),"")</f>
        <v/>
      </c>
    </row>
    <row r="31" ht="16.5" customFormat="1" customHeight="1" s="68">
      <c r="A31" s="66" t="inlineStr">
        <is>
          <t>2026년 대체공휴일(광복절)</t>
        </is>
      </c>
      <c r="B31" s="67" t="n">
        <v>46251</v>
      </c>
      <c r="C31" s="68">
        <f>IF(B31&gt;0,TEXT(B31,"(aaa)"),"")</f>
        <v/>
      </c>
      <c r="D31" s="66" t="n"/>
      <c r="E31" s="67" t="n"/>
      <c r="F31" s="68">
        <f>IF(E31&gt;0,TEXT(E31,"(aaa)"),"")</f>
        <v/>
      </c>
      <c r="G31" s="66" t="n"/>
      <c r="H31" s="67" t="n"/>
      <c r="I31" s="68">
        <f>IF(H31&gt;0,TEXT(H31,"(aaa)"),"")</f>
        <v/>
      </c>
    </row>
    <row r="32" ht="16.5" customFormat="1" customHeight="1" s="68">
      <c r="A32" s="66" t="inlineStr">
        <is>
          <t>2026년 추석 연휴</t>
        </is>
      </c>
      <c r="B32" s="67" t="n">
        <v>46289</v>
      </c>
      <c r="C32" s="68">
        <f>IF(B32&gt;0,TEXT(B32,"(aaa)"),"")</f>
        <v/>
      </c>
      <c r="D32" s="66" t="n"/>
      <c r="E32" s="67" t="n"/>
      <c r="F32" s="68">
        <f>IF(E32&gt;0,TEXT(E32,"(aaa)"),"")</f>
        <v/>
      </c>
      <c r="G32" s="66" t="n"/>
      <c r="H32" s="67" t="n"/>
      <c r="I32" s="68">
        <f>IF(H32&gt;0,TEXT(H32,"(aaa)"),"")</f>
        <v/>
      </c>
    </row>
    <row r="33" ht="16.5" customFormat="1" customHeight="1" s="68">
      <c r="A33" s="66" t="inlineStr">
        <is>
          <t>2026년 추석</t>
        </is>
      </c>
      <c r="B33" s="67" t="n">
        <v>46290</v>
      </c>
      <c r="C33" s="68">
        <f>IF(B33&gt;0,TEXT(B33,"(aaa)"),"")</f>
        <v/>
      </c>
      <c r="D33" s="66" t="n"/>
      <c r="E33" s="67" t="n"/>
      <c r="F33" s="68">
        <f>IF(E33&gt;0,TEXT(E33,"(aaa)"),"")</f>
        <v/>
      </c>
      <c r="G33" s="66" t="n"/>
      <c r="H33" s="67" t="n"/>
      <c r="I33" s="68">
        <f>IF(H33&gt;0,TEXT(H33,"(aaa)"),"")</f>
        <v/>
      </c>
    </row>
    <row r="34" ht="16.5" customFormat="1" customHeight="1" s="68">
      <c r="A34" s="66" t="inlineStr">
        <is>
          <t>2026년 대체공휴일(개천절)</t>
        </is>
      </c>
      <c r="B34" s="67" t="n">
        <v>46300</v>
      </c>
      <c r="C34" s="68">
        <f>IF(B34&gt;0,TEXT(B34,"(aaa)"),"")</f>
        <v/>
      </c>
      <c r="D34" s="66" t="n"/>
      <c r="E34" s="67" t="n"/>
      <c r="F34" s="68">
        <f>IF(E34&gt;0,TEXT(E34,"(aaa)"),"")</f>
        <v/>
      </c>
      <c r="G34" s="66" t="n"/>
      <c r="H34" s="67" t="n"/>
      <c r="I34" s="68">
        <f>IF(H34&gt;0,TEXT(H34,"(aaa)"),"")</f>
        <v/>
      </c>
    </row>
    <row r="35" ht="16.5" customFormat="1" customHeight="1" s="68">
      <c r="A35" s="66" t="inlineStr">
        <is>
          <t>2026년 한글날</t>
        </is>
      </c>
      <c r="B35" s="67" t="n">
        <v>46304</v>
      </c>
      <c r="C35" s="68">
        <f>IF(B35&gt;0,TEXT(B35,"(aaa)"),"")</f>
        <v/>
      </c>
      <c r="D35" s="66" t="n"/>
      <c r="E35" s="67" t="n"/>
      <c r="F35" s="68">
        <f>IF(E35&gt;0,TEXT(E35,"(aaa)"),"")</f>
        <v/>
      </c>
      <c r="G35" s="66" t="n"/>
      <c r="H35" s="67" t="n"/>
      <c r="I35" s="68">
        <f>IF(H35&gt;0,TEXT(H35,"(aaa)"),"")</f>
        <v/>
      </c>
    </row>
    <row r="36" ht="16.5" customFormat="1" customHeight="1" s="68">
      <c r="A36" s="66" t="inlineStr">
        <is>
          <t>2026년 성탄절</t>
        </is>
      </c>
      <c r="B36" s="67" t="n">
        <v>46381</v>
      </c>
      <c r="C36" s="68">
        <f>IF(B36&gt;0,TEXT(B36,"(aaa)"),"")</f>
        <v/>
      </c>
      <c r="D36" s="66" t="n"/>
      <c r="E36" s="67" t="n"/>
      <c r="F36" s="68">
        <f>IF(E36&gt;0,TEXT(E36,"(aaa)"),"")</f>
        <v/>
      </c>
      <c r="G36" s="66" t="n"/>
      <c r="H36" s="67" t="n"/>
      <c r="I36" s="68">
        <f>IF(H36&gt;0,TEXT(H36,"(aaa)"),"")</f>
        <v/>
      </c>
    </row>
    <row r="37" ht="16.5" customFormat="1" customHeight="1" s="68">
      <c r="A37" s="66" t="inlineStr">
        <is>
          <t>2027년 신정</t>
        </is>
      </c>
      <c r="B37" s="67" t="n">
        <v>46388</v>
      </c>
      <c r="C37" s="68">
        <f>IF(B37&gt;0,TEXT(B37,"(aaa)"),"")</f>
        <v/>
      </c>
      <c r="D37" s="66" t="n"/>
      <c r="E37" s="67" t="n"/>
      <c r="F37" s="68">
        <f>IF(E37&gt;0,TEXT(E37,"(aaa)"),"")</f>
        <v/>
      </c>
      <c r="G37" s="66" t="n"/>
      <c r="H37" s="67" t="n"/>
      <c r="I37" s="68">
        <f>IF(H37&gt;0,TEXT(H37,"(aaa)"),"")</f>
        <v/>
      </c>
    </row>
    <row r="38" ht="16.5" customFormat="1" customHeight="1" s="68">
      <c r="A38" s="66" t="inlineStr">
        <is>
          <t>2027년 설 연휴</t>
        </is>
      </c>
      <c r="B38" s="67" t="n">
        <v>46426</v>
      </c>
      <c r="C38" s="68">
        <f>IF(B38&gt;0,TEXT(B38,"(aaa)"),"")</f>
        <v/>
      </c>
      <c r="D38" s="66" t="n"/>
      <c r="E38" s="67" t="n"/>
      <c r="F38" s="68">
        <f>IF(E38&gt;0,TEXT(E38,"(aaa)"),"")</f>
        <v/>
      </c>
      <c r="G38" s="66" t="n"/>
      <c r="H38" s="67" t="n"/>
      <c r="I38" s="68">
        <f>IF(H38&gt;0,TEXT(H38,"(aaa)"),"")</f>
        <v/>
      </c>
    </row>
    <row r="39" ht="16.5" customFormat="1" customHeight="1" s="68">
      <c r="A39" s="66" t="inlineStr">
        <is>
          <t>2027년 대체공휴일(설날)</t>
        </is>
      </c>
      <c r="B39" s="67" t="n">
        <v>46427</v>
      </c>
      <c r="C39" s="68">
        <f>IF(B39&gt;0,TEXT(B39,"(aaa)"),"")</f>
        <v/>
      </c>
      <c r="D39" s="66" t="n"/>
      <c r="E39" s="67" t="n"/>
      <c r="F39" s="68">
        <f>IF(E39&gt;0,TEXT(E39,"(aaa)"),"")</f>
        <v/>
      </c>
      <c r="G39" s="66" t="n"/>
      <c r="H39" s="67" t="n"/>
      <c r="I39" s="68">
        <f>IF(H39&gt;0,TEXT(H39,"(aaa)"),"")</f>
        <v/>
      </c>
    </row>
    <row r="40" ht="16.5" customFormat="1" customHeight="1" s="68">
      <c r="A40" s="66" t="inlineStr">
        <is>
          <t>2027년 삼일절</t>
        </is>
      </c>
      <c r="B40" s="67" t="n">
        <v>46447</v>
      </c>
      <c r="C40" s="68">
        <f>IF(B40&gt;0,TEXT(B40,"(aaa)"),"")</f>
        <v/>
      </c>
      <c r="D40" s="66" t="n"/>
      <c r="E40" s="67" t="n"/>
      <c r="F40" s="68">
        <f>IF(E40&gt;0,TEXT(E40,"(aaa)"),"")</f>
        <v/>
      </c>
      <c r="G40" s="66" t="n"/>
      <c r="H40" s="67" t="n"/>
      <c r="I40" s="68">
        <f>IF(H40&gt;0,TEXT(H40,"(aaa)"),"")</f>
        <v/>
      </c>
    </row>
    <row r="41" ht="16.5" customFormat="1" customHeight="1" s="68">
      <c r="A41" s="66" t="inlineStr">
        <is>
          <t>2027년 어린이날</t>
        </is>
      </c>
      <c r="B41" s="67" t="n">
        <v>46512</v>
      </c>
      <c r="C41" s="68">
        <f>IF(B41&gt;0,TEXT(B41,"(aaa)"),"")</f>
        <v/>
      </c>
      <c r="D41" s="66" t="n"/>
      <c r="E41" s="67" t="n"/>
      <c r="F41" s="68">
        <f>IF(E41&gt;0,TEXT(E41,"(aaa)"),"")</f>
        <v/>
      </c>
      <c r="G41" s="66" t="n"/>
      <c r="H41" s="67" t="n"/>
      <c r="I41" s="68">
        <f>IF(H41&gt;0,TEXT(H41,"(aaa)"),"")</f>
        <v/>
      </c>
    </row>
    <row r="42" ht="16.5" customFormat="1" customHeight="1" s="68">
      <c r="A42" s="66" t="inlineStr">
        <is>
          <t>2027년 부처님오신날</t>
        </is>
      </c>
      <c r="B42" s="67" t="n">
        <v>46520</v>
      </c>
      <c r="C42" s="68">
        <f>IF(B42&gt;0,TEXT(B42,"(aaa)"),"")</f>
        <v/>
      </c>
      <c r="D42" s="66" t="n"/>
      <c r="E42" s="67" t="n"/>
      <c r="F42" s="68">
        <f>IF(E42&gt;0,TEXT(E42,"(aaa)"),"")</f>
        <v/>
      </c>
      <c r="G42" s="66" t="n"/>
      <c r="H42" s="67" t="n"/>
      <c r="I42" s="68">
        <f>IF(H42&gt;0,TEXT(H42,"(aaa)"),"")</f>
        <v/>
      </c>
    </row>
    <row r="43" ht="16.5" customFormat="1" customHeight="1" s="68">
      <c r="A43" s="66" t="inlineStr">
        <is>
          <t>2027년 대체공휴일(광복절)</t>
        </is>
      </c>
      <c r="B43" s="67" t="n">
        <v>46615</v>
      </c>
      <c r="C43" s="68">
        <f>IF(B43&gt;0,TEXT(B43,"(aaa)"),"")</f>
        <v/>
      </c>
      <c r="D43" s="66" t="n"/>
      <c r="E43" s="67" t="n"/>
      <c r="F43" s="68">
        <f>IF(E43&gt;0,TEXT(E43,"(aaa)"),"")</f>
        <v/>
      </c>
      <c r="G43" s="66" t="n"/>
      <c r="H43" s="67" t="n"/>
      <c r="I43" s="68">
        <f>IF(H43&gt;0,TEXT(H43,"(aaa)"),"")</f>
        <v/>
      </c>
    </row>
    <row r="44" ht="16.5" customFormat="1" customHeight="1" s="68">
      <c r="A44" s="66" t="inlineStr">
        <is>
          <t>2027년 추석연휴</t>
        </is>
      </c>
      <c r="B44" s="67" t="n">
        <v>46644</v>
      </c>
      <c r="C44" s="68">
        <f>IF(B44&gt;0,TEXT(B44,"(aaa)"),"")</f>
        <v/>
      </c>
      <c r="D44" s="66" t="n"/>
      <c r="E44" s="67" t="n"/>
      <c r="F44" s="68">
        <f>IF(E44&gt;0,TEXT(E44,"(aaa)"),"")</f>
        <v/>
      </c>
      <c r="G44" s="66" t="n"/>
      <c r="H44" s="67" t="n"/>
      <c r="I44" s="68">
        <f>IF(H44&gt;0,TEXT(H44,"(aaa)"),"")</f>
        <v/>
      </c>
    </row>
    <row r="45" ht="16.5" customFormat="1" customHeight="1" s="68">
      <c r="A45" s="66" t="inlineStr">
        <is>
          <t>2027년 추석</t>
        </is>
      </c>
      <c r="B45" s="67" t="n">
        <v>46645</v>
      </c>
      <c r="C45" s="68">
        <f>IF(B45&gt;0,TEXT(B45,"(aaa)"),"")</f>
        <v/>
      </c>
      <c r="D45" s="66" t="n"/>
      <c r="E45" s="67" t="n"/>
      <c r="F45" s="68">
        <f>IF(E45&gt;0,TEXT(E45,"(aaa)"),"")</f>
        <v/>
      </c>
      <c r="G45" s="66" t="n"/>
      <c r="H45" s="67" t="n"/>
      <c r="I45" s="68">
        <f>IF(H45&gt;0,TEXT(H45,"(aaa)"),"")</f>
        <v/>
      </c>
    </row>
    <row r="46" ht="16.5" customFormat="1" customHeight="1" s="68">
      <c r="A46" s="66" t="inlineStr">
        <is>
          <t>2027년 추석연휴</t>
        </is>
      </c>
      <c r="B46" s="67" t="n">
        <v>46646</v>
      </c>
      <c r="C46" s="68">
        <f>IF(B46&gt;0,TEXT(B46,"(aaa)"),"")</f>
        <v/>
      </c>
      <c r="D46" s="66" t="n"/>
      <c r="E46" s="67" t="n"/>
      <c r="F46" s="68">
        <f>IF(E46&gt;0,TEXT(E46,"(aaa)"),"")</f>
        <v/>
      </c>
      <c r="G46" s="66" t="n"/>
      <c r="H46" s="67" t="n"/>
      <c r="I46" s="68">
        <f>IF(H46&gt;0,TEXT(H46,"(aaa)"),"")</f>
        <v/>
      </c>
    </row>
    <row r="47" ht="16.5" customFormat="1" customHeight="1" s="68">
      <c r="A47" s="66" t="inlineStr">
        <is>
          <t>2027년 대체공휴일(개천절)</t>
        </is>
      </c>
      <c r="B47" s="68" t="n">
        <v>46664</v>
      </c>
      <c r="C47" s="68">
        <f>IF(B47&gt;0,TEXT(B47,"(aaa)"),"")</f>
        <v/>
      </c>
      <c r="D47" s="66" t="n"/>
      <c r="E47" s="67" t="n"/>
      <c r="F47" s="68">
        <f>IF(E47&gt;0,TEXT(E47,"(aaa)"),"")</f>
        <v/>
      </c>
      <c r="G47" s="66" t="n"/>
      <c r="H47" s="67" t="n"/>
      <c r="I47" s="68">
        <f>IF(H47&gt;0,TEXT(H47,"(aaa)"),"")</f>
        <v/>
      </c>
    </row>
    <row r="48" ht="16.5" customFormat="1" customHeight="1" s="68">
      <c r="A48" s="66" t="inlineStr">
        <is>
          <t>2027년 대체공휴일(한글날)</t>
        </is>
      </c>
      <c r="B48" s="67" t="n">
        <v>46671</v>
      </c>
      <c r="C48" s="68">
        <f>IF(B48&gt;0,TEXT(B48,"(aaa)"),"")</f>
        <v/>
      </c>
      <c r="D48" s="66" t="n"/>
      <c r="E48" s="67" t="n"/>
      <c r="F48" s="68">
        <f>IF(E48&gt;0,TEXT(E48,"(aaa)"),"")</f>
        <v/>
      </c>
      <c r="G48" s="66" t="n"/>
      <c r="H48" s="67" t="n"/>
      <c r="I48" s="68">
        <f>IF(H48&gt;0,TEXT(H48,"(aaa)"),"")</f>
        <v/>
      </c>
    </row>
    <row r="49" ht="16.5" customFormat="1" customHeight="1" s="68">
      <c r="A49" s="66" t="inlineStr">
        <is>
          <t>2027년 대체공휴일(성탄절)</t>
        </is>
      </c>
      <c r="B49" s="67" t="n">
        <v>46748</v>
      </c>
      <c r="C49" s="68">
        <f>IF(B49&gt;0,TEXT(B49,"(aaa)"),"")</f>
        <v/>
      </c>
      <c r="D49" s="66" t="n"/>
      <c r="E49" s="67" t="n"/>
      <c r="F49" s="68">
        <f>IF(E49&gt;0,TEXT(E49,"(aaa)"),"")</f>
        <v/>
      </c>
      <c r="G49" s="66" t="n"/>
      <c r="H49" s="67" t="n"/>
      <c r="I49" s="68">
        <f>IF(H49&gt;0,TEXT(H49,"(aaa)"),"")</f>
        <v/>
      </c>
    </row>
    <row r="50" ht="16.5" customFormat="1" customHeight="1" s="68">
      <c r="A50" s="66" t="n"/>
      <c r="B50" s="67" t="n"/>
      <c r="C50" s="68">
        <f>IF(B50&gt;0,TEXT(B50,"(aaa)"),"")</f>
        <v/>
      </c>
      <c r="D50" s="66" t="n"/>
      <c r="E50" s="67" t="n"/>
      <c r="F50" s="68">
        <f>IF(E50&gt;0,TEXT(E50,"(aaa)"),"")</f>
        <v/>
      </c>
      <c r="G50" s="66" t="n"/>
      <c r="H50" s="67" t="n"/>
      <c r="I50" s="68">
        <f>IF(H50&gt;0,TEXT(H50,"(aaa)"),"")</f>
        <v/>
      </c>
    </row>
    <row r="51" ht="16.5" customFormat="1" customHeight="1" s="68">
      <c r="A51" s="66" t="n"/>
      <c r="B51" s="67" t="n"/>
      <c r="C51" s="68">
        <f>IF(B51&gt;0,TEXT(B51,"(aaa)"),"")</f>
        <v/>
      </c>
      <c r="D51" s="66" t="n"/>
      <c r="E51" s="67" t="n"/>
      <c r="F51" s="68">
        <f>IF(E51&gt;0,TEXT(E51,"(aaa)"),"")</f>
        <v/>
      </c>
      <c r="G51" s="66" t="n"/>
      <c r="H51" s="67" t="n"/>
      <c r="I51" s="68">
        <f>IF(H51&gt;0,TEXT(H51,"(aaa)"),"")</f>
        <v/>
      </c>
    </row>
    <row r="52" ht="16.5" customFormat="1" customHeight="1" s="68">
      <c r="A52" s="66" t="n"/>
      <c r="B52" s="67" t="n"/>
      <c r="C52" s="68">
        <f>IF(B52&gt;0,TEXT(B52,"(aaa)"),"")</f>
        <v/>
      </c>
      <c r="D52" s="66" t="n"/>
      <c r="E52" s="67" t="n"/>
      <c r="F52" s="68">
        <f>IF(E52&gt;0,TEXT(E52,"(aaa)"),"")</f>
        <v/>
      </c>
      <c r="G52" s="66" t="n"/>
      <c r="H52" s="67" t="n"/>
      <c r="I52" s="68">
        <f>IF(H52&gt;0,TEXT(H52,"(aaa)"),"")</f>
        <v/>
      </c>
    </row>
    <row r="53" ht="16.5" customFormat="1" customHeight="1" s="68">
      <c r="A53" s="66" t="n"/>
      <c r="B53" s="67" t="n"/>
      <c r="C53" s="68">
        <f>IF(B53&gt;0,TEXT(B53,"(aaa)"),"")</f>
        <v/>
      </c>
      <c r="D53" s="66" t="n"/>
      <c r="E53" s="67" t="n"/>
      <c r="F53" s="68">
        <f>IF(E53&gt;0,TEXT(E53,"(aaa)"),"")</f>
        <v/>
      </c>
      <c r="G53" s="66" t="n"/>
      <c r="H53" s="67" t="n"/>
      <c r="I53" s="68">
        <f>IF(H53&gt;0,TEXT(H53,"(aaa)"),"")</f>
        <v/>
      </c>
    </row>
    <row r="54" ht="16.5" customFormat="1" customHeight="1" s="68">
      <c r="A54" s="66" t="n"/>
      <c r="B54" s="67" t="n"/>
      <c r="C54" s="68">
        <f>IF(B54&gt;0,TEXT(B54,"(aaa)"),"")</f>
        <v/>
      </c>
      <c r="D54" s="66" t="n"/>
      <c r="E54" s="67" t="n"/>
      <c r="F54" s="68">
        <f>IF(E54&gt;0,TEXT(E54,"(aaa)"),"")</f>
        <v/>
      </c>
      <c r="G54" s="66" t="n"/>
      <c r="H54" s="67" t="n"/>
      <c r="I54" s="68">
        <f>IF(H54&gt;0,TEXT(H54,"(aaa)"),"")</f>
        <v/>
      </c>
    </row>
    <row r="55" ht="16.5" customFormat="1" customHeight="1" s="68">
      <c r="A55" s="66" t="n"/>
      <c r="B55" s="67" t="n"/>
      <c r="C55" s="68">
        <f>IF(B55&gt;0,TEXT(B55,"(aaa)"),"")</f>
        <v/>
      </c>
      <c r="D55" s="66" t="n"/>
      <c r="E55" s="67" t="n"/>
      <c r="F55" s="68">
        <f>IF(E55&gt;0,TEXT(E55,"(aaa)"),"")</f>
        <v/>
      </c>
      <c r="G55" s="66" t="n"/>
      <c r="H55" s="67" t="n"/>
      <c r="I55" s="68">
        <f>IF(H55&gt;0,TEXT(H55,"(aaa)"),"")</f>
        <v/>
      </c>
    </row>
    <row r="56" ht="16.5" customFormat="1" customHeight="1" s="68">
      <c r="A56" s="66" t="n"/>
      <c r="B56" s="67" t="n"/>
      <c r="C56" s="68">
        <f>IF(B56&gt;0,TEXT(B56,"(aaa)"),"")</f>
        <v/>
      </c>
      <c r="D56" s="66" t="n"/>
      <c r="E56" s="67" t="n"/>
      <c r="F56" s="68">
        <f>IF(E56&gt;0,TEXT(E56,"(aaa)"),"")</f>
        <v/>
      </c>
      <c r="G56" s="66" t="n"/>
      <c r="H56" s="67" t="n"/>
      <c r="I56" s="68">
        <f>IF(H56&gt;0,TEXT(H56,"(aaa)"),"")</f>
        <v/>
      </c>
    </row>
    <row r="57" ht="16.5" customFormat="1" customHeight="1" s="68">
      <c r="A57" s="66" t="n"/>
      <c r="B57" s="67" t="n"/>
      <c r="C57" s="68">
        <f>IF(B57&gt;0,TEXT(B57,"(aaa)"),"")</f>
        <v/>
      </c>
      <c r="D57" s="66" t="n"/>
      <c r="E57" s="67" t="n"/>
      <c r="F57" s="68">
        <f>IF(E57&gt;0,TEXT(E57,"(aaa)"),"")</f>
        <v/>
      </c>
      <c r="G57" s="66" t="n"/>
      <c r="H57" s="67" t="n"/>
      <c r="I57" s="68">
        <f>IF(H57&gt;0,TEXT(H57,"(aaa)"),"")</f>
        <v/>
      </c>
    </row>
    <row r="58" ht="16.5" customFormat="1" customHeight="1" s="68">
      <c r="A58" s="66" t="n"/>
      <c r="B58" s="67" t="n"/>
      <c r="C58" s="68">
        <f>IF(B58&gt;0,TEXT(B58,"(aaa)"),"")</f>
        <v/>
      </c>
      <c r="D58" s="66" t="n"/>
      <c r="E58" s="67" t="n"/>
      <c r="F58" s="68">
        <f>IF(E58&gt;0,TEXT(E58,"(aaa)"),"")</f>
        <v/>
      </c>
      <c r="G58" s="66" t="n"/>
      <c r="H58" s="67" t="n"/>
      <c r="I58" s="68">
        <f>IF(H58&gt;0,TEXT(H58,"(aaa)"),"")</f>
        <v/>
      </c>
    </row>
    <row r="59" ht="16.5" customFormat="1" customHeight="1" s="68">
      <c r="A59" s="66" t="n"/>
      <c r="B59" s="67" t="n"/>
      <c r="C59" s="68">
        <f>IF(B59&gt;0,TEXT(B59,"(aaa)"),"")</f>
        <v/>
      </c>
      <c r="D59" s="66" t="n"/>
      <c r="E59" s="67" t="n"/>
      <c r="F59" s="68">
        <f>IF(E59&gt;0,TEXT(E59,"(aaa)"),"")</f>
        <v/>
      </c>
      <c r="G59" s="66" t="n"/>
      <c r="H59" s="67" t="n"/>
      <c r="I59" s="68">
        <f>IF(H59&gt;0,TEXT(H59,"(aaa)"),"")</f>
        <v/>
      </c>
    </row>
    <row r="60" ht="16.5" customFormat="1" customHeight="1" s="68">
      <c r="A60" s="66" t="n"/>
      <c r="B60" s="67" t="n"/>
      <c r="C60" s="68">
        <f>IF(B60&gt;0,TEXT(B60,"(aaa)"),"")</f>
        <v/>
      </c>
      <c r="D60" s="66" t="n"/>
      <c r="E60" s="67" t="n"/>
      <c r="F60" s="68">
        <f>IF(E60&gt;0,TEXT(E60,"(aaa)"),"")</f>
        <v/>
      </c>
      <c r="G60" s="66" t="n"/>
      <c r="H60" s="67" t="n"/>
      <c r="I60" s="68">
        <f>IF(H60&gt;0,TEXT(H60,"(aaa)"),"")</f>
        <v/>
      </c>
    </row>
    <row r="61" ht="16.5" customFormat="1" customHeight="1" s="68">
      <c r="A61" s="66" t="n"/>
      <c r="B61" s="67" t="n"/>
      <c r="C61" s="68">
        <f>IF(B61&gt;0,TEXT(B61,"(aaa)"),"")</f>
        <v/>
      </c>
      <c r="D61" s="66" t="n"/>
      <c r="E61" s="67" t="n"/>
      <c r="F61" s="68">
        <f>IF(E61&gt;0,TEXT(E61,"(aaa)"),"")</f>
        <v/>
      </c>
      <c r="G61" s="66" t="n"/>
      <c r="H61" s="67" t="n"/>
      <c r="I61" s="68">
        <f>IF(H61&gt;0,TEXT(H61,"(aaa)"),"")</f>
        <v/>
      </c>
    </row>
    <row r="62" ht="16.5" customFormat="1" customHeight="1" s="68">
      <c r="A62" s="66" t="n"/>
      <c r="B62" s="67" t="n"/>
      <c r="C62" s="68">
        <f>IF(B62&gt;0,TEXT(B62,"(aaa)"),"")</f>
        <v/>
      </c>
      <c r="D62" s="66" t="n"/>
      <c r="E62" s="67" t="n"/>
      <c r="F62" s="68">
        <f>IF(E62&gt;0,TEXT(E62,"(aaa)"),"")</f>
        <v/>
      </c>
      <c r="G62" s="66" t="n"/>
      <c r="H62" s="67" t="n"/>
      <c r="I62" s="68">
        <f>IF(H62&gt;0,TEXT(H62,"(aaa)"),"")</f>
        <v/>
      </c>
    </row>
    <row r="63" ht="16.5" customFormat="1" customHeight="1" s="68">
      <c r="A63" s="66" t="n"/>
      <c r="B63" s="67" t="n"/>
      <c r="C63" s="68">
        <f>IF(B63&gt;0,TEXT(B63,"(aaa)"),"")</f>
        <v/>
      </c>
      <c r="D63" s="66" t="n"/>
      <c r="E63" s="67" t="n"/>
      <c r="F63" s="68">
        <f>IF(E63&gt;0,TEXT(E63,"(aaa)"),"")</f>
        <v/>
      </c>
      <c r="G63" s="66" t="n"/>
      <c r="H63" s="67" t="n"/>
      <c r="I63" s="68">
        <f>IF(H63&gt;0,TEXT(H63,"(aaa)"),"")</f>
        <v/>
      </c>
    </row>
    <row r="64" ht="16.5" customFormat="1" customHeight="1" s="68">
      <c r="A64" s="66" t="n"/>
      <c r="B64" s="67" t="n"/>
      <c r="C64" s="68">
        <f>IF(B64&gt;0,TEXT(B64,"(aaa)"),"")</f>
        <v/>
      </c>
      <c r="D64" s="66" t="n"/>
      <c r="E64" s="67" t="n"/>
      <c r="F64" s="68">
        <f>IF(E64&gt;0,TEXT(E64,"(aaa)"),"")</f>
        <v/>
      </c>
      <c r="G64" s="66" t="n"/>
      <c r="H64" s="67" t="n"/>
      <c r="I64" s="68">
        <f>IF(H64&gt;0,TEXT(H64,"(aaa)"),"")</f>
        <v/>
      </c>
    </row>
    <row r="65" ht="16.5" customFormat="1" customHeight="1" s="68">
      <c r="A65" s="66" t="n"/>
      <c r="B65" s="67" t="n"/>
      <c r="C65" s="68">
        <f>IF(B65&gt;0,TEXT(B65,"(aaa)"),"")</f>
        <v/>
      </c>
      <c r="D65" s="66" t="n"/>
      <c r="E65" s="67" t="n"/>
      <c r="F65" s="68">
        <f>IF(E65&gt;0,TEXT(E65,"(aaa)"),"")</f>
        <v/>
      </c>
      <c r="G65" s="66" t="n"/>
      <c r="H65" s="67" t="n"/>
      <c r="I65" s="68">
        <f>IF(H65&gt;0,TEXT(H65,"(aaa)"),"")</f>
        <v/>
      </c>
    </row>
    <row r="66" ht="16.5" customFormat="1" customHeight="1" s="68">
      <c r="A66" s="66" t="n"/>
      <c r="B66" s="67" t="n"/>
      <c r="C66" s="68">
        <f>IF(B66&gt;0,TEXT(B66,"(aaa)"),"")</f>
        <v/>
      </c>
      <c r="D66" s="66" t="n"/>
      <c r="E66" s="67" t="n"/>
      <c r="F66" s="68">
        <f>IF(E66&gt;0,TEXT(E66,"(aaa)"),"")</f>
        <v/>
      </c>
      <c r="G66" s="66" t="n"/>
      <c r="H66" s="67" t="n"/>
      <c r="I66" s="68">
        <f>IF(H66&gt;0,TEXT(H66,"(aaa)"),"")</f>
        <v/>
      </c>
    </row>
    <row r="67" ht="16.5" customFormat="1" customHeight="1" s="68">
      <c r="A67" s="66" t="n"/>
      <c r="B67" s="67" t="n"/>
      <c r="C67" s="68">
        <f>IF(B67&gt;0,TEXT(B67,"(aaa)"),"")</f>
        <v/>
      </c>
      <c r="D67" s="66" t="n"/>
      <c r="E67" s="67" t="n"/>
      <c r="F67" s="68">
        <f>IF(E67&gt;0,TEXT(E67,"(aaa)"),"")</f>
        <v/>
      </c>
      <c r="G67" s="66" t="n"/>
      <c r="H67" s="67" t="n"/>
      <c r="I67" s="68">
        <f>IF(H67&gt;0,TEXT(H67,"(aaa)"),"")</f>
        <v/>
      </c>
    </row>
    <row r="68" ht="16.5" customFormat="1" customHeight="1" s="68">
      <c r="A68" s="66" t="n"/>
      <c r="B68" s="67" t="n"/>
      <c r="C68" s="68">
        <f>IF(B68&gt;0,TEXT(B68,"(aaa)"),"")</f>
        <v/>
      </c>
      <c r="D68" s="66" t="n"/>
      <c r="E68" s="67" t="n"/>
      <c r="F68" s="68">
        <f>IF(E68&gt;0,TEXT(E68,"(aaa)"),"")</f>
        <v/>
      </c>
      <c r="G68" s="66" t="n"/>
      <c r="H68" s="67" t="n"/>
      <c r="I68" s="68">
        <f>IF(H68&gt;0,TEXT(H68,"(aaa)"),"")</f>
        <v/>
      </c>
    </row>
    <row r="69" ht="16.5" customFormat="1" customHeight="1" s="68">
      <c r="A69" s="66" t="n"/>
      <c r="B69" s="67" t="n"/>
      <c r="C69" s="68">
        <f>IF(B69&gt;0,TEXT(B69,"(aaa)"),"")</f>
        <v/>
      </c>
      <c r="D69" s="66" t="n"/>
      <c r="E69" s="67" t="n"/>
      <c r="F69" s="68">
        <f>IF(E69&gt;0,TEXT(E69,"(aaa)"),"")</f>
        <v/>
      </c>
      <c r="G69" s="66" t="n"/>
      <c r="H69" s="67" t="n"/>
      <c r="I69" s="68">
        <f>IF(H69&gt;0,TEXT(H69,"(aaa)"),"")</f>
        <v/>
      </c>
    </row>
    <row r="70" ht="16.5" customFormat="1" customHeight="1" s="68">
      <c r="A70" s="66" t="n"/>
      <c r="B70" s="67" t="n"/>
      <c r="C70" s="68">
        <f>IF(B70&gt;0,TEXT(B70,"(aaa)"),"")</f>
        <v/>
      </c>
      <c r="D70" s="66" t="n"/>
      <c r="E70" s="67" t="n"/>
      <c r="F70" s="68">
        <f>IF(E70&gt;0,TEXT(E70,"(aaa)"),"")</f>
        <v/>
      </c>
      <c r="G70" s="66" t="n"/>
      <c r="H70" s="67" t="n"/>
      <c r="I70" s="68">
        <f>IF(H70&gt;0,TEXT(H70,"(aaa)"),"")</f>
        <v/>
      </c>
    </row>
    <row r="71" ht="16.5" customFormat="1" customHeight="1" s="68">
      <c r="A71" s="66" t="n"/>
      <c r="B71" s="67" t="n"/>
      <c r="C71" s="68">
        <f>IF(B71&gt;0,TEXT(B71,"(aaa)"),"")</f>
        <v/>
      </c>
      <c r="D71" s="66" t="n"/>
      <c r="E71" s="67" t="n"/>
      <c r="F71" s="68">
        <f>IF(E71&gt;0,TEXT(E71,"(aaa)"),"")</f>
        <v/>
      </c>
      <c r="G71" s="66" t="n"/>
      <c r="H71" s="67" t="n"/>
      <c r="I71" s="68">
        <f>IF(H71&gt;0,TEXT(H71,"(aaa)"),"")</f>
        <v/>
      </c>
    </row>
    <row r="72" ht="16.5" customFormat="1" customHeight="1" s="68">
      <c r="A72" s="66" t="n"/>
      <c r="B72" s="67" t="n"/>
      <c r="C72" s="68">
        <f>IF(B72&gt;0,TEXT(B72,"(aaa)"),"")</f>
        <v/>
      </c>
      <c r="D72" s="66" t="n"/>
      <c r="E72" s="67" t="n"/>
      <c r="F72" s="68">
        <f>IF(E72&gt;0,TEXT(E72,"(aaa)"),"")</f>
        <v/>
      </c>
      <c r="G72" s="66" t="n"/>
      <c r="H72" s="67" t="n"/>
      <c r="I72" s="68">
        <f>IF(H72&gt;0,TEXT(H72,"(aaa)"),"")</f>
        <v/>
      </c>
    </row>
    <row r="73" ht="16.5" customFormat="1" customHeight="1" s="68">
      <c r="A73" s="66" t="n"/>
      <c r="B73" s="67" t="n"/>
      <c r="C73" s="68">
        <f>IF(B73&gt;0,TEXT(B73,"(aaa)"),"")</f>
        <v/>
      </c>
      <c r="D73" s="66" t="n"/>
      <c r="E73" s="67" t="n"/>
      <c r="F73" s="68">
        <f>IF(E73&gt;0,TEXT(E73,"(aaa)"),"")</f>
        <v/>
      </c>
      <c r="G73" s="66" t="n"/>
      <c r="H73" s="67" t="n"/>
      <c r="I73" s="68">
        <f>IF(H73&gt;0,TEXT(H73,"(aaa)"),"")</f>
        <v/>
      </c>
    </row>
    <row r="74" ht="16.5" customFormat="1" customHeight="1" s="68">
      <c r="A74" s="66" t="n"/>
      <c r="B74" s="67" t="n"/>
      <c r="C74" s="68">
        <f>IF(B74&gt;0,TEXT(B74,"(aaa)"),"")</f>
        <v/>
      </c>
      <c r="D74" s="66" t="n"/>
      <c r="E74" s="67" t="n"/>
      <c r="F74" s="68">
        <f>IF(E74&gt;0,TEXT(E74,"(aaa)"),"")</f>
        <v/>
      </c>
      <c r="G74" s="66" t="n"/>
      <c r="H74" s="67" t="n"/>
      <c r="I74" s="68">
        <f>IF(H74&gt;0,TEXT(H74,"(aaa)"),"")</f>
        <v/>
      </c>
    </row>
    <row r="75" ht="16.5" customFormat="1" customHeight="1" s="68">
      <c r="A75" s="66" t="n"/>
      <c r="B75" s="67" t="n"/>
      <c r="C75" s="68">
        <f>IF(B75&gt;0,TEXT(B75,"(aaa)"),"")</f>
        <v/>
      </c>
      <c r="D75" s="66" t="n"/>
      <c r="E75" s="67" t="n"/>
      <c r="F75" s="68">
        <f>IF(E75&gt;0,TEXT(E75,"(aaa)"),"")</f>
        <v/>
      </c>
      <c r="G75" s="66" t="n"/>
      <c r="H75" s="67" t="n"/>
      <c r="I75" s="68">
        <f>IF(H75&gt;0,TEXT(H75,"(aaa)"),"")</f>
        <v/>
      </c>
    </row>
    <row r="76" ht="16.5" customFormat="1" customHeight="1" s="68">
      <c r="A76" s="66" t="n"/>
      <c r="B76" s="67" t="n"/>
      <c r="C76" s="68">
        <f>IF(B76&gt;0,TEXT(B76,"(aaa)"),"")</f>
        <v/>
      </c>
      <c r="D76" s="66" t="n"/>
      <c r="E76" s="67" t="n"/>
      <c r="F76" s="68">
        <f>IF(E76&gt;0,TEXT(E76,"(aaa)"),"")</f>
        <v/>
      </c>
      <c r="G76" s="66" t="n"/>
      <c r="H76" s="67" t="n"/>
      <c r="I76" s="68">
        <f>IF(H76&gt;0,TEXT(H76,"(aaa)"),"")</f>
        <v/>
      </c>
    </row>
    <row r="77" ht="16.5" customFormat="1" customHeight="1" s="68">
      <c r="A77" s="66" t="n"/>
      <c r="B77" s="67" t="n"/>
      <c r="C77" s="68">
        <f>IF(B77&gt;0,TEXT(B77,"(aaa)"),"")</f>
        <v/>
      </c>
      <c r="D77" s="66" t="n"/>
      <c r="E77" s="67" t="n"/>
      <c r="F77" s="68">
        <f>IF(E77&gt;0,TEXT(E77,"(aaa)"),"")</f>
        <v/>
      </c>
      <c r="G77" s="66" t="n"/>
      <c r="H77" s="67" t="n"/>
      <c r="I77" s="68">
        <f>IF(H77&gt;0,TEXT(H77,"(aaa)"),"")</f>
        <v/>
      </c>
    </row>
    <row r="78" ht="16.5" customFormat="1" customHeight="1" s="68">
      <c r="A78" s="66" t="n"/>
      <c r="B78" s="67" t="n"/>
      <c r="C78" s="68">
        <f>IF(B78&gt;0,TEXT(B78,"(aaa)"),"")</f>
        <v/>
      </c>
      <c r="D78" s="66" t="n"/>
      <c r="E78" s="67" t="n"/>
      <c r="F78" s="68">
        <f>IF(E78&gt;0,TEXT(E78,"(aaa)"),"")</f>
        <v/>
      </c>
      <c r="G78" s="66" t="n"/>
      <c r="H78" s="67" t="n"/>
      <c r="I78" s="68">
        <f>IF(H78&gt;0,TEXT(H78,"(aaa)"),"")</f>
        <v/>
      </c>
    </row>
    <row r="79" ht="16.5" customFormat="1" customHeight="1" s="68">
      <c r="A79" s="66" t="n"/>
      <c r="B79" s="67" t="n"/>
      <c r="C79" s="68">
        <f>IF(B79&gt;0,TEXT(B79,"(aaa)"),"")</f>
        <v/>
      </c>
      <c r="D79" s="66" t="n"/>
      <c r="E79" s="67" t="n"/>
      <c r="F79" s="68">
        <f>IF(E79&gt;0,TEXT(E79,"(aaa)"),"")</f>
        <v/>
      </c>
      <c r="G79" s="66" t="n"/>
      <c r="H79" s="67" t="n"/>
      <c r="I79" s="68">
        <f>IF(H79&gt;0,TEXT(H79,"(aaa)"),"")</f>
        <v/>
      </c>
    </row>
    <row r="80" ht="16.5" customFormat="1" customHeight="1" s="68">
      <c r="A80" s="66" t="n"/>
      <c r="B80" s="67" t="n"/>
      <c r="C80" s="68">
        <f>IF(B80&gt;0,TEXT(B80,"(aaa)"),"")</f>
        <v/>
      </c>
      <c r="D80" s="66" t="n"/>
      <c r="E80" s="67" t="n"/>
      <c r="F80" s="68">
        <f>IF(E80&gt;0,TEXT(E80,"(aaa)"),"")</f>
        <v/>
      </c>
      <c r="G80" s="66" t="n"/>
      <c r="H80" s="67" t="n"/>
      <c r="I80" s="68">
        <f>IF(H80&gt;0,TEXT(H80,"(aaa)"),"")</f>
        <v/>
      </c>
    </row>
    <row r="81" ht="16.5" customFormat="1" customHeight="1" s="68">
      <c r="A81" s="66" t="n"/>
      <c r="B81" s="67" t="n"/>
      <c r="C81" s="68">
        <f>IF(B81&gt;0,TEXT(B81,"(aaa)"),"")</f>
        <v/>
      </c>
      <c r="D81" s="66" t="n"/>
      <c r="E81" s="67" t="n"/>
      <c r="F81" s="68">
        <f>IF(E81&gt;0,TEXT(E81,"(aaa)"),"")</f>
        <v/>
      </c>
      <c r="G81" s="66" t="n"/>
      <c r="H81" s="67" t="n"/>
      <c r="I81" s="68">
        <f>IF(H81&gt;0,TEXT(H81,"(aaa)"),"")</f>
        <v/>
      </c>
    </row>
    <row r="82" ht="16.5" customFormat="1" customHeight="1" s="68">
      <c r="A82" s="66" t="n"/>
      <c r="B82" s="67" t="n"/>
      <c r="C82" s="68">
        <f>IF(B82&gt;0,TEXT(B82,"(aaa)"),"")</f>
        <v/>
      </c>
      <c r="D82" s="66" t="n"/>
      <c r="E82" s="67" t="n"/>
      <c r="F82" s="68">
        <f>IF(E82&gt;0,TEXT(E82,"(aaa)"),"")</f>
        <v/>
      </c>
      <c r="G82" s="66" t="n"/>
      <c r="H82" s="67" t="n"/>
      <c r="I82" s="68">
        <f>IF(H82&gt;0,TEXT(H82,"(aaa)"),"")</f>
        <v/>
      </c>
    </row>
    <row r="83" ht="16.5" customFormat="1" customHeight="1" s="68">
      <c r="A83" s="66" t="n"/>
      <c r="B83" s="67" t="n"/>
      <c r="C83" s="68">
        <f>IF(B83&gt;0,TEXT(B83,"(aaa)"),"")</f>
        <v/>
      </c>
      <c r="D83" s="66" t="n"/>
      <c r="E83" s="67" t="n"/>
      <c r="F83" s="68">
        <f>IF(E83&gt;0,TEXT(E83,"(aaa)"),"")</f>
        <v/>
      </c>
      <c r="G83" s="66" t="n"/>
      <c r="H83" s="67" t="n"/>
      <c r="I83" s="68">
        <f>IF(H83&gt;0,TEXT(H83,"(aaa)"),"")</f>
        <v/>
      </c>
    </row>
    <row r="84" ht="16.5" customFormat="1" customHeight="1" s="68">
      <c r="A84" s="66" t="n"/>
      <c r="B84" s="67" t="n"/>
      <c r="C84" s="68">
        <f>IF(B84&gt;0,TEXT(B84,"(aaa)"),"")</f>
        <v/>
      </c>
      <c r="D84" s="66" t="n"/>
      <c r="E84" s="67" t="n"/>
      <c r="F84" s="68">
        <f>IF(E84&gt;0,TEXT(E84,"(aaa)"),"")</f>
        <v/>
      </c>
      <c r="G84" s="66" t="n"/>
      <c r="H84" s="67" t="n"/>
      <c r="I84" s="68">
        <f>IF(H84&gt;0,TEXT(H84,"(aaa)"),"")</f>
        <v/>
      </c>
    </row>
    <row r="85" ht="16.5" customFormat="1" customHeight="1" s="68">
      <c r="A85" s="66" t="n"/>
      <c r="B85" s="67" t="n"/>
      <c r="C85" s="68">
        <f>IF(B85&gt;0,TEXT(B85,"(aaa)"),"")</f>
        <v/>
      </c>
      <c r="D85" s="66" t="n"/>
      <c r="E85" s="67" t="n"/>
      <c r="F85" s="68">
        <f>IF(E85&gt;0,TEXT(E85,"(aaa)"),"")</f>
        <v/>
      </c>
      <c r="G85" s="66" t="n"/>
      <c r="H85" s="67" t="n"/>
      <c r="I85" s="68">
        <f>IF(H85&gt;0,TEXT(H85,"(aaa)"),"")</f>
        <v/>
      </c>
    </row>
    <row r="86" ht="16.5" customFormat="1" customHeight="1" s="68">
      <c r="A86" s="66" t="n"/>
      <c r="B86" s="67" t="n"/>
      <c r="C86" s="68">
        <f>IF(B86&gt;0,TEXT(B86,"(aaa)"),"")</f>
        <v/>
      </c>
      <c r="D86" s="66" t="n"/>
      <c r="E86" s="67" t="n"/>
      <c r="F86" s="68">
        <f>IF(E86&gt;0,TEXT(E86,"(aaa)"),"")</f>
        <v/>
      </c>
      <c r="G86" s="66" t="n"/>
      <c r="H86" s="67" t="n"/>
      <c r="I86" s="68">
        <f>IF(H86&gt;0,TEXT(H86,"(aaa)"),"")</f>
        <v/>
      </c>
    </row>
    <row r="87" ht="16.5" customFormat="1" customHeight="1" s="68">
      <c r="A87" s="66" t="n"/>
      <c r="B87" s="67" t="n"/>
      <c r="C87" s="68">
        <f>IF(B87&gt;0,TEXT(B87,"(aaa)"),"")</f>
        <v/>
      </c>
      <c r="D87" s="66" t="n"/>
      <c r="E87" s="67" t="n"/>
      <c r="F87" s="68">
        <f>IF(E87&gt;0,TEXT(E87,"(aaa)"),"")</f>
        <v/>
      </c>
      <c r="G87" s="66" t="n"/>
      <c r="H87" s="67" t="n"/>
      <c r="I87" s="68">
        <f>IF(H87&gt;0,TEXT(H87,"(aaa)"),"")</f>
        <v/>
      </c>
    </row>
    <row r="88" ht="16.5" customFormat="1" customHeight="1" s="68">
      <c r="A88" s="66" t="n"/>
      <c r="B88" s="67" t="n"/>
      <c r="C88" s="68">
        <f>IF(B88&gt;0,TEXT(B88,"(aaa)"),"")</f>
        <v/>
      </c>
      <c r="D88" s="66" t="n"/>
      <c r="E88" s="67" t="n"/>
      <c r="F88" s="68">
        <f>IF(E88&gt;0,TEXT(E88,"(aaa)"),"")</f>
        <v/>
      </c>
      <c r="G88" s="66" t="n"/>
      <c r="H88" s="67" t="n"/>
      <c r="I88" s="68">
        <f>IF(H88&gt;0,TEXT(H88,"(aaa)"),"")</f>
        <v/>
      </c>
    </row>
    <row r="89" ht="16.5" customFormat="1" customHeight="1" s="68">
      <c r="A89" s="66" t="n"/>
      <c r="B89" s="67" t="n"/>
      <c r="C89" s="68">
        <f>IF(B89&gt;0,TEXT(B89,"(aaa)"),"")</f>
        <v/>
      </c>
      <c r="D89" s="66" t="n"/>
      <c r="E89" s="67" t="n"/>
      <c r="F89" s="68">
        <f>IF(E89&gt;0,TEXT(E89,"(aaa)"),"")</f>
        <v/>
      </c>
      <c r="G89" s="66" t="n"/>
      <c r="H89" s="67" t="n"/>
      <c r="I89" s="68">
        <f>IF(H89&gt;0,TEXT(H89,"(aaa)"),"")</f>
        <v/>
      </c>
    </row>
    <row r="90" ht="16.5" customFormat="1" customHeight="1" s="68">
      <c r="A90" s="66" t="n"/>
      <c r="B90" s="67" t="n"/>
      <c r="C90" s="68">
        <f>IF(B90&gt;0,TEXT(B90,"(aaa)"),"")</f>
        <v/>
      </c>
      <c r="D90" s="66" t="n"/>
      <c r="E90" s="67" t="n"/>
      <c r="F90" s="68">
        <f>IF(E90&gt;0,TEXT(E90,"(aaa)"),"")</f>
        <v/>
      </c>
      <c r="G90" s="66" t="n"/>
      <c r="H90" s="67" t="n"/>
      <c r="I90" s="68">
        <f>IF(H90&gt;0,TEXT(H90,"(aaa)"),"")</f>
        <v/>
      </c>
    </row>
    <row r="91" ht="16.5" customFormat="1" customHeight="1" s="68">
      <c r="A91" s="66" t="n"/>
      <c r="B91" s="67" t="n"/>
      <c r="C91" s="68">
        <f>IF(B91&gt;0,TEXT(B91,"(aaa)"),"")</f>
        <v/>
      </c>
      <c r="D91" s="66" t="n"/>
      <c r="E91" s="67" t="n"/>
      <c r="F91" s="68">
        <f>IF(E91&gt;0,TEXT(E91,"(aaa)"),"")</f>
        <v/>
      </c>
      <c r="G91" s="66" t="n"/>
      <c r="H91" s="67" t="n"/>
      <c r="I91" s="68">
        <f>IF(H91&gt;0,TEXT(H91,"(aaa)"),"")</f>
        <v/>
      </c>
    </row>
    <row r="92" ht="16.5" customFormat="1" customHeight="1" s="68">
      <c r="A92" s="66" t="n"/>
      <c r="B92" s="67" t="n"/>
      <c r="C92" s="68">
        <f>IF(B92&gt;0,TEXT(B92,"(aaa)"),"")</f>
        <v/>
      </c>
      <c r="D92" s="66" t="n"/>
      <c r="E92" s="67" t="n"/>
      <c r="F92" s="68">
        <f>IF(E92&gt;0,TEXT(E92,"(aaa)"),"")</f>
        <v/>
      </c>
      <c r="G92" s="66" t="n"/>
      <c r="H92" s="67" t="n"/>
      <c r="I92" s="68">
        <f>IF(H92&gt;0,TEXT(H92,"(aaa)"),"")</f>
        <v/>
      </c>
    </row>
    <row r="93" ht="16.5" customFormat="1" customHeight="1" s="68">
      <c r="A93" s="66" t="n"/>
      <c r="B93" s="67" t="n"/>
      <c r="C93" s="68">
        <f>IF(B93&gt;0,TEXT(B93,"(aaa)"),"")</f>
        <v/>
      </c>
      <c r="D93" s="66" t="n"/>
      <c r="E93" s="67" t="n"/>
      <c r="F93" s="68">
        <f>IF(E93&gt;0,TEXT(E93,"(aaa)"),"")</f>
        <v/>
      </c>
      <c r="G93" s="66" t="n"/>
      <c r="H93" s="67" t="n"/>
      <c r="I93" s="68">
        <f>IF(H93&gt;0,TEXT(H93,"(aaa)"),"")</f>
        <v/>
      </c>
    </row>
    <row r="94" ht="16.5" customFormat="1" customHeight="1" s="68">
      <c r="A94" s="66" t="n"/>
      <c r="B94" s="67" t="n"/>
      <c r="C94" s="68">
        <f>IF(B94&gt;0,TEXT(B94,"(aaa)"),"")</f>
        <v/>
      </c>
      <c r="D94" s="66" t="n"/>
      <c r="E94" s="67" t="n"/>
      <c r="F94" s="68">
        <f>IF(E94&gt;0,TEXT(E94,"(aaa)"),"")</f>
        <v/>
      </c>
      <c r="G94" s="66" t="n"/>
      <c r="H94" s="67" t="n"/>
      <c r="I94" s="68">
        <f>IF(H94&gt;0,TEXT(H94,"(aaa)"),"")</f>
        <v/>
      </c>
    </row>
    <row r="95" ht="16.5" customFormat="1" customHeight="1" s="68">
      <c r="A95" s="66" t="n"/>
      <c r="B95" s="67" t="n"/>
      <c r="C95" s="68">
        <f>IF(B95&gt;0,TEXT(B95,"(aaa)"),"")</f>
        <v/>
      </c>
      <c r="D95" s="66" t="n"/>
      <c r="E95" s="67" t="n"/>
      <c r="F95" s="68">
        <f>IF(E95&gt;0,TEXT(E95,"(aaa)"),"")</f>
        <v/>
      </c>
      <c r="G95" s="66" t="n"/>
      <c r="H95" s="67" t="n"/>
      <c r="I95" s="68">
        <f>IF(H95&gt;0,TEXT(H95,"(aaa)"),"")</f>
        <v/>
      </c>
    </row>
    <row r="96" ht="16.5" customFormat="1" customHeight="1" s="68">
      <c r="A96" s="66" t="n"/>
      <c r="B96" s="67" t="n"/>
      <c r="C96" s="68">
        <f>IF(B96&gt;0,TEXT(B96,"(aaa)"),"")</f>
        <v/>
      </c>
      <c r="D96" s="66" t="n"/>
      <c r="E96" s="67" t="n"/>
      <c r="F96" s="68">
        <f>IF(E96&gt;0,TEXT(E96,"(aaa)"),"")</f>
        <v/>
      </c>
      <c r="G96" s="66" t="n"/>
      <c r="H96" s="67" t="n"/>
      <c r="I96" s="68">
        <f>IF(H96&gt;0,TEXT(H96,"(aaa)"),"")</f>
        <v/>
      </c>
    </row>
    <row r="97" ht="16.5" customFormat="1" customHeight="1" s="68">
      <c r="A97" s="66" t="n"/>
      <c r="B97" s="67" t="n"/>
      <c r="C97" s="68">
        <f>IF(B97&gt;0,TEXT(B97,"(aaa)"),"")</f>
        <v/>
      </c>
      <c r="D97" s="66" t="n"/>
      <c r="E97" s="67" t="n"/>
      <c r="F97" s="68">
        <f>IF(E97&gt;0,TEXT(E97,"(aaa)"),"")</f>
        <v/>
      </c>
      <c r="G97" s="66" t="n"/>
      <c r="H97" s="67" t="n"/>
      <c r="I97" s="68">
        <f>IF(H97&gt;0,TEXT(H97,"(aaa)"),"")</f>
        <v/>
      </c>
    </row>
    <row r="98" ht="16.5" customFormat="1" customHeight="1" s="68">
      <c r="A98" s="66" t="n"/>
      <c r="B98" s="67" t="n"/>
      <c r="C98" s="68">
        <f>IF(B98&gt;0,TEXT(B98,"(aaa)"),"")</f>
        <v/>
      </c>
      <c r="D98" s="66" t="n"/>
      <c r="E98" s="67" t="n"/>
      <c r="F98" s="68">
        <f>IF(E98&gt;0,TEXT(E98,"(aaa)"),"")</f>
        <v/>
      </c>
      <c r="G98" s="66" t="n"/>
      <c r="H98" s="67" t="n"/>
      <c r="I98" s="68">
        <f>IF(H98&gt;0,TEXT(H98,"(aaa)"),"")</f>
        <v/>
      </c>
    </row>
    <row r="99" ht="16.5" customFormat="1" customHeight="1" s="68">
      <c r="A99" s="66" t="n"/>
      <c r="B99" s="67" t="n"/>
      <c r="C99" s="68">
        <f>IF(B99&gt;0,TEXT(B99,"(aaa)"),"")</f>
        <v/>
      </c>
      <c r="D99" s="66" t="n"/>
      <c r="E99" s="67" t="n"/>
      <c r="F99" s="68">
        <f>IF(E99&gt;0,TEXT(E99,"(aaa)"),"")</f>
        <v/>
      </c>
      <c r="G99" s="66" t="n"/>
      <c r="H99" s="67" t="n"/>
      <c r="I99" s="68">
        <f>IF(H99&gt;0,TEXT(H99,"(aaa)"),"")</f>
        <v/>
      </c>
    </row>
    <row r="100" ht="16.5" customFormat="1" customHeight="1" s="68">
      <c r="A100" s="66" t="n"/>
      <c r="B100" s="67" t="n"/>
      <c r="C100" s="68">
        <f>IF(B100&gt;0,TEXT(B100,"(aaa)"),"")</f>
        <v/>
      </c>
      <c r="D100" s="66" t="n"/>
      <c r="E100" s="67" t="n"/>
      <c r="F100" s="68">
        <f>IF(E100&gt;0,TEXT(E100,"(aaa)"),"")</f>
        <v/>
      </c>
      <c r="G100" s="66" t="n"/>
      <c r="H100" s="67" t="n"/>
      <c r="I100" s="68">
        <f>IF(H100&gt;0,TEXT(H100,"(aaa)"),"")</f>
        <v/>
      </c>
    </row>
    <row r="101" ht="16.5" customFormat="1" customHeight="1" s="68">
      <c r="A101" s="66" t="n"/>
      <c r="B101" s="67" t="n"/>
      <c r="C101" s="68">
        <f>IF(B101&gt;0,TEXT(B101,"(aaa)"),"")</f>
        <v/>
      </c>
      <c r="D101" s="66" t="n"/>
      <c r="E101" s="67" t="n"/>
      <c r="F101" s="68">
        <f>IF(E101&gt;0,TEXT(E101,"(aaa)"),"")</f>
        <v/>
      </c>
      <c r="G101" s="66" t="n"/>
      <c r="H101" s="67" t="n"/>
      <c r="I101" s="68">
        <f>IF(H101&gt;0,TEXT(H101,"(aaa)"),"")</f>
        <v/>
      </c>
    </row>
    <row r="102" ht="16.5" customFormat="1" customHeight="1" s="68">
      <c r="A102" s="66" t="n"/>
      <c r="B102" s="67" t="n"/>
      <c r="C102" s="68">
        <f>IF(B102&gt;0,TEXT(B102,"(aaa)"),"")</f>
        <v/>
      </c>
      <c r="D102" s="66" t="n"/>
      <c r="E102" s="67" t="n"/>
      <c r="F102" s="68">
        <f>IF(E102&gt;0,TEXT(E102,"(aaa)"),"")</f>
        <v/>
      </c>
      <c r="G102" s="66" t="n"/>
      <c r="H102" s="67" t="n"/>
      <c r="I102" s="68">
        <f>IF(H102&gt;0,TEXT(H102,"(aaa)"),"")</f>
        <v/>
      </c>
    </row>
    <row r="103" ht="16.5" customFormat="1" customHeight="1" s="68">
      <c r="A103" s="66" t="n"/>
      <c r="B103" s="67" t="n"/>
      <c r="C103" s="68">
        <f>IF(B103&gt;0,TEXT(B103,"(aaa)"),"")</f>
        <v/>
      </c>
      <c r="D103" s="66" t="n"/>
      <c r="E103" s="67" t="n"/>
      <c r="F103" s="68">
        <f>IF(E103&gt;0,TEXT(E103,"(aaa)"),"")</f>
        <v/>
      </c>
      <c r="G103" s="66" t="n"/>
      <c r="H103" s="67" t="n"/>
      <c r="I103" s="68">
        <f>IF(H103&gt;0,TEXT(H103,"(aaa)"),"")</f>
        <v/>
      </c>
    </row>
    <row r="104" ht="16.5" customFormat="1" customHeight="1" s="68">
      <c r="A104" s="66" t="n"/>
      <c r="B104" s="67" t="n"/>
      <c r="C104" s="68">
        <f>IF(B104&gt;0,TEXT(B104,"(aaa)"),"")</f>
        <v/>
      </c>
      <c r="D104" s="66" t="n"/>
      <c r="E104" s="67" t="n"/>
      <c r="F104" s="68">
        <f>IF(E104&gt;0,TEXT(E104,"(aaa)"),"")</f>
        <v/>
      </c>
      <c r="G104" s="66" t="n"/>
      <c r="H104" s="67" t="n"/>
      <c r="I104" s="68">
        <f>IF(H104&gt;0,TEXT(H104,"(aaa)"),"")</f>
        <v/>
      </c>
    </row>
    <row r="105" ht="16.5" customFormat="1" customHeight="1" s="68">
      <c r="A105" s="66" t="n"/>
      <c r="B105" s="67" t="n"/>
      <c r="C105" s="68">
        <f>IF(B105&gt;0,TEXT(B105,"(aaa)"),"")</f>
        <v/>
      </c>
      <c r="D105" s="66" t="n"/>
      <c r="E105" s="67" t="n"/>
      <c r="F105" s="68">
        <f>IF(E105&gt;0,TEXT(E105,"(aaa)"),"")</f>
        <v/>
      </c>
      <c r="G105" s="66" t="n"/>
      <c r="H105" s="67" t="n"/>
      <c r="I105" s="68">
        <f>IF(H105&gt;0,TEXT(H105,"(aaa)"),"")</f>
        <v/>
      </c>
    </row>
    <row r="106" ht="16.5" customFormat="1" customHeight="1" s="68">
      <c r="A106" s="66" t="n"/>
      <c r="B106" s="67" t="n"/>
      <c r="C106" s="68">
        <f>IF(B106&gt;0,TEXT(B106,"(aaa)"),"")</f>
        <v/>
      </c>
      <c r="D106" s="66" t="n"/>
      <c r="E106" s="67" t="n"/>
      <c r="F106" s="68">
        <f>IF(E106&gt;0,TEXT(E106,"(aaa)"),"")</f>
        <v/>
      </c>
      <c r="G106" s="66" t="n"/>
      <c r="H106" s="67" t="n"/>
      <c r="I106" s="68">
        <f>IF(H106&gt;0,TEXT(H106,"(aaa)"),"")</f>
        <v/>
      </c>
    </row>
    <row r="107" ht="16.5" customFormat="1" customHeight="1" s="68">
      <c r="A107" s="66" t="n"/>
      <c r="B107" s="67" t="n"/>
      <c r="C107" s="68">
        <f>IF(B107&gt;0,TEXT(B107,"(aaa)"),"")</f>
        <v/>
      </c>
      <c r="D107" s="66" t="n"/>
      <c r="E107" s="67" t="n"/>
      <c r="F107" s="68">
        <f>IF(E107&gt;0,TEXT(E107,"(aaa)"),"")</f>
        <v/>
      </c>
      <c r="G107" s="66" t="n"/>
      <c r="H107" s="67" t="n"/>
      <c r="I107" s="68">
        <f>IF(H107&gt;0,TEXT(H107,"(aaa)"),"")</f>
        <v/>
      </c>
    </row>
    <row r="108" ht="16.5" customFormat="1" customHeight="1" s="68">
      <c r="A108" s="66" t="n"/>
      <c r="B108" s="67" t="n"/>
      <c r="C108" s="68">
        <f>IF(B108&gt;0,TEXT(B108,"(aaa)"),"")</f>
        <v/>
      </c>
      <c r="D108" s="66" t="n"/>
      <c r="E108" s="67" t="n"/>
      <c r="F108" s="68">
        <f>IF(E108&gt;0,TEXT(E108,"(aaa)"),"")</f>
        <v/>
      </c>
      <c r="G108" s="66" t="n"/>
      <c r="H108" s="67" t="n"/>
      <c r="I108" s="68">
        <f>IF(H108&gt;0,TEXT(H108,"(aaa)"),"")</f>
        <v/>
      </c>
    </row>
    <row r="109" ht="16.5" customFormat="1" customHeight="1" s="68">
      <c r="A109" s="66" t="n"/>
      <c r="B109" s="67" t="n"/>
      <c r="C109" s="68">
        <f>IF(B109&gt;0,TEXT(B109,"(aaa)"),"")</f>
        <v/>
      </c>
      <c r="D109" s="66" t="n"/>
      <c r="E109" s="67" t="n"/>
      <c r="F109" s="68">
        <f>IF(E109&gt;0,TEXT(E109,"(aaa)"),"")</f>
        <v/>
      </c>
      <c r="G109" s="66" t="n"/>
      <c r="H109" s="67" t="n"/>
      <c r="I109" s="68">
        <f>IF(H109&gt;0,TEXT(H109,"(aaa)"),"")</f>
        <v/>
      </c>
    </row>
    <row r="110" ht="16.5" customFormat="1" customHeight="1" s="68">
      <c r="A110" s="66" t="n"/>
      <c r="B110" s="67" t="n"/>
      <c r="C110" s="68">
        <f>IF(B110&gt;0,TEXT(B110,"(aaa)"),"")</f>
        <v/>
      </c>
      <c r="D110" s="66" t="n"/>
      <c r="E110" s="67" t="n"/>
      <c r="F110" s="68">
        <f>IF(E110&gt;0,TEXT(E110,"(aaa)"),"")</f>
        <v/>
      </c>
      <c r="G110" s="66" t="n"/>
      <c r="H110" s="67" t="n"/>
      <c r="I110" s="68">
        <f>IF(H110&gt;0,TEXT(H110,"(aaa)"),"")</f>
        <v/>
      </c>
    </row>
    <row r="111" ht="16.5" customFormat="1" customHeight="1" s="68">
      <c r="A111" s="66" t="n"/>
      <c r="B111" s="67" t="n"/>
      <c r="C111" s="68">
        <f>IF(B111&gt;0,TEXT(B111,"(aaa)"),"")</f>
        <v/>
      </c>
      <c r="D111" s="66" t="n"/>
      <c r="E111" s="67" t="n"/>
      <c r="F111" s="68">
        <f>IF(E111&gt;0,TEXT(E111,"(aaa)"),"")</f>
        <v/>
      </c>
      <c r="G111" s="66" t="n"/>
      <c r="H111" s="67" t="n"/>
      <c r="I111" s="68">
        <f>IF(H111&gt;0,TEXT(H111,"(aaa)"),"")</f>
        <v/>
      </c>
    </row>
    <row r="112" ht="16.5" customFormat="1" customHeight="1" s="68">
      <c r="A112" s="66" t="n"/>
      <c r="B112" s="67" t="n"/>
      <c r="C112" s="68">
        <f>IF(B112&gt;0,TEXT(B112,"(aaa)"),"")</f>
        <v/>
      </c>
      <c r="D112" s="66" t="n"/>
      <c r="E112" s="67" t="n"/>
      <c r="F112" s="68">
        <f>IF(E112&gt;0,TEXT(E112,"(aaa)"),"")</f>
        <v/>
      </c>
      <c r="G112" s="66" t="n"/>
      <c r="H112" s="67" t="n"/>
      <c r="I112" s="68">
        <f>IF(H112&gt;0,TEXT(H112,"(aaa)"),"")</f>
        <v/>
      </c>
    </row>
    <row r="113" ht="16.5" customFormat="1" customHeight="1" s="68">
      <c r="A113" s="66" t="n"/>
      <c r="B113" s="67" t="n"/>
      <c r="C113" s="68">
        <f>IF(B113&gt;0,TEXT(B113,"(aaa)"),"")</f>
        <v/>
      </c>
      <c r="D113" s="66" t="n"/>
      <c r="E113" s="67" t="n"/>
      <c r="F113" s="68">
        <f>IF(E113&gt;0,TEXT(E113,"(aaa)"),"")</f>
        <v/>
      </c>
      <c r="G113" s="66" t="n"/>
      <c r="H113" s="67" t="n"/>
      <c r="I113" s="68">
        <f>IF(H113&gt;0,TEXT(H113,"(aaa)"),"")</f>
        <v/>
      </c>
    </row>
    <row r="114" ht="16.5" customFormat="1" customHeight="1" s="68">
      <c r="A114" s="66" t="n"/>
      <c r="B114" s="67" t="n"/>
      <c r="C114" s="68">
        <f>IF(B114&gt;0,TEXT(B114,"(aaa)"),"")</f>
        <v/>
      </c>
      <c r="D114" s="66" t="n"/>
      <c r="E114" s="67" t="n"/>
      <c r="F114" s="68">
        <f>IF(E114&gt;0,TEXT(E114,"(aaa)"),"")</f>
        <v/>
      </c>
      <c r="G114" s="66" t="n"/>
      <c r="H114" s="67" t="n"/>
      <c r="I114" s="68">
        <f>IF(H114&gt;0,TEXT(H114,"(aaa)"),"")</f>
        <v/>
      </c>
    </row>
    <row r="115" ht="16.5" customFormat="1" customHeight="1" s="68">
      <c r="A115" s="66" t="n"/>
      <c r="B115" s="67" t="n"/>
      <c r="C115" s="68">
        <f>IF(B115&gt;0,TEXT(B115,"(aaa)"),"")</f>
        <v/>
      </c>
      <c r="D115" s="66" t="n"/>
      <c r="E115" s="67" t="n"/>
      <c r="F115" s="68">
        <f>IF(E115&gt;0,TEXT(E115,"(aaa)"),"")</f>
        <v/>
      </c>
      <c r="G115" s="66" t="n"/>
      <c r="H115" s="67" t="n"/>
      <c r="I115" s="68">
        <f>IF(H115&gt;0,TEXT(H115,"(aaa)"),"")</f>
        <v/>
      </c>
    </row>
    <row r="116" ht="16.5" customFormat="1" customHeight="1" s="68">
      <c r="A116" s="66" t="n"/>
      <c r="B116" s="67" t="n"/>
      <c r="C116" s="68">
        <f>IF(B116&gt;0,TEXT(B116,"(aaa)"),"")</f>
        <v/>
      </c>
      <c r="D116" s="66" t="n"/>
      <c r="E116" s="67" t="n"/>
      <c r="F116" s="68">
        <f>IF(E116&gt;0,TEXT(E116,"(aaa)"),"")</f>
        <v/>
      </c>
      <c r="G116" s="66" t="n"/>
      <c r="H116" s="67" t="n"/>
      <c r="I116" s="68">
        <f>IF(H116&gt;0,TEXT(H116,"(aaa)"),"")</f>
        <v/>
      </c>
    </row>
    <row r="117" ht="16.5" customFormat="1" customHeight="1" s="68">
      <c r="A117" s="66" t="n"/>
      <c r="B117" s="67" t="n"/>
      <c r="C117" s="68">
        <f>IF(B117&gt;0,TEXT(B117,"(aaa)"),"")</f>
        <v/>
      </c>
      <c r="D117" s="66" t="n"/>
      <c r="E117" s="67" t="n"/>
      <c r="F117" s="68">
        <f>IF(E117&gt;0,TEXT(E117,"(aaa)"),"")</f>
        <v/>
      </c>
      <c r="G117" s="66" t="n"/>
      <c r="H117" s="67" t="n"/>
      <c r="I117" s="68">
        <f>IF(H117&gt;0,TEXT(H117,"(aaa)"),"")</f>
        <v/>
      </c>
    </row>
    <row r="118" ht="16.5" customFormat="1" customHeight="1" s="68">
      <c r="A118" s="66" t="n"/>
      <c r="B118" s="67" t="n"/>
      <c r="C118" s="68">
        <f>IF(B118&gt;0,TEXT(B118,"(aaa)"),"")</f>
        <v/>
      </c>
      <c r="D118" s="66" t="n"/>
      <c r="E118" s="67" t="n"/>
      <c r="F118" s="68">
        <f>IF(E118&gt;0,TEXT(E118,"(aaa)"),"")</f>
        <v/>
      </c>
      <c r="G118" s="66" t="n"/>
      <c r="H118" s="67" t="n"/>
      <c r="I118" s="68">
        <f>IF(H118&gt;0,TEXT(H118,"(aaa)"),"")</f>
        <v/>
      </c>
    </row>
    <row r="119" ht="16.5" customFormat="1" customHeight="1" s="68">
      <c r="A119" s="66" t="n"/>
      <c r="B119" s="67" t="n"/>
      <c r="C119" s="68">
        <f>IF(B119&gt;0,TEXT(B119,"(aaa)"),"")</f>
        <v/>
      </c>
      <c r="D119" s="66" t="n"/>
      <c r="E119" s="67" t="n"/>
      <c r="F119" s="68">
        <f>IF(E119&gt;0,TEXT(E119,"(aaa)"),"")</f>
        <v/>
      </c>
      <c r="G119" s="66" t="n"/>
      <c r="H119" s="67" t="n"/>
      <c r="I119" s="68">
        <f>IF(H119&gt;0,TEXT(H119,"(aaa)"),"")</f>
        <v/>
      </c>
    </row>
    <row r="120" ht="16.5" customFormat="1" customHeight="1" s="68">
      <c r="A120" s="66" t="n"/>
      <c r="B120" s="67" t="n"/>
      <c r="C120" s="68">
        <f>IF(B120&gt;0,TEXT(B120,"(aaa)"),"")</f>
        <v/>
      </c>
      <c r="D120" s="66" t="n"/>
      <c r="E120" s="67" t="n"/>
      <c r="F120" s="68">
        <f>IF(E120&gt;0,TEXT(E120,"(aaa)"),"")</f>
        <v/>
      </c>
      <c r="G120" s="66" t="n"/>
      <c r="H120" s="67" t="n"/>
      <c r="I120" s="68">
        <f>IF(H120&gt;0,TEXT(H120,"(aaa)"),"")</f>
        <v/>
      </c>
    </row>
    <row r="121" ht="16.5" customFormat="1" customHeight="1" s="68">
      <c r="A121" s="66" t="n"/>
      <c r="B121" s="67" t="n"/>
      <c r="C121" s="68">
        <f>IF(B121&gt;0,TEXT(B121,"(aaa)"),"")</f>
        <v/>
      </c>
      <c r="D121" s="66" t="n"/>
      <c r="E121" s="67" t="n"/>
      <c r="F121" s="68">
        <f>IF(E121&gt;0,TEXT(E121,"(aaa)"),"")</f>
        <v/>
      </c>
      <c r="G121" s="66" t="n"/>
      <c r="H121" s="67" t="n"/>
      <c r="I121" s="68">
        <f>IF(H121&gt;0,TEXT(H121,"(aaa)"),"")</f>
        <v/>
      </c>
    </row>
    <row r="122" ht="16.5" customFormat="1" customHeight="1" s="68">
      <c r="A122" s="66" t="n"/>
      <c r="B122" s="67" t="n"/>
      <c r="C122" s="68">
        <f>IF(B122&gt;0,TEXT(B122,"(aaa)"),"")</f>
        <v/>
      </c>
      <c r="D122" s="66" t="n"/>
      <c r="E122" s="67" t="n"/>
      <c r="F122" s="68">
        <f>IF(E122&gt;0,TEXT(E122,"(aaa)"),"")</f>
        <v/>
      </c>
      <c r="G122" s="66" t="n"/>
      <c r="H122" s="67" t="n"/>
      <c r="I122" s="68">
        <f>IF(H122&gt;0,TEXT(H122,"(aaa)"),"")</f>
        <v/>
      </c>
    </row>
    <row r="123" ht="16.5" customFormat="1" customHeight="1" s="68">
      <c r="A123" s="66" t="n"/>
      <c r="B123" s="67" t="n"/>
      <c r="C123" s="68">
        <f>IF(B123&gt;0,TEXT(B123,"(aaa)"),"")</f>
        <v/>
      </c>
      <c r="D123" s="66" t="n"/>
      <c r="E123" s="67" t="n"/>
      <c r="F123" s="68">
        <f>IF(E123&gt;0,TEXT(E123,"(aaa)"),"")</f>
        <v/>
      </c>
      <c r="G123" s="66" t="n"/>
      <c r="H123" s="67" t="n"/>
      <c r="I123" s="68">
        <f>IF(H123&gt;0,TEXT(H123,"(aaa)"),"")</f>
        <v/>
      </c>
    </row>
    <row r="124" ht="16.5" customFormat="1" customHeight="1" s="68">
      <c r="A124" s="66" t="n"/>
      <c r="B124" s="67" t="n"/>
      <c r="C124" s="68">
        <f>IF(B124&gt;0,TEXT(B124,"(aaa)"),"")</f>
        <v/>
      </c>
      <c r="D124" s="66" t="n"/>
      <c r="E124" s="67" t="n"/>
      <c r="F124" s="68">
        <f>IF(E124&gt;0,TEXT(E124,"(aaa)"),"")</f>
        <v/>
      </c>
      <c r="G124" s="66" t="n"/>
      <c r="H124" s="67" t="n"/>
      <c r="I124" s="68">
        <f>IF(H124&gt;0,TEXT(H124,"(aaa)"),"")</f>
        <v/>
      </c>
    </row>
    <row r="125" ht="16.5" customFormat="1" customHeight="1" s="68">
      <c r="A125" s="66" t="n"/>
      <c r="B125" s="67" t="n"/>
      <c r="C125" s="68">
        <f>IF(B125&gt;0,TEXT(B125,"(aaa)"),"")</f>
        <v/>
      </c>
      <c r="D125" s="66" t="n"/>
      <c r="E125" s="67" t="n"/>
      <c r="F125" s="68">
        <f>IF(E125&gt;0,TEXT(E125,"(aaa)"),"")</f>
        <v/>
      </c>
      <c r="G125" s="66" t="n"/>
      <c r="H125" s="67" t="n"/>
      <c r="I125" s="68">
        <f>IF(H125&gt;0,TEXT(H125,"(aaa)"),"")</f>
        <v/>
      </c>
    </row>
    <row r="126" ht="16.5" customFormat="1" customHeight="1" s="68">
      <c r="A126" s="66" t="n"/>
      <c r="B126" s="67" t="n"/>
      <c r="C126" s="68">
        <f>IF(B126&gt;0,TEXT(B126,"(aaa)"),"")</f>
        <v/>
      </c>
      <c r="D126" s="66" t="n"/>
      <c r="E126" s="67" t="n"/>
      <c r="F126" s="68">
        <f>IF(E126&gt;0,TEXT(E126,"(aaa)"),"")</f>
        <v/>
      </c>
      <c r="G126" s="66" t="n"/>
      <c r="H126" s="67" t="n"/>
      <c r="I126" s="68">
        <f>IF(H126&gt;0,TEXT(H126,"(aaa)"),"")</f>
        <v/>
      </c>
    </row>
    <row r="127" ht="16.5" customFormat="1" customHeight="1" s="68">
      <c r="A127" s="66" t="n"/>
      <c r="B127" s="67" t="n"/>
      <c r="C127" s="68">
        <f>IF(B127&gt;0,TEXT(B127,"(aaa)"),"")</f>
        <v/>
      </c>
      <c r="D127" s="66" t="n"/>
      <c r="E127" s="67" t="n"/>
      <c r="F127" s="68">
        <f>IF(E127&gt;0,TEXT(E127,"(aaa)"),"")</f>
        <v/>
      </c>
      <c r="G127" s="66" t="n"/>
      <c r="H127" s="67" t="n"/>
      <c r="I127" s="68">
        <f>IF(H127&gt;0,TEXT(H127,"(aaa)"),"")</f>
        <v/>
      </c>
    </row>
    <row r="128" ht="16.5" customFormat="1" customHeight="1" s="68">
      <c r="A128" s="66" t="n"/>
      <c r="B128" s="67" t="n"/>
      <c r="C128" s="68">
        <f>IF(B128&gt;0,TEXT(B128,"(aaa)"),"")</f>
        <v/>
      </c>
      <c r="D128" s="66" t="n"/>
      <c r="E128" s="67" t="n"/>
      <c r="F128" s="68">
        <f>IF(E128&gt;0,TEXT(E128,"(aaa)"),"")</f>
        <v/>
      </c>
      <c r="G128" s="66" t="n"/>
      <c r="H128" s="67" t="n"/>
      <c r="I128" s="68">
        <f>IF(H128&gt;0,TEXT(H128,"(aaa)"),"")</f>
        <v/>
      </c>
    </row>
    <row r="129" ht="16.5" customFormat="1" customHeight="1" s="68">
      <c r="A129" s="66" t="n"/>
      <c r="B129" s="67" t="n"/>
      <c r="C129" s="68">
        <f>IF(B129&gt;0,TEXT(B129,"(aaa)"),"")</f>
        <v/>
      </c>
      <c r="D129" s="66" t="n"/>
      <c r="E129" s="67" t="n"/>
      <c r="F129" s="68">
        <f>IF(E129&gt;0,TEXT(E129,"(aaa)"),"")</f>
        <v/>
      </c>
      <c r="G129" s="66" t="n"/>
      <c r="H129" s="67" t="n"/>
      <c r="I129" s="68">
        <f>IF(H129&gt;0,TEXT(H129,"(aaa)"),"")</f>
        <v/>
      </c>
    </row>
    <row r="130" ht="16.5" customFormat="1" customHeight="1" s="68">
      <c r="A130" s="66" t="n"/>
      <c r="B130" s="67" t="n"/>
      <c r="C130" s="68">
        <f>IF(B130&gt;0,TEXT(B130,"(aaa)"),"")</f>
        <v/>
      </c>
      <c r="D130" s="66" t="n"/>
      <c r="E130" s="67" t="n"/>
      <c r="F130" s="68">
        <f>IF(E130&gt;0,TEXT(E130,"(aaa)"),"")</f>
        <v/>
      </c>
      <c r="G130" s="66" t="n"/>
      <c r="H130" s="67" t="n"/>
      <c r="I130" s="68">
        <f>IF(H130&gt;0,TEXT(H130,"(aaa)"),"")</f>
        <v/>
      </c>
    </row>
    <row r="131" ht="16.5" customFormat="1" customHeight="1" s="68">
      <c r="A131" s="66" t="n"/>
      <c r="B131" s="67" t="n"/>
      <c r="C131" s="68">
        <f>IF(B131&gt;0,TEXT(B131,"(aaa)"),"")</f>
        <v/>
      </c>
      <c r="D131" s="66" t="n"/>
      <c r="E131" s="67" t="n"/>
      <c r="F131" s="68">
        <f>IF(E131&gt;0,TEXT(E131,"(aaa)"),"")</f>
        <v/>
      </c>
      <c r="G131" s="66" t="n"/>
      <c r="H131" s="67" t="n"/>
      <c r="I131" s="68">
        <f>IF(H131&gt;0,TEXT(H131,"(aaa)"),"")</f>
        <v/>
      </c>
    </row>
    <row r="132" ht="16.5" customFormat="1" customHeight="1" s="68">
      <c r="A132" s="66" t="n"/>
      <c r="B132" s="67" t="n"/>
      <c r="C132" s="68">
        <f>IF(B132&gt;0,TEXT(B132,"(aaa)"),"")</f>
        <v/>
      </c>
      <c r="D132" s="66" t="n"/>
      <c r="E132" s="67" t="n"/>
      <c r="F132" s="68">
        <f>IF(E132&gt;0,TEXT(E132,"(aaa)"),"")</f>
        <v/>
      </c>
      <c r="G132" s="66" t="n"/>
      <c r="H132" s="67" t="n"/>
      <c r="I132" s="68">
        <f>IF(H132&gt;0,TEXT(H132,"(aaa)"),"")</f>
        <v/>
      </c>
    </row>
    <row r="133" ht="16.5" customFormat="1" customHeight="1" s="68">
      <c r="A133" s="66" t="n"/>
      <c r="B133" s="67" t="n"/>
      <c r="C133" s="68">
        <f>IF(B133&gt;0,TEXT(B133,"(aaa)"),"")</f>
        <v/>
      </c>
      <c r="D133" s="66" t="n"/>
      <c r="E133" s="67" t="n"/>
      <c r="F133" s="68">
        <f>IF(E133&gt;0,TEXT(E133,"(aaa)"),"")</f>
        <v/>
      </c>
      <c r="G133" s="66" t="n"/>
      <c r="H133" s="67" t="n"/>
      <c r="I133" s="68">
        <f>IF(H133&gt;0,TEXT(H133,"(aaa)"),"")</f>
        <v/>
      </c>
    </row>
    <row r="134" ht="16.5" customFormat="1" customHeight="1" s="68">
      <c r="A134" s="66" t="n"/>
      <c r="B134" s="67" t="n"/>
      <c r="C134" s="68">
        <f>IF(B134&gt;0,TEXT(B134,"(aaa)"),"")</f>
        <v/>
      </c>
      <c r="D134" s="66" t="n"/>
      <c r="E134" s="67" t="n"/>
      <c r="F134" s="68">
        <f>IF(E134&gt;0,TEXT(E134,"(aaa)"),"")</f>
        <v/>
      </c>
      <c r="G134" s="66" t="n"/>
      <c r="H134" s="67" t="n"/>
      <c r="I134" s="68">
        <f>IF(H134&gt;0,TEXT(H134,"(aaa)"),"")</f>
        <v/>
      </c>
    </row>
    <row r="135" ht="16.5" customFormat="1" customHeight="1" s="68">
      <c r="A135" s="66" t="n"/>
      <c r="B135" s="67" t="n"/>
      <c r="C135" s="68">
        <f>IF(B135&gt;0,TEXT(B135,"(aaa)"),"")</f>
        <v/>
      </c>
      <c r="D135" s="66" t="n"/>
      <c r="E135" s="67" t="n"/>
      <c r="F135" s="68">
        <f>IF(E135&gt;0,TEXT(E135,"(aaa)"),"")</f>
        <v/>
      </c>
      <c r="G135" s="66" t="n"/>
      <c r="H135" s="67" t="n"/>
      <c r="I135" s="68">
        <f>IF(H135&gt;0,TEXT(H135,"(aaa)"),"")</f>
        <v/>
      </c>
    </row>
    <row r="136" ht="16.5" customFormat="1" customHeight="1" s="68">
      <c r="A136" s="66" t="n"/>
      <c r="B136" s="67" t="n"/>
      <c r="C136" s="68">
        <f>IF(B136&gt;0,TEXT(B136,"(aaa)"),"")</f>
        <v/>
      </c>
      <c r="D136" s="66" t="n"/>
      <c r="E136" s="67" t="n"/>
      <c r="F136" s="68">
        <f>IF(E136&gt;0,TEXT(E136,"(aaa)"),"")</f>
        <v/>
      </c>
      <c r="G136" s="66" t="n"/>
      <c r="H136" s="67" t="n"/>
      <c r="I136" s="68">
        <f>IF(H136&gt;0,TEXT(H136,"(aaa)"),"")</f>
        <v/>
      </c>
    </row>
    <row r="137" ht="16.5" customFormat="1" customHeight="1" s="68">
      <c r="A137" s="66" t="n"/>
      <c r="B137" s="67" t="n"/>
      <c r="C137" s="68">
        <f>IF(B137&gt;0,TEXT(B137,"(aaa)"),"")</f>
        <v/>
      </c>
      <c r="D137" s="66" t="n"/>
      <c r="E137" s="67" t="n"/>
      <c r="F137" s="68">
        <f>IF(E137&gt;0,TEXT(E137,"(aaa)"),"")</f>
        <v/>
      </c>
      <c r="G137" s="66" t="n"/>
      <c r="H137" s="67" t="n"/>
      <c r="I137" s="68">
        <f>IF(H137&gt;0,TEXT(H137,"(aaa)"),"")</f>
        <v/>
      </c>
    </row>
    <row r="138" ht="16.5" customFormat="1" customHeight="1" s="68">
      <c r="A138" s="66" t="n"/>
      <c r="B138" s="67" t="n"/>
      <c r="C138" s="68">
        <f>IF(B138&gt;0,TEXT(B138,"(aaa)"),"")</f>
        <v/>
      </c>
      <c r="D138" s="66" t="n"/>
      <c r="E138" s="67" t="n"/>
      <c r="F138" s="68">
        <f>IF(E138&gt;0,TEXT(E138,"(aaa)"),"")</f>
        <v/>
      </c>
      <c r="G138" s="66" t="n"/>
      <c r="H138" s="67" t="n"/>
      <c r="I138" s="68">
        <f>IF(H138&gt;0,TEXT(H138,"(aaa)"),"")</f>
        <v/>
      </c>
    </row>
    <row r="139" ht="16.5" customFormat="1" customHeight="1" s="68">
      <c r="A139" s="66" t="n"/>
      <c r="B139" s="67" t="n"/>
      <c r="C139" s="68">
        <f>IF(B139&gt;0,TEXT(B139,"(aaa)"),"")</f>
        <v/>
      </c>
      <c r="D139" s="66" t="n"/>
      <c r="E139" s="67" t="n"/>
      <c r="F139" s="68">
        <f>IF(E139&gt;0,TEXT(E139,"(aaa)"),"")</f>
        <v/>
      </c>
      <c r="G139" s="66" t="n"/>
      <c r="H139" s="67" t="n"/>
      <c r="I139" s="68">
        <f>IF(H139&gt;0,TEXT(H139,"(aaa)"),"")</f>
        <v/>
      </c>
    </row>
    <row r="140" ht="16.5" customFormat="1" customHeight="1" s="68">
      <c r="A140" s="66" t="n"/>
      <c r="B140" s="67" t="n"/>
      <c r="C140" s="68">
        <f>IF(B140&gt;0,TEXT(B140,"(aaa)"),"")</f>
        <v/>
      </c>
      <c r="D140" s="66" t="n"/>
      <c r="E140" s="67" t="n"/>
      <c r="F140" s="68">
        <f>IF(E140&gt;0,TEXT(E140,"(aaa)"),"")</f>
        <v/>
      </c>
      <c r="G140" s="66" t="n"/>
      <c r="H140" s="67" t="n"/>
      <c r="I140" s="68">
        <f>IF(H140&gt;0,TEXT(H140,"(aaa)"),"")</f>
        <v/>
      </c>
    </row>
    <row r="141" ht="16.5" customFormat="1" customHeight="1" s="68">
      <c r="A141" s="66" t="n"/>
      <c r="B141" s="67" t="n"/>
      <c r="C141" s="68">
        <f>IF(B141&gt;0,TEXT(B141,"(aaa)"),"")</f>
        <v/>
      </c>
      <c r="D141" s="66" t="n"/>
      <c r="E141" s="67" t="n"/>
      <c r="F141" s="68">
        <f>IF(E141&gt;0,TEXT(E141,"(aaa)"),"")</f>
        <v/>
      </c>
      <c r="G141" s="66" t="n"/>
      <c r="H141" s="67" t="n"/>
      <c r="I141" s="68">
        <f>IF(H141&gt;0,TEXT(H141,"(aaa)"),"")</f>
        <v/>
      </c>
    </row>
    <row r="142" ht="16.5" customFormat="1" customHeight="1" s="68">
      <c r="A142" s="66" t="n"/>
      <c r="B142" s="67" t="n"/>
      <c r="C142" s="68">
        <f>IF(B142&gt;0,TEXT(B142,"(aaa)"),"")</f>
        <v/>
      </c>
      <c r="D142" s="66" t="n"/>
      <c r="E142" s="67" t="n"/>
      <c r="F142" s="68">
        <f>IF(E142&gt;0,TEXT(E142,"(aaa)"),"")</f>
        <v/>
      </c>
      <c r="G142" s="66" t="n"/>
      <c r="H142" s="67" t="n"/>
      <c r="I142" s="68">
        <f>IF(H142&gt;0,TEXT(H142,"(aaa)"),"")</f>
        <v/>
      </c>
    </row>
    <row r="143" ht="16.5" customFormat="1" customHeight="1" s="68">
      <c r="A143" s="66" t="n"/>
      <c r="B143" s="67" t="n"/>
      <c r="C143" s="68">
        <f>IF(B143&gt;0,TEXT(B143,"(aaa)"),"")</f>
        <v/>
      </c>
      <c r="D143" s="66" t="n"/>
      <c r="E143" s="67" t="n"/>
      <c r="F143" s="68">
        <f>IF(E143&gt;0,TEXT(E143,"(aaa)"),"")</f>
        <v/>
      </c>
      <c r="G143" s="66" t="n"/>
      <c r="H143" s="67" t="n"/>
      <c r="I143" s="68">
        <f>IF(H143&gt;0,TEXT(H143,"(aaa)"),"")</f>
        <v/>
      </c>
    </row>
    <row r="144" ht="16.5" customFormat="1" customHeight="1" s="68">
      <c r="A144" s="66" t="n"/>
      <c r="B144" s="67" t="n"/>
      <c r="C144" s="68">
        <f>IF(B144&gt;0,TEXT(B144,"(aaa)"),"")</f>
        <v/>
      </c>
      <c r="D144" s="66" t="n"/>
      <c r="E144" s="67" t="n"/>
      <c r="F144" s="68">
        <f>IF(E144&gt;0,TEXT(E144,"(aaa)"),"")</f>
        <v/>
      </c>
      <c r="G144" s="66" t="n"/>
      <c r="H144" s="67" t="n"/>
      <c r="I144" s="68">
        <f>IF(H144&gt;0,TEXT(H144,"(aaa)"),"")</f>
        <v/>
      </c>
    </row>
    <row r="145" ht="16.5" customFormat="1" customHeight="1" s="68">
      <c r="A145" s="66" t="n"/>
      <c r="B145" s="67" t="n"/>
      <c r="C145" s="68">
        <f>IF(B145&gt;0,TEXT(B145,"(aaa)"),"")</f>
        <v/>
      </c>
      <c r="D145" s="66" t="n"/>
      <c r="E145" s="67" t="n"/>
      <c r="F145" s="68">
        <f>IF(E145&gt;0,TEXT(E145,"(aaa)"),"")</f>
        <v/>
      </c>
      <c r="G145" s="66" t="n"/>
      <c r="H145" s="67" t="n"/>
      <c r="I145" s="68">
        <f>IF(H145&gt;0,TEXT(H145,"(aaa)"),"")</f>
        <v/>
      </c>
    </row>
    <row r="146" ht="16.5" customFormat="1" customHeight="1" s="68">
      <c r="A146" s="66" t="n"/>
      <c r="B146" s="67" t="n"/>
      <c r="C146" s="68">
        <f>IF(B146&gt;0,TEXT(B146,"(aaa)"),"")</f>
        <v/>
      </c>
      <c r="D146" s="66" t="n"/>
      <c r="E146" s="67" t="n"/>
      <c r="F146" s="68">
        <f>IF(E146&gt;0,TEXT(E146,"(aaa)"),"")</f>
        <v/>
      </c>
      <c r="G146" s="66" t="n"/>
      <c r="H146" s="67" t="n"/>
      <c r="I146" s="68">
        <f>IF(H146&gt;0,TEXT(H146,"(aaa)"),"")</f>
        <v/>
      </c>
    </row>
    <row r="147" ht="16.5" customFormat="1" customHeight="1" s="68">
      <c r="A147" s="66" t="n"/>
      <c r="B147" s="67" t="n"/>
      <c r="C147" s="68">
        <f>IF(B147&gt;0,TEXT(B147,"(aaa)"),"")</f>
        <v/>
      </c>
      <c r="D147" s="66" t="n"/>
      <c r="E147" s="67" t="n"/>
      <c r="F147" s="68">
        <f>IF(E147&gt;0,TEXT(E147,"(aaa)"),"")</f>
        <v/>
      </c>
      <c r="G147" s="66" t="n"/>
      <c r="H147" s="67" t="n"/>
      <c r="I147" s="68">
        <f>IF(H147&gt;0,TEXT(H147,"(aaa)"),"")</f>
        <v/>
      </c>
    </row>
    <row r="148" ht="16.5" customFormat="1" customHeight="1" s="68">
      <c r="A148" s="66" t="n"/>
      <c r="B148" s="67" t="n"/>
      <c r="C148" s="68">
        <f>IF(B148&gt;0,TEXT(B148,"(aaa)"),"")</f>
        <v/>
      </c>
      <c r="D148" s="66" t="n"/>
      <c r="E148" s="67" t="n"/>
      <c r="F148" s="68">
        <f>IF(E148&gt;0,TEXT(E148,"(aaa)"),"")</f>
        <v/>
      </c>
      <c r="G148" s="66" t="n"/>
      <c r="H148" s="67" t="n"/>
      <c r="I148" s="68">
        <f>IF(H148&gt;0,TEXT(H148,"(aaa)"),"")</f>
        <v/>
      </c>
    </row>
    <row r="149" ht="16.5" customFormat="1" customHeight="1" s="68">
      <c r="A149" s="66" t="n"/>
      <c r="B149" s="67" t="n"/>
      <c r="C149" s="68">
        <f>IF(B149&gt;0,TEXT(B149,"(aaa)"),"")</f>
        <v/>
      </c>
      <c r="D149" s="66" t="n"/>
      <c r="E149" s="67" t="n"/>
      <c r="F149" s="68">
        <f>IF(E149&gt;0,TEXT(E149,"(aaa)"),"")</f>
        <v/>
      </c>
      <c r="G149" s="66" t="n"/>
      <c r="H149" s="67" t="n"/>
      <c r="I149" s="68">
        <f>IF(H149&gt;0,TEXT(H149,"(aaa)"),"")</f>
        <v/>
      </c>
    </row>
    <row r="150" ht="16.5" customFormat="1" customHeight="1" s="68">
      <c r="A150" s="66" t="n"/>
      <c r="B150" s="67" t="n"/>
      <c r="C150" s="68">
        <f>IF(B150&gt;0,TEXT(B150,"(aaa)"),"")</f>
        <v/>
      </c>
      <c r="D150" s="66" t="n"/>
      <c r="E150" s="67" t="n"/>
      <c r="F150" s="68">
        <f>IF(E150&gt;0,TEXT(E150,"(aaa)"),"")</f>
        <v/>
      </c>
      <c r="G150" s="66" t="n"/>
      <c r="H150" s="67" t="n"/>
      <c r="I150" s="68">
        <f>IF(H150&gt;0,TEXT(H150,"(aaa)"),"")</f>
        <v/>
      </c>
    </row>
    <row r="151" ht="16.5" customFormat="1" customHeight="1" s="68">
      <c r="A151" s="66" t="n"/>
      <c r="B151" s="67" t="n"/>
      <c r="C151" s="68">
        <f>IF(B151&gt;0,TEXT(B151,"(aaa)"),"")</f>
        <v/>
      </c>
      <c r="D151" s="66" t="n"/>
      <c r="E151" s="67" t="n"/>
      <c r="F151" s="68">
        <f>IF(E151&gt;0,TEXT(E151,"(aaa)"),"")</f>
        <v/>
      </c>
      <c r="G151" s="66" t="n"/>
      <c r="H151" s="67" t="n"/>
      <c r="I151" s="68">
        <f>IF(H151&gt;0,TEXT(H151,"(aaa)"),"")</f>
        <v/>
      </c>
    </row>
    <row r="152" ht="16.5" customFormat="1" customHeight="1" s="68">
      <c r="A152" s="66" t="n"/>
      <c r="B152" s="67" t="n"/>
      <c r="C152" s="68">
        <f>IF(B152&gt;0,TEXT(B152,"(aaa)"),"")</f>
        <v/>
      </c>
      <c r="D152" s="66" t="n"/>
      <c r="E152" s="67" t="n"/>
      <c r="F152" s="68">
        <f>IF(E152&gt;0,TEXT(E152,"(aaa)"),"")</f>
        <v/>
      </c>
      <c r="G152" s="66" t="n"/>
      <c r="H152" s="67" t="n"/>
      <c r="I152" s="68">
        <f>IF(H152&gt;0,TEXT(H152,"(aaa)"),"")</f>
        <v/>
      </c>
    </row>
    <row r="153" ht="16.5" customFormat="1" customHeight="1" s="68">
      <c r="A153" s="66" t="n"/>
      <c r="B153" s="67" t="n"/>
      <c r="C153" s="68">
        <f>IF(B153&gt;0,TEXT(B153,"(aaa)"),"")</f>
        <v/>
      </c>
      <c r="D153" s="66" t="n"/>
      <c r="E153" s="67" t="n"/>
      <c r="F153" s="68">
        <f>IF(E153&gt;0,TEXT(E153,"(aaa)"),"")</f>
        <v/>
      </c>
      <c r="G153" s="66" t="n"/>
      <c r="H153" s="67" t="n"/>
      <c r="I153" s="68">
        <f>IF(H153&gt;0,TEXT(H153,"(aaa)"),"")</f>
        <v/>
      </c>
    </row>
    <row r="154" ht="16.5" customFormat="1" customHeight="1" s="68">
      <c r="A154" s="66" t="n"/>
      <c r="B154" s="67" t="n"/>
      <c r="C154" s="68">
        <f>IF(B154&gt;0,TEXT(B154,"(aaa)"),"")</f>
        <v/>
      </c>
      <c r="D154" s="66" t="n"/>
      <c r="E154" s="67" t="n"/>
      <c r="F154" s="68">
        <f>IF(E154&gt;0,TEXT(E154,"(aaa)"),"")</f>
        <v/>
      </c>
      <c r="G154" s="66" t="n"/>
      <c r="H154" s="67" t="n"/>
      <c r="I154" s="68">
        <f>IF(H154&gt;0,TEXT(H154,"(aaa)"),"")</f>
        <v/>
      </c>
    </row>
    <row r="155" ht="16.5" customFormat="1" customHeight="1" s="68">
      <c r="A155" s="66" t="n"/>
      <c r="B155" s="67" t="n"/>
      <c r="C155" s="68">
        <f>IF(B155&gt;0,TEXT(B155,"(aaa)"),"")</f>
        <v/>
      </c>
      <c r="D155" s="66" t="n"/>
      <c r="E155" s="67" t="n"/>
      <c r="F155" s="68">
        <f>IF(E155&gt;0,TEXT(E155,"(aaa)"),"")</f>
        <v/>
      </c>
      <c r="G155" s="66" t="n"/>
      <c r="H155" s="67" t="n"/>
      <c r="I155" s="68">
        <f>IF(H155&gt;0,TEXT(H155,"(aaa)"),"")</f>
        <v/>
      </c>
    </row>
    <row r="156" ht="16.5" customFormat="1" customHeight="1" s="68">
      <c r="A156" s="66" t="n"/>
      <c r="B156" s="67" t="n"/>
      <c r="C156" s="68">
        <f>IF(B156&gt;0,TEXT(B156,"(aaa)"),"")</f>
        <v/>
      </c>
      <c r="D156" s="66" t="n"/>
      <c r="E156" s="67" t="n"/>
      <c r="F156" s="68">
        <f>IF(E156&gt;0,TEXT(E156,"(aaa)"),"")</f>
        <v/>
      </c>
      <c r="G156" s="66" t="n"/>
      <c r="H156" s="67" t="n"/>
      <c r="I156" s="68">
        <f>IF(H156&gt;0,TEXT(H156,"(aaa)"),"")</f>
        <v/>
      </c>
    </row>
    <row r="157" ht="16.5" customFormat="1" customHeight="1" s="68">
      <c r="A157" s="66" t="n"/>
      <c r="B157" s="67" t="n"/>
      <c r="C157" s="68">
        <f>IF(B157&gt;0,TEXT(B157,"(aaa)"),"")</f>
        <v/>
      </c>
      <c r="D157" s="66" t="n"/>
      <c r="E157" s="67" t="n"/>
      <c r="F157" s="68">
        <f>IF(E157&gt;0,TEXT(E157,"(aaa)"),"")</f>
        <v/>
      </c>
      <c r="G157" s="66" t="n"/>
      <c r="H157" s="67" t="n"/>
      <c r="I157" s="68">
        <f>IF(H157&gt;0,TEXT(H157,"(aaa)"),"")</f>
        <v/>
      </c>
    </row>
    <row r="158" ht="16.5" customFormat="1" customHeight="1" s="68">
      <c r="A158" s="66" t="n"/>
      <c r="B158" s="67" t="n"/>
      <c r="C158" s="68">
        <f>IF(B158&gt;0,TEXT(B158,"(aaa)"),"")</f>
        <v/>
      </c>
      <c r="D158" s="66" t="n"/>
      <c r="E158" s="67" t="n"/>
      <c r="F158" s="68">
        <f>IF(E158&gt;0,TEXT(E158,"(aaa)"),"")</f>
        <v/>
      </c>
      <c r="G158" s="66" t="n"/>
      <c r="H158" s="67" t="n"/>
      <c r="I158" s="68">
        <f>IF(H158&gt;0,TEXT(H158,"(aaa)"),"")</f>
        <v/>
      </c>
    </row>
    <row r="159" ht="16.5" customFormat="1" customHeight="1" s="68">
      <c r="A159" s="66" t="n"/>
      <c r="B159" s="67" t="n"/>
      <c r="C159" s="68">
        <f>IF(B159&gt;0,TEXT(B159,"(aaa)"),"")</f>
        <v/>
      </c>
      <c r="D159" s="66" t="n"/>
      <c r="E159" s="67" t="n"/>
      <c r="F159" s="68">
        <f>IF(E159&gt;0,TEXT(E159,"(aaa)"),"")</f>
        <v/>
      </c>
      <c r="G159" s="66" t="n"/>
      <c r="H159" s="67" t="n"/>
      <c r="I159" s="68">
        <f>IF(H159&gt;0,TEXT(H159,"(aaa)"),"")</f>
        <v/>
      </c>
    </row>
    <row r="160" ht="16.5" customFormat="1" customHeight="1" s="68">
      <c r="A160" s="66" t="n"/>
      <c r="B160" s="67" t="n"/>
      <c r="C160" s="68">
        <f>IF(B160&gt;0,TEXT(B160,"(aaa)"),"")</f>
        <v/>
      </c>
      <c r="D160" s="66" t="n"/>
      <c r="E160" s="67" t="n"/>
      <c r="F160" s="68">
        <f>IF(E160&gt;0,TEXT(E160,"(aaa)"),"")</f>
        <v/>
      </c>
      <c r="G160" s="66" t="n"/>
      <c r="H160" s="67" t="n"/>
      <c r="I160" s="68">
        <f>IF(H160&gt;0,TEXT(H160,"(aaa)"),"")</f>
        <v/>
      </c>
    </row>
    <row r="161" ht="16.5" customFormat="1" customHeight="1" s="68">
      <c r="A161" s="66" t="n"/>
      <c r="B161" s="67" t="n"/>
      <c r="C161" s="68">
        <f>IF(B161&gt;0,TEXT(B161,"(aaa)"),"")</f>
        <v/>
      </c>
      <c r="D161" s="66" t="n"/>
      <c r="E161" s="67" t="n"/>
      <c r="F161" s="68">
        <f>IF(E161&gt;0,TEXT(E161,"(aaa)"),"")</f>
        <v/>
      </c>
      <c r="G161" s="66" t="n"/>
      <c r="H161" s="67" t="n"/>
      <c r="I161" s="68">
        <f>IF(H161&gt;0,TEXT(H161,"(aaa)"),"")</f>
        <v/>
      </c>
    </row>
    <row r="162" ht="16.5" customFormat="1" customHeight="1" s="68">
      <c r="A162" s="66" t="n"/>
      <c r="B162" s="67" t="n"/>
      <c r="C162" s="68">
        <f>IF(B162&gt;0,TEXT(B162,"(aaa)"),"")</f>
        <v/>
      </c>
      <c r="D162" s="66" t="n"/>
      <c r="E162" s="67" t="n"/>
      <c r="F162" s="68">
        <f>IF(E162&gt;0,TEXT(E162,"(aaa)"),"")</f>
        <v/>
      </c>
      <c r="G162" s="66" t="n"/>
      <c r="H162" s="67" t="n"/>
      <c r="I162" s="68">
        <f>IF(H162&gt;0,TEXT(H162,"(aaa)"),"")</f>
        <v/>
      </c>
    </row>
    <row r="163" ht="16.5" customFormat="1" customHeight="1" s="68">
      <c r="A163" s="66" t="n"/>
      <c r="B163" s="67" t="n"/>
      <c r="C163" s="68">
        <f>IF(B163&gt;0,TEXT(B163,"(aaa)"),"")</f>
        <v/>
      </c>
      <c r="D163" s="66" t="n"/>
      <c r="E163" s="67" t="n"/>
      <c r="F163" s="68">
        <f>IF(E163&gt;0,TEXT(E163,"(aaa)"),"")</f>
        <v/>
      </c>
      <c r="G163" s="66" t="n"/>
      <c r="H163" s="67" t="n"/>
      <c r="I163" s="68">
        <f>IF(H163&gt;0,TEXT(H163,"(aaa)"),"")</f>
        <v/>
      </c>
    </row>
    <row r="164" ht="16.5" customFormat="1" customHeight="1" s="68">
      <c r="A164" s="66" t="n"/>
      <c r="B164" s="67" t="n"/>
      <c r="C164" s="68">
        <f>IF(B164&gt;0,TEXT(B164,"(aaa)"),"")</f>
        <v/>
      </c>
      <c r="D164" s="66" t="n"/>
      <c r="E164" s="67" t="n"/>
      <c r="F164" s="68">
        <f>IF(E164&gt;0,TEXT(E164,"(aaa)"),"")</f>
        <v/>
      </c>
      <c r="G164" s="66" t="n"/>
      <c r="H164" s="67" t="n"/>
      <c r="I164" s="68">
        <f>IF(H164&gt;0,TEXT(H164,"(aaa)"),"")</f>
        <v/>
      </c>
    </row>
    <row r="165" ht="16.5" customFormat="1" customHeight="1" s="68">
      <c r="A165" s="66" t="n"/>
      <c r="B165" s="67" t="n"/>
      <c r="C165" s="68">
        <f>IF(B165&gt;0,TEXT(B165,"(aaa)"),"")</f>
        <v/>
      </c>
      <c r="D165" s="66" t="n"/>
      <c r="E165" s="67" t="n"/>
      <c r="F165" s="68">
        <f>IF(E165&gt;0,TEXT(E165,"(aaa)"),"")</f>
        <v/>
      </c>
      <c r="G165" s="66" t="n"/>
      <c r="H165" s="67" t="n"/>
      <c r="I165" s="68">
        <f>IF(H165&gt;0,TEXT(H165,"(aaa)"),"")</f>
        <v/>
      </c>
    </row>
    <row r="166" ht="16.5" customFormat="1" customHeight="1" s="68">
      <c r="A166" s="66" t="n"/>
      <c r="B166" s="67" t="n"/>
      <c r="C166" s="68">
        <f>IF(B166&gt;0,TEXT(B166,"(aaa)"),"")</f>
        <v/>
      </c>
      <c r="D166" s="66" t="n"/>
      <c r="E166" s="67" t="n"/>
      <c r="F166" s="68">
        <f>IF(E166&gt;0,TEXT(E166,"(aaa)"),"")</f>
        <v/>
      </c>
      <c r="G166" s="66" t="n"/>
      <c r="H166" s="67" t="n"/>
      <c r="I166" s="68">
        <f>IF(H166&gt;0,TEXT(H166,"(aaa)"),"")</f>
        <v/>
      </c>
    </row>
    <row r="167" ht="16.5" customFormat="1" customHeight="1" s="68">
      <c r="A167" s="66" t="n"/>
      <c r="B167" s="67" t="n"/>
      <c r="C167" s="68">
        <f>IF(B167&gt;0,TEXT(B167,"(aaa)"),"")</f>
        <v/>
      </c>
      <c r="D167" s="66" t="n"/>
      <c r="E167" s="67" t="n"/>
      <c r="F167" s="68">
        <f>IF(E167&gt;0,TEXT(E167,"(aaa)"),"")</f>
        <v/>
      </c>
      <c r="G167" s="66" t="n"/>
      <c r="H167" s="67" t="n"/>
      <c r="I167" s="68">
        <f>IF(H167&gt;0,TEXT(H167,"(aaa)"),"")</f>
        <v/>
      </c>
    </row>
    <row r="168" ht="16.5" customFormat="1" customHeight="1" s="68">
      <c r="A168" s="66" t="n"/>
      <c r="B168" s="67" t="n"/>
      <c r="C168" s="68">
        <f>IF(B168&gt;0,TEXT(B168,"(aaa)"),"")</f>
        <v/>
      </c>
      <c r="D168" s="66" t="n"/>
      <c r="E168" s="67" t="n"/>
      <c r="F168" s="68">
        <f>IF(E168&gt;0,TEXT(E168,"(aaa)"),"")</f>
        <v/>
      </c>
      <c r="G168" s="66" t="n"/>
      <c r="H168" s="67" t="n"/>
      <c r="I168" s="68">
        <f>IF(H168&gt;0,TEXT(H168,"(aaa)"),"")</f>
        <v/>
      </c>
    </row>
    <row r="169" ht="16.5" customFormat="1" customHeight="1" s="68">
      <c r="A169" s="66" t="n"/>
      <c r="B169" s="67" t="n"/>
      <c r="C169" s="68">
        <f>IF(B169&gt;0,TEXT(B169,"(aaa)"),"")</f>
        <v/>
      </c>
      <c r="D169" s="66" t="n"/>
      <c r="E169" s="67" t="n"/>
      <c r="F169" s="68">
        <f>IF(E169&gt;0,TEXT(E169,"(aaa)"),"")</f>
        <v/>
      </c>
      <c r="G169" s="66" t="n"/>
      <c r="H169" s="67" t="n"/>
      <c r="I169" s="68">
        <f>IF(H169&gt;0,TEXT(H169,"(aaa)"),"")</f>
        <v/>
      </c>
    </row>
    <row r="170" ht="16.5" customFormat="1" customHeight="1" s="68">
      <c r="A170" s="66" t="n"/>
      <c r="B170" s="67" t="n"/>
      <c r="C170" s="68">
        <f>IF(B170&gt;0,TEXT(B170,"(aaa)"),"")</f>
        <v/>
      </c>
      <c r="D170" s="66" t="n"/>
      <c r="E170" s="67" t="n"/>
      <c r="F170" s="68">
        <f>IF(E170&gt;0,TEXT(E170,"(aaa)"),"")</f>
        <v/>
      </c>
      <c r="G170" s="66" t="n"/>
      <c r="H170" s="67" t="n"/>
      <c r="I170" s="68">
        <f>IF(H170&gt;0,TEXT(H170,"(aaa)"),"")</f>
        <v/>
      </c>
    </row>
    <row r="171" ht="16.5" customFormat="1" customHeight="1" s="68">
      <c r="A171" s="66" t="n"/>
      <c r="B171" s="67" t="n"/>
      <c r="C171" s="68">
        <f>IF(B171&gt;0,TEXT(B171,"(aaa)"),"")</f>
        <v/>
      </c>
      <c r="D171" s="66" t="n"/>
      <c r="E171" s="67" t="n"/>
      <c r="F171" s="68">
        <f>IF(E171&gt;0,TEXT(E171,"(aaa)"),"")</f>
        <v/>
      </c>
      <c r="G171" s="66" t="n"/>
      <c r="H171" s="67" t="n"/>
      <c r="I171" s="68">
        <f>IF(H171&gt;0,TEXT(H171,"(aaa)"),"")</f>
        <v/>
      </c>
    </row>
    <row r="172" ht="16.5" customFormat="1" customHeight="1" s="68">
      <c r="A172" s="66" t="n"/>
      <c r="B172" s="67" t="n"/>
      <c r="C172" s="68">
        <f>IF(B172&gt;0,TEXT(B172,"(aaa)"),"")</f>
        <v/>
      </c>
      <c r="D172" s="66" t="n"/>
      <c r="E172" s="67" t="n"/>
      <c r="F172" s="68">
        <f>IF(E172&gt;0,TEXT(E172,"(aaa)"),"")</f>
        <v/>
      </c>
      <c r="G172" s="66" t="n"/>
      <c r="H172" s="67" t="n"/>
      <c r="I172" s="68">
        <f>IF(H172&gt;0,TEXT(H172,"(aaa)"),"")</f>
        <v/>
      </c>
    </row>
    <row r="173" ht="16.5" customFormat="1" customHeight="1" s="68">
      <c r="A173" s="66" t="n"/>
      <c r="B173" s="67" t="n"/>
      <c r="C173" s="68">
        <f>IF(B173&gt;0,TEXT(B173,"(aaa)"),"")</f>
        <v/>
      </c>
      <c r="D173" s="66" t="n"/>
      <c r="E173" s="67" t="n"/>
      <c r="F173" s="68">
        <f>IF(E173&gt;0,TEXT(E173,"(aaa)"),"")</f>
        <v/>
      </c>
      <c r="G173" s="66" t="n"/>
      <c r="H173" s="67" t="n"/>
      <c r="I173" s="68">
        <f>IF(H173&gt;0,TEXT(H173,"(aaa)"),"")</f>
        <v/>
      </c>
    </row>
    <row r="174" ht="16.5" customFormat="1" customHeight="1" s="68">
      <c r="A174" s="66" t="n"/>
      <c r="B174" s="67" t="n"/>
      <c r="C174" s="68">
        <f>IF(B174&gt;0,TEXT(B174,"(aaa)"),"")</f>
        <v/>
      </c>
      <c r="D174" s="66" t="n"/>
      <c r="E174" s="67" t="n"/>
      <c r="F174" s="68">
        <f>IF(E174&gt;0,TEXT(E174,"(aaa)"),"")</f>
        <v/>
      </c>
      <c r="G174" s="66" t="n"/>
      <c r="H174" s="67" t="n"/>
      <c r="I174" s="68">
        <f>IF(H174&gt;0,TEXT(H174,"(aaa)"),"")</f>
        <v/>
      </c>
    </row>
    <row r="175" ht="16.5" customFormat="1" customHeight="1" s="68">
      <c r="A175" s="66" t="n"/>
      <c r="B175" s="67" t="n"/>
      <c r="C175" s="68">
        <f>IF(B175&gt;0,TEXT(B175,"(aaa)"),"")</f>
        <v/>
      </c>
      <c r="D175" s="66" t="n"/>
      <c r="E175" s="67" t="n"/>
      <c r="F175" s="68">
        <f>IF(E175&gt;0,TEXT(E175,"(aaa)"),"")</f>
        <v/>
      </c>
      <c r="G175" s="66" t="n"/>
      <c r="H175" s="67" t="n"/>
      <c r="I175" s="68">
        <f>IF(H175&gt;0,TEXT(H175,"(aaa)"),"")</f>
        <v/>
      </c>
    </row>
    <row r="176" ht="16.5" customFormat="1" customHeight="1" s="68">
      <c r="A176" s="66" t="n"/>
      <c r="B176" s="67" t="n"/>
      <c r="C176" s="68">
        <f>IF(B176&gt;0,TEXT(B176,"(aaa)"),"")</f>
        <v/>
      </c>
      <c r="D176" s="66" t="n"/>
      <c r="E176" s="67" t="n"/>
      <c r="F176" s="68">
        <f>IF(E176&gt;0,TEXT(E176,"(aaa)"),"")</f>
        <v/>
      </c>
      <c r="G176" s="66" t="n"/>
      <c r="H176" s="67" t="n"/>
      <c r="I176" s="68">
        <f>IF(H176&gt;0,TEXT(H176,"(aaa)"),"")</f>
        <v/>
      </c>
    </row>
    <row r="177" ht="16.5" customFormat="1" customHeight="1" s="68">
      <c r="A177" s="66" t="n"/>
      <c r="B177" s="67" t="n"/>
      <c r="C177" s="68">
        <f>IF(B177&gt;0,TEXT(B177,"(aaa)"),"")</f>
        <v/>
      </c>
      <c r="D177" s="66" t="n"/>
      <c r="E177" s="67" t="n"/>
      <c r="F177" s="68">
        <f>IF(E177&gt;0,TEXT(E177,"(aaa)"),"")</f>
        <v/>
      </c>
      <c r="G177" s="66" t="n"/>
      <c r="H177" s="67" t="n"/>
      <c r="I177" s="68">
        <f>IF(H177&gt;0,TEXT(H177,"(aaa)"),"")</f>
        <v/>
      </c>
    </row>
    <row r="178" ht="16.5" customFormat="1" customHeight="1" s="68">
      <c r="A178" s="66" t="n"/>
      <c r="B178" s="67" t="n"/>
      <c r="C178" s="68">
        <f>IF(B178&gt;0,TEXT(B178,"(aaa)"),"")</f>
        <v/>
      </c>
      <c r="D178" s="66" t="n"/>
      <c r="E178" s="67" t="n"/>
      <c r="F178" s="68">
        <f>IF(E178&gt;0,TEXT(E178,"(aaa)"),"")</f>
        <v/>
      </c>
      <c r="G178" s="66" t="n"/>
      <c r="H178" s="67" t="n"/>
      <c r="I178" s="68">
        <f>IF(H178&gt;0,TEXT(H178,"(aaa)"),"")</f>
        <v/>
      </c>
    </row>
    <row r="179" ht="16.5" customFormat="1" customHeight="1" s="68">
      <c r="A179" s="66" t="n"/>
      <c r="B179" s="67" t="n"/>
      <c r="C179" s="68">
        <f>IF(B179&gt;0,TEXT(B179,"(aaa)"),"")</f>
        <v/>
      </c>
      <c r="D179" s="66" t="n"/>
      <c r="E179" s="67" t="n"/>
      <c r="F179" s="68">
        <f>IF(E179&gt;0,TEXT(E179,"(aaa)"),"")</f>
        <v/>
      </c>
      <c r="G179" s="66" t="n"/>
      <c r="H179" s="67" t="n"/>
      <c r="I179" s="68">
        <f>IF(H179&gt;0,TEXT(H179,"(aaa)"),"")</f>
        <v/>
      </c>
    </row>
    <row r="180" ht="16.5" customFormat="1" customHeight="1" s="68">
      <c r="A180" s="66" t="n"/>
      <c r="B180" s="67" t="n"/>
      <c r="C180" s="68">
        <f>IF(B180&gt;0,TEXT(B180,"(aaa)"),"")</f>
        <v/>
      </c>
      <c r="D180" s="66" t="n"/>
      <c r="E180" s="67" t="n"/>
      <c r="F180" s="68">
        <f>IF(E180&gt;0,TEXT(E180,"(aaa)"),"")</f>
        <v/>
      </c>
      <c r="G180" s="66" t="n"/>
      <c r="H180" s="67" t="n"/>
      <c r="I180" s="68">
        <f>IF(H180&gt;0,TEXT(H180,"(aaa)"),"")</f>
        <v/>
      </c>
    </row>
    <row r="181" ht="16.5" customFormat="1" customHeight="1" s="68">
      <c r="A181" s="66" t="n"/>
      <c r="B181" s="67" t="n"/>
      <c r="C181" s="68">
        <f>IF(B181&gt;0,TEXT(B181,"(aaa)"),"")</f>
        <v/>
      </c>
      <c r="D181" s="66" t="n"/>
      <c r="E181" s="67" t="n"/>
      <c r="F181" s="68">
        <f>IF(E181&gt;0,TEXT(E181,"(aaa)"),"")</f>
        <v/>
      </c>
      <c r="G181" s="66" t="n"/>
      <c r="H181" s="67" t="n"/>
      <c r="I181" s="68">
        <f>IF(H181&gt;0,TEXT(H181,"(aaa)"),"")</f>
        <v/>
      </c>
    </row>
    <row r="182" ht="16.5" customFormat="1" customHeight="1" s="68">
      <c r="A182" s="66" t="n"/>
      <c r="B182" s="67" t="n"/>
      <c r="C182" s="68">
        <f>IF(B182&gt;0,TEXT(B182,"(aaa)"),"")</f>
        <v/>
      </c>
      <c r="D182" s="66" t="n"/>
      <c r="E182" s="67" t="n"/>
      <c r="F182" s="68">
        <f>IF(E182&gt;0,TEXT(E182,"(aaa)"),"")</f>
        <v/>
      </c>
      <c r="G182" s="66" t="n"/>
      <c r="H182" s="67" t="n"/>
      <c r="I182" s="68">
        <f>IF(H182&gt;0,TEXT(H182,"(aaa)"),"")</f>
        <v/>
      </c>
    </row>
    <row r="183" ht="16.5" customFormat="1" customHeight="1" s="68">
      <c r="A183" s="66" t="n"/>
      <c r="B183" s="67" t="n"/>
      <c r="C183" s="68">
        <f>IF(B183&gt;0,TEXT(B183,"(aaa)"),"")</f>
        <v/>
      </c>
      <c r="D183" s="66" t="n"/>
      <c r="E183" s="67" t="n"/>
      <c r="F183" s="68">
        <f>IF(E183&gt;0,TEXT(E183,"(aaa)"),"")</f>
        <v/>
      </c>
      <c r="G183" s="66" t="n"/>
      <c r="H183" s="67" t="n"/>
      <c r="I183" s="68">
        <f>IF(H183&gt;0,TEXT(H183,"(aaa)"),"")</f>
        <v/>
      </c>
    </row>
    <row r="184" ht="16.5" customFormat="1" customHeight="1" s="68">
      <c r="A184" s="66" t="n"/>
      <c r="B184" s="67" t="n"/>
      <c r="C184" s="68">
        <f>IF(B184&gt;0,TEXT(B184,"(aaa)"),"")</f>
        <v/>
      </c>
      <c r="D184" s="66" t="n"/>
      <c r="E184" s="67" t="n"/>
      <c r="F184" s="68">
        <f>IF(E184&gt;0,TEXT(E184,"(aaa)"),"")</f>
        <v/>
      </c>
      <c r="G184" s="66" t="n"/>
      <c r="H184" s="67" t="n"/>
      <c r="I184" s="68">
        <f>IF(H184&gt;0,TEXT(H184,"(aaa)"),"")</f>
        <v/>
      </c>
    </row>
    <row r="185" ht="16.5" customFormat="1" customHeight="1" s="68">
      <c r="A185" s="66" t="n"/>
      <c r="B185" s="67" t="n"/>
      <c r="C185" s="68">
        <f>IF(B185&gt;0,TEXT(B185,"(aaa)"),"")</f>
        <v/>
      </c>
      <c r="D185" s="66" t="n"/>
      <c r="E185" s="67" t="n"/>
      <c r="F185" s="68">
        <f>IF(E185&gt;0,TEXT(E185,"(aaa)"),"")</f>
        <v/>
      </c>
      <c r="G185" s="66" t="n"/>
      <c r="H185" s="67" t="n"/>
      <c r="I185" s="68">
        <f>IF(H185&gt;0,TEXT(H185,"(aaa)"),"")</f>
        <v/>
      </c>
    </row>
    <row r="186" ht="16.5" customFormat="1" customHeight="1" s="68">
      <c r="A186" s="66" t="n"/>
      <c r="B186" s="67" t="n"/>
      <c r="C186" s="68">
        <f>IF(B186&gt;0,TEXT(B186,"(aaa)"),"")</f>
        <v/>
      </c>
      <c r="D186" s="66" t="n"/>
      <c r="E186" s="67" t="n"/>
      <c r="F186" s="68">
        <f>IF(E186&gt;0,TEXT(E186,"(aaa)"),"")</f>
        <v/>
      </c>
      <c r="G186" s="66" t="n"/>
      <c r="H186" s="67" t="n"/>
      <c r="I186" s="68">
        <f>IF(H186&gt;0,TEXT(H186,"(aaa)"),"")</f>
        <v/>
      </c>
    </row>
    <row r="187" ht="16.5" customFormat="1" customHeight="1" s="68">
      <c r="A187" s="66" t="n"/>
      <c r="B187" s="67" t="n"/>
      <c r="C187" s="68">
        <f>IF(B187&gt;0,TEXT(B187,"(aaa)"),"")</f>
        <v/>
      </c>
      <c r="D187" s="66" t="n"/>
      <c r="E187" s="67" t="n"/>
      <c r="F187" s="68">
        <f>IF(E187&gt;0,TEXT(E187,"(aaa)"),"")</f>
        <v/>
      </c>
      <c r="G187" s="66" t="n"/>
      <c r="H187" s="67" t="n"/>
      <c r="I187" s="68">
        <f>IF(H187&gt;0,TEXT(H187,"(aaa)"),"")</f>
        <v/>
      </c>
    </row>
    <row r="188" ht="16.5" customFormat="1" customHeight="1" s="68">
      <c r="A188" s="66" t="n"/>
      <c r="B188" s="67" t="n"/>
      <c r="C188" s="68">
        <f>IF(B188&gt;0,TEXT(B188,"(aaa)"),"")</f>
        <v/>
      </c>
      <c r="D188" s="66" t="n"/>
      <c r="E188" s="67" t="n"/>
      <c r="F188" s="68">
        <f>IF(E188&gt;0,TEXT(E188,"(aaa)"),"")</f>
        <v/>
      </c>
      <c r="G188" s="66" t="n"/>
      <c r="H188" s="67" t="n"/>
      <c r="I188" s="68">
        <f>IF(H188&gt;0,TEXT(H188,"(aaa)"),"")</f>
        <v/>
      </c>
    </row>
    <row r="189" ht="16.5" customFormat="1" customHeight="1" s="68">
      <c r="A189" s="66" t="n"/>
      <c r="B189" s="67" t="n"/>
      <c r="C189" s="68">
        <f>IF(B189&gt;0,TEXT(B189,"(aaa)"),"")</f>
        <v/>
      </c>
      <c r="D189" s="66" t="n"/>
      <c r="E189" s="67" t="n"/>
      <c r="F189" s="68">
        <f>IF(E189&gt;0,TEXT(E189,"(aaa)"),"")</f>
        <v/>
      </c>
      <c r="G189" s="66" t="n"/>
      <c r="H189" s="67" t="n"/>
      <c r="I189" s="68">
        <f>IF(H189&gt;0,TEXT(H189,"(aaa)"),"")</f>
        <v/>
      </c>
    </row>
    <row r="190" ht="16.5" customFormat="1" customHeight="1" s="68">
      <c r="A190" s="66" t="n"/>
      <c r="B190" s="67" t="n"/>
      <c r="C190" s="68">
        <f>IF(B190&gt;0,TEXT(B190,"(aaa)"),"")</f>
        <v/>
      </c>
      <c r="D190" s="66" t="n"/>
      <c r="E190" s="67" t="n"/>
      <c r="F190" s="68">
        <f>IF(E190&gt;0,TEXT(E190,"(aaa)"),"")</f>
        <v/>
      </c>
      <c r="G190" s="66" t="n"/>
      <c r="H190" s="67" t="n"/>
      <c r="I190" s="68">
        <f>IF(H190&gt;0,TEXT(H190,"(aaa)"),"")</f>
        <v/>
      </c>
    </row>
    <row r="191" ht="16.5" customFormat="1" customHeight="1" s="68">
      <c r="A191" s="66" t="n"/>
      <c r="B191" s="67" t="n"/>
      <c r="C191" s="68">
        <f>IF(B191&gt;0,TEXT(B191,"(aaa)"),"")</f>
        <v/>
      </c>
      <c r="D191" s="66" t="n"/>
      <c r="E191" s="67" t="n"/>
      <c r="F191" s="68">
        <f>IF(E191&gt;0,TEXT(E191,"(aaa)"),"")</f>
        <v/>
      </c>
      <c r="G191" s="66" t="n"/>
      <c r="H191" s="67" t="n"/>
      <c r="I191" s="68">
        <f>IF(H191&gt;0,TEXT(H191,"(aaa)"),"")</f>
        <v/>
      </c>
    </row>
    <row r="192" ht="16.5" customFormat="1" customHeight="1" s="68">
      <c r="A192" s="66" t="n"/>
      <c r="B192" s="67" t="n"/>
      <c r="C192" s="68">
        <f>IF(B192&gt;0,TEXT(B192,"(aaa)"),"")</f>
        <v/>
      </c>
      <c r="D192" s="66" t="n"/>
      <c r="E192" s="67" t="n"/>
      <c r="F192" s="68">
        <f>IF(E192&gt;0,TEXT(E192,"(aaa)"),"")</f>
        <v/>
      </c>
      <c r="G192" s="66" t="n"/>
      <c r="H192" s="67" t="n"/>
      <c r="I192" s="68">
        <f>IF(H192&gt;0,TEXT(H192,"(aaa)"),"")</f>
        <v/>
      </c>
    </row>
    <row r="193" ht="16.5" customFormat="1" customHeight="1" s="68">
      <c r="A193" s="66" t="n"/>
      <c r="B193" s="67" t="n"/>
      <c r="C193" s="68">
        <f>IF(B193&gt;0,TEXT(B193,"(aaa)"),"")</f>
        <v/>
      </c>
      <c r="D193" s="66" t="n"/>
      <c r="E193" s="67" t="n"/>
      <c r="F193" s="68">
        <f>IF(E193&gt;0,TEXT(E193,"(aaa)"),"")</f>
        <v/>
      </c>
      <c r="G193" s="66" t="n"/>
      <c r="H193" s="67" t="n"/>
      <c r="I193" s="68">
        <f>IF(H193&gt;0,TEXT(H193,"(aaa)"),"")</f>
        <v/>
      </c>
    </row>
    <row r="194" ht="16.5" customFormat="1" customHeight="1" s="68">
      <c r="A194" s="66" t="n"/>
      <c r="B194" s="67" t="n"/>
      <c r="C194" s="68">
        <f>IF(B194&gt;0,TEXT(B194,"(aaa)"),"")</f>
        <v/>
      </c>
      <c r="D194" s="66" t="n"/>
      <c r="E194" s="67" t="n"/>
      <c r="F194" s="68">
        <f>IF(E194&gt;0,TEXT(E194,"(aaa)"),"")</f>
        <v/>
      </c>
      <c r="G194" s="66" t="n"/>
      <c r="H194" s="67" t="n"/>
      <c r="I194" s="68">
        <f>IF(H194&gt;0,TEXT(H194,"(aaa)"),"")</f>
        <v/>
      </c>
    </row>
    <row r="195" ht="16.5" customFormat="1" customHeight="1" s="68">
      <c r="A195" s="66" t="n"/>
      <c r="B195" s="67" t="n"/>
      <c r="C195" s="68">
        <f>IF(B195&gt;0,TEXT(B195,"(aaa)"),"")</f>
        <v/>
      </c>
      <c r="D195" s="66" t="n"/>
      <c r="E195" s="67" t="n"/>
      <c r="F195" s="68">
        <f>IF(E195&gt;0,TEXT(E195,"(aaa)"),"")</f>
        <v/>
      </c>
      <c r="G195" s="66" t="n"/>
      <c r="H195" s="67" t="n"/>
      <c r="I195" s="68">
        <f>IF(H195&gt;0,TEXT(H195,"(aaa)"),"")</f>
        <v/>
      </c>
    </row>
    <row r="196" ht="16.5" customFormat="1" customHeight="1" s="68">
      <c r="A196" s="66" t="n"/>
      <c r="B196" s="67" t="n"/>
      <c r="C196" s="68">
        <f>IF(B196&gt;0,TEXT(B196,"(aaa)"),"")</f>
        <v/>
      </c>
      <c r="D196" s="66" t="n"/>
      <c r="E196" s="67" t="n"/>
      <c r="F196" s="68">
        <f>IF(E196&gt;0,TEXT(E196,"(aaa)"),"")</f>
        <v/>
      </c>
      <c r="G196" s="66" t="n"/>
      <c r="H196" s="67" t="n"/>
      <c r="I196" s="68">
        <f>IF(H196&gt;0,TEXT(H196,"(aaa)"),"")</f>
        <v/>
      </c>
    </row>
    <row r="197" ht="16.5" customFormat="1" customHeight="1" s="68">
      <c r="A197" s="66" t="n"/>
      <c r="B197" s="67" t="n"/>
      <c r="C197" s="68">
        <f>IF(B197&gt;0,TEXT(B197,"(aaa)"),"")</f>
        <v/>
      </c>
      <c r="D197" s="66" t="n"/>
      <c r="E197" s="67" t="n"/>
      <c r="F197" s="68">
        <f>IF(E197&gt;0,TEXT(E197,"(aaa)"),"")</f>
        <v/>
      </c>
      <c r="G197" s="66" t="n"/>
      <c r="H197" s="67" t="n"/>
      <c r="I197" s="68">
        <f>IF(H197&gt;0,TEXT(H197,"(aaa)"),"")</f>
        <v/>
      </c>
    </row>
    <row r="198" ht="16.5" customFormat="1" customHeight="1" s="68">
      <c r="A198" s="66" t="n"/>
      <c r="B198" s="67" t="n"/>
      <c r="C198" s="68">
        <f>IF(B198&gt;0,TEXT(B198,"(aaa)"),"")</f>
        <v/>
      </c>
      <c r="D198" s="66" t="n"/>
      <c r="E198" s="67" t="n"/>
      <c r="F198" s="68">
        <f>IF(E198&gt;0,TEXT(E198,"(aaa)"),"")</f>
        <v/>
      </c>
      <c r="G198" s="66" t="n"/>
      <c r="H198" s="67" t="n"/>
      <c r="I198" s="68">
        <f>IF(H198&gt;0,TEXT(H198,"(aaa)"),"")</f>
        <v/>
      </c>
    </row>
    <row r="199" ht="16.5" customFormat="1" customHeight="1" s="68">
      <c r="A199" s="66" t="n"/>
      <c r="B199" s="67" t="n"/>
      <c r="C199" s="68">
        <f>IF(B199&gt;0,TEXT(B199,"(aaa)"),"")</f>
        <v/>
      </c>
      <c r="D199" s="66" t="n"/>
      <c r="E199" s="67" t="n"/>
      <c r="F199" s="68">
        <f>IF(E199&gt;0,TEXT(E199,"(aaa)"),"")</f>
        <v/>
      </c>
      <c r="G199" s="66" t="n"/>
      <c r="H199" s="67" t="n"/>
      <c r="I199" s="68">
        <f>IF(H199&gt;0,TEXT(H199,"(aaa)"),"")</f>
        <v/>
      </c>
    </row>
    <row r="200" ht="16.5" customFormat="1" customHeight="1" s="68">
      <c r="A200" s="66" t="n"/>
      <c r="B200" s="67" t="n"/>
      <c r="C200" s="68">
        <f>IF(B200&gt;0,TEXT(B200,"(aaa)"),"")</f>
        <v/>
      </c>
      <c r="D200" s="66" t="n"/>
      <c r="E200" s="67" t="n"/>
      <c r="F200" s="68">
        <f>IF(E200&gt;0,TEXT(E200,"(aaa)"),"")</f>
        <v/>
      </c>
      <c r="G200" s="66" t="n"/>
      <c r="H200" s="67" t="n"/>
      <c r="I200" s="68">
        <f>IF(H200&gt;0,TEXT(H200,"(aaa)"),"")</f>
        <v/>
      </c>
    </row>
    <row r="201" ht="16.5" customFormat="1" customHeight="1" s="68">
      <c r="A201" s="66" t="n"/>
      <c r="B201" s="67" t="n"/>
      <c r="C201" s="68">
        <f>IF(B201&gt;0,TEXT(B201,"(aaa)"),"")</f>
        <v/>
      </c>
      <c r="D201" s="66" t="n"/>
      <c r="E201" s="67" t="n"/>
      <c r="F201" s="68">
        <f>IF(E201&gt;0,TEXT(E201,"(aaa)"),"")</f>
        <v/>
      </c>
      <c r="G201" s="66" t="n"/>
      <c r="H201" s="67" t="n"/>
      <c r="I201" s="68">
        <f>IF(H201&gt;0,TEXT(H201,"(aaa)"),"")</f>
        <v/>
      </c>
    </row>
    <row r="202" ht="16.5" customFormat="1" customHeight="1" s="68">
      <c r="A202" s="66" t="n"/>
      <c r="B202" s="67" t="n"/>
      <c r="C202" s="68">
        <f>IF(B202&gt;0,TEXT(B202,"(aaa)"),"")</f>
        <v/>
      </c>
      <c r="D202" s="66" t="n"/>
      <c r="E202" s="67" t="n"/>
      <c r="F202" s="68">
        <f>IF(E202&gt;0,TEXT(E202,"(aaa)"),"")</f>
        <v/>
      </c>
      <c r="G202" s="66" t="n"/>
      <c r="H202" s="67" t="n"/>
      <c r="I202" s="68">
        <f>IF(H202&gt;0,TEXT(H202,"(aaa)"),"")</f>
        <v/>
      </c>
    </row>
    <row r="203" ht="16.5" customFormat="1" customHeight="1" s="68">
      <c r="A203" s="66" t="n"/>
      <c r="B203" s="67" t="n"/>
      <c r="C203" s="68">
        <f>IF(B203&gt;0,TEXT(B203,"(aaa)"),"")</f>
        <v/>
      </c>
      <c r="D203" s="66" t="n"/>
      <c r="E203" s="67" t="n"/>
      <c r="F203" s="68">
        <f>IF(E203&gt;0,TEXT(E203,"(aaa)"),"")</f>
        <v/>
      </c>
      <c r="G203" s="66" t="n"/>
      <c r="H203" s="67" t="n"/>
      <c r="I203" s="68">
        <f>IF(H203&gt;0,TEXT(H203,"(aaa)"),"")</f>
        <v/>
      </c>
    </row>
    <row r="204" ht="16.5" customFormat="1" customHeight="1" s="68">
      <c r="A204" s="66" t="n"/>
      <c r="B204" s="67" t="n"/>
      <c r="C204" s="68">
        <f>IF(B204&gt;0,TEXT(B204,"(aaa)"),"")</f>
        <v/>
      </c>
      <c r="D204" s="66" t="n"/>
      <c r="E204" s="67" t="n"/>
      <c r="F204" s="68">
        <f>IF(E204&gt;0,TEXT(E204,"(aaa)"),"")</f>
        <v/>
      </c>
      <c r="G204" s="66" t="n"/>
      <c r="H204" s="67" t="n"/>
      <c r="I204" s="68">
        <f>IF(H204&gt;0,TEXT(H204,"(aaa)"),"")</f>
        <v/>
      </c>
    </row>
    <row r="205" ht="16.5" customFormat="1" customHeight="1" s="68">
      <c r="A205" s="66" t="n"/>
      <c r="B205" s="67" t="n"/>
      <c r="C205" s="68">
        <f>IF(B205&gt;0,TEXT(B205,"(aaa)"),"")</f>
        <v/>
      </c>
      <c r="D205" s="66" t="n"/>
      <c r="E205" s="67" t="n"/>
      <c r="F205" s="68">
        <f>IF(E205&gt;0,TEXT(E205,"(aaa)"),"")</f>
        <v/>
      </c>
      <c r="G205" s="66" t="n"/>
      <c r="H205" s="67" t="n"/>
      <c r="I205" s="68">
        <f>IF(H205&gt;0,TEXT(H205,"(aaa)"),"")</f>
        <v/>
      </c>
    </row>
    <row r="206" ht="16.5" customFormat="1" customHeight="1" s="68">
      <c r="A206" s="66" t="n"/>
      <c r="B206" s="67" t="n"/>
      <c r="C206" s="68">
        <f>IF(B206&gt;0,TEXT(B206,"(aaa)"),"")</f>
        <v/>
      </c>
      <c r="D206" s="66" t="n"/>
      <c r="E206" s="67" t="n"/>
      <c r="F206" s="68">
        <f>IF(E206&gt;0,TEXT(E206,"(aaa)"),"")</f>
        <v/>
      </c>
      <c r="G206" s="66" t="n"/>
      <c r="H206" s="67" t="n"/>
      <c r="I206" s="68">
        <f>IF(H206&gt;0,TEXT(H206,"(aaa)"),"")</f>
        <v/>
      </c>
    </row>
    <row r="207" ht="16.5" customFormat="1" customHeight="1" s="68">
      <c r="A207" s="66" t="n"/>
      <c r="B207" s="67" t="n"/>
      <c r="C207" s="68">
        <f>IF(B207&gt;0,TEXT(B207,"(aaa)"),"")</f>
        <v/>
      </c>
      <c r="D207" s="66" t="n"/>
      <c r="E207" s="67" t="n"/>
      <c r="F207" s="68">
        <f>IF(E207&gt;0,TEXT(E207,"(aaa)"),"")</f>
        <v/>
      </c>
      <c r="G207" s="66" t="n"/>
      <c r="H207" s="67" t="n"/>
      <c r="I207" s="68">
        <f>IF(H207&gt;0,TEXT(H207,"(aaa)"),"")</f>
        <v/>
      </c>
    </row>
    <row r="208" ht="16.5" customFormat="1" customHeight="1" s="68">
      <c r="A208" s="66" t="n"/>
      <c r="B208" s="67" t="n"/>
      <c r="C208" s="68">
        <f>IF(B208&gt;0,TEXT(B208,"(aaa)"),"")</f>
        <v/>
      </c>
      <c r="D208" s="66" t="n"/>
      <c r="E208" s="67" t="n"/>
      <c r="F208" s="68">
        <f>IF(E208&gt;0,TEXT(E208,"(aaa)"),"")</f>
        <v/>
      </c>
      <c r="G208" s="66" t="n"/>
      <c r="H208" s="67" t="n"/>
      <c r="I208" s="68">
        <f>IF(H208&gt;0,TEXT(H208,"(aaa)"),"")</f>
        <v/>
      </c>
    </row>
    <row r="209" ht="16.5" customFormat="1" customHeight="1" s="68">
      <c r="A209" s="66" t="n"/>
      <c r="B209" s="67" t="n"/>
      <c r="C209" s="68">
        <f>IF(B209&gt;0,TEXT(B209,"(aaa)"),"")</f>
        <v/>
      </c>
      <c r="D209" s="66" t="n"/>
      <c r="E209" s="67" t="n"/>
      <c r="F209" s="68">
        <f>IF(E209&gt;0,TEXT(E209,"(aaa)"),"")</f>
        <v/>
      </c>
      <c r="G209" s="66" t="n"/>
      <c r="H209" s="67" t="n"/>
      <c r="I209" s="68">
        <f>IF(H209&gt;0,TEXT(H209,"(aaa)"),"")</f>
        <v/>
      </c>
    </row>
    <row r="210" ht="16.5" customFormat="1" customHeight="1" s="68">
      <c r="A210" s="66" t="n"/>
      <c r="B210" s="67" t="n"/>
      <c r="C210" s="68">
        <f>IF(B210&gt;0,TEXT(B210,"(aaa)"),"")</f>
        <v/>
      </c>
      <c r="D210" s="66" t="n"/>
      <c r="E210" s="67" t="n"/>
      <c r="F210" s="68">
        <f>IF(E210&gt;0,TEXT(E210,"(aaa)"),"")</f>
        <v/>
      </c>
      <c r="G210" s="66" t="n"/>
      <c r="H210" s="67" t="n"/>
      <c r="I210" s="68">
        <f>IF(H210&gt;0,TEXT(H210,"(aaa)"),"")</f>
        <v/>
      </c>
    </row>
    <row r="211" ht="16.5" customFormat="1" customHeight="1" s="68">
      <c r="A211" s="66" t="n"/>
      <c r="B211" s="67" t="n"/>
      <c r="C211" s="68">
        <f>IF(B211&gt;0,TEXT(B211,"(aaa)"),"")</f>
        <v/>
      </c>
      <c r="D211" s="66" t="n"/>
      <c r="E211" s="67" t="n"/>
      <c r="F211" s="68">
        <f>IF(E211&gt;0,TEXT(E211,"(aaa)"),"")</f>
        <v/>
      </c>
      <c r="G211" s="66" t="n"/>
      <c r="H211" s="67" t="n"/>
      <c r="I211" s="68">
        <f>IF(H211&gt;0,TEXT(H211,"(aaa)"),"")</f>
        <v/>
      </c>
    </row>
    <row r="212" ht="16.5" customFormat="1" customHeight="1" s="68">
      <c r="A212" s="66" t="n"/>
      <c r="B212" s="67" t="n"/>
      <c r="C212" s="68">
        <f>IF(B212&gt;0,TEXT(B212,"(aaa)"),"")</f>
        <v/>
      </c>
      <c r="D212" s="66" t="n"/>
      <c r="E212" s="67" t="n"/>
      <c r="F212" s="68">
        <f>IF(E212&gt;0,TEXT(E212,"(aaa)"),"")</f>
        <v/>
      </c>
      <c r="G212" s="66" t="n"/>
      <c r="H212" s="67" t="n"/>
      <c r="I212" s="68">
        <f>IF(H212&gt;0,TEXT(H212,"(aaa)"),"")</f>
        <v/>
      </c>
    </row>
    <row r="213" ht="16.5" customFormat="1" customHeight="1" s="68">
      <c r="A213" s="66" t="n"/>
      <c r="B213" s="67" t="n"/>
      <c r="C213" s="68">
        <f>IF(B213&gt;0,TEXT(B213,"(aaa)"),"")</f>
        <v/>
      </c>
      <c r="D213" s="66" t="n"/>
      <c r="E213" s="67" t="n"/>
      <c r="F213" s="68">
        <f>IF(E213&gt;0,TEXT(E213,"(aaa)"),"")</f>
        <v/>
      </c>
      <c r="G213" s="66" t="n"/>
      <c r="H213" s="67" t="n"/>
      <c r="I213" s="68">
        <f>IF(H213&gt;0,TEXT(H213,"(aaa)"),"")</f>
        <v/>
      </c>
    </row>
    <row r="214" ht="16.5" customFormat="1" customHeight="1" s="68">
      <c r="A214" s="66" t="n"/>
      <c r="B214" s="67" t="n"/>
      <c r="C214" s="68">
        <f>IF(B214&gt;0,TEXT(B214,"(aaa)"),"")</f>
        <v/>
      </c>
      <c r="D214" s="66" t="n"/>
      <c r="E214" s="67" t="n"/>
      <c r="F214" s="68">
        <f>IF(E214&gt;0,TEXT(E214,"(aaa)"),"")</f>
        <v/>
      </c>
      <c r="G214" s="66" t="n"/>
      <c r="H214" s="67" t="n"/>
      <c r="I214" s="68">
        <f>IF(H214&gt;0,TEXT(H214,"(aaa)"),"")</f>
        <v/>
      </c>
    </row>
    <row r="215" ht="16.5" customFormat="1" customHeight="1" s="68">
      <c r="A215" s="66" t="n"/>
      <c r="B215" s="67" t="n"/>
      <c r="C215" s="68">
        <f>IF(B215&gt;0,TEXT(B215,"(aaa)"),"")</f>
        <v/>
      </c>
      <c r="D215" s="66" t="n"/>
      <c r="E215" s="67" t="n"/>
      <c r="F215" s="68">
        <f>IF(E215&gt;0,TEXT(E215,"(aaa)"),"")</f>
        <v/>
      </c>
      <c r="G215" s="66" t="n"/>
      <c r="H215" s="67" t="n"/>
      <c r="I215" s="68">
        <f>IF(H215&gt;0,TEXT(H215,"(aaa)"),"")</f>
        <v/>
      </c>
    </row>
    <row r="216" ht="16.5" customFormat="1" customHeight="1" s="68">
      <c r="A216" s="66" t="n"/>
      <c r="B216" s="67" t="n"/>
      <c r="C216" s="68">
        <f>IF(B216&gt;0,TEXT(B216,"(aaa)"),"")</f>
        <v/>
      </c>
      <c r="D216" s="66" t="n"/>
      <c r="E216" s="67" t="n"/>
      <c r="F216" s="68">
        <f>IF(E216&gt;0,TEXT(E216,"(aaa)"),"")</f>
        <v/>
      </c>
      <c r="G216" s="66" t="n"/>
      <c r="H216" s="67" t="n"/>
      <c r="I216" s="68">
        <f>IF(H216&gt;0,TEXT(H216,"(aaa)"),"")</f>
        <v/>
      </c>
    </row>
    <row r="217" ht="16.5" customFormat="1" customHeight="1" s="68">
      <c r="A217" s="66" t="n"/>
      <c r="B217" s="67" t="n"/>
      <c r="C217" s="68">
        <f>IF(B217&gt;0,TEXT(B217,"(aaa)"),"")</f>
        <v/>
      </c>
      <c r="D217" s="66" t="n"/>
      <c r="E217" s="67" t="n"/>
      <c r="F217" s="68">
        <f>IF(E217&gt;0,TEXT(E217,"(aaa)"),"")</f>
        <v/>
      </c>
      <c r="G217" s="66" t="n"/>
      <c r="H217" s="67" t="n"/>
      <c r="I217" s="68">
        <f>IF(H217&gt;0,TEXT(H217,"(aaa)"),"")</f>
        <v/>
      </c>
    </row>
    <row r="218" ht="16.5" customFormat="1" customHeight="1" s="68">
      <c r="A218" s="66" t="n"/>
      <c r="B218" s="67" t="n"/>
      <c r="C218" s="68">
        <f>IF(B218&gt;0,TEXT(B218,"(aaa)"),"")</f>
        <v/>
      </c>
      <c r="D218" s="66" t="n"/>
      <c r="E218" s="67" t="n"/>
      <c r="F218" s="68">
        <f>IF(E218&gt;0,TEXT(E218,"(aaa)"),"")</f>
        <v/>
      </c>
      <c r="G218" s="66" t="n"/>
      <c r="H218" s="67" t="n"/>
      <c r="I218" s="68">
        <f>IF(H218&gt;0,TEXT(H218,"(aaa)"),"")</f>
        <v/>
      </c>
    </row>
    <row r="219" ht="16.5" customFormat="1" customHeight="1" s="68">
      <c r="A219" s="66" t="n"/>
      <c r="B219" s="67" t="n"/>
      <c r="C219" s="68">
        <f>IF(B219&gt;0,TEXT(B219,"(aaa)"),"")</f>
        <v/>
      </c>
      <c r="D219" s="66" t="n"/>
      <c r="E219" s="67" t="n"/>
      <c r="F219" s="68">
        <f>IF(E219&gt;0,TEXT(E219,"(aaa)"),"")</f>
        <v/>
      </c>
      <c r="G219" s="66" t="n"/>
      <c r="H219" s="67" t="n"/>
      <c r="I219" s="68">
        <f>IF(H219&gt;0,TEXT(H219,"(aaa)"),"")</f>
        <v/>
      </c>
    </row>
    <row r="220" ht="16.5" customFormat="1" customHeight="1" s="68">
      <c r="A220" s="66" t="n"/>
      <c r="B220" s="67" t="n"/>
      <c r="C220" s="68">
        <f>IF(B220&gt;0,TEXT(B220,"(aaa)"),"")</f>
        <v/>
      </c>
      <c r="D220" s="66" t="n"/>
      <c r="E220" s="67" t="n"/>
      <c r="F220" s="68">
        <f>IF(E220&gt;0,TEXT(E220,"(aaa)"),"")</f>
        <v/>
      </c>
      <c r="G220" s="66" t="n"/>
      <c r="H220" s="67" t="n"/>
      <c r="I220" s="68">
        <f>IF(H220&gt;0,TEXT(H220,"(aaa)"),"")</f>
        <v/>
      </c>
    </row>
    <row r="221" ht="16.5" customFormat="1" customHeight="1" s="68">
      <c r="A221" s="66" t="n"/>
      <c r="B221" s="67" t="n"/>
      <c r="C221" s="68">
        <f>IF(B221&gt;0,TEXT(B221,"(aaa)"),"")</f>
        <v/>
      </c>
      <c r="D221" s="66" t="n"/>
      <c r="E221" s="67" t="n"/>
      <c r="F221" s="68">
        <f>IF(E221&gt;0,TEXT(E221,"(aaa)"),"")</f>
        <v/>
      </c>
      <c r="G221" s="66" t="n"/>
      <c r="H221" s="67" t="n"/>
      <c r="I221" s="68">
        <f>IF(H221&gt;0,TEXT(H221,"(aaa)"),"")</f>
        <v/>
      </c>
    </row>
    <row r="222" ht="16.5" customFormat="1" customHeight="1" s="68">
      <c r="A222" s="66" t="n"/>
      <c r="B222" s="67" t="n"/>
      <c r="C222" s="68">
        <f>IF(B222&gt;0,TEXT(B222,"(aaa)"),"")</f>
        <v/>
      </c>
      <c r="D222" s="66" t="n"/>
      <c r="E222" s="67" t="n"/>
      <c r="F222" s="68">
        <f>IF(E222&gt;0,TEXT(E222,"(aaa)"),"")</f>
        <v/>
      </c>
      <c r="G222" s="66" t="n"/>
      <c r="H222" s="67" t="n"/>
      <c r="I222" s="68">
        <f>IF(H222&gt;0,TEXT(H222,"(aaa)"),"")</f>
        <v/>
      </c>
    </row>
    <row r="223" ht="16.5" customFormat="1" customHeight="1" s="68">
      <c r="A223" s="66" t="n"/>
      <c r="B223" s="67" t="n"/>
      <c r="C223" s="68">
        <f>IF(B223&gt;0,TEXT(B223,"(aaa)"),"")</f>
        <v/>
      </c>
      <c r="D223" s="66" t="n"/>
      <c r="E223" s="67" t="n"/>
      <c r="F223" s="68">
        <f>IF(E223&gt;0,TEXT(E223,"(aaa)"),"")</f>
        <v/>
      </c>
      <c r="G223" s="66" t="n"/>
      <c r="H223" s="67" t="n"/>
      <c r="I223" s="68">
        <f>IF(H223&gt;0,TEXT(H223,"(aaa)"),"")</f>
        <v/>
      </c>
    </row>
    <row r="224" ht="16.5" customFormat="1" customHeight="1" s="68">
      <c r="A224" s="66" t="n"/>
      <c r="B224" s="67" t="n"/>
      <c r="C224" s="68">
        <f>IF(B224&gt;0,TEXT(B224,"(aaa)"),"")</f>
        <v/>
      </c>
      <c r="D224" s="66" t="n"/>
      <c r="E224" s="67" t="n"/>
      <c r="F224" s="68">
        <f>IF(E224&gt;0,TEXT(E224,"(aaa)"),"")</f>
        <v/>
      </c>
      <c r="G224" s="66" t="n"/>
      <c r="H224" s="67" t="n"/>
      <c r="I224" s="68">
        <f>IF(H224&gt;0,TEXT(H224,"(aaa)"),"")</f>
        <v/>
      </c>
    </row>
    <row r="225" ht="16.5" customFormat="1" customHeight="1" s="68">
      <c r="A225" s="66" t="n"/>
      <c r="B225" s="67" t="n"/>
      <c r="C225" s="68">
        <f>IF(B225&gt;0,TEXT(B225,"(aaa)"),"")</f>
        <v/>
      </c>
      <c r="D225" s="66" t="n"/>
      <c r="E225" s="67" t="n"/>
      <c r="F225" s="68">
        <f>IF(E225&gt;0,TEXT(E225,"(aaa)"),"")</f>
        <v/>
      </c>
      <c r="G225" s="66" t="n"/>
      <c r="H225" s="67" t="n"/>
      <c r="I225" s="68">
        <f>IF(H225&gt;0,TEXT(H225,"(aaa)"),"")</f>
        <v/>
      </c>
    </row>
    <row r="226" ht="16.5" customFormat="1" customHeight="1" s="68">
      <c r="A226" s="66" t="n"/>
      <c r="B226" s="67" t="n"/>
      <c r="C226" s="68">
        <f>IF(B226&gt;0,TEXT(B226,"(aaa)"),"")</f>
        <v/>
      </c>
      <c r="D226" s="66" t="n"/>
      <c r="E226" s="67" t="n"/>
      <c r="F226" s="68">
        <f>IF(E226&gt;0,TEXT(E226,"(aaa)"),"")</f>
        <v/>
      </c>
      <c r="G226" s="66" t="n"/>
      <c r="H226" s="67" t="n"/>
      <c r="I226" s="68">
        <f>IF(H226&gt;0,TEXT(H226,"(aaa)"),"")</f>
        <v/>
      </c>
    </row>
    <row r="227" ht="16.5" customFormat="1" customHeight="1" s="68">
      <c r="A227" s="66" t="n"/>
      <c r="B227" s="67" t="n"/>
      <c r="C227" s="68">
        <f>IF(B227&gt;0,TEXT(B227,"(aaa)"),"")</f>
        <v/>
      </c>
      <c r="D227" s="66" t="n"/>
      <c r="E227" s="67" t="n"/>
      <c r="F227" s="68">
        <f>IF(E227&gt;0,TEXT(E227,"(aaa)"),"")</f>
        <v/>
      </c>
      <c r="G227" s="66" t="n"/>
      <c r="H227" s="67" t="n"/>
      <c r="I227" s="68">
        <f>IF(H227&gt;0,TEXT(H227,"(aaa)"),"")</f>
        <v/>
      </c>
    </row>
    <row r="228" ht="16.5" customFormat="1" customHeight="1" s="68">
      <c r="A228" s="66" t="n"/>
      <c r="B228" s="67" t="n"/>
      <c r="C228" s="68">
        <f>IF(B228&gt;0,TEXT(B228,"(aaa)"),"")</f>
        <v/>
      </c>
      <c r="D228" s="66" t="n"/>
      <c r="E228" s="67" t="n"/>
      <c r="F228" s="68">
        <f>IF(E228&gt;0,TEXT(E228,"(aaa)"),"")</f>
        <v/>
      </c>
      <c r="G228" s="66" t="n"/>
      <c r="H228" s="67" t="n"/>
      <c r="I228" s="68">
        <f>IF(H228&gt;0,TEXT(H228,"(aaa)"),"")</f>
        <v/>
      </c>
    </row>
    <row r="229" ht="16.5" customFormat="1" customHeight="1" s="68">
      <c r="A229" s="66" t="n"/>
      <c r="B229" s="67" t="n"/>
      <c r="C229" s="68">
        <f>IF(B229&gt;0,TEXT(B229,"(aaa)"),"")</f>
        <v/>
      </c>
      <c r="D229" s="66" t="n"/>
      <c r="E229" s="67" t="n"/>
      <c r="F229" s="68">
        <f>IF(E229&gt;0,TEXT(E229,"(aaa)"),"")</f>
        <v/>
      </c>
      <c r="G229" s="66" t="n"/>
      <c r="H229" s="67" t="n"/>
      <c r="I229" s="68">
        <f>IF(H229&gt;0,TEXT(H229,"(aaa)"),"")</f>
        <v/>
      </c>
    </row>
    <row r="230" ht="16.5" customFormat="1" customHeight="1" s="68">
      <c r="A230" s="66" t="n"/>
      <c r="B230" s="67" t="n"/>
      <c r="C230" s="68">
        <f>IF(B230&gt;0,TEXT(B230,"(aaa)"),"")</f>
        <v/>
      </c>
      <c r="D230" s="66" t="n"/>
      <c r="E230" s="67" t="n"/>
      <c r="F230" s="68">
        <f>IF(E230&gt;0,TEXT(E230,"(aaa)"),"")</f>
        <v/>
      </c>
      <c r="G230" s="66" t="n"/>
      <c r="H230" s="67" t="n"/>
      <c r="I230" s="68">
        <f>IF(H230&gt;0,TEXT(H230,"(aaa)"),"")</f>
        <v/>
      </c>
    </row>
    <row r="231" ht="16.5" customFormat="1" customHeight="1" s="68">
      <c r="A231" s="66" t="n"/>
      <c r="B231" s="67" t="n"/>
      <c r="C231" s="68">
        <f>IF(B231&gt;0,TEXT(B231,"(aaa)"),"")</f>
        <v/>
      </c>
      <c r="D231" s="66" t="n"/>
      <c r="E231" s="67" t="n"/>
      <c r="F231" s="68">
        <f>IF(E231&gt;0,TEXT(E231,"(aaa)"),"")</f>
        <v/>
      </c>
      <c r="G231" s="66" t="n"/>
      <c r="H231" s="67" t="n"/>
      <c r="I231" s="68">
        <f>IF(H231&gt;0,TEXT(H231,"(aaa)"),"")</f>
        <v/>
      </c>
    </row>
    <row r="232" ht="16.5" customFormat="1" customHeight="1" s="68">
      <c r="A232" s="66" t="n"/>
      <c r="B232" s="67" t="n"/>
      <c r="C232" s="68">
        <f>IF(B232&gt;0,TEXT(B232,"(aaa)"),"")</f>
        <v/>
      </c>
      <c r="D232" s="66" t="n"/>
      <c r="E232" s="67" t="n"/>
      <c r="F232" s="68">
        <f>IF(E232&gt;0,TEXT(E232,"(aaa)"),"")</f>
        <v/>
      </c>
      <c r="G232" s="66" t="n"/>
      <c r="H232" s="67" t="n"/>
      <c r="I232" s="68">
        <f>IF(H232&gt;0,TEXT(H232,"(aaa)"),"")</f>
        <v/>
      </c>
    </row>
    <row r="233" ht="16.5" customFormat="1" customHeight="1" s="68">
      <c r="A233" s="66" t="n"/>
      <c r="B233" s="67" t="n"/>
      <c r="C233" s="68">
        <f>IF(B233&gt;0,TEXT(B233,"(aaa)"),"")</f>
        <v/>
      </c>
      <c r="D233" s="66" t="n"/>
      <c r="E233" s="67" t="n"/>
      <c r="F233" s="68">
        <f>IF(E233&gt;0,TEXT(E233,"(aaa)"),"")</f>
        <v/>
      </c>
      <c r="G233" s="66" t="n"/>
      <c r="H233" s="67" t="n"/>
      <c r="I233" s="68">
        <f>IF(H233&gt;0,TEXT(H233,"(aaa)"),"")</f>
        <v/>
      </c>
    </row>
    <row r="234" ht="16.5" customFormat="1" customHeight="1" s="68">
      <c r="A234" s="66" t="n"/>
      <c r="B234" s="67" t="n"/>
      <c r="C234" s="68">
        <f>IF(B234&gt;0,TEXT(B234,"(aaa)"),"")</f>
        <v/>
      </c>
      <c r="D234" s="66" t="n"/>
      <c r="E234" s="67" t="n"/>
      <c r="F234" s="68">
        <f>IF(E234&gt;0,TEXT(E234,"(aaa)"),"")</f>
        <v/>
      </c>
      <c r="G234" s="66" t="n"/>
      <c r="H234" s="67" t="n"/>
      <c r="I234" s="68">
        <f>IF(H234&gt;0,TEXT(H234,"(aaa)"),"")</f>
        <v/>
      </c>
    </row>
    <row r="235" ht="16.5" customFormat="1" customHeight="1" s="68">
      <c r="A235" s="66" t="n"/>
      <c r="B235" s="67" t="n"/>
      <c r="C235" s="68">
        <f>IF(B235&gt;0,TEXT(B235,"(aaa)"),"")</f>
        <v/>
      </c>
      <c r="D235" s="66" t="n"/>
      <c r="E235" s="67" t="n"/>
      <c r="F235" s="68">
        <f>IF(E235&gt;0,TEXT(E235,"(aaa)"),"")</f>
        <v/>
      </c>
      <c r="G235" s="66" t="n"/>
      <c r="H235" s="67" t="n"/>
      <c r="I235" s="68">
        <f>IF(H235&gt;0,TEXT(H235,"(aaa)"),"")</f>
        <v/>
      </c>
    </row>
    <row r="236" ht="16.5" customFormat="1" customHeight="1" s="68">
      <c r="A236" s="66" t="n"/>
      <c r="B236" s="67" t="n"/>
      <c r="C236" s="68">
        <f>IF(B236&gt;0,TEXT(B236,"(aaa)"),"")</f>
        <v/>
      </c>
      <c r="D236" s="66" t="n"/>
      <c r="E236" s="67" t="n"/>
      <c r="F236" s="68">
        <f>IF(E236&gt;0,TEXT(E236,"(aaa)"),"")</f>
        <v/>
      </c>
      <c r="G236" s="66" t="n"/>
      <c r="H236" s="67" t="n"/>
      <c r="I236" s="68">
        <f>IF(H236&gt;0,TEXT(H236,"(aaa)"),"")</f>
        <v/>
      </c>
    </row>
    <row r="237" ht="16.5" customFormat="1" customHeight="1" s="68">
      <c r="A237" s="66" t="n"/>
      <c r="B237" s="67" t="n"/>
      <c r="C237" s="68">
        <f>IF(B237&gt;0,TEXT(B237,"(aaa)"),"")</f>
        <v/>
      </c>
      <c r="D237" s="66" t="n"/>
      <c r="E237" s="67" t="n"/>
      <c r="F237" s="68">
        <f>IF(E237&gt;0,TEXT(E237,"(aaa)"),"")</f>
        <v/>
      </c>
      <c r="G237" s="66" t="n"/>
      <c r="H237" s="67" t="n"/>
      <c r="I237" s="68">
        <f>IF(H237&gt;0,TEXT(H237,"(aaa)"),"")</f>
        <v/>
      </c>
    </row>
    <row r="238" ht="16.5" customFormat="1" customHeight="1" s="68">
      <c r="A238" s="66" t="n"/>
      <c r="B238" s="67" t="n"/>
      <c r="C238" s="68">
        <f>IF(B238&gt;0,TEXT(B238,"(aaa)"),"")</f>
        <v/>
      </c>
      <c r="D238" s="66" t="n"/>
      <c r="E238" s="67" t="n"/>
      <c r="F238" s="68">
        <f>IF(E238&gt;0,TEXT(E238,"(aaa)"),"")</f>
        <v/>
      </c>
      <c r="G238" s="66" t="n"/>
      <c r="H238" s="67" t="n"/>
      <c r="I238" s="68">
        <f>IF(H238&gt;0,TEXT(H238,"(aaa)"),"")</f>
        <v/>
      </c>
    </row>
    <row r="239" ht="16.5" customFormat="1" customHeight="1" s="68">
      <c r="A239" s="66" t="n"/>
      <c r="B239" s="67" t="n"/>
      <c r="C239" s="68">
        <f>IF(B239&gt;0,TEXT(B239,"(aaa)"),"")</f>
        <v/>
      </c>
      <c r="D239" s="66" t="n"/>
      <c r="E239" s="67" t="n"/>
      <c r="F239" s="68">
        <f>IF(E239&gt;0,TEXT(E239,"(aaa)"),"")</f>
        <v/>
      </c>
      <c r="G239" s="66" t="n"/>
      <c r="H239" s="67" t="n"/>
      <c r="I239" s="68">
        <f>IF(H239&gt;0,TEXT(H239,"(aaa)"),"")</f>
        <v/>
      </c>
    </row>
    <row r="240" ht="16.5" customFormat="1" customHeight="1" s="68">
      <c r="A240" s="66" t="n"/>
      <c r="B240" s="67" t="n"/>
      <c r="C240" s="68">
        <f>IF(B240&gt;0,TEXT(B240,"(aaa)"),"")</f>
        <v/>
      </c>
      <c r="D240" s="66" t="n"/>
      <c r="E240" s="67" t="n"/>
      <c r="F240" s="68">
        <f>IF(E240&gt;0,TEXT(E240,"(aaa)"),"")</f>
        <v/>
      </c>
      <c r="G240" s="66" t="n"/>
      <c r="H240" s="67" t="n"/>
      <c r="I240" s="68">
        <f>IF(H240&gt;0,TEXT(H240,"(aaa)"),"")</f>
        <v/>
      </c>
    </row>
    <row r="241" ht="16.5" customFormat="1" customHeight="1" s="68">
      <c r="A241" s="66" t="n"/>
      <c r="B241" s="67" t="n"/>
      <c r="C241" s="68">
        <f>IF(B241&gt;0,TEXT(B241,"(aaa)"),"")</f>
        <v/>
      </c>
      <c r="D241" s="66" t="n"/>
      <c r="E241" s="67" t="n"/>
      <c r="F241" s="68">
        <f>IF(E241&gt;0,TEXT(E241,"(aaa)"),"")</f>
        <v/>
      </c>
      <c r="G241" s="66" t="n"/>
      <c r="H241" s="67" t="n"/>
      <c r="I241" s="68">
        <f>IF(H241&gt;0,TEXT(H241,"(aaa)"),"")</f>
        <v/>
      </c>
    </row>
    <row r="242" ht="16.5" customFormat="1" customHeight="1" s="68">
      <c r="A242" s="66" t="n"/>
      <c r="B242" s="67" t="n"/>
      <c r="C242" s="68">
        <f>IF(B242&gt;0,TEXT(B242,"(aaa)"),"")</f>
        <v/>
      </c>
      <c r="D242" s="66" t="n"/>
      <c r="E242" s="67" t="n"/>
      <c r="F242" s="68">
        <f>IF(E242&gt;0,TEXT(E242,"(aaa)"),"")</f>
        <v/>
      </c>
      <c r="G242" s="66" t="n"/>
      <c r="H242" s="67" t="n"/>
      <c r="I242" s="68">
        <f>IF(H242&gt;0,TEXT(H242,"(aaa)"),"")</f>
        <v/>
      </c>
    </row>
    <row r="243" ht="16.5" customFormat="1" customHeight="1" s="68">
      <c r="A243" s="66" t="n"/>
      <c r="B243" s="67" t="n"/>
      <c r="C243" s="68">
        <f>IF(B243&gt;0,TEXT(B243,"(aaa)"),"")</f>
        <v/>
      </c>
      <c r="D243" s="66" t="n"/>
      <c r="E243" s="67" t="n"/>
      <c r="F243" s="68">
        <f>IF(E243&gt;0,TEXT(E243,"(aaa)"),"")</f>
        <v/>
      </c>
      <c r="G243" s="66" t="n"/>
      <c r="H243" s="67" t="n"/>
      <c r="I243" s="68">
        <f>IF(H243&gt;0,TEXT(H243,"(aaa)"),"")</f>
        <v/>
      </c>
    </row>
    <row r="244" ht="16.5" customFormat="1" customHeight="1" s="68">
      <c r="A244" s="66" t="n"/>
      <c r="B244" s="67" t="n"/>
      <c r="C244" s="68">
        <f>IF(B244&gt;0,TEXT(B244,"(aaa)"),"")</f>
        <v/>
      </c>
      <c r="D244" s="66" t="n"/>
      <c r="E244" s="67" t="n"/>
      <c r="F244" s="68">
        <f>IF(E244&gt;0,TEXT(E244,"(aaa)"),"")</f>
        <v/>
      </c>
      <c r="G244" s="66" t="n"/>
      <c r="H244" s="67" t="n"/>
      <c r="I244" s="68">
        <f>IF(H244&gt;0,TEXT(H244,"(aaa)"),"")</f>
        <v/>
      </c>
    </row>
    <row r="245" ht="16.5" customFormat="1" customHeight="1" s="68">
      <c r="A245" s="66" t="n"/>
      <c r="B245" s="67" t="n"/>
      <c r="C245" s="68">
        <f>IF(B245&gt;0,TEXT(B245,"(aaa)"),"")</f>
        <v/>
      </c>
      <c r="D245" s="66" t="n"/>
      <c r="E245" s="67" t="n"/>
      <c r="F245" s="68">
        <f>IF(E245&gt;0,TEXT(E245,"(aaa)"),"")</f>
        <v/>
      </c>
      <c r="G245" s="66" t="n"/>
      <c r="H245" s="67" t="n"/>
      <c r="I245" s="68">
        <f>IF(H245&gt;0,TEXT(H245,"(aaa)"),"")</f>
        <v/>
      </c>
    </row>
    <row r="246" ht="16.5" customFormat="1" customHeight="1" s="68">
      <c r="A246" s="66" t="n"/>
      <c r="B246" s="67" t="n"/>
      <c r="C246" s="68">
        <f>IF(B246&gt;0,TEXT(B246,"(aaa)"),"")</f>
        <v/>
      </c>
      <c r="D246" s="66" t="n"/>
      <c r="E246" s="67" t="n"/>
      <c r="F246" s="68">
        <f>IF(E246&gt;0,TEXT(E246,"(aaa)"),"")</f>
        <v/>
      </c>
      <c r="G246" s="66" t="n"/>
      <c r="H246" s="67" t="n"/>
      <c r="I246" s="68">
        <f>IF(H246&gt;0,TEXT(H246,"(aaa)"),"")</f>
        <v/>
      </c>
    </row>
    <row r="247" ht="16.5" customFormat="1" customHeight="1" s="68">
      <c r="A247" s="66" t="n"/>
      <c r="B247" s="67" t="n"/>
      <c r="C247" s="68">
        <f>IF(B247&gt;0,TEXT(B247,"(aaa)"),"")</f>
        <v/>
      </c>
      <c r="D247" s="66" t="n"/>
      <c r="E247" s="67" t="n"/>
      <c r="F247" s="68">
        <f>IF(E247&gt;0,TEXT(E247,"(aaa)"),"")</f>
        <v/>
      </c>
      <c r="G247" s="66" t="n"/>
      <c r="H247" s="67" t="n"/>
      <c r="I247" s="68">
        <f>IF(H247&gt;0,TEXT(H247,"(aaa)"),"")</f>
        <v/>
      </c>
    </row>
    <row r="248" ht="16.5" customFormat="1" customHeight="1" s="68">
      <c r="A248" s="66" t="n"/>
      <c r="B248" s="67" t="n"/>
      <c r="C248" s="68">
        <f>IF(B248&gt;0,TEXT(B248,"(aaa)"),"")</f>
        <v/>
      </c>
      <c r="D248" s="66" t="n"/>
      <c r="E248" s="67" t="n"/>
      <c r="F248" s="68">
        <f>IF(E248&gt;0,TEXT(E248,"(aaa)"),"")</f>
        <v/>
      </c>
      <c r="G248" s="66" t="n"/>
      <c r="H248" s="67" t="n"/>
      <c r="I248" s="68">
        <f>IF(H248&gt;0,TEXT(H248,"(aaa)"),"")</f>
        <v/>
      </c>
    </row>
    <row r="249" ht="16.5" customFormat="1" customHeight="1" s="68">
      <c r="A249" s="66" t="n"/>
      <c r="B249" s="67" t="n"/>
      <c r="C249" s="68">
        <f>IF(B249&gt;0,TEXT(B249,"(aaa)"),"")</f>
        <v/>
      </c>
      <c r="D249" s="66" t="n"/>
      <c r="E249" s="67" t="n"/>
      <c r="F249" s="68">
        <f>IF(E249&gt;0,TEXT(E249,"(aaa)"),"")</f>
        <v/>
      </c>
      <c r="G249" s="66" t="n"/>
      <c r="H249" s="67" t="n"/>
      <c r="I249" s="68">
        <f>IF(H249&gt;0,TEXT(H249,"(aaa)"),"")</f>
        <v/>
      </c>
    </row>
    <row r="250" ht="16.5" customFormat="1" customHeight="1" s="68">
      <c r="A250" s="66" t="n"/>
      <c r="B250" s="67" t="n"/>
      <c r="C250" s="68">
        <f>IF(B250&gt;0,TEXT(B250,"(aaa)"),"")</f>
        <v/>
      </c>
      <c r="D250" s="66" t="n"/>
      <c r="E250" s="67" t="n"/>
      <c r="F250" s="68">
        <f>IF(E250&gt;0,TEXT(E250,"(aaa)"),"")</f>
        <v/>
      </c>
      <c r="G250" s="66" t="n"/>
      <c r="H250" s="67" t="n"/>
      <c r="I250" s="68">
        <f>IF(H250&gt;0,TEXT(H250,"(aaa)"),"")</f>
        <v/>
      </c>
    </row>
    <row r="251" ht="16.5" customFormat="1" customHeight="1" s="68">
      <c r="A251" s="66" t="n"/>
      <c r="B251" s="67" t="n"/>
      <c r="C251" s="68">
        <f>IF(B251&gt;0,TEXT(B251,"(aaa)"),"")</f>
        <v/>
      </c>
      <c r="D251" s="66" t="n"/>
      <c r="E251" s="67" t="n"/>
      <c r="F251" s="68">
        <f>IF(E251&gt;0,TEXT(E251,"(aaa)"),"")</f>
        <v/>
      </c>
      <c r="G251" s="66" t="n"/>
      <c r="H251" s="67" t="n"/>
      <c r="I251" s="68">
        <f>IF(H251&gt;0,TEXT(H251,"(aaa)"),"")</f>
        <v/>
      </c>
    </row>
    <row r="252" ht="16.5" customFormat="1" customHeight="1" s="68">
      <c r="A252" s="66" t="n"/>
      <c r="B252" s="67" t="n"/>
      <c r="C252" s="68">
        <f>IF(B252&gt;0,TEXT(B252,"(aaa)"),"")</f>
        <v/>
      </c>
      <c r="D252" s="66" t="n"/>
      <c r="E252" s="67" t="n"/>
      <c r="F252" s="68">
        <f>IF(E252&gt;0,TEXT(E252,"(aaa)"),"")</f>
        <v/>
      </c>
      <c r="G252" s="66" t="n"/>
      <c r="H252" s="67" t="n"/>
      <c r="I252" s="68">
        <f>IF(H252&gt;0,TEXT(H252,"(aaa)"),"")</f>
        <v/>
      </c>
    </row>
    <row r="253" ht="16.5" customFormat="1" customHeight="1" s="68">
      <c r="A253" s="66" t="n"/>
      <c r="B253" s="67" t="n"/>
      <c r="C253" s="68">
        <f>IF(B253&gt;0,TEXT(B253,"(aaa)"),"")</f>
        <v/>
      </c>
      <c r="D253" s="66" t="n"/>
      <c r="E253" s="67" t="n"/>
      <c r="F253" s="68">
        <f>IF(E253&gt;0,TEXT(E253,"(aaa)"),"")</f>
        <v/>
      </c>
      <c r="G253" s="66" t="n"/>
      <c r="H253" s="67" t="n"/>
      <c r="I253" s="68">
        <f>IF(H253&gt;0,TEXT(H253,"(aaa)"),"")</f>
        <v/>
      </c>
    </row>
    <row r="254" ht="16.5" customFormat="1" customHeight="1" s="68">
      <c r="A254" s="66" t="n"/>
      <c r="B254" s="67" t="n"/>
      <c r="C254" s="68">
        <f>IF(B254&gt;0,TEXT(B254,"(aaa)"),"")</f>
        <v/>
      </c>
      <c r="D254" s="66" t="n"/>
      <c r="E254" s="67" t="n"/>
      <c r="F254" s="68">
        <f>IF(E254&gt;0,TEXT(E254,"(aaa)"),"")</f>
        <v/>
      </c>
      <c r="G254" s="66" t="n"/>
      <c r="H254" s="67" t="n"/>
      <c r="I254" s="68">
        <f>IF(H254&gt;0,TEXT(H254,"(aaa)"),"")</f>
        <v/>
      </c>
    </row>
    <row r="255" ht="16.5" customFormat="1" customHeight="1" s="68">
      <c r="A255" s="66" t="n"/>
      <c r="B255" s="67" t="n"/>
      <c r="C255" s="68">
        <f>IF(B255&gt;0,TEXT(B255,"(aaa)"),"")</f>
        <v/>
      </c>
      <c r="D255" s="66" t="n"/>
      <c r="E255" s="67" t="n"/>
      <c r="F255" s="68">
        <f>IF(E255&gt;0,TEXT(E255,"(aaa)"),"")</f>
        <v/>
      </c>
      <c r="G255" s="66" t="n"/>
      <c r="H255" s="67" t="n"/>
      <c r="I255" s="68">
        <f>IF(H255&gt;0,TEXT(H255,"(aaa)"),"")</f>
        <v/>
      </c>
    </row>
    <row r="256" ht="16.5" customFormat="1" customHeight="1" s="68">
      <c r="A256" s="66" t="n"/>
      <c r="B256" s="67" t="n"/>
      <c r="C256" s="68">
        <f>IF(B256&gt;0,TEXT(B256,"(aaa)"),"")</f>
        <v/>
      </c>
      <c r="D256" s="66" t="n"/>
      <c r="E256" s="67" t="n"/>
      <c r="F256" s="68">
        <f>IF(E256&gt;0,TEXT(E256,"(aaa)"),"")</f>
        <v/>
      </c>
      <c r="G256" s="66" t="n"/>
      <c r="H256" s="67" t="n"/>
      <c r="I256" s="68">
        <f>IF(H256&gt;0,TEXT(H256,"(aaa)"),"")</f>
        <v/>
      </c>
    </row>
    <row r="257" ht="16.5" customFormat="1" customHeight="1" s="68">
      <c r="A257" s="66" t="n"/>
      <c r="B257" s="67" t="n"/>
      <c r="C257" s="68">
        <f>IF(B257&gt;0,TEXT(B257,"(aaa)"),"")</f>
        <v/>
      </c>
      <c r="D257" s="66" t="n"/>
      <c r="E257" s="67" t="n"/>
      <c r="F257" s="68">
        <f>IF(E257&gt;0,TEXT(E257,"(aaa)"),"")</f>
        <v/>
      </c>
      <c r="G257" s="66" t="n"/>
      <c r="H257" s="67" t="n"/>
      <c r="I257" s="68">
        <f>IF(H257&gt;0,TEXT(H257,"(aaa)"),"")</f>
        <v/>
      </c>
    </row>
    <row r="258" ht="16.5" customFormat="1" customHeight="1" s="68">
      <c r="A258" s="66" t="n"/>
      <c r="B258" s="67" t="n"/>
      <c r="C258" s="68">
        <f>IF(B258&gt;0,TEXT(B258,"(aaa)"),"")</f>
        <v/>
      </c>
      <c r="D258" s="66" t="n"/>
      <c r="E258" s="67" t="n"/>
      <c r="F258" s="68">
        <f>IF(E258&gt;0,TEXT(E258,"(aaa)"),"")</f>
        <v/>
      </c>
      <c r="G258" s="66" t="n"/>
      <c r="H258" s="67" t="n"/>
      <c r="I258" s="68">
        <f>IF(H258&gt;0,TEXT(H258,"(aaa)"),"")</f>
        <v/>
      </c>
    </row>
    <row r="259" ht="16.5" customFormat="1" customHeight="1" s="68">
      <c r="A259" s="66" t="n"/>
      <c r="B259" s="67" t="n"/>
      <c r="C259" s="68">
        <f>IF(B259&gt;0,TEXT(B259,"(aaa)"),"")</f>
        <v/>
      </c>
      <c r="D259" s="66" t="n"/>
      <c r="E259" s="67" t="n"/>
      <c r="F259" s="68">
        <f>IF(E259&gt;0,TEXT(E259,"(aaa)"),"")</f>
        <v/>
      </c>
      <c r="G259" s="66" t="n"/>
      <c r="H259" s="67" t="n"/>
      <c r="I259" s="68">
        <f>IF(H259&gt;0,TEXT(H259,"(aaa)"),"")</f>
        <v/>
      </c>
    </row>
    <row r="260" ht="16.5" customFormat="1" customHeight="1" s="68">
      <c r="A260" s="66" t="n"/>
      <c r="B260" s="67" t="n"/>
      <c r="C260" s="68">
        <f>IF(B260&gt;0,TEXT(B260,"(aaa)"),"")</f>
        <v/>
      </c>
      <c r="D260" s="66" t="n"/>
      <c r="E260" s="67" t="n"/>
      <c r="F260" s="68">
        <f>IF(E260&gt;0,TEXT(E260,"(aaa)"),"")</f>
        <v/>
      </c>
      <c r="G260" s="66" t="n"/>
      <c r="H260" s="67" t="n"/>
      <c r="I260" s="68">
        <f>IF(H260&gt;0,TEXT(H260,"(aaa)"),"")</f>
        <v/>
      </c>
    </row>
    <row r="261" ht="16.5" customFormat="1" customHeight="1" s="68">
      <c r="A261" s="66" t="n"/>
      <c r="B261" s="67" t="n"/>
      <c r="C261" s="68">
        <f>IF(B261&gt;0,TEXT(B261,"(aaa)"),"")</f>
        <v/>
      </c>
      <c r="D261" s="66" t="n"/>
      <c r="E261" s="67" t="n"/>
      <c r="F261" s="68">
        <f>IF(E261&gt;0,TEXT(E261,"(aaa)"),"")</f>
        <v/>
      </c>
      <c r="G261" s="66" t="n"/>
      <c r="H261" s="67" t="n"/>
      <c r="I261" s="68">
        <f>IF(H261&gt;0,TEXT(H261,"(aaa)"),"")</f>
        <v/>
      </c>
    </row>
    <row r="262" ht="16.5" customFormat="1" customHeight="1" s="68">
      <c r="A262" s="66" t="n"/>
      <c r="B262" s="67" t="n"/>
      <c r="C262" s="68">
        <f>IF(B262&gt;0,TEXT(B262,"(aaa)"),"")</f>
        <v/>
      </c>
      <c r="D262" s="66" t="n"/>
      <c r="E262" s="67" t="n"/>
      <c r="F262" s="68">
        <f>IF(E262&gt;0,TEXT(E262,"(aaa)"),"")</f>
        <v/>
      </c>
      <c r="G262" s="66" t="n"/>
      <c r="H262" s="67" t="n"/>
      <c r="I262" s="68">
        <f>IF(H262&gt;0,TEXT(H262,"(aaa)"),"")</f>
        <v/>
      </c>
    </row>
    <row r="263" ht="16.5" customFormat="1" customHeight="1" s="68">
      <c r="A263" s="66" t="n"/>
      <c r="B263" s="67" t="n"/>
      <c r="C263" s="68">
        <f>IF(B263&gt;0,TEXT(B263,"(aaa)"),"")</f>
        <v/>
      </c>
      <c r="D263" s="66" t="n"/>
      <c r="E263" s="67" t="n"/>
      <c r="F263" s="68">
        <f>IF(E263&gt;0,TEXT(E263,"(aaa)"),"")</f>
        <v/>
      </c>
      <c r="G263" s="66" t="n"/>
      <c r="H263" s="67" t="n"/>
      <c r="I263" s="68">
        <f>IF(H263&gt;0,TEXT(H263,"(aaa)"),"")</f>
        <v/>
      </c>
    </row>
    <row r="264" ht="16.5" customFormat="1" customHeight="1" s="68">
      <c r="A264" s="66" t="n"/>
      <c r="B264" s="67" t="n"/>
      <c r="C264" s="68">
        <f>IF(B264&gt;0,TEXT(B264,"(aaa)"),"")</f>
        <v/>
      </c>
      <c r="D264" s="66" t="n"/>
      <c r="E264" s="67" t="n"/>
      <c r="F264" s="68">
        <f>IF(E264&gt;0,TEXT(E264,"(aaa)"),"")</f>
        <v/>
      </c>
      <c r="G264" s="66" t="n"/>
      <c r="H264" s="67" t="n"/>
      <c r="I264" s="68">
        <f>IF(H264&gt;0,TEXT(H264,"(aaa)"),"")</f>
        <v/>
      </c>
    </row>
    <row r="265" ht="16.5" customFormat="1" customHeight="1" s="68">
      <c r="A265" s="66" t="n"/>
      <c r="B265" s="67" t="n"/>
      <c r="C265" s="68">
        <f>IF(B265&gt;0,TEXT(B265,"(aaa)"),"")</f>
        <v/>
      </c>
      <c r="D265" s="66" t="n"/>
      <c r="E265" s="67" t="n"/>
      <c r="F265" s="68">
        <f>IF(E265&gt;0,TEXT(E265,"(aaa)"),"")</f>
        <v/>
      </c>
      <c r="G265" s="66" t="n"/>
      <c r="H265" s="67" t="n"/>
      <c r="I265" s="68">
        <f>IF(H265&gt;0,TEXT(H265,"(aaa)"),"")</f>
        <v/>
      </c>
    </row>
    <row r="266" ht="16.5" customFormat="1" customHeight="1" s="68">
      <c r="A266" s="66" t="n"/>
      <c r="B266" s="67" t="n"/>
      <c r="C266" s="68">
        <f>IF(B266&gt;0,TEXT(B266,"(aaa)"),"")</f>
        <v/>
      </c>
      <c r="D266" s="66" t="n"/>
      <c r="E266" s="67" t="n"/>
      <c r="F266" s="68">
        <f>IF(E266&gt;0,TEXT(E266,"(aaa)"),"")</f>
        <v/>
      </c>
      <c r="G266" s="66" t="n"/>
      <c r="H266" s="67" t="n"/>
      <c r="I266" s="68">
        <f>IF(H266&gt;0,TEXT(H266,"(aaa)"),"")</f>
        <v/>
      </c>
    </row>
    <row r="267" ht="16.5" customFormat="1" customHeight="1" s="68">
      <c r="A267" s="66" t="n"/>
      <c r="B267" s="67" t="n"/>
      <c r="C267" s="68">
        <f>IF(B267&gt;0,TEXT(B267,"(aaa)"),"")</f>
        <v/>
      </c>
      <c r="D267" s="66" t="n"/>
      <c r="E267" s="67" t="n"/>
      <c r="F267" s="68">
        <f>IF(E267&gt;0,TEXT(E267,"(aaa)"),"")</f>
        <v/>
      </c>
      <c r="G267" s="66" t="n"/>
      <c r="H267" s="67" t="n"/>
      <c r="I267" s="68">
        <f>IF(H267&gt;0,TEXT(H267,"(aaa)"),"")</f>
        <v/>
      </c>
    </row>
    <row r="268" ht="16.5" customFormat="1" customHeight="1" s="68">
      <c r="A268" s="66" t="n"/>
      <c r="B268" s="67" t="n"/>
      <c r="C268" s="68">
        <f>IF(B268&gt;0,TEXT(B268,"(aaa)"),"")</f>
        <v/>
      </c>
      <c r="D268" s="66" t="n"/>
      <c r="E268" s="67" t="n"/>
      <c r="F268" s="68">
        <f>IF(E268&gt;0,TEXT(E268,"(aaa)"),"")</f>
        <v/>
      </c>
      <c r="G268" s="66" t="n"/>
      <c r="H268" s="67" t="n"/>
      <c r="I268" s="68">
        <f>IF(H268&gt;0,TEXT(H268,"(aaa)"),"")</f>
        <v/>
      </c>
    </row>
    <row r="269" ht="16.5" customFormat="1" customHeight="1" s="68">
      <c r="A269" s="66" t="n"/>
      <c r="B269" s="67" t="n"/>
      <c r="C269" s="68">
        <f>IF(B269&gt;0,TEXT(B269,"(aaa)"),"")</f>
        <v/>
      </c>
      <c r="D269" s="66" t="n"/>
      <c r="E269" s="67" t="n"/>
      <c r="F269" s="68">
        <f>IF(E269&gt;0,TEXT(E269,"(aaa)"),"")</f>
        <v/>
      </c>
      <c r="G269" s="66" t="n"/>
      <c r="H269" s="67" t="n"/>
      <c r="I269" s="68">
        <f>IF(H269&gt;0,TEXT(H269,"(aaa)"),"")</f>
        <v/>
      </c>
    </row>
    <row r="270" ht="16.5" customFormat="1" customHeight="1" s="68">
      <c r="A270" s="66" t="n"/>
      <c r="B270" s="67" t="n"/>
      <c r="C270" s="68">
        <f>IF(B270&gt;0,TEXT(B270,"(aaa)"),"")</f>
        <v/>
      </c>
      <c r="D270" s="66" t="n"/>
      <c r="E270" s="67" t="n"/>
      <c r="F270" s="68">
        <f>IF(E270&gt;0,TEXT(E270,"(aaa)"),"")</f>
        <v/>
      </c>
      <c r="G270" s="66" t="n"/>
      <c r="H270" s="67" t="n"/>
      <c r="I270" s="68">
        <f>IF(H270&gt;0,TEXT(H270,"(aaa)"),"")</f>
        <v/>
      </c>
    </row>
    <row r="271" ht="16.5" customFormat="1" customHeight="1" s="68">
      <c r="A271" s="66" t="n"/>
      <c r="B271" s="67" t="n"/>
      <c r="C271" s="68">
        <f>IF(B271&gt;0,TEXT(B271,"(aaa)"),"")</f>
        <v/>
      </c>
      <c r="D271" s="66" t="n"/>
      <c r="E271" s="67" t="n"/>
      <c r="F271" s="68">
        <f>IF(E271&gt;0,TEXT(E271,"(aaa)"),"")</f>
        <v/>
      </c>
      <c r="G271" s="66" t="n"/>
      <c r="H271" s="67" t="n"/>
      <c r="I271" s="68">
        <f>IF(H271&gt;0,TEXT(H271,"(aaa)"),"")</f>
        <v/>
      </c>
    </row>
    <row r="272" ht="16.5" customFormat="1" customHeight="1" s="68">
      <c r="A272" s="66" t="n"/>
      <c r="B272" s="67" t="n"/>
      <c r="C272" s="68">
        <f>IF(B272&gt;0,TEXT(B272,"(aaa)"),"")</f>
        <v/>
      </c>
      <c r="D272" s="66" t="n"/>
      <c r="E272" s="67" t="n"/>
      <c r="F272" s="68">
        <f>IF(E272&gt;0,TEXT(E272,"(aaa)"),"")</f>
        <v/>
      </c>
      <c r="G272" s="66" t="n"/>
      <c r="H272" s="67" t="n"/>
      <c r="I272" s="68">
        <f>IF(H272&gt;0,TEXT(H272,"(aaa)"),"")</f>
        <v/>
      </c>
    </row>
    <row r="273" ht="16.5" customFormat="1" customHeight="1" s="68">
      <c r="A273" s="66" t="n"/>
      <c r="B273" s="67" t="n"/>
      <c r="C273" s="68">
        <f>IF(B273&gt;0,TEXT(B273,"(aaa)"),"")</f>
        <v/>
      </c>
      <c r="D273" s="66" t="n"/>
      <c r="E273" s="67" t="n"/>
      <c r="F273" s="68">
        <f>IF(E273&gt;0,TEXT(E273,"(aaa)"),"")</f>
        <v/>
      </c>
      <c r="G273" s="66" t="n"/>
      <c r="H273" s="67" t="n"/>
      <c r="I273" s="68">
        <f>IF(H273&gt;0,TEXT(H273,"(aaa)"),"")</f>
        <v/>
      </c>
    </row>
    <row r="274" ht="16.5" customFormat="1" customHeight="1" s="68">
      <c r="A274" s="66" t="n"/>
      <c r="B274" s="67" t="n"/>
      <c r="C274" s="68">
        <f>IF(B274&gt;0,TEXT(B274,"(aaa)"),"")</f>
        <v/>
      </c>
      <c r="D274" s="66" t="n"/>
      <c r="E274" s="67" t="n"/>
      <c r="F274" s="68">
        <f>IF(E274&gt;0,TEXT(E274,"(aaa)"),"")</f>
        <v/>
      </c>
      <c r="G274" s="66" t="n"/>
      <c r="H274" s="67" t="n"/>
      <c r="I274" s="68">
        <f>IF(H274&gt;0,TEXT(H274,"(aaa)"),"")</f>
        <v/>
      </c>
    </row>
    <row r="275" ht="16.5" customFormat="1" customHeight="1" s="68">
      <c r="A275" s="66" t="n"/>
      <c r="B275" s="67" t="n"/>
      <c r="C275" s="68">
        <f>IF(B275&gt;0,TEXT(B275,"(aaa)"),"")</f>
        <v/>
      </c>
      <c r="D275" s="66" t="n"/>
      <c r="E275" s="67" t="n"/>
      <c r="F275" s="68">
        <f>IF(E275&gt;0,TEXT(E275,"(aaa)"),"")</f>
        <v/>
      </c>
      <c r="G275" s="66" t="n"/>
      <c r="H275" s="67" t="n"/>
      <c r="I275" s="68">
        <f>IF(H275&gt;0,TEXT(H275,"(aaa)"),"")</f>
        <v/>
      </c>
    </row>
    <row r="276" ht="16.5" customFormat="1" customHeight="1" s="68">
      <c r="A276" s="66" t="n"/>
      <c r="B276" s="67" t="n"/>
      <c r="C276" s="68">
        <f>IF(B276&gt;0,TEXT(B276,"(aaa)"),"")</f>
        <v/>
      </c>
      <c r="D276" s="66" t="n"/>
      <c r="E276" s="67" t="n"/>
      <c r="F276" s="68">
        <f>IF(E276&gt;0,TEXT(E276,"(aaa)"),"")</f>
        <v/>
      </c>
      <c r="G276" s="66" t="n"/>
      <c r="H276" s="67" t="n"/>
      <c r="I276" s="68">
        <f>IF(H276&gt;0,TEXT(H276,"(aaa)"),"")</f>
        <v/>
      </c>
    </row>
    <row r="277" ht="16.5" customFormat="1" customHeight="1" s="68">
      <c r="A277" s="66" t="n"/>
      <c r="B277" s="67" t="n"/>
      <c r="C277" s="68">
        <f>IF(B277&gt;0,TEXT(B277,"(aaa)"),"")</f>
        <v/>
      </c>
      <c r="D277" s="66" t="n"/>
      <c r="E277" s="67" t="n"/>
      <c r="F277" s="68">
        <f>IF(E277&gt;0,TEXT(E277,"(aaa)"),"")</f>
        <v/>
      </c>
      <c r="G277" s="66" t="n"/>
      <c r="H277" s="67" t="n"/>
      <c r="I277" s="68">
        <f>IF(H277&gt;0,TEXT(H277,"(aaa)"),"")</f>
        <v/>
      </c>
    </row>
    <row r="278" ht="16.5" customFormat="1" customHeight="1" s="68">
      <c r="A278" s="66" t="n"/>
      <c r="B278" s="67" t="n"/>
      <c r="C278" s="68">
        <f>IF(B278&gt;0,TEXT(B278,"(aaa)"),"")</f>
        <v/>
      </c>
      <c r="D278" s="66" t="n"/>
      <c r="E278" s="67" t="n"/>
      <c r="F278" s="68">
        <f>IF(E278&gt;0,TEXT(E278,"(aaa)"),"")</f>
        <v/>
      </c>
      <c r="G278" s="66" t="n"/>
      <c r="H278" s="67" t="n"/>
      <c r="I278" s="68">
        <f>IF(H278&gt;0,TEXT(H278,"(aaa)"),"")</f>
        <v/>
      </c>
    </row>
    <row r="279" ht="16.5" customFormat="1" customHeight="1" s="68">
      <c r="A279" s="66" t="n"/>
      <c r="B279" s="67" t="n"/>
      <c r="C279" s="68">
        <f>IF(B279&gt;0,TEXT(B279,"(aaa)"),"")</f>
        <v/>
      </c>
      <c r="D279" s="66" t="n"/>
      <c r="E279" s="67" t="n"/>
      <c r="F279" s="68">
        <f>IF(E279&gt;0,TEXT(E279,"(aaa)"),"")</f>
        <v/>
      </c>
      <c r="G279" s="66" t="n"/>
      <c r="H279" s="67" t="n"/>
      <c r="I279" s="68">
        <f>IF(H279&gt;0,TEXT(H279,"(aaa)"),"")</f>
        <v/>
      </c>
    </row>
    <row r="280" ht="16.5" customFormat="1" customHeight="1" s="68">
      <c r="A280" s="66" t="n"/>
      <c r="B280" s="67" t="n"/>
      <c r="C280" s="68">
        <f>IF(B280&gt;0,TEXT(B280,"(aaa)"),"")</f>
        <v/>
      </c>
      <c r="D280" s="66" t="n"/>
      <c r="E280" s="67" t="n"/>
      <c r="F280" s="68">
        <f>IF(E280&gt;0,TEXT(E280,"(aaa)"),"")</f>
        <v/>
      </c>
      <c r="G280" s="66" t="n"/>
      <c r="H280" s="67" t="n"/>
      <c r="I280" s="68">
        <f>IF(H280&gt;0,TEXT(H280,"(aaa)"),"")</f>
        <v/>
      </c>
    </row>
    <row r="281" ht="16.5" customFormat="1" customHeight="1" s="68">
      <c r="A281" s="66" t="n"/>
      <c r="B281" s="67" t="n"/>
      <c r="C281" s="68">
        <f>IF(B281&gt;0,TEXT(B281,"(aaa)"),"")</f>
        <v/>
      </c>
      <c r="D281" s="66" t="n"/>
      <c r="E281" s="67" t="n"/>
      <c r="F281" s="68">
        <f>IF(E281&gt;0,TEXT(E281,"(aaa)"),"")</f>
        <v/>
      </c>
      <c r="G281" s="66" t="n"/>
      <c r="H281" s="67" t="n"/>
      <c r="I281" s="68">
        <f>IF(H281&gt;0,TEXT(H281,"(aaa)"),"")</f>
        <v/>
      </c>
    </row>
    <row r="282" ht="16.5" customFormat="1" customHeight="1" s="68">
      <c r="A282" s="66" t="n"/>
      <c r="B282" s="67" t="n"/>
      <c r="C282" s="68">
        <f>IF(B282&gt;0,TEXT(B282,"(aaa)"),"")</f>
        <v/>
      </c>
      <c r="D282" s="66" t="n"/>
      <c r="E282" s="67" t="n"/>
      <c r="F282" s="68">
        <f>IF(E282&gt;0,TEXT(E282,"(aaa)"),"")</f>
        <v/>
      </c>
      <c r="G282" s="66" t="n"/>
      <c r="H282" s="67" t="n"/>
      <c r="I282" s="68">
        <f>IF(H282&gt;0,TEXT(H282,"(aaa)"),"")</f>
        <v/>
      </c>
    </row>
    <row r="283" ht="16.5" customFormat="1" customHeight="1" s="68">
      <c r="A283" s="66" t="n"/>
      <c r="B283" s="67" t="n"/>
      <c r="C283" s="68">
        <f>IF(B283&gt;0,TEXT(B283,"(aaa)"),"")</f>
        <v/>
      </c>
      <c r="D283" s="66" t="n"/>
      <c r="E283" s="67" t="n"/>
      <c r="F283" s="68">
        <f>IF(E283&gt;0,TEXT(E283,"(aaa)"),"")</f>
        <v/>
      </c>
      <c r="G283" s="66" t="n"/>
      <c r="H283" s="67" t="n"/>
      <c r="I283" s="68">
        <f>IF(H283&gt;0,TEXT(H283,"(aaa)"),"")</f>
        <v/>
      </c>
    </row>
    <row r="284" ht="16.5" customFormat="1" customHeight="1" s="68">
      <c r="A284" s="66" t="n"/>
      <c r="B284" s="67" t="n"/>
      <c r="C284" s="68">
        <f>IF(B284&gt;0,TEXT(B284,"(aaa)"),"")</f>
        <v/>
      </c>
      <c r="D284" s="66" t="n"/>
      <c r="E284" s="67" t="n"/>
      <c r="F284" s="68">
        <f>IF(E284&gt;0,TEXT(E284,"(aaa)"),"")</f>
        <v/>
      </c>
      <c r="G284" s="66" t="n"/>
      <c r="H284" s="67" t="n"/>
      <c r="I284" s="68">
        <f>IF(H284&gt;0,TEXT(H284,"(aaa)"),"")</f>
        <v/>
      </c>
    </row>
    <row r="285" ht="16.5" customFormat="1" customHeight="1" s="68">
      <c r="A285" s="66" t="n"/>
      <c r="B285" s="67" t="n"/>
      <c r="C285" s="68">
        <f>IF(B285&gt;0,TEXT(B285,"(aaa)"),"")</f>
        <v/>
      </c>
      <c r="D285" s="66" t="n"/>
      <c r="E285" s="67" t="n"/>
      <c r="F285" s="68">
        <f>IF(E285&gt;0,TEXT(E285,"(aaa)"),"")</f>
        <v/>
      </c>
      <c r="G285" s="66" t="n"/>
      <c r="H285" s="67" t="n"/>
      <c r="I285" s="68">
        <f>IF(H285&gt;0,TEXT(H285,"(aaa)"),"")</f>
        <v/>
      </c>
    </row>
    <row r="286" ht="16.5" customFormat="1" customHeight="1" s="68">
      <c r="A286" s="66" t="n"/>
      <c r="B286" s="67" t="n"/>
      <c r="C286" s="68">
        <f>IF(B286&gt;0,TEXT(B286,"(aaa)"),"")</f>
        <v/>
      </c>
      <c r="D286" s="66" t="n"/>
      <c r="E286" s="67" t="n"/>
      <c r="F286" s="68">
        <f>IF(E286&gt;0,TEXT(E286,"(aaa)"),"")</f>
        <v/>
      </c>
      <c r="G286" s="66" t="n"/>
      <c r="H286" s="67" t="n"/>
      <c r="I286" s="68">
        <f>IF(H286&gt;0,TEXT(H286,"(aaa)"),"")</f>
        <v/>
      </c>
    </row>
    <row r="287" ht="16.5" customFormat="1" customHeight="1" s="68">
      <c r="A287" s="66" t="n"/>
      <c r="B287" s="67" t="n"/>
      <c r="C287" s="68">
        <f>IF(B287&gt;0,TEXT(B287,"(aaa)"),"")</f>
        <v/>
      </c>
      <c r="D287" s="66" t="n"/>
      <c r="E287" s="67" t="n"/>
      <c r="F287" s="68">
        <f>IF(E287&gt;0,TEXT(E287,"(aaa)"),"")</f>
        <v/>
      </c>
      <c r="G287" s="66" t="n"/>
      <c r="H287" s="67" t="n"/>
      <c r="I287" s="68">
        <f>IF(H287&gt;0,TEXT(H287,"(aaa)"),"")</f>
        <v/>
      </c>
    </row>
    <row r="288" ht="16.5" customFormat="1" customHeight="1" s="68">
      <c r="A288" s="66" t="n"/>
      <c r="B288" s="67" t="n"/>
      <c r="C288" s="68">
        <f>IF(B288&gt;0,TEXT(B288,"(aaa)"),"")</f>
        <v/>
      </c>
      <c r="D288" s="66" t="n"/>
      <c r="E288" s="67" t="n"/>
      <c r="F288" s="68">
        <f>IF(E288&gt;0,TEXT(E288,"(aaa)"),"")</f>
        <v/>
      </c>
      <c r="G288" s="66" t="n"/>
      <c r="H288" s="67" t="n"/>
      <c r="I288" s="68">
        <f>IF(H288&gt;0,TEXT(H288,"(aaa)"),"")</f>
        <v/>
      </c>
    </row>
    <row r="289" ht="16.5" customFormat="1" customHeight="1" s="68">
      <c r="A289" s="66" t="n"/>
      <c r="B289" s="67" t="n"/>
      <c r="C289" s="68">
        <f>IF(B289&gt;0,TEXT(B289,"(aaa)"),"")</f>
        <v/>
      </c>
      <c r="D289" s="66" t="n"/>
      <c r="E289" s="67" t="n"/>
      <c r="F289" s="68">
        <f>IF(E289&gt;0,TEXT(E289,"(aaa)"),"")</f>
        <v/>
      </c>
      <c r="G289" s="66" t="n"/>
      <c r="H289" s="67" t="n"/>
      <c r="I289" s="68">
        <f>IF(H289&gt;0,TEXT(H289,"(aaa)"),"")</f>
        <v/>
      </c>
    </row>
    <row r="290" ht="16.5" customFormat="1" customHeight="1" s="68">
      <c r="A290" s="66" t="n"/>
      <c r="B290" s="67" t="n"/>
      <c r="C290" s="68">
        <f>IF(B290&gt;0,TEXT(B290,"(aaa)"),"")</f>
        <v/>
      </c>
      <c r="D290" s="66" t="n"/>
      <c r="E290" s="67" t="n"/>
      <c r="F290" s="68">
        <f>IF(E290&gt;0,TEXT(E290,"(aaa)"),"")</f>
        <v/>
      </c>
      <c r="G290" s="66" t="n"/>
      <c r="H290" s="67" t="n"/>
      <c r="I290" s="68">
        <f>IF(H290&gt;0,TEXT(H290,"(aaa)"),"")</f>
        <v/>
      </c>
    </row>
    <row r="291" ht="16.5" customFormat="1" customHeight="1" s="68">
      <c r="A291" s="66" t="n"/>
      <c r="B291" s="67" t="n"/>
      <c r="C291" s="68">
        <f>IF(B291&gt;0,TEXT(B291,"(aaa)"),"")</f>
        <v/>
      </c>
      <c r="D291" s="66" t="n"/>
      <c r="E291" s="67" t="n"/>
      <c r="F291" s="68">
        <f>IF(E291&gt;0,TEXT(E291,"(aaa)"),"")</f>
        <v/>
      </c>
      <c r="G291" s="66" t="n"/>
      <c r="H291" s="67" t="n"/>
      <c r="I291" s="68">
        <f>IF(H291&gt;0,TEXT(H291,"(aaa)"),"")</f>
        <v/>
      </c>
    </row>
    <row r="292" ht="16.5" customFormat="1" customHeight="1" s="68">
      <c r="A292" s="66" t="n"/>
      <c r="B292" s="67" t="n"/>
      <c r="C292" s="68">
        <f>IF(B292&gt;0,TEXT(B292,"(aaa)"),"")</f>
        <v/>
      </c>
      <c r="D292" s="66" t="n"/>
      <c r="E292" s="67" t="n"/>
      <c r="F292" s="68">
        <f>IF(E292&gt;0,TEXT(E292,"(aaa)"),"")</f>
        <v/>
      </c>
      <c r="G292" s="66" t="n"/>
      <c r="H292" s="67" t="n"/>
      <c r="I292" s="68">
        <f>IF(H292&gt;0,TEXT(H292,"(aaa)"),"")</f>
        <v/>
      </c>
    </row>
    <row r="293" ht="16.5" customFormat="1" customHeight="1" s="68">
      <c r="A293" s="66" t="n"/>
      <c r="B293" s="67" t="n"/>
      <c r="C293" s="68">
        <f>IF(B293&gt;0,TEXT(B293,"(aaa)"),"")</f>
        <v/>
      </c>
      <c r="D293" s="66" t="n"/>
      <c r="E293" s="67" t="n"/>
      <c r="F293" s="68">
        <f>IF(E293&gt;0,TEXT(E293,"(aaa)"),"")</f>
        <v/>
      </c>
      <c r="G293" s="66" t="n"/>
      <c r="H293" s="67" t="n"/>
      <c r="I293" s="68">
        <f>IF(H293&gt;0,TEXT(H293,"(aaa)"),"")</f>
        <v/>
      </c>
    </row>
    <row r="294" ht="16.5" customFormat="1" customHeight="1" s="68">
      <c r="A294" s="66" t="n"/>
      <c r="B294" s="67" t="n"/>
      <c r="C294" s="68">
        <f>IF(B294&gt;0,TEXT(B294,"(aaa)"),"")</f>
        <v/>
      </c>
      <c r="D294" s="66" t="n"/>
      <c r="E294" s="67" t="n"/>
      <c r="F294" s="68">
        <f>IF(E294&gt;0,TEXT(E294,"(aaa)"),"")</f>
        <v/>
      </c>
      <c r="G294" s="66" t="n"/>
      <c r="H294" s="67" t="n"/>
      <c r="I294" s="68">
        <f>IF(H294&gt;0,TEXT(H294,"(aaa)"),"")</f>
        <v/>
      </c>
    </row>
    <row r="295" ht="16.5" customFormat="1" customHeight="1" s="68">
      <c r="A295" s="66" t="n"/>
      <c r="B295" s="67" t="n"/>
      <c r="C295" s="68">
        <f>IF(B295&gt;0,TEXT(B295,"(aaa)"),"")</f>
        <v/>
      </c>
      <c r="D295" s="66" t="n"/>
      <c r="E295" s="67" t="n"/>
      <c r="F295" s="68">
        <f>IF(E295&gt;0,TEXT(E295,"(aaa)"),"")</f>
        <v/>
      </c>
      <c r="G295" s="66" t="n"/>
      <c r="H295" s="67" t="n"/>
      <c r="I295" s="68">
        <f>IF(H295&gt;0,TEXT(H295,"(aaa)"),"")</f>
        <v/>
      </c>
    </row>
    <row r="296" ht="16.5" customFormat="1" customHeight="1" s="68">
      <c r="A296" s="66" t="n"/>
      <c r="B296" s="67" t="n"/>
      <c r="C296" s="68">
        <f>IF(B296&gt;0,TEXT(B296,"(aaa)"),"")</f>
        <v/>
      </c>
      <c r="D296" s="66" t="n"/>
      <c r="E296" s="67" t="n"/>
      <c r="F296" s="68">
        <f>IF(E296&gt;0,TEXT(E296,"(aaa)"),"")</f>
        <v/>
      </c>
      <c r="G296" s="66" t="n"/>
      <c r="H296" s="67" t="n"/>
      <c r="I296" s="68">
        <f>IF(H296&gt;0,TEXT(H296,"(aaa)"),"")</f>
        <v/>
      </c>
    </row>
    <row r="297" ht="16.5" customFormat="1" customHeight="1" s="68">
      <c r="A297" s="66" t="n"/>
      <c r="B297" s="67" t="n"/>
      <c r="C297" s="68">
        <f>IF(B297&gt;0,TEXT(B297,"(aaa)"),"")</f>
        <v/>
      </c>
      <c r="D297" s="66" t="n"/>
      <c r="E297" s="67" t="n"/>
      <c r="F297" s="68">
        <f>IF(E297&gt;0,TEXT(E297,"(aaa)"),"")</f>
        <v/>
      </c>
      <c r="G297" s="66" t="n"/>
      <c r="H297" s="67" t="n"/>
      <c r="I297" s="68">
        <f>IF(H297&gt;0,TEXT(H297,"(aaa)"),"")</f>
        <v/>
      </c>
    </row>
    <row r="298" ht="16.5" customFormat="1" customHeight="1" s="68">
      <c r="A298" s="66" t="n"/>
      <c r="B298" s="67" t="n"/>
      <c r="C298" s="68">
        <f>IF(B298&gt;0,TEXT(B298,"(aaa)"),"")</f>
        <v/>
      </c>
      <c r="D298" s="66" t="n"/>
      <c r="E298" s="67" t="n"/>
      <c r="F298" s="68">
        <f>IF(E298&gt;0,TEXT(E298,"(aaa)"),"")</f>
        <v/>
      </c>
      <c r="G298" s="66" t="n"/>
      <c r="H298" s="67" t="n"/>
      <c r="I298" s="68">
        <f>IF(H298&gt;0,TEXT(H298,"(aaa)"),"")</f>
        <v/>
      </c>
    </row>
    <row r="299" ht="16.5" customFormat="1" customHeight="1" s="68">
      <c r="A299" s="66" t="n"/>
      <c r="B299" s="67" t="n"/>
      <c r="C299" s="68">
        <f>IF(B299&gt;0,TEXT(B299,"(aaa)"),"")</f>
        <v/>
      </c>
      <c r="D299" s="66" t="n"/>
      <c r="E299" s="67" t="n"/>
      <c r="F299" s="68">
        <f>IF(E299&gt;0,TEXT(E299,"(aaa)"),"")</f>
        <v/>
      </c>
      <c r="G299" s="66" t="n"/>
      <c r="H299" s="67" t="n"/>
      <c r="I299" s="68">
        <f>IF(H299&gt;0,TEXT(H299,"(aaa)"),"")</f>
        <v/>
      </c>
    </row>
    <row r="300" ht="16.5" customFormat="1" customHeight="1" s="68">
      <c r="A300" s="66" t="n"/>
      <c r="B300" s="67" t="n"/>
      <c r="C300" s="68">
        <f>IF(B300&gt;0,TEXT(B300,"(aaa)"),"")</f>
        <v/>
      </c>
      <c r="D300" s="66" t="n"/>
      <c r="E300" s="67" t="n"/>
      <c r="F300" s="68">
        <f>IF(E300&gt;0,TEXT(E300,"(aaa)"),"")</f>
        <v/>
      </c>
      <c r="G300" s="66" t="n"/>
      <c r="H300" s="67" t="n"/>
      <c r="I300" s="68">
        <f>IF(H300&gt;0,TEXT(H300,"(aaa)"),"")</f>
        <v/>
      </c>
    </row>
    <row r="301" ht="16.5" customFormat="1" customHeight="1" s="68">
      <c r="A301" s="66" t="n"/>
      <c r="B301" s="67" t="n"/>
      <c r="C301" s="68">
        <f>IF(B301&gt;0,TEXT(B301,"(aaa)"),"")</f>
        <v/>
      </c>
      <c r="D301" s="66" t="n"/>
      <c r="E301" s="67" t="n"/>
      <c r="F301" s="68">
        <f>IF(E301&gt;0,TEXT(E301,"(aaa)"),"")</f>
        <v/>
      </c>
      <c r="G301" s="66" t="n"/>
      <c r="H301" s="67" t="n"/>
      <c r="I301" s="68">
        <f>IF(H301&gt;0,TEXT(H301,"(aaa)"),"")</f>
        <v/>
      </c>
    </row>
    <row r="302" ht="16.5" customFormat="1" customHeight="1" s="68">
      <c r="A302" s="66" t="n"/>
      <c r="B302" s="70" t="n"/>
      <c r="C302" s="68">
        <f>IF(B302&gt;0,TEXT(B302,"(aaa)"),"")</f>
        <v/>
      </c>
      <c r="D302" s="66" t="n"/>
      <c r="E302" s="70" t="n"/>
      <c r="F302" s="68">
        <f>IF(E302&gt;0,TEXT(E302,"(aaa)"),"")</f>
        <v/>
      </c>
      <c r="G302" s="66" t="n"/>
      <c r="H302" s="70" t="n"/>
      <c r="I302" s="68">
        <f>IF(H302&gt;0,TEXT(H302,"(aaa)"),"")</f>
        <v/>
      </c>
    </row>
    <row r="303" ht="16.5" customFormat="1" customHeight="1" s="68">
      <c r="A303" s="66" t="n"/>
      <c r="B303" s="70" t="n"/>
      <c r="C303" s="68">
        <f>IF(B303&gt;0,TEXT(B303,"(aaa)"),"")</f>
        <v/>
      </c>
      <c r="D303" s="66" t="n"/>
      <c r="E303" s="70" t="n"/>
      <c r="F303" s="68">
        <f>IF(E303&gt;0,TEXT(E303,"(aaa)"),"")</f>
        <v/>
      </c>
      <c r="G303" s="66" t="n"/>
      <c r="H303" s="70" t="n"/>
      <c r="I303" s="68">
        <f>IF(H303&gt;0,TEXT(H303,"(aaa)"),"")</f>
        <v/>
      </c>
    </row>
    <row r="304" ht="16.5" customFormat="1" customHeight="1" s="68">
      <c r="A304" s="66" t="n"/>
      <c r="B304" s="70" t="n"/>
      <c r="C304" s="68">
        <f>IF(B304&gt;0,TEXT(B304,"(aaa)"),"")</f>
        <v/>
      </c>
      <c r="D304" s="66" t="n"/>
      <c r="E304" s="70" t="n"/>
      <c r="F304" s="68">
        <f>IF(E304&gt;0,TEXT(E304,"(aaa)"),"")</f>
        <v/>
      </c>
      <c r="G304" s="66" t="n"/>
      <c r="H304" s="70" t="n"/>
      <c r="I304" s="68">
        <f>IF(H304&gt;0,TEXT(H304,"(aaa)"),"")</f>
        <v/>
      </c>
    </row>
    <row r="305" ht="16.5" customFormat="1" customHeight="1" s="68">
      <c r="A305" s="68" t="inlineStr">
        <is>
          <t>더 이상 입력불가</t>
        </is>
      </c>
      <c r="D305" s="68" t="inlineStr">
        <is>
          <t>더 이상 입력불가</t>
        </is>
      </c>
      <c r="G305" s="68"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16" min="1" max="1"/>
    <col width="8.375" bestFit="1" customWidth="1" style="117" min="2" max="2"/>
    <col width="23.125" bestFit="1" customWidth="1" style="118" min="3" max="3"/>
    <col width="47.125" customWidth="1" style="119" min="4" max="4"/>
    <col width="56.125" customWidth="1" style="119" min="5" max="5"/>
    <col width="57.375" customWidth="1" style="116" min="6" max="6"/>
    <col width="73.375" customWidth="1" style="116" min="7" max="26"/>
    <col hidden="1" width="73.375" customWidth="1" style="116" min="27" max="27"/>
    <col width="73.375" customWidth="1" style="116" min="28" max="29"/>
    <col hidden="1" width="13" customWidth="1" style="116" min="30" max="30"/>
    <col width="73.375" customWidth="1" style="116" min="31" max="31"/>
    <col width="73.375" customWidth="1" style="116" min="32" max="16384"/>
  </cols>
  <sheetData>
    <row r="1" customFormat="1" s="114">
      <c r="A1" s="114" t="inlineStr">
        <is>
          <t>Reserved</t>
        </is>
      </c>
      <c r="B1" s="114" t="inlineStr">
        <is>
          <t>Text Index</t>
        </is>
      </c>
      <c r="C1" s="115" t="inlineStr">
        <is>
          <t>Description</t>
        </is>
      </c>
      <c r="D1" s="115" t="inlineStr">
        <is>
          <t>English</t>
        </is>
      </c>
      <c r="E1" s="115" t="inlineStr">
        <is>
          <t>Korean</t>
        </is>
      </c>
      <c r="F1" s="114" t="inlineStr">
        <is>
          <t>Custom</t>
        </is>
      </c>
    </row>
    <row r="2" ht="84" customHeight="1">
      <c r="A2" s="189" t="inlineStr">
        <is>
          <t>F</t>
        </is>
      </c>
      <c r="B2" s="117" t="n">
        <v>1</v>
      </c>
      <c r="C2" s="118" t="inlineStr">
        <is>
          <t>reserved index</t>
        </is>
      </c>
      <c r="D2" s="11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1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1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190" t="n">
        <v>650</v>
      </c>
      <c r="B3" s="117" t="n">
        <v>2</v>
      </c>
      <c r="C3" s="118" t="inlineStr">
        <is>
          <t>reserved index</t>
        </is>
      </c>
      <c r="D3" s="11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1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1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17" t="n">
        <v>3</v>
      </c>
      <c r="C4" s="118" t="inlineStr">
        <is>
          <t>reserved index</t>
        </is>
      </c>
      <c r="D4" s="11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1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1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17" t="n">
        <v>4</v>
      </c>
      <c r="C5" s="118" t="inlineStr">
        <is>
          <t>reserved index</t>
        </is>
      </c>
      <c r="D5" s="11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1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1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17" t="n">
        <v>5</v>
      </c>
      <c r="C6" s="118" t="inlineStr">
        <is>
          <t>reserved index</t>
        </is>
      </c>
      <c r="D6" s="119" t="inlineStr">
        <is>
          <t>* You can import  files created in XLGantt._x000D_
* You can import files if the version is 0.9.7 or higher than 0.9.7_x000D_
* You can import up to 10,000 records._x000D_
* You can import multiple files simultaneously.</t>
        </is>
      </c>
      <c r="E6" s="11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1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17" t="n">
        <v>6</v>
      </c>
      <c r="C7" s="118" t="inlineStr">
        <is>
          <t>reserved index</t>
        </is>
      </c>
      <c r="D7" s="119" t="inlineStr">
        <is>
          <t>Project duration is too long. The earliest start date is {1} and the latest finish date is {2}, so the project duration is {3} days. The maximum number of days allowed in XLGantt is {4} days. Reduce the project duration to within the limits allowed by XLGantt.</t>
        </is>
      </c>
      <c r="E7" s="11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1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17" t="n">
        <v>7</v>
      </c>
      <c r="C8" s="118" t="inlineStr">
        <is>
          <t>reserved index</t>
        </is>
      </c>
      <c r="D8" s="119" t="inlineStr">
        <is>
          <t>Saturdays, Sundays and the dates entered in the Calendar sheet_x000D_</t>
        </is>
      </c>
      <c r="E8" s="119" t="inlineStr">
        <is>
          <t>토요일,일요일 및 Calendar sheet에 입력된 날짜_x000D_</t>
        </is>
      </c>
      <c r="F8" s="119" t="inlineStr">
        <is>
          <t>토요일,일요일 및 Calendar sheet에 입력된 날짜_x000D_</t>
        </is>
      </c>
    </row>
    <row r="9" ht="48" customHeight="1">
      <c r="B9" s="117" t="n">
        <v>8</v>
      </c>
      <c r="C9" s="118" t="inlineStr">
        <is>
          <t>reserved index, for help sheet</t>
        </is>
      </c>
      <c r="D9" s="11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3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3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17" t="n">
        <v>9</v>
      </c>
      <c r="C10" s="118" t="inlineStr">
        <is>
          <t>reserved index, for help sheet</t>
        </is>
      </c>
      <c r="D10" s="119" t="inlineStr">
        <is>
          <t>Currently we support only English and Korean as user interface(UI) language at XLGantt. Since the program code and the resource file for multiple languages ​​are separated, it is possible to add multiple languages ​​without modifying the program.</t>
        </is>
      </c>
      <c r="E10" s="119" t="inlineStr">
        <is>
          <t>엑셀간트는 다국어를 지원하는데 프로그램을 수정하지 않고 여러 다국어를 추가할 수 있다. 현재는 한국어, 영어 2개 국어가 추가되어 있다.</t>
        </is>
      </c>
      <c r="F10" s="119" t="inlineStr">
        <is>
          <t>엑셀간트는 다국어를 지원하는데 프로그램을 수정하지 않고 여러 다국어를 추가할 수 있다. 현재는 한국어, 영어 2개 국어가 추가되어 있다.</t>
        </is>
      </c>
    </row>
    <row r="11" ht="60" customHeight="1">
      <c r="B11" s="117" t="n">
        <v>10</v>
      </c>
      <c r="C11" s="118" t="inlineStr">
        <is>
          <t>reserved index, for help sheet</t>
        </is>
      </c>
      <c r="D11" s="11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19" t="inlineStr">
        <is>
          <t>한주의 시작요일 지정, 휴무일 설정, 주차표시 기능을 제공한다.
리본메뉴 &gt; XLGantt – Project Scheduler &gt; 옵션 &gt; “Calendar” 탭에서 설정할 수 있다.</t>
        </is>
      </c>
      <c r="F11" s="119" t="inlineStr">
        <is>
          <t>한주의 시작요일 지정, 휴무일 설정, 주차표시 기능을 제공한다.
리본메뉴 &gt; XLGantt – Project Scheduler &gt; 옵션 &gt; “Calendar” 탭에서 설정할 수 있다.</t>
        </is>
      </c>
    </row>
    <row r="12" ht="48" customHeight="1">
      <c r="B12" s="117" t="n">
        <v>11</v>
      </c>
      <c r="C12" s="118" t="inlineStr">
        <is>
          <t>reserved index, for help sheet</t>
        </is>
      </c>
      <c r="D12" s="119" t="inlineStr">
        <is>
          <t>You can use this feature if you want to see the server's schedule data. If you put the schedule data on the Server into the ServerData sheet and download the XLGantt file and open the XLGantt file, the data comes into the Schedule sheet.</t>
        </is>
      </c>
      <c r="E12" s="11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1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17" t="n">
        <v>12</v>
      </c>
      <c r="C13" s="118" t="inlineStr">
        <is>
          <t>reserved index, for help sheet</t>
        </is>
      </c>
      <c r="D13" s="11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1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1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17" t="n">
        <v>13</v>
      </c>
      <c r="C14" s="118" t="inlineStr">
        <is>
          <t>reserved index</t>
        </is>
      </c>
      <c r="D14" s="119" t="inlineStr">
        <is>
          <t>Program error has occurred, this error can occur because of the following:\n\n1. An incorrect value was entered in the Schedule sheet (eg, a value beginning with an equal sign (=) was entered except in the date field).\n\n2. {1}</t>
        </is>
      </c>
      <c r="E14" s="11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1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17" t="n">
        <v>14</v>
      </c>
      <c r="C15" s="118" t="inlineStr">
        <is>
          <t>reserved index</t>
        </is>
      </c>
      <c r="D15" s="119" t="inlineStr">
        <is>
          <t>Program error has occurred.\n\n{1}\nError code:{2}\n\nIf this program file is stored in a cloud storage such as Microsoft OneDrive, move it to a local drive on your PC and use it.</t>
        </is>
      </c>
      <c r="E15" s="119" t="inlineStr">
        <is>
          <t>오류가 발생했습니다.\n\n{1}\nError code:{2}\n\n이 프로그램 파일이 Microsoft OneDrive 등 클라우드 저장소에 저장되어 있다면 PC의 로컬드라이브로 옮겨서 사용하세요.</t>
        </is>
      </c>
      <c r="F15" s="119" t="inlineStr">
        <is>
          <t>오류가 발생했습니다.\n\n{1}\nError code:{2}\n\n이 프로그램 파일이 Microsoft OneDrive 등 클라우드 저장소에 저장되어 있다면 PC의 로컬드라이브로 옮겨서 사용하세요.</t>
        </is>
      </c>
    </row>
    <row r="16">
      <c r="B16" s="117" t="n">
        <v>15</v>
      </c>
      <c r="C16" s="118" t="inlineStr">
        <is>
          <t>reserved index</t>
        </is>
      </c>
      <c r="D16" s="119" t="inlineStr">
        <is>
          <t>Program error has occurred.\n\n{1}\nError code:{2}</t>
        </is>
      </c>
      <c r="E16" s="119" t="inlineStr">
        <is>
          <t>오류가 발생했습니다.\n\n{1}\nError code:{2}</t>
        </is>
      </c>
      <c r="F16" s="119" t="inlineStr">
        <is>
          <t>오류가 발생했습니다.\n\n{1}\nError code:{2}</t>
        </is>
      </c>
    </row>
    <row r="17">
      <c r="B17" s="117" t="n">
        <v>101</v>
      </c>
      <c r="D17" s="119" t="inlineStr">
        <is>
          <t xml:space="preserve">              From                      To</t>
        </is>
      </c>
      <c r="E17" s="119" t="inlineStr">
        <is>
          <t xml:space="preserve"> Source필드 명       Target필드 명</t>
        </is>
      </c>
      <c r="F17" s="119" t="inlineStr">
        <is>
          <t xml:space="preserve"> Source필드 명       Target필드 명</t>
        </is>
      </c>
    </row>
    <row r="18">
      <c r="B18" s="117" t="n">
        <v>102</v>
      </c>
      <c r="D18" s="119" t="inlineStr">
        <is>
          <t xml:space="preserve">           Field Name         Example</t>
        </is>
      </c>
      <c r="E18" s="119" t="inlineStr">
        <is>
          <t xml:space="preserve"> 필드 명                값 예시</t>
        </is>
      </c>
      <c r="F18" s="119" t="inlineStr">
        <is>
          <t xml:space="preserve"> 필드 명                값 예시</t>
        </is>
      </c>
    </row>
    <row r="19">
      <c r="B19" s="117" t="n">
        <v>103</v>
      </c>
      <c r="D19" s="119" t="inlineStr">
        <is>
          <t xml:space="preserve">       Field Name           Field Value</t>
        </is>
      </c>
      <c r="E19" s="119" t="inlineStr">
        <is>
          <t xml:space="preserve"> 필드 명                필드 값</t>
        </is>
      </c>
      <c r="F19" s="119" t="inlineStr">
        <is>
          <t xml:space="preserve"> 필드 명                필드 값</t>
        </is>
      </c>
    </row>
    <row r="20">
      <c r="B20" s="117" t="n">
        <v>104</v>
      </c>
      <c r="D20" s="119" t="inlineStr">
        <is>
          <t xml:space="preserve"> Mapped</t>
        </is>
      </c>
      <c r="E20" s="119" t="inlineStr">
        <is>
          <t xml:space="preserve"> Mapping된 상태</t>
        </is>
      </c>
      <c r="F20" s="119" t="inlineStr">
        <is>
          <t xml:space="preserve"> Mapping된 상태</t>
        </is>
      </c>
    </row>
    <row r="21">
      <c r="B21" s="117" t="n">
        <v>105</v>
      </c>
      <c r="D21" s="119" t="inlineStr">
        <is>
          <t xml:space="preserve"> Setting nonworking days in the project calendar</t>
        </is>
      </c>
      <c r="E21" s="119" t="inlineStr">
        <is>
          <t xml:space="preserve"> 프로젝트 휴무일 Calendar 설정</t>
        </is>
      </c>
      <c r="F21" s="119" t="inlineStr">
        <is>
          <t xml:space="preserve"> 프로젝트 휴무일 Calendar 설정</t>
        </is>
      </c>
    </row>
    <row r="22">
      <c r="B22" s="117" t="n">
        <v>106</v>
      </c>
      <c r="D22" s="119" t="inlineStr">
        <is>
          <t>"%Work Complete" is invalid. Type a number between 0% and 100%.</t>
        </is>
      </c>
      <c r="E22" s="119" t="inlineStr">
        <is>
          <t>실적진척률은 0~100% 범위만 입력가능합니다.</t>
        </is>
      </c>
      <c r="F22" s="119" t="inlineStr">
        <is>
          <t>실적진척률은 0~100% 범위만 입력가능합니다.</t>
        </is>
      </c>
    </row>
    <row r="23" ht="36" customHeight="1">
      <c r="B23" s="117" t="n">
        <v>107</v>
      </c>
      <c r="D23" s="119" t="inlineStr">
        <is>
          <t>"Outline level"(task Level) field. It displays the level of a task.Instead of "Outline level", you can use "WBS".</t>
        </is>
      </c>
      <c r="E23" s="119" t="inlineStr">
        <is>
          <t>개요수준(작업Level)필드입니다. 작업의 Level을 표시합니다. 예를 들어 2 Level의 작업이면 숫자 2로 표시됩니다. 개요수준대신 WBS필드(1.3.2 등의 형식으로 표시)를 사용하기도 합니다.</t>
        </is>
      </c>
      <c r="F23" s="11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17" t="n">
        <v>108</v>
      </c>
      <c r="D24" s="119" t="inlineStr">
        <is>
          <t>"WBS"(Work Breakdown Structure) field. It displays the level of a task. Instead of WBS, you can use "Outline level".</t>
        </is>
      </c>
      <c r="E24" s="11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1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17" t="n">
        <v>109</v>
      </c>
      <c r="D25" s="119" t="inlineStr">
        <is>
          <t>%Work Complete</t>
        </is>
      </c>
      <c r="E25" s="119" t="inlineStr">
        <is>
          <t>실적진척률</t>
        </is>
      </c>
      <c r="F25" s="119" t="inlineStr">
        <is>
          <t>실적진척률</t>
        </is>
      </c>
    </row>
    <row r="26">
      <c r="B26" s="117" t="n">
        <v>110</v>
      </c>
      <c r="D26" s="119" t="inlineStr">
        <is>
          <t>%Work Complete(B)</t>
        </is>
      </c>
      <c r="E26" s="119" t="inlineStr">
        <is>
          <t>실적 진척률(B)</t>
        </is>
      </c>
      <c r="F26" s="119" t="inlineStr">
        <is>
          <t>실적 진척률(B)</t>
        </is>
      </c>
    </row>
    <row r="27">
      <c r="B27" s="117" t="n">
        <v>111</v>
      </c>
      <c r="D27" s="119" t="inlineStr">
        <is>
          <t>%Work Complete(C/A)</t>
        </is>
      </c>
      <c r="E27" s="119" t="inlineStr">
        <is>
          <t>실적(C/A)</t>
        </is>
      </c>
      <c r="F27" s="119" t="inlineStr">
        <is>
          <t>실적(C/A)</t>
        </is>
      </c>
    </row>
    <row r="28">
      <c r="A28" s="121" t="n"/>
      <c r="B28" s="117" t="n">
        <v>112</v>
      </c>
      <c r="C28" s="122" t="inlineStr">
        <is>
          <t>for import columun</t>
        </is>
      </c>
      <c r="D28" s="120" t="inlineStr">
        <is>
          <t>%Work__Complete</t>
        </is>
      </c>
      <c r="E28" s="120" t="inlineStr">
        <is>
          <t>실적</t>
        </is>
      </c>
      <c r="F28" s="120" t="inlineStr">
        <is>
          <t>실적</t>
        </is>
      </c>
    </row>
    <row r="29">
      <c r="B29" s="117" t="n">
        <v>113</v>
      </c>
      <c r="D29" s="119" t="inlineStr">
        <is>
          <t>%Work\nComplete</t>
        </is>
      </c>
      <c r="E29" s="119" t="inlineStr">
        <is>
          <t>실적</t>
        </is>
      </c>
      <c r="F29" s="119" t="inlineStr">
        <is>
          <t>실적</t>
        </is>
      </c>
    </row>
    <row r="30">
      <c r="B30" s="117" t="n">
        <v>114</v>
      </c>
      <c r="C30" s="118" t="inlineStr">
        <is>
          <t>for help sheet</t>
        </is>
      </c>
      <c r="D30" s="119" t="inlineStr">
        <is>
          <t>(Hidden sheet) Contains language-specific translations.</t>
        </is>
      </c>
      <c r="E30" s="119" t="inlineStr">
        <is>
          <t>(숨겨진 시트) 언어별 번역이 들어 있다.</t>
        </is>
      </c>
      <c r="F30" s="119" t="inlineStr">
        <is>
          <t>(숨겨진 시트) 언어별 번역이 들어 있다.</t>
        </is>
      </c>
    </row>
    <row r="31">
      <c r="B31" s="117" t="n">
        <v>115</v>
      </c>
      <c r="D31" s="119" t="inlineStr">
        <is>
          <t>(Resources unspecified)</t>
        </is>
      </c>
      <c r="E31" s="119" t="inlineStr">
        <is>
          <t>(담당자미지정)</t>
        </is>
      </c>
      <c r="F31" s="119" t="inlineStr">
        <is>
          <t>(담당자미지정)</t>
        </is>
      </c>
    </row>
    <row r="32">
      <c r="B32" s="117" t="n">
        <v>116</v>
      </c>
      <c r="D32" s="119" t="inlineStr">
        <is>
          <t>* Automactically calulated if you click the "Update Schedule" button</t>
        </is>
      </c>
      <c r="E32" s="119" t="inlineStr">
        <is>
          <t>* "스케줄업데이트" 버튼 클릭 시 아래 항목이 자동계산됩니다.</t>
        </is>
      </c>
      <c r="F32" s="119" t="inlineStr">
        <is>
          <t>* "스케줄업데이트" 버튼 클릭 시 아래 항목이 자동계산됩니다.</t>
        </is>
      </c>
    </row>
    <row r="33">
      <c r="B33" s="117" t="n">
        <v>117</v>
      </c>
      <c r="D33" s="119" t="inlineStr">
        <is>
          <t>* Choose a language</t>
        </is>
      </c>
      <c r="E33" s="119" t="inlineStr">
        <is>
          <t>* 언어를 선택하세요</t>
        </is>
      </c>
      <c r="F33" s="119" t="inlineStr">
        <is>
          <t>* 언어를 선택하세요</t>
        </is>
      </c>
    </row>
    <row r="34" ht="24" customHeight="1">
      <c r="B34" s="117" t="n">
        <v>118</v>
      </c>
      <c r="D34" s="119" t="inlineStr">
        <is>
          <t>* Common Excel file, Not XLGantt file\n   (First row is title,from second rows are contents)\n* You can import only one file at once.</t>
        </is>
      </c>
      <c r="E34" s="119" t="inlineStr">
        <is>
          <t>* XLGantt 파일이 아닌 Excel파일(1행은 제목, 2행부터 내용이 있는 파일)\n* 자료갯수 제한 없음\n* 한번에 한개의 파일만 처리됨</t>
        </is>
      </c>
      <c r="F34" s="119" t="inlineStr">
        <is>
          <t>* XLGantt 파일이 아닌 Excel파일(1행은 제목, 2행부터 내용이 있는 파일)\n* 자료갯수 제한 없음\n* 한번에 한개의 파일만 처리됨</t>
        </is>
      </c>
    </row>
    <row r="35">
      <c r="B35" s="117" t="n">
        <v>119</v>
      </c>
      <c r="D35" s="119" t="inlineStr">
        <is>
          <t>* This sheet shows you project progresses by months.</t>
        </is>
      </c>
      <c r="E35" s="119" t="inlineStr">
        <is>
          <t>* 월별로 프로젝트 진척률을 보여줍니다.</t>
        </is>
      </c>
      <c r="F35" s="119" t="inlineStr">
        <is>
          <t>* 월별로 프로젝트 진척률을 보여줍니다.</t>
        </is>
      </c>
    </row>
    <row r="36">
      <c r="B36" s="117" t="n">
        <v>120</v>
      </c>
      <c r="D36" s="119" t="inlineStr">
        <is>
          <t>* This sheet shows you project progresses by weeks.</t>
        </is>
      </c>
      <c r="E36" s="119" t="inlineStr">
        <is>
          <t>* 주별로 프로젝트 진척률을 보여줍니다.</t>
        </is>
      </c>
      <c r="F36" s="119" t="inlineStr">
        <is>
          <t>* 주별로 프로젝트 진척률을 보여줍니다.</t>
        </is>
      </c>
    </row>
    <row r="37" ht="24" customHeight="1">
      <c r="B37" s="117" t="n">
        <v>121</v>
      </c>
      <c r="D37" s="119" t="inlineStr">
        <is>
          <t>* This sheet shows you tasks, workloads, progresses(%Work complete), etc by resources.</t>
        </is>
      </c>
      <c r="E37" s="119" t="inlineStr">
        <is>
          <t>* 담당별로 투입된 Task와 총작업량, 계획작업량, 진척작업을 Man-day로 보여주고, 계획/실적 진행률을 보여줍니다.</t>
        </is>
      </c>
      <c r="F37" s="119" t="inlineStr">
        <is>
          <t>* 담당별로 투입된 Task와 총작업량, 계획작업량, 진척작업을 Man-day로 보여주고, 계획/실적 진행률을 보여줍니다.</t>
        </is>
      </c>
    </row>
    <row r="38">
      <c r="B38" s="117" t="n">
        <v>122</v>
      </c>
      <c r="D38" s="119" t="inlineStr">
        <is>
          <t>* This sheet shows you workload allocations by resources.</t>
        </is>
      </c>
      <c r="E38" s="119" t="inlineStr">
        <is>
          <t>* 담당별 Workload를 보여줍니다.</t>
        </is>
      </c>
      <c r="F38" s="119" t="inlineStr">
        <is>
          <t>* 담당별 Workload를 보여줍니다.</t>
        </is>
      </c>
    </row>
    <row r="39">
      <c r="B39" s="117" t="n">
        <v>123</v>
      </c>
      <c r="D39" s="119" t="inlineStr">
        <is>
          <t>* This sheet shows you workload allocations by weeks or months.</t>
        </is>
      </c>
      <c r="E39" s="119" t="inlineStr">
        <is>
          <t>* 주별 또는 월별 Workload를 보여줍니다.</t>
        </is>
      </c>
      <c r="F39" s="119" t="inlineStr">
        <is>
          <t>* 주별 또는 월별 Workload를 보여줍니다.</t>
        </is>
      </c>
    </row>
    <row r="40">
      <c r="B40" s="117" t="n">
        <v>124</v>
      </c>
      <c r="D40" s="119" t="inlineStr">
        <is>
          <t>* This sheet shows you workload and %Work complete.</t>
        </is>
      </c>
      <c r="E40" s="119" t="inlineStr">
        <is>
          <t>* 프로젝트 작업량과 진척률을 보여줍니다.</t>
        </is>
      </c>
      <c r="F40" s="119" t="inlineStr">
        <is>
          <t>* 프로젝트 작업량과 진척률을 보여줍니다.</t>
        </is>
      </c>
    </row>
    <row r="41" ht="24" customHeight="1">
      <c r="B41" s="117" t="n">
        <v>125</v>
      </c>
      <c r="D41" s="119" t="inlineStr">
        <is>
          <t>* You need to click the "Progress by Months" button to update the contents.</t>
        </is>
      </c>
      <c r="E41" s="119" t="inlineStr">
        <is>
          <t>* "진척률(월별)" 메뉴를 클릭해야 갱신됨</t>
        </is>
      </c>
      <c r="F41" s="119" t="inlineStr">
        <is>
          <t>* "진척률(월별)" 메뉴를 클릭해야 갱신됨</t>
        </is>
      </c>
    </row>
    <row r="42" ht="24" customHeight="1">
      <c r="B42" s="117" t="n">
        <v>126</v>
      </c>
      <c r="D42" s="119" t="inlineStr">
        <is>
          <t>* You need to click the "Progress by Weeks" button to update the contents.</t>
        </is>
      </c>
      <c r="E42" s="119" t="inlineStr">
        <is>
          <t>* "진척률(주별)" 메뉴를 클릭해야 갱신됨</t>
        </is>
      </c>
      <c r="F42" s="119" t="inlineStr">
        <is>
          <t>* "진척률(주별)" 메뉴를 클릭해야 갱신됨</t>
        </is>
      </c>
    </row>
    <row r="43" ht="24" customHeight="1">
      <c r="B43" s="117" t="n">
        <v>127</v>
      </c>
      <c r="D43" s="119" t="inlineStr">
        <is>
          <t>* You need to click the "Progresses by Resources" button to update contents.</t>
        </is>
      </c>
      <c r="E43" s="119" t="inlineStr">
        <is>
          <t>* "담당별진행률" 메뉴를 클릭해야 내용이 갱신됩니다.</t>
        </is>
      </c>
      <c r="F43" s="119" t="inlineStr">
        <is>
          <t>* "담당별진행률" 메뉴를 클릭해야 내용이 갱신됩니다.</t>
        </is>
      </c>
    </row>
    <row r="44" ht="24" customHeight="1">
      <c r="B44" s="117" t="n">
        <v>128</v>
      </c>
      <c r="D44" s="119" t="inlineStr">
        <is>
          <t>* You need to click the "Workloads by Resources" button to update the contents.</t>
        </is>
      </c>
      <c r="E44" s="119" t="inlineStr">
        <is>
          <t>* "Workload(담당별)" 메뉴를 클릭해야 내용이 갱신됩니다.</t>
        </is>
      </c>
      <c r="F44" s="119" t="inlineStr">
        <is>
          <t>* "Workload(담당별)" 메뉴를 클릭해야 내용이 갱신됩니다.</t>
        </is>
      </c>
    </row>
    <row r="45" ht="24" customHeight="1">
      <c r="B45" s="117" t="n">
        <v>129</v>
      </c>
      <c r="D45" s="119" t="inlineStr">
        <is>
          <t>* You need to click the "Workloads by Weeks" or "Workloads by Months" button to update the contents.</t>
        </is>
      </c>
      <c r="E45" s="119" t="inlineStr">
        <is>
          <t>* "Workload(주별)" 또는 "Workload(월별)" 메뉴를 클릭해야 내용이 갱신됩니다.</t>
        </is>
      </c>
      <c r="F45" s="119" t="inlineStr">
        <is>
          <t>* "Workload(주별)" 또는 "Workload(월별)" 메뉴를 클릭해야 내용이 갱신됩니다.</t>
        </is>
      </c>
    </row>
    <row r="46">
      <c r="B46" s="117" t="n">
        <v>130</v>
      </c>
      <c r="D46" s="119" t="inlineStr">
        <is>
          <t>{} "Outlook Appointment(s)" have been added.</t>
        </is>
      </c>
      <c r="E46" s="119" t="inlineStr">
        <is>
          <t>Outlook일정이 {}건 등록되었습니다.</t>
        </is>
      </c>
      <c r="F46" s="119" t="inlineStr">
        <is>
          <t>Outlook일정이 {}건 등록되었습니다.</t>
        </is>
      </c>
    </row>
    <row r="47">
      <c r="B47" s="117" t="n">
        <v>131</v>
      </c>
      <c r="D47" s="119" t="inlineStr">
        <is>
          <t>{} "Outlook Task(s)" have been added.</t>
        </is>
      </c>
      <c r="E47" s="119" t="inlineStr">
        <is>
          <t>Outlook작업이 {}건 등록되었습니다.</t>
        </is>
      </c>
      <c r="F47" s="119" t="inlineStr">
        <is>
          <t>Outlook작업이 {}건 등록되었습니다.</t>
        </is>
      </c>
    </row>
    <row r="48">
      <c r="B48" s="117" t="n">
        <v>132</v>
      </c>
      <c r="D48" s="119" t="inlineStr">
        <is>
          <t>{} file does not exist.</t>
        </is>
      </c>
      <c r="E48" s="119" t="inlineStr">
        <is>
          <t>{} 파일이 존재하지 않습니다</t>
        </is>
      </c>
      <c r="F48" s="119" t="inlineStr">
        <is>
          <t>{} 파일이 존재하지 않습니다</t>
        </is>
      </c>
    </row>
    <row r="49">
      <c r="B49" s="117" t="n">
        <v>133</v>
      </c>
      <c r="D49" s="119" t="inlineStr">
        <is>
          <t>&lt;&lt; Remove</t>
        </is>
      </c>
      <c r="E49" s="119" t="inlineStr">
        <is>
          <t>&lt;&lt; 제거</t>
        </is>
      </c>
      <c r="F49" s="119" t="inlineStr">
        <is>
          <t>&lt;&lt; 제거</t>
        </is>
      </c>
    </row>
    <row r="50">
      <c r="B50" s="117" t="n">
        <v>134</v>
      </c>
      <c r="D50" s="119" t="inlineStr">
        <is>
          <t>&lt;&lt; Unmap</t>
        </is>
      </c>
      <c r="E50" s="119" t="inlineStr">
        <is>
          <t>&lt;&lt; Mapping취소</t>
        </is>
      </c>
      <c r="F50" s="119" t="inlineStr">
        <is>
          <t>&lt;&lt; Mapping취소</t>
        </is>
      </c>
    </row>
    <row r="51">
      <c r="B51" s="117" t="n">
        <v>135</v>
      </c>
      <c r="D51" s="120" t="inlineStr">
        <is>
          <t>12/1/2018</t>
        </is>
      </c>
      <c r="E51" s="123" t="n">
        <v>43435</v>
      </c>
      <c r="F51" s="123" t="n">
        <v>43435</v>
      </c>
    </row>
    <row r="52">
      <c r="B52" s="117" t="n">
        <v>136</v>
      </c>
      <c r="D52" s="120" t="inlineStr">
        <is>
          <t>12/31/2018</t>
        </is>
      </c>
      <c r="E52" s="123" t="n">
        <v>43465</v>
      </c>
      <c r="F52" s="123" t="n">
        <v>43465</v>
      </c>
    </row>
    <row r="53">
      <c r="B53" s="117" t="n">
        <v>137</v>
      </c>
      <c r="D53" s="119" t="inlineStr">
        <is>
          <t>About</t>
        </is>
      </c>
      <c r="E53" s="119" t="inlineStr">
        <is>
          <t>About</t>
        </is>
      </c>
      <c r="F53" s="119" t="inlineStr">
        <is>
          <t>About</t>
        </is>
      </c>
    </row>
    <row r="54">
      <c r="B54" s="117" t="n">
        <v>138</v>
      </c>
      <c r="D54" s="119" t="inlineStr">
        <is>
          <t>Accumulated\nMan-Day</t>
        </is>
      </c>
      <c r="E54" s="119" t="inlineStr">
        <is>
          <t>누적\nMan-Day</t>
        </is>
      </c>
      <c r="F54" s="119" t="inlineStr">
        <is>
          <t>누적\nMan-Day</t>
        </is>
      </c>
    </row>
    <row r="55">
      <c r="B55" s="117" t="n">
        <v>139</v>
      </c>
      <c r="C55" s="118" t="inlineStr">
        <is>
          <t>manual input</t>
        </is>
      </c>
      <c r="D55" s="119" t="inlineStr">
        <is>
          <t>Actual</t>
        </is>
      </c>
      <c r="E55" s="119" t="inlineStr">
        <is>
          <t>실적</t>
        </is>
      </c>
      <c r="F55" s="119" t="inlineStr">
        <is>
          <t>실적</t>
        </is>
      </c>
    </row>
    <row r="56" ht="24" customHeight="1">
      <c r="B56" s="117" t="n">
        <v>140</v>
      </c>
      <c r="D56" s="119" t="inlineStr">
        <is>
          <t>Actual %Complete is invalid. Enter a number only. Verify row {} of the source file.</t>
        </is>
      </c>
      <c r="E56" s="119" t="inlineStr">
        <is>
          <t>실적진척률에 숫자가 아닌 값이 포함되어 있습니다. Import하는 파일의 {}행을 확인하세요.</t>
        </is>
      </c>
      <c r="F56" s="119" t="inlineStr">
        <is>
          <t>실적진척률에 숫자가 아닌 값이 포함되어 있습니다. Import하는 파일의 {}행을 확인하세요.</t>
        </is>
      </c>
    </row>
    <row r="57" ht="24" customHeight="1">
      <c r="B57" s="117" t="n">
        <v>141</v>
      </c>
      <c r="D57" s="119" t="inlineStr">
        <is>
          <t>Actual %Work Complete from the start date to the current date</t>
        </is>
      </c>
      <c r="E57" s="135" t="inlineStr">
        <is>
          <t>현재날짜까지 실제로 진행된 진척률, WBS의 "실적진척률"의 전체 합계 진척률을 표시</t>
        </is>
      </c>
      <c r="F57" s="135" t="inlineStr">
        <is>
          <t>현재날짜까지 실제로 진행된 진척률, WBS의 "실적진척률"의 전체 합계 진척률을 표시</t>
        </is>
      </c>
    </row>
    <row r="58">
      <c r="B58" s="117" t="n">
        <v>142</v>
      </c>
      <c r="D58" s="119" t="inlineStr">
        <is>
          <t>Actual Accumulated\nMan-Day</t>
        </is>
      </c>
      <c r="E58" s="119" t="inlineStr">
        <is>
          <t>실제 누적\nMan-Day</t>
        </is>
      </c>
      <c r="F58" s="119" t="inlineStr">
        <is>
          <t>실제 누적\nMan-Day</t>
        </is>
      </c>
    </row>
    <row r="59">
      <c r="B59" s="117" t="n">
        <v>143</v>
      </c>
      <c r="C59" s="118" t="inlineStr">
        <is>
          <t>for importOnStartup</t>
        </is>
      </c>
      <c r="D59" s="116" t="inlineStr">
        <is>
          <t>Actual Finish</t>
        </is>
      </c>
      <c r="E59" s="124" t="inlineStr">
        <is>
          <t>실제완료일</t>
        </is>
      </c>
      <c r="F59" s="124" t="inlineStr">
        <is>
          <t>실제완료일</t>
        </is>
      </c>
    </row>
    <row r="60">
      <c r="B60" s="117" t="n">
        <v>144</v>
      </c>
      <c r="D60" s="119" t="inlineStr">
        <is>
          <t>Actual Finish Date</t>
        </is>
      </c>
      <c r="E60" s="119" t="inlineStr">
        <is>
          <t>실제완료일자</t>
        </is>
      </c>
      <c r="F60" s="119" t="inlineStr">
        <is>
          <t>실제완료일자</t>
        </is>
      </c>
    </row>
    <row r="61" ht="24" customHeight="1">
      <c r="B61" s="117" t="n">
        <v>145</v>
      </c>
      <c r="D61" s="119" t="inlineStr">
        <is>
          <t>Actual finish date field of a task. It must be in date format.</t>
        </is>
      </c>
      <c r="E61" s="119" t="inlineStr">
        <is>
          <t>각 작업의 실제완료일(또는 실제종료일)을 표시합니다. 반드시 날짜 형식이어야 합니다.</t>
        </is>
      </c>
      <c r="F61" s="119" t="inlineStr">
        <is>
          <t>각 작업의 실제완료일(또는 실제종료일)을 표시합니다. 반드시 날짜 형식이어야 합니다.</t>
        </is>
      </c>
    </row>
    <row r="62">
      <c r="B62" s="117" t="n">
        <v>146</v>
      </c>
      <c r="D62" s="119" t="inlineStr">
        <is>
          <t>Actual finish date is invalid.</t>
        </is>
      </c>
      <c r="E62" s="119" t="inlineStr">
        <is>
          <t>실제완료일의 날짜형식이 잘못되었습니다.</t>
        </is>
      </c>
      <c r="F62" s="119" t="inlineStr">
        <is>
          <t>실제완료일의 날짜형식이 잘못되었습니다.</t>
        </is>
      </c>
    </row>
    <row r="63" ht="24" customHeight="1">
      <c r="B63" s="117" t="n">
        <v>147</v>
      </c>
      <c r="D63" s="119" t="inlineStr">
        <is>
          <t>Actual finish date is invalid. Verify row {} of the source file.</t>
        </is>
      </c>
      <c r="E63" s="119" t="inlineStr">
        <is>
          <t>실제완료일자에 날짜가 아닌 값이 포함되어 있습니다. Import하는 파일의 {}행을 확인하세요.</t>
        </is>
      </c>
      <c r="F63" s="119" t="inlineStr">
        <is>
          <t>실제완료일자에 날짜가 아닌 값이 포함되어 있습니다. Import하는 파일의 {}행을 확인하세요.</t>
        </is>
      </c>
    </row>
    <row r="64">
      <c r="B64" s="117" t="n">
        <v>148</v>
      </c>
      <c r="D64" s="119" t="inlineStr">
        <is>
          <t>Actual Man-Day</t>
        </is>
      </c>
      <c r="E64" s="119" t="inlineStr">
        <is>
          <t>실제 Man-Day</t>
        </is>
      </c>
      <c r="F64" s="119" t="inlineStr">
        <is>
          <t>실제 Man-Day</t>
        </is>
      </c>
    </row>
    <row r="65">
      <c r="B65" s="117" t="n">
        <v>149</v>
      </c>
      <c r="D65" s="119" t="inlineStr">
        <is>
          <t>Actual Progress</t>
        </is>
      </c>
      <c r="E65" s="119" t="inlineStr">
        <is>
          <t>실제진척률</t>
        </is>
      </c>
      <c r="F65" s="119" t="inlineStr">
        <is>
          <t>실제진척률</t>
        </is>
      </c>
    </row>
    <row r="66">
      <c r="B66" s="117" t="n">
        <v>150</v>
      </c>
      <c r="D66" s="119" t="inlineStr">
        <is>
          <t>Actual progress rate(%Work Complete) field.</t>
        </is>
      </c>
      <c r="E66" s="119" t="inlineStr">
        <is>
          <t>실제진척률 필드입니다. 현재까지 실제 진척된 작업량을 %로 표현합니다.</t>
        </is>
      </c>
      <c r="F66" s="119" t="inlineStr">
        <is>
          <t>실제진척률 필드입니다. 현재까지 실제 진척된 작업량을 %로 표현합니다.</t>
        </is>
      </c>
    </row>
    <row r="67">
      <c r="B67" s="117" t="n">
        <v>151</v>
      </c>
      <c r="C67" s="118" t="inlineStr">
        <is>
          <t>for importOnStartup</t>
        </is>
      </c>
      <c r="D67" s="116" t="inlineStr">
        <is>
          <t>Actual Start</t>
        </is>
      </c>
      <c r="E67" s="124" t="inlineStr">
        <is>
          <t>실제시작일</t>
        </is>
      </c>
      <c r="F67" s="124" t="inlineStr">
        <is>
          <t>실제시작일</t>
        </is>
      </c>
    </row>
    <row r="68">
      <c r="B68" s="117" t="n">
        <v>152</v>
      </c>
      <c r="D68" s="119" t="inlineStr">
        <is>
          <t>Actual Start Date</t>
        </is>
      </c>
      <c r="E68" s="119" t="inlineStr">
        <is>
          <t>실제시작일자</t>
        </is>
      </c>
      <c r="F68" s="119" t="inlineStr">
        <is>
          <t>실제시작일자</t>
        </is>
      </c>
    </row>
    <row r="69">
      <c r="B69" s="117" t="n">
        <v>153</v>
      </c>
      <c r="D69" s="119" t="inlineStr">
        <is>
          <t>Actual start date field of a task. It must be in date format.</t>
        </is>
      </c>
      <c r="E69" s="119" t="inlineStr">
        <is>
          <t>각 작업의 실제시작일을 표시합니다. 반드시 날짜 형식이어야 합니다.</t>
        </is>
      </c>
      <c r="F69" s="119" t="inlineStr">
        <is>
          <t>각 작업의 실제시작일을 표시합니다. 반드시 날짜 형식이어야 합니다.</t>
        </is>
      </c>
    </row>
    <row r="70">
      <c r="B70" s="117" t="n">
        <v>154</v>
      </c>
      <c r="D70" s="119" t="inlineStr">
        <is>
          <t>Actual start date is invalid.</t>
        </is>
      </c>
      <c r="E70" s="119" t="inlineStr">
        <is>
          <t>실제시작일의 날짜형식이 잘못되었습니다.</t>
        </is>
      </c>
      <c r="F70" s="119" t="inlineStr">
        <is>
          <t>실제시작일의 날짜형식이 잘못되었습니다.</t>
        </is>
      </c>
    </row>
    <row r="71" ht="24" customHeight="1">
      <c r="B71" s="117" t="n">
        <v>155</v>
      </c>
      <c r="D71" s="119" t="inlineStr">
        <is>
          <t>Actual start date is invalid. Verify row {} of the source file.</t>
        </is>
      </c>
      <c r="E71" s="119" t="inlineStr">
        <is>
          <t>실제시작일자에 날짜가 아닌 값이 포함되어 있습니다. Import하는 파일의 {}행을 확인하세요.</t>
        </is>
      </c>
      <c r="F71" s="119" t="inlineStr">
        <is>
          <t>실제시작일자에 날짜가 아닌 값이 포함되어 있습니다. Import하는 파일의 {}행을 확인하세요.</t>
        </is>
      </c>
    </row>
    <row r="72">
      <c r="B72" s="117" t="n">
        <v>156</v>
      </c>
      <c r="C72" s="118" t="inlineStr">
        <is>
          <t>for importOnStartup</t>
        </is>
      </c>
      <c r="D72" s="116" t="inlineStr">
        <is>
          <t>Actual Total Duration</t>
        </is>
      </c>
      <c r="E72" s="124" t="inlineStr">
        <is>
          <t>실제총기간</t>
        </is>
      </c>
      <c r="F72" s="124" t="inlineStr">
        <is>
          <t>실제총기간</t>
        </is>
      </c>
    </row>
    <row r="73">
      <c r="B73" s="117" t="n">
        <v>157</v>
      </c>
      <c r="C73" s="118" t="inlineStr">
        <is>
          <t>for importOnStartup</t>
        </is>
      </c>
      <c r="D73" s="116" t="inlineStr">
        <is>
          <t>Actual Total Work</t>
        </is>
      </c>
      <c r="E73" s="124" t="inlineStr">
        <is>
          <t>실제총작업량</t>
        </is>
      </c>
      <c r="F73" s="124" t="inlineStr">
        <is>
          <t>실제총작업량</t>
        </is>
      </c>
    </row>
    <row r="74">
      <c r="B74" s="117" t="n">
        <v>158</v>
      </c>
      <c r="D74" s="119" t="inlineStr">
        <is>
          <t>Actual Total Work\nMan-day</t>
        </is>
      </c>
      <c r="E74" s="119" t="inlineStr">
        <is>
          <t>실제 총작업량\nMan-day</t>
        </is>
      </c>
      <c r="F74" s="119" t="inlineStr">
        <is>
          <t>실제 총작업량\nMan-day</t>
        </is>
      </c>
    </row>
    <row r="75">
      <c r="A75" s="125" t="n"/>
      <c r="B75" s="117" t="n">
        <v>159</v>
      </c>
      <c r="C75" s="122" t="inlineStr">
        <is>
          <t>for import columun</t>
        </is>
      </c>
      <c r="D75" s="120" t="inlineStr">
        <is>
          <t>Actual Total__Duration</t>
        </is>
      </c>
      <c r="E75" s="120" t="inlineStr">
        <is>
          <t>실제 총기간__(전체 기간)</t>
        </is>
      </c>
      <c r="F75" s="120" t="inlineStr">
        <is>
          <t>실제 총기간__(전체 기간)</t>
        </is>
      </c>
    </row>
    <row r="76">
      <c r="B76" s="117" t="n">
        <v>160</v>
      </c>
      <c r="D76" s="119" t="inlineStr">
        <is>
          <t>Actual Total\nDuration</t>
        </is>
      </c>
      <c r="E76" s="120" t="inlineStr">
        <is>
          <t>실제\n총기간</t>
        </is>
      </c>
      <c r="F76" s="120" t="inlineStr">
        <is>
          <t>실제\n총기간</t>
        </is>
      </c>
    </row>
    <row r="77">
      <c r="B77" s="117" t="n">
        <v>161</v>
      </c>
      <c r="D77" s="119" t="inlineStr">
        <is>
          <t>Actual Total\nWork(Total\nManDay)</t>
        </is>
      </c>
      <c r="E77" s="120" t="inlineStr">
        <is>
          <t>실제 총작업량\n(총ManDay,_x000D_자원수 감안)</t>
        </is>
      </c>
      <c r="F77" s="120" t="inlineStr">
        <is>
          <t>실제 총작업량\n(총ManDay,_x000D_자원수 감안)</t>
        </is>
      </c>
    </row>
    <row r="78">
      <c r="B78" s="117" t="n">
        <v>162</v>
      </c>
      <c r="D78" s="119" t="inlineStr">
        <is>
          <t>Actual Incurred Accumulated(Man-Day)</t>
        </is>
      </c>
      <c r="E78" s="135" t="inlineStr">
        <is>
          <t>실제투입작업량 누적(Man-Day)</t>
        </is>
      </c>
      <c r="F78" s="135" t="inlineStr">
        <is>
          <t>실제투입작업량 누적(Man-Day)</t>
        </is>
      </c>
    </row>
    <row r="79">
      <c r="B79" s="117" t="n">
        <v>163</v>
      </c>
      <c r="D79" s="119" t="inlineStr">
        <is>
          <t>Actual Incurred Progress</t>
        </is>
      </c>
      <c r="E79" s="135" t="inlineStr">
        <is>
          <t>실제투입작업량 진척률</t>
        </is>
      </c>
      <c r="F79" s="135" t="inlineStr">
        <is>
          <t>실제투입작업량 진척률</t>
        </is>
      </c>
    </row>
    <row r="80">
      <c r="B80" s="117" t="n">
        <v>164</v>
      </c>
      <c r="D80" s="119" t="inlineStr">
        <is>
          <t>Actual Incurred(Man-Day)</t>
        </is>
      </c>
      <c r="E80" s="135" t="inlineStr">
        <is>
          <t>실제투입작업량(Man-Day)</t>
        </is>
      </c>
      <c r="F80" s="135" t="inlineStr">
        <is>
          <t>실제투입작업량(Man-Day)</t>
        </is>
      </c>
    </row>
    <row r="81">
      <c r="A81" s="125" t="n"/>
      <c r="B81" s="117" t="n">
        <v>165</v>
      </c>
      <c r="C81" s="122" t="inlineStr">
        <is>
          <t>for import columun</t>
        </is>
      </c>
      <c r="D81" s="120" t="inlineStr">
        <is>
          <t>Actual__Finish</t>
        </is>
      </c>
      <c r="E81" s="120" t="inlineStr">
        <is>
          <t>실제__완료일</t>
        </is>
      </c>
      <c r="F81" s="120" t="inlineStr">
        <is>
          <t>실제__완료일</t>
        </is>
      </c>
    </row>
    <row r="82">
      <c r="A82" s="125" t="n"/>
      <c r="B82" s="117" t="n">
        <v>166</v>
      </c>
      <c r="C82" s="122" t="inlineStr">
        <is>
          <t>for import columun</t>
        </is>
      </c>
      <c r="D82" s="120" t="inlineStr">
        <is>
          <t>Actual__Start</t>
        </is>
      </c>
      <c r="E82" s="120" t="inlineStr">
        <is>
          <t>실제__시작일</t>
        </is>
      </c>
      <c r="F82" s="120" t="inlineStr">
        <is>
          <t>실제__시작일</t>
        </is>
      </c>
    </row>
    <row r="83">
      <c r="A83" s="125" t="n"/>
      <c r="B83" s="117" t="n">
        <v>167</v>
      </c>
      <c r="C83" s="122" t="inlineStr">
        <is>
          <t>for import columun</t>
        </is>
      </c>
      <c r="D83" s="120" t="inlineStr">
        <is>
          <t>Actual__Total Duration</t>
        </is>
      </c>
      <c r="E83" s="120" t="inlineStr">
        <is>
          <t>실제__총기간</t>
        </is>
      </c>
      <c r="F83" s="120" t="inlineStr">
        <is>
          <t>실제__총기간</t>
        </is>
      </c>
    </row>
    <row r="84">
      <c r="A84" s="125" t="n"/>
      <c r="B84" s="117" t="n">
        <v>168</v>
      </c>
      <c r="C84" s="122" t="inlineStr">
        <is>
          <t>for import columun</t>
        </is>
      </c>
      <c r="D84" s="120" t="inlineStr">
        <is>
          <t>Actual__Total Work</t>
        </is>
      </c>
      <c r="E84" s="120" t="inlineStr">
        <is>
          <t>실제__총작업량</t>
        </is>
      </c>
      <c r="F84" s="120" t="inlineStr">
        <is>
          <t>실제__총작업량</t>
        </is>
      </c>
    </row>
    <row r="85">
      <c r="B85" s="117" t="n">
        <v>169</v>
      </c>
      <c r="D85" s="119" t="inlineStr">
        <is>
          <t>Actual\nFinish</t>
        </is>
      </c>
      <c r="E85" s="119" t="inlineStr">
        <is>
          <t>실제\n완료일</t>
        </is>
      </c>
      <c r="F85" s="119" t="inlineStr">
        <is>
          <t>실제\n완료일</t>
        </is>
      </c>
    </row>
    <row r="86">
      <c r="B86" s="117" t="n">
        <v>170</v>
      </c>
      <c r="D86" s="119" t="inlineStr">
        <is>
          <t>Actual\nStart</t>
        </is>
      </c>
      <c r="E86" s="119" t="inlineStr">
        <is>
          <t>실제\n시작일</t>
        </is>
      </c>
      <c r="F86" s="119" t="inlineStr">
        <is>
          <t>실제\n시작일</t>
        </is>
      </c>
    </row>
    <row r="87">
      <c r="B87" s="117" t="n">
        <v>171</v>
      </c>
      <c r="D87" s="119" t="inlineStr">
        <is>
          <t>Actual\nStart-Finish</t>
        </is>
      </c>
      <c r="E87" s="119" t="inlineStr">
        <is>
          <t>실제_x000D_\n시작일-완료일</t>
        </is>
      </c>
      <c r="F87" s="119" t="inlineStr">
        <is>
          <t>실제_x000D_\n시작일-완료일</t>
        </is>
      </c>
    </row>
    <row r="88">
      <c r="B88" s="117" t="n">
        <v>172</v>
      </c>
      <c r="D88" s="119" t="inlineStr">
        <is>
          <t>Actual\nTotal Duration</t>
        </is>
      </c>
      <c r="E88" s="119" t="inlineStr">
        <is>
          <t>실제\n총기간</t>
        </is>
      </c>
      <c r="F88" s="119" t="inlineStr">
        <is>
          <t>실제\n총기간</t>
        </is>
      </c>
    </row>
    <row r="89">
      <c r="B89" s="117" t="n">
        <v>173</v>
      </c>
      <c r="D89" s="119" t="inlineStr">
        <is>
          <t>Actual\nTotal Work</t>
        </is>
      </c>
      <c r="E89" s="119" t="inlineStr">
        <is>
          <t>실제\n총작업량</t>
        </is>
      </c>
      <c r="F89" s="119" t="inlineStr">
        <is>
          <t>실제\n총작업량</t>
        </is>
      </c>
    </row>
    <row r="90">
      <c r="B90" s="117" t="n">
        <v>174</v>
      </c>
      <c r="D90" s="119" t="inlineStr">
        <is>
          <t>Actual Incurred workload</t>
        </is>
      </c>
      <c r="E90" s="119" t="inlineStr">
        <is>
          <t>실제 투입된 작업량</t>
        </is>
      </c>
      <c r="F90" s="119" t="inlineStr">
        <is>
          <t>실제 투입된 작업량</t>
        </is>
      </c>
    </row>
    <row r="91" ht="24" customHeight="1">
      <c r="B91" s="117" t="n">
        <v>175</v>
      </c>
      <c r="D91" s="119" t="inlineStr">
        <is>
          <t>Actual incurred workload to date when managing schedule changes (AC)</t>
        </is>
      </c>
      <c r="E91" s="135" t="inlineStr">
        <is>
          <t>일정변경 관리할 때 현재까지 실제로 투입된 작업량을 표시함 (AC)</t>
        </is>
      </c>
      <c r="F91" s="135" t="inlineStr">
        <is>
          <t>일정변경 관리할 때 현재까지 실제로 투입된 작업량을 표시함 (AC)</t>
        </is>
      </c>
    </row>
    <row r="92" ht="24" customHeight="1">
      <c r="B92" s="117" t="n">
        <v>176</v>
      </c>
      <c r="D92" s="119" t="inlineStr">
        <is>
          <t>Actually performed workload when not managing schedule changes(Total Duration x %Work Complete)</t>
        </is>
      </c>
      <c r="E92" s="135" t="inlineStr">
        <is>
          <t>일정변경관리 하지 않을 때 현재까지 실제로 진행된 작업량을 표시함(총기간 x 총실적진행률)</t>
        </is>
      </c>
      <c r="F92" s="119" t="inlineStr">
        <is>
          <t>일정변경관리 하지 않을 때 현재까지 실제로 진행된 작업기간을 표시함(총기간 x 총실적진행률)</t>
        </is>
      </c>
    </row>
    <row r="93">
      <c r="B93" s="117" t="n">
        <v>177</v>
      </c>
      <c r="D93" s="119" t="inlineStr">
        <is>
          <t>Add &gt;&gt;</t>
        </is>
      </c>
      <c r="E93" s="119" t="inlineStr">
        <is>
          <t>추가 &gt;&gt;</t>
        </is>
      </c>
      <c r="F93" s="119" t="inlineStr">
        <is>
          <t>추가 &gt;&gt;</t>
        </is>
      </c>
    </row>
    <row r="94">
      <c r="B94" s="117" t="n">
        <v>178</v>
      </c>
      <c r="D94" s="119" t="inlineStr">
        <is>
          <t>Add Languages</t>
        </is>
      </c>
      <c r="E94" s="119" t="inlineStr">
        <is>
          <t>언어 추가</t>
        </is>
      </c>
      <c r="F94" s="119" t="inlineStr">
        <is>
          <t>언어 추가</t>
        </is>
      </c>
    </row>
    <row r="95">
      <c r="B95" s="117" t="n">
        <v>179</v>
      </c>
      <c r="D95" s="119" t="inlineStr">
        <is>
          <t>Add to MS Outlook Calendar</t>
        </is>
      </c>
      <c r="E95" s="119" t="inlineStr">
        <is>
          <t>MS Outlook일정 등록</t>
        </is>
      </c>
      <c r="F95" s="119" t="inlineStr">
        <is>
          <t>MS Outlook일정 등록</t>
        </is>
      </c>
    </row>
    <row r="96">
      <c r="B96" s="117" t="n">
        <v>180</v>
      </c>
      <c r="D96" s="119" t="inlineStr">
        <is>
          <t>Add to MS Outlook Task</t>
        </is>
      </c>
      <c r="E96" s="119" t="inlineStr">
        <is>
          <t>MS Outlook작업 등록</t>
        </is>
      </c>
      <c r="F96" s="119" t="inlineStr">
        <is>
          <t>MS Outlook작업 등록</t>
        </is>
      </c>
    </row>
    <row r="97">
      <c r="B97" s="117" t="n">
        <v>181</v>
      </c>
      <c r="C97" s="118" t="inlineStr">
        <is>
          <t>for help sheet</t>
        </is>
      </c>
      <c r="D97" s="119" t="inlineStr">
        <is>
          <t>Adding Tasks to Microsoft Outlook Calendar</t>
        </is>
      </c>
      <c r="E97" s="119" t="inlineStr">
        <is>
          <t>Microsoft Outlook작업, 일정등록</t>
        </is>
      </c>
      <c r="F97" s="119" t="inlineStr">
        <is>
          <t>Microsoft Outlook작업, 일정등록</t>
        </is>
      </c>
    </row>
    <row r="98" ht="36" customHeight="1">
      <c r="B98" s="117" t="n">
        <v>182</v>
      </c>
      <c r="C98" s="118" t="inlineStr">
        <is>
          <t>for help sheet</t>
        </is>
      </c>
      <c r="D98" s="119" t="inlineStr">
        <is>
          <t>Adds tasks to the Outlook calendar(You must have Microsoft Outlook installed on your PC).</t>
        </is>
      </c>
      <c r="E98" s="119" t="inlineStr">
        <is>
          <t>엑셀간트에서는 Schedule시트에 입력되어 있는 작업을 Microsoft Outlook에 작업이나 일정으로 등록할 수 있는 기능을 제공한다(단, PC에 Microsoft Outlook이 설치되어 있어야 한다).</t>
        </is>
      </c>
      <c r="F98" s="119" t="inlineStr">
        <is>
          <t>엑셀간트에서는 Schedule시트에 입력되어 있는 작업을 Microsoft Outlook에 작업이나 일정으로 등록할 수 있는 기능을 제공한다(단, PC에 Microsoft Outlook이 설치되어 있어야 한다).</t>
        </is>
      </c>
    </row>
    <row r="99">
      <c r="B99" s="117" t="n">
        <v>183</v>
      </c>
      <c r="D99" s="119" t="inlineStr">
        <is>
          <t>After turning off filtering, we'll proceed.</t>
        </is>
      </c>
      <c r="E99" s="119" t="inlineStr">
        <is>
          <t>필터를 해제하고 작업을 진행합니다.</t>
        </is>
      </c>
      <c r="F99" s="119" t="inlineStr">
        <is>
          <t>필터를 해제하고 작업을 진행합니다.</t>
        </is>
      </c>
    </row>
    <row r="100">
      <c r="B100" s="117" t="n">
        <v>184</v>
      </c>
      <c r="D100" s="119" t="inlineStr">
        <is>
          <t>Ahead of schedule</t>
        </is>
      </c>
      <c r="E100" s="119" t="inlineStr">
        <is>
          <t>계획대비 빠름</t>
        </is>
      </c>
      <c r="F100" s="119" t="inlineStr">
        <is>
          <t>계획대비 빠름</t>
        </is>
      </c>
    </row>
    <row r="101">
      <c r="B101" s="117" t="n">
        <v>185</v>
      </c>
      <c r="D101" s="119" t="inlineStr">
        <is>
          <t>All tasks</t>
        </is>
      </c>
      <c r="E101" s="119" t="inlineStr">
        <is>
          <t>전체 조회(필터 해제)</t>
        </is>
      </c>
      <c r="F101" s="119" t="inlineStr">
        <is>
          <t>전체 조회(필터 해제)</t>
        </is>
      </c>
    </row>
    <row r="102" ht="24" customHeight="1">
      <c r="B102" s="117" t="n">
        <v>186</v>
      </c>
      <c r="D102" s="119" t="inlineStr">
        <is>
          <t>An error occurred while checking for updates. Please try again \nError Message: {}</t>
        </is>
      </c>
      <c r="E102" s="119" t="inlineStr">
        <is>
          <t>최신버전 확인 중 에러가 발생했습니다. 잠시 후 다시 시도하세요.\n에러메시지 : {}</t>
        </is>
      </c>
      <c r="F102" s="119" t="inlineStr">
        <is>
          <t>최신버전 확인 중 에러가 발생했습니다. 잠시 후 다시 시도하세요.\n에러메시지 : {}</t>
        </is>
      </c>
    </row>
    <row r="103" ht="24" customHeight="1">
      <c r="B103" s="117" t="n">
        <v>187</v>
      </c>
      <c r="D103" s="119" t="inlineStr">
        <is>
          <t>An error occurred while checking XLGantt cell formats. Please restart XLGantt.</t>
        </is>
      </c>
      <c r="E103" s="119" t="inlineStr">
        <is>
          <t>서식check 중 에러가 발생하였습니다. XLGantt를 종료하고 다시 시작하십시오.</t>
        </is>
      </c>
      <c r="F103" s="119" t="inlineStr">
        <is>
          <t>서식check 중 에러가 발생하였습니다. XLGantt를 종료하고 다시 시작하십시오.</t>
        </is>
      </c>
    </row>
    <row r="104" ht="24" customHeight="1">
      <c r="B104" s="117" t="n">
        <v>188</v>
      </c>
      <c r="D104" s="119" t="inlineStr">
        <is>
          <t>An error occurred while processing. Please check the messages below.</t>
        </is>
      </c>
      <c r="E104" s="119" t="inlineStr">
        <is>
          <t>처리 중 에러가 발생했습니다. 아래의 메시지를 확인하십시오.</t>
        </is>
      </c>
      <c r="F104" s="119" t="inlineStr">
        <is>
          <t>처리 중 에러가 발생했습니다. 아래의 메시지를 확인하십시오.</t>
        </is>
      </c>
    </row>
    <row r="105">
      <c r="B105" s="117" t="n">
        <v>189</v>
      </c>
      <c r="D105" s="119" t="inlineStr">
        <is>
          <t>Analysis</t>
        </is>
      </c>
      <c r="E105" s="119" t="inlineStr">
        <is>
          <t>분석</t>
        </is>
      </c>
      <c r="F105" s="119" t="inlineStr">
        <is>
          <t>분석</t>
        </is>
      </c>
    </row>
    <row r="106">
      <c r="B106" s="117" t="n">
        <v>190</v>
      </c>
      <c r="C106" s="118" t="inlineStr">
        <is>
          <t>for help sheet</t>
        </is>
      </c>
      <c r="D106" s="119" t="inlineStr">
        <is>
          <t>Analysis report</t>
        </is>
      </c>
      <c r="E106" s="119" t="inlineStr">
        <is>
          <t>분석 리포트</t>
        </is>
      </c>
      <c r="F106" s="119" t="inlineStr">
        <is>
          <t>분석 리포트</t>
        </is>
      </c>
    </row>
    <row r="107">
      <c r="B107" s="117" t="n">
        <v>191</v>
      </c>
      <c r="D107" s="119" t="inlineStr">
        <is>
          <t>Appearance</t>
        </is>
      </c>
      <c r="E107" s="119" t="inlineStr">
        <is>
          <t>모양</t>
        </is>
      </c>
      <c r="F107" s="119" t="inlineStr">
        <is>
          <t>모양</t>
        </is>
      </c>
    </row>
    <row r="108">
      <c r="B108" s="117" t="n">
        <v>192</v>
      </c>
      <c r="D108" s="119" t="inlineStr">
        <is>
          <t>Automatic</t>
        </is>
      </c>
      <c r="E108" s="119" t="inlineStr">
        <is>
          <t>자동</t>
        </is>
      </c>
      <c r="F108" s="119" t="inlineStr">
        <is>
          <t>자동</t>
        </is>
      </c>
    </row>
    <row r="109">
      <c r="B109" s="117" t="n">
        <v>193</v>
      </c>
      <c r="D109" s="119" t="inlineStr">
        <is>
          <t>Automatic Except for Data Tables</t>
        </is>
      </c>
      <c r="E109" s="119" t="inlineStr">
        <is>
          <t>데이터 표만 수동</t>
        </is>
      </c>
      <c r="F109" s="119" t="inlineStr">
        <is>
          <t>데이터 표만 수동</t>
        </is>
      </c>
    </row>
    <row r="110">
      <c r="B110" s="117" t="n">
        <v>194</v>
      </c>
      <c r="D110" s="119" t="inlineStr">
        <is>
          <t>Automatically defined</t>
        </is>
      </c>
      <c r="E110" s="119" t="inlineStr">
        <is>
          <t>자동지정</t>
        </is>
      </c>
      <c r="F110" s="119" t="inlineStr">
        <is>
          <t>자동지정</t>
        </is>
      </c>
    </row>
    <row r="111">
      <c r="B111" s="117" t="n">
        <v>195</v>
      </c>
      <c r="D111" s="119" t="inlineStr">
        <is>
          <t>Available Languages</t>
        </is>
      </c>
      <c r="E111" s="119" t="inlineStr">
        <is>
          <t>추가 가능한 언어</t>
        </is>
      </c>
      <c r="F111" s="119" t="inlineStr">
        <is>
          <t>추가 가능한 언어</t>
        </is>
      </c>
    </row>
    <row r="112">
      <c r="B112" s="117" t="n">
        <v>196</v>
      </c>
      <c r="D112" s="119" t="inlineStr">
        <is>
          <t>Bar chart Text Display Position</t>
        </is>
      </c>
      <c r="E112" s="119" t="inlineStr">
        <is>
          <t>Bar chart의 텍스트 표시 위치</t>
        </is>
      </c>
      <c r="F112" s="119" t="inlineStr">
        <is>
          <t>Bar chart의 텍스트 표시 위치</t>
        </is>
      </c>
    </row>
    <row r="113" ht="24" customHeight="1">
      <c r="B113" s="117" t="n">
        <v>197</v>
      </c>
      <c r="D113" s="119" t="inlineStr">
        <is>
          <t>Because the following task already has been added, XLGantt does not add it to "Outlook".\n\nTask Name : {1} \nDue Date : {2}</t>
        </is>
      </c>
      <c r="E113" s="119" t="inlineStr">
        <is>
          <t>다음 작업은 이미 등록되어 있으므로 등록하지 않습니다.\n\n작업명 : {1} \n기한 : {2}</t>
        </is>
      </c>
      <c r="F113" s="119" t="inlineStr">
        <is>
          <t>다음 작업은 이미 등록되어 있으므로 등록하지 않습니다.\n\n작업명 : {1} \n기한 : {2}</t>
        </is>
      </c>
    </row>
    <row r="114" ht="24" customHeight="1">
      <c r="B114" s="117" t="n">
        <v>198</v>
      </c>
      <c r="D114" s="119" t="inlineStr">
        <is>
          <t>Because the following task already has been added, XLGantt does not add it to "Outlook".\n\nTask Name : {1} \nStart Date : {2}</t>
        </is>
      </c>
      <c r="E114" s="119" t="inlineStr">
        <is>
          <t>다음 작업은 이미 등록되어 있으므로 등록하지 않습니다.\n\n작업명 : {1} \n시작일 : {2}</t>
        </is>
      </c>
      <c r="F114" s="119" t="inlineStr">
        <is>
          <t>다음 작업은 이미 등록되어 있으므로 등록하지 않습니다.\n\n작업명 : {1} \n시작일 : {2}</t>
        </is>
      </c>
    </row>
    <row r="115">
      <c r="B115" s="117" t="n">
        <v>199</v>
      </c>
      <c r="D115" s="119" t="inlineStr">
        <is>
          <t>Behind schedule</t>
        </is>
      </c>
      <c r="E115" s="119" t="inlineStr">
        <is>
          <t>일정 지연</t>
        </is>
      </c>
      <c r="F115" s="119" t="inlineStr">
        <is>
          <t>일정 지연</t>
        </is>
      </c>
    </row>
    <row r="116">
      <c r="B116" s="117" t="n">
        <v>200</v>
      </c>
      <c r="D116" s="119" t="inlineStr">
        <is>
          <t>blabla</t>
        </is>
      </c>
      <c r="E116" s="119" t="inlineStr">
        <is>
          <t>...</t>
        </is>
      </c>
      <c r="F116" s="119" t="inlineStr">
        <is>
          <t>...</t>
        </is>
      </c>
    </row>
    <row r="117">
      <c r="B117" s="117" t="n">
        <v>201</v>
      </c>
      <c r="D117" s="119" t="inlineStr">
        <is>
          <t>Black &amp; White</t>
        </is>
      </c>
      <c r="E117" s="119" t="inlineStr">
        <is>
          <t>흑백</t>
        </is>
      </c>
      <c r="F117" s="119" t="inlineStr">
        <is>
          <t>흑백</t>
        </is>
      </c>
    </row>
    <row r="118">
      <c r="B118" s="117" t="n">
        <v>202</v>
      </c>
      <c r="D118" s="119" t="inlineStr">
        <is>
          <t>By %Work Complete</t>
        </is>
      </c>
      <c r="E118" s="119" t="inlineStr">
        <is>
          <t>완료율</t>
        </is>
      </c>
      <c r="F118" s="119" t="inlineStr">
        <is>
          <t>완료율</t>
        </is>
      </c>
    </row>
    <row r="119">
      <c r="B119" s="117" t="n">
        <v>203</v>
      </c>
      <c r="D119" s="119" t="inlineStr">
        <is>
          <t>By Duration</t>
        </is>
      </c>
      <c r="E119" s="119" t="inlineStr">
        <is>
          <t>기간</t>
        </is>
      </c>
      <c r="F119" s="119" t="inlineStr">
        <is>
          <t>기간</t>
        </is>
      </c>
    </row>
    <row r="120">
      <c r="B120" s="117" t="n">
        <v>204</v>
      </c>
      <c r="D120" s="119" t="inlineStr">
        <is>
          <t>By Resource</t>
        </is>
      </c>
      <c r="E120" s="119" t="inlineStr">
        <is>
          <t>담당</t>
        </is>
      </c>
      <c r="F120" s="119" t="inlineStr">
        <is>
          <t>담당</t>
        </is>
      </c>
    </row>
    <row r="121">
      <c r="B121" s="117" t="n">
        <v>205</v>
      </c>
      <c r="D121" s="119" t="inlineStr">
        <is>
          <t>by Resource Allocation Ratio</t>
        </is>
      </c>
      <c r="E121" s="119" t="inlineStr">
        <is>
          <t>자원배정비율로 계산</t>
        </is>
      </c>
      <c r="F121" s="119" t="inlineStr">
        <is>
          <t>자원배정비율로 계산</t>
        </is>
      </c>
    </row>
    <row r="122">
      <c r="B122" s="117" t="n">
        <v>206</v>
      </c>
      <c r="D122" s="119" t="inlineStr">
        <is>
          <t>by Resource Count</t>
        </is>
      </c>
      <c r="E122" s="119" t="inlineStr">
        <is>
          <t>자원수로 계산</t>
        </is>
      </c>
      <c r="F122" s="119" t="inlineStr">
        <is>
          <t>자원수로 계산</t>
        </is>
      </c>
    </row>
    <row r="123">
      <c r="B123" s="117" t="n">
        <v>207</v>
      </c>
      <c r="D123" s="119" t="inlineStr">
        <is>
          <t>Calculation Base Date of Planned %Work Complete</t>
        </is>
      </c>
      <c r="E123" s="119" t="inlineStr">
        <is>
          <t>계획진척률 계산 기준일자</t>
        </is>
      </c>
      <c r="F123" s="119" t="inlineStr">
        <is>
          <t>계획진척률 계산 기준일자</t>
        </is>
      </c>
    </row>
    <row r="124" ht="24" customHeight="1">
      <c r="B124" s="117" t="n">
        <v>208</v>
      </c>
      <c r="D124" s="119" t="inlineStr">
        <is>
          <t>Calculation Base Date of Planned %Work Complete must be greater than or equal to project start date.</t>
        </is>
      </c>
      <c r="E124" s="119" t="inlineStr">
        <is>
          <t>계획진척률 계산 기준일자는 프로젝트 시작일보다 크거나 같아야 합니다.</t>
        </is>
      </c>
      <c r="F124" s="119" t="inlineStr">
        <is>
          <t>계획진척률 계산 기준일자는 프로젝트 시작일보다 크거나 같아야 합니다.</t>
        </is>
      </c>
    </row>
    <row r="125" ht="24" customHeight="1">
      <c r="B125" s="117" t="n">
        <v>209</v>
      </c>
      <c r="D125" s="119" t="inlineStr">
        <is>
          <t>Calculation Base Date of Planned %Work Complete must be less than or equal to project finish date.</t>
        </is>
      </c>
      <c r="E125" s="119" t="inlineStr">
        <is>
          <t>계획진척률 계산 기준일자는 프로젝트 완료일보다 작거나 같아야 합니다.</t>
        </is>
      </c>
      <c r="F125" s="119" t="inlineStr">
        <is>
          <t>계획진척률 계산 기준일자는 프로젝트 완료일보다 작거나 같아야 합니다.</t>
        </is>
      </c>
    </row>
    <row r="126">
      <c r="B126" s="117" t="n">
        <v>210</v>
      </c>
      <c r="D126" s="119" t="inlineStr">
        <is>
          <t>Calculation Options</t>
        </is>
      </c>
      <c r="E126" s="119" t="inlineStr">
        <is>
          <t>계산 옵션</t>
        </is>
      </c>
      <c r="F126" s="119" t="inlineStr">
        <is>
          <t>계산 옵션</t>
        </is>
      </c>
    </row>
    <row r="127">
      <c r="B127" s="117" t="n">
        <v>211</v>
      </c>
      <c r="D127" s="119" t="inlineStr">
        <is>
          <t>Calendar</t>
        </is>
      </c>
      <c r="E127" s="119" t="inlineStr">
        <is>
          <t>Calendar</t>
        </is>
      </c>
      <c r="F127" s="119" t="inlineStr">
        <is>
          <t>Calendar</t>
        </is>
      </c>
    </row>
    <row r="128">
      <c r="B128" s="117" t="n">
        <v>212</v>
      </c>
      <c r="D128" s="119" t="inlineStr">
        <is>
          <t>Cancel</t>
        </is>
      </c>
      <c r="E128" s="119" t="inlineStr">
        <is>
          <t>취소</t>
        </is>
      </c>
      <c r="F128" s="119" t="inlineStr">
        <is>
          <t>취소</t>
        </is>
      </c>
    </row>
    <row r="129">
      <c r="B129" s="117" t="n">
        <v>213</v>
      </c>
      <c r="D129" s="119" t="inlineStr">
        <is>
          <t>Chart</t>
        </is>
      </c>
      <c r="E129" s="119" t="inlineStr">
        <is>
          <t>차트</t>
        </is>
      </c>
      <c r="F129" s="119" t="inlineStr">
        <is>
          <t>차트</t>
        </is>
      </c>
    </row>
    <row r="130">
      <c r="B130" s="117" t="n">
        <v>214</v>
      </c>
      <c r="D130" s="119" t="inlineStr">
        <is>
          <t>Check for Updates</t>
        </is>
      </c>
      <c r="E130" s="119" t="inlineStr">
        <is>
          <t>최신버전\n확인</t>
        </is>
      </c>
      <c r="F130" s="119" t="inlineStr">
        <is>
          <t>최신버전\n확인</t>
        </is>
      </c>
    </row>
    <row r="131">
      <c r="B131" s="117" t="n">
        <v>215</v>
      </c>
      <c r="D131" s="119" t="inlineStr">
        <is>
          <t xml:space="preserve">Check for Updates on Startup </t>
        </is>
      </c>
      <c r="E131" s="119" t="inlineStr">
        <is>
          <t>프로그램 시작 시 최신버전 확인</t>
        </is>
      </c>
      <c r="F131" s="119" t="inlineStr">
        <is>
          <t>프로그램 시작 시 최신버전 확인</t>
        </is>
      </c>
    </row>
    <row r="132">
      <c r="B132" s="117" t="n">
        <v>216</v>
      </c>
      <c r="D132" s="119" t="inlineStr">
        <is>
          <t>Check if you save deliverables in specific directory</t>
        </is>
      </c>
      <c r="E132" s="119" t="inlineStr">
        <is>
          <t>산출물 관리를 할 경우에 체크하세요</t>
        </is>
      </c>
      <c r="F132" s="119" t="inlineStr">
        <is>
          <t>산출물 관리를 할 경우에 체크하세요</t>
        </is>
      </c>
    </row>
    <row r="133">
      <c r="B133" s="117" t="n">
        <v>217</v>
      </c>
      <c r="D133" s="119" t="inlineStr">
        <is>
          <t>Choose a file type to import</t>
        </is>
      </c>
      <c r="E133" s="119" t="inlineStr">
        <is>
          <t>가져올 파일 종류 선택</t>
        </is>
      </c>
      <c r="F133" s="119" t="inlineStr">
        <is>
          <t>가져올 파일 종류 선택</t>
        </is>
      </c>
    </row>
    <row r="134">
      <c r="B134" s="117" t="n">
        <v>218</v>
      </c>
      <c r="D134" s="119" t="inlineStr">
        <is>
          <t>Choose a language used in XLGantt</t>
        </is>
      </c>
      <c r="E134" s="119" t="inlineStr">
        <is>
          <t>XLGantt에서 사용할 언어 선택</t>
        </is>
      </c>
      <c r="F134" s="119" t="inlineStr">
        <is>
          <t>XLGantt에서 사용할 언어 선택</t>
        </is>
      </c>
    </row>
    <row r="135">
      <c r="B135" s="117" t="n">
        <v>219</v>
      </c>
      <c r="D135" s="119" t="inlineStr">
        <is>
          <t>Choose a language used in XLGantt.</t>
        </is>
      </c>
      <c r="E135" s="119" t="inlineStr">
        <is>
          <t>XLGantt에서 사용할 언어를 선택하세요.</t>
        </is>
      </c>
      <c r="F135" s="119" t="inlineStr">
        <is>
          <t>XLGantt에서 사용할 언어를 선택하세요.</t>
        </is>
      </c>
    </row>
    <row r="136">
      <c r="B136" s="117" t="n">
        <v>220</v>
      </c>
      <c r="D136" s="119" t="inlineStr">
        <is>
          <t>Choose a language.</t>
        </is>
      </c>
      <c r="E136" s="119" t="inlineStr">
        <is>
          <t>언어를 선택하세요</t>
        </is>
      </c>
      <c r="F136" s="119" t="inlineStr">
        <is>
          <t>언어를 선택하세요</t>
        </is>
      </c>
    </row>
    <row r="137">
      <c r="B137" s="117" t="n">
        <v>221</v>
      </c>
      <c r="D137" s="119" t="inlineStr">
        <is>
          <t>Choose an import option.</t>
        </is>
      </c>
      <c r="E137" s="119" t="inlineStr">
        <is>
          <t>가져오기 옵션을 선택하세요.</t>
        </is>
      </c>
      <c r="F137" s="119" t="inlineStr">
        <is>
          <t>가져오기 옵션을 선택하세요.</t>
        </is>
      </c>
    </row>
    <row r="138">
      <c r="B138" s="117" t="n">
        <v>222</v>
      </c>
      <c r="D138" s="119" t="inlineStr">
        <is>
          <t>Choose directly</t>
        </is>
      </c>
      <c r="E138" s="119" t="inlineStr">
        <is>
          <t>컴퓨터 O/S와 관계없이 직접 선택</t>
        </is>
      </c>
      <c r="F138" s="119" t="inlineStr">
        <is>
          <t>컴퓨터 O/S와 관계없이 직접 선택</t>
        </is>
      </c>
    </row>
    <row r="139">
      <c r="B139" s="117" t="n">
        <v>223</v>
      </c>
      <c r="D139" s="119" t="inlineStr">
        <is>
          <t>Choose the Type of Deliverables</t>
        </is>
      </c>
      <c r="E139" s="119" t="inlineStr">
        <is>
          <t>산출물 종류를 선택하세요</t>
        </is>
      </c>
      <c r="F139" s="119" t="inlineStr">
        <is>
          <t>산출물 종류를 선택하세요</t>
        </is>
      </c>
    </row>
    <row r="140">
      <c r="B140" s="117" t="n">
        <v>224</v>
      </c>
      <c r="C140" s="118" t="inlineStr">
        <is>
          <t>for importOnStartup</t>
        </is>
      </c>
      <c r="D140" s="119" t="inlineStr">
        <is>
          <t>Choose what to do after Importing Server Data</t>
        </is>
      </c>
      <c r="E140" s="119" t="inlineStr">
        <is>
          <t>서버데이터 가져온 후 수행할 작업 선택</t>
        </is>
      </c>
      <c r="F140" s="119" t="inlineStr">
        <is>
          <t>서버데이터 가져온 후 수행할 작업 선택</t>
        </is>
      </c>
    </row>
    <row r="141">
      <c r="B141" s="117" t="n">
        <v>225</v>
      </c>
      <c r="D141" s="119" t="inlineStr">
        <is>
          <t>Close</t>
        </is>
      </c>
      <c r="E141" s="119" t="inlineStr">
        <is>
          <t>닫기</t>
        </is>
      </c>
      <c r="F141" s="119" t="inlineStr">
        <is>
          <t>닫기</t>
        </is>
      </c>
    </row>
    <row r="142">
      <c r="B142" s="117" t="n">
        <v>226</v>
      </c>
      <c r="D142" s="119" t="inlineStr">
        <is>
          <t>Color Theme</t>
        </is>
      </c>
      <c r="E142" s="119" t="inlineStr">
        <is>
          <t>컬러 테마</t>
        </is>
      </c>
      <c r="F142" s="119" t="inlineStr">
        <is>
          <t>컬러 테마</t>
        </is>
      </c>
    </row>
    <row r="143">
      <c r="B143" s="117" t="n">
        <v>227</v>
      </c>
      <c r="D143" s="119" t="inlineStr">
        <is>
          <t>Completed(=100%)</t>
        </is>
      </c>
      <c r="E143" s="119" t="inlineStr">
        <is>
          <t>완료</t>
        </is>
      </c>
      <c r="F143" s="119" t="inlineStr">
        <is>
          <t>완료</t>
        </is>
      </c>
    </row>
    <row r="144">
      <c r="B144" s="117" t="n">
        <v>228</v>
      </c>
      <c r="D144" s="119" t="inlineStr">
        <is>
          <t>Contains</t>
        </is>
      </c>
      <c r="E144" s="119" t="inlineStr">
        <is>
          <t>포함</t>
        </is>
      </c>
      <c r="F144" s="119" t="inlineStr">
        <is>
          <t>포함</t>
        </is>
      </c>
    </row>
    <row r="145">
      <c r="B145" s="117" t="n">
        <v>229</v>
      </c>
      <c r="D145" s="119" t="inlineStr">
        <is>
          <t>Create Workload Data by Months</t>
        </is>
      </c>
      <c r="E145" s="119" t="inlineStr">
        <is>
          <t>Workload Data생성(월별)</t>
        </is>
      </c>
      <c r="F145" s="119" t="inlineStr">
        <is>
          <t>Workload Data생성(월별)</t>
        </is>
      </c>
    </row>
    <row r="146">
      <c r="B146" s="117" t="n">
        <v>230</v>
      </c>
      <c r="D146" s="119" t="inlineStr">
        <is>
          <t>Create Workload Data by Weeks</t>
        </is>
      </c>
      <c r="E146" s="119" t="inlineStr">
        <is>
          <t>Workload Data생성(주별)</t>
        </is>
      </c>
      <c r="F146" s="119" t="inlineStr">
        <is>
          <t>Workload Data생성(주별)</t>
        </is>
      </c>
    </row>
    <row r="147">
      <c r="B147" s="117" t="n">
        <v>231</v>
      </c>
      <c r="D147" s="119" t="inlineStr">
        <is>
          <t>Current Version</t>
        </is>
      </c>
      <c r="E147" s="119" t="inlineStr">
        <is>
          <t>현재 사용중인 버전</t>
        </is>
      </c>
      <c r="F147" s="119" t="inlineStr">
        <is>
          <t>현재 사용중인 버전</t>
        </is>
      </c>
    </row>
    <row r="148">
      <c r="B148" s="117" t="n">
        <v>232</v>
      </c>
      <c r="D148" s="119" t="inlineStr">
        <is>
          <t>Custom</t>
        </is>
      </c>
      <c r="E148" s="119" t="inlineStr">
        <is>
          <t>사용자 정의</t>
        </is>
      </c>
      <c r="F148" s="119" t="inlineStr">
        <is>
          <t>사용자 정의</t>
        </is>
      </c>
    </row>
    <row r="149">
      <c r="B149" s="117" t="n">
        <v>233</v>
      </c>
      <c r="D149" s="119" t="inlineStr">
        <is>
          <t>Daily</t>
        </is>
      </c>
      <c r="E149" s="119" t="inlineStr">
        <is>
          <t>일별</t>
        </is>
      </c>
      <c r="F149" s="119" t="inlineStr">
        <is>
          <t>일별</t>
        </is>
      </c>
    </row>
    <row r="150">
      <c r="B150" s="117" t="n">
        <v>234</v>
      </c>
      <c r="D150" s="119" t="inlineStr">
        <is>
          <t>Daily view</t>
        </is>
      </c>
      <c r="E150" s="119" t="inlineStr">
        <is>
          <t>일별보기</t>
        </is>
      </c>
      <c r="F150" s="119" t="inlineStr">
        <is>
          <t>일별보기</t>
        </is>
      </c>
    </row>
    <row r="151">
      <c r="B151" s="117" t="n">
        <v>235</v>
      </c>
      <c r="D151" s="119" t="inlineStr">
        <is>
          <t>Days (Average number of working days per month)</t>
        </is>
      </c>
      <c r="E151" s="119" t="inlineStr">
        <is>
          <t>일 (월평균 근무일수)</t>
        </is>
      </c>
      <c r="F151" s="119" t="inlineStr">
        <is>
          <t>일 (월평균 근무일수)</t>
        </is>
      </c>
    </row>
    <row r="152">
      <c r="B152" s="117" t="n">
        <v>236</v>
      </c>
      <c r="D152" s="119" t="inlineStr">
        <is>
          <t xml:space="preserve">Days counted as Nonworking days </t>
        </is>
      </c>
      <c r="E152" s="119" t="inlineStr">
        <is>
          <t>휴무일로 계산되는 날</t>
        </is>
      </c>
      <c r="F152" s="119" t="inlineStr">
        <is>
          <t>휴무일로 계산되는 날</t>
        </is>
      </c>
    </row>
    <row r="153">
      <c r="B153" s="117" t="n">
        <v>237</v>
      </c>
      <c r="D153" s="119" t="inlineStr">
        <is>
          <t>Basic</t>
        </is>
      </c>
      <c r="E153" s="119" t="inlineStr">
        <is>
          <t>기본</t>
        </is>
      </c>
      <c r="F153" s="119" t="inlineStr">
        <is>
          <t>기본</t>
        </is>
      </c>
    </row>
    <row r="154">
      <c r="B154" s="117" t="n">
        <v>238</v>
      </c>
      <c r="D154" s="119" t="inlineStr">
        <is>
          <t>Deliverables</t>
        </is>
      </c>
      <c r="E154" s="119" t="inlineStr">
        <is>
          <t>산출물</t>
        </is>
      </c>
      <c r="F154" s="119" t="inlineStr">
        <is>
          <t>산출물</t>
        </is>
      </c>
    </row>
    <row r="155">
      <c r="B155" s="117" t="n">
        <v>239</v>
      </c>
      <c r="D155" s="119" t="inlineStr">
        <is>
          <t>Deliverables field.</t>
        </is>
      </c>
      <c r="E155" s="119" t="inlineStr">
        <is>
          <t>산출물 필드입니다.</t>
        </is>
      </c>
      <c r="F155" s="119" t="inlineStr">
        <is>
          <t>산출물 필드입니다.</t>
        </is>
      </c>
    </row>
    <row r="156">
      <c r="B156" s="117" t="n">
        <v>240</v>
      </c>
      <c r="D156" s="119" t="inlineStr">
        <is>
          <t>Deliverables type is not selected</t>
        </is>
      </c>
      <c r="E156" s="119" t="inlineStr">
        <is>
          <t>산출물 종류가 선택되지 않았습니다</t>
        </is>
      </c>
      <c r="F156" s="119" t="inlineStr">
        <is>
          <t>산출물 종류가 선택되지 않았습니다</t>
        </is>
      </c>
    </row>
    <row r="157">
      <c r="B157" s="117" t="n">
        <v>241</v>
      </c>
      <c r="D157" s="119" t="inlineStr">
        <is>
          <t>Display  % Work Complete</t>
        </is>
      </c>
      <c r="E157" s="119" t="inlineStr">
        <is>
          <t>실적진척률 표시</t>
        </is>
      </c>
      <c r="F157" s="119" t="inlineStr">
        <is>
          <t>실적진척률 표시</t>
        </is>
      </c>
    </row>
    <row r="158">
      <c r="B158" s="117" t="n">
        <v>242</v>
      </c>
      <c r="D158" s="119" t="inlineStr">
        <is>
          <t>Display date</t>
        </is>
      </c>
      <c r="E158" s="119" t="inlineStr">
        <is>
          <t>날짜 표시</t>
        </is>
      </c>
      <c r="F158" s="119" t="inlineStr">
        <is>
          <t>날짜 표시</t>
        </is>
      </c>
    </row>
    <row r="159">
      <c r="B159" s="117" t="n">
        <v>243</v>
      </c>
      <c r="D159" s="119" t="inlineStr">
        <is>
          <t>Display date on the timescale</t>
        </is>
      </c>
      <c r="E159" s="119" t="inlineStr">
        <is>
          <t>간트차트 눈금에 날짜 표시</t>
        </is>
      </c>
      <c r="F159" s="119" t="inlineStr">
        <is>
          <t>간트차트 눈금에 날짜 표시</t>
        </is>
      </c>
    </row>
    <row r="160">
      <c r="B160" s="117" t="n">
        <v>244</v>
      </c>
      <c r="D160" s="119" t="inlineStr">
        <is>
          <t>Display font color to gray for the completed tasks</t>
        </is>
      </c>
      <c r="E160" s="119" t="inlineStr">
        <is>
          <t>완료된 작업의 폰트색상 회색표시</t>
        </is>
      </c>
      <c r="F160" s="119" t="inlineStr">
        <is>
          <t>완료된 작업의 폰트색상 회색표시</t>
        </is>
      </c>
    </row>
    <row r="161">
      <c r="B161" s="117" t="n">
        <v>245</v>
      </c>
      <c r="D161" s="119" t="inlineStr">
        <is>
          <t>Display interior color to gray for the task groups</t>
        </is>
      </c>
      <c r="E161" s="119" t="inlineStr">
        <is>
          <t>작업그룹의 배경색 회색표시</t>
        </is>
      </c>
      <c r="F161" s="119" t="inlineStr">
        <is>
          <t>작업그룹의 배경색 회색표시</t>
        </is>
      </c>
    </row>
    <row r="162">
      <c r="B162" s="117" t="n">
        <v>246</v>
      </c>
      <c r="D162" s="119" t="inlineStr">
        <is>
          <t>Display Planned %Work Complete</t>
        </is>
      </c>
      <c r="E162" s="119" t="inlineStr">
        <is>
          <t>계획진척률 표시</t>
        </is>
      </c>
      <c r="F162" s="119" t="inlineStr">
        <is>
          <t>계획진척률 표시</t>
        </is>
      </c>
    </row>
    <row r="163">
      <c r="B163" s="117" t="n">
        <v>247</v>
      </c>
      <c r="D163" s="119" t="inlineStr">
        <is>
          <t>Display project week number on the timescale</t>
        </is>
      </c>
      <c r="E163" s="119" t="inlineStr">
        <is>
          <t>간트차트 눈금에 프로젝트 주차 표시</t>
        </is>
      </c>
      <c r="F163" s="119" t="inlineStr">
        <is>
          <t>간트차트 눈금에 프로젝트 주차 표시</t>
        </is>
      </c>
    </row>
    <row r="164">
      <c r="B164" s="117" t="n">
        <v>248</v>
      </c>
      <c r="D164" s="119" t="inlineStr">
        <is>
          <t>Display resource</t>
        </is>
      </c>
      <c r="E164" s="119" t="inlineStr">
        <is>
          <t>담당 표시</t>
        </is>
      </c>
      <c r="F164" s="119" t="inlineStr">
        <is>
          <t>담당 표시</t>
        </is>
      </c>
    </row>
    <row r="165">
      <c r="B165" s="117" t="n">
        <v>249</v>
      </c>
      <c r="D165" s="119" t="inlineStr">
        <is>
          <t xml:space="preserve">Display task name </t>
        </is>
      </c>
      <c r="E165" s="119" t="inlineStr">
        <is>
          <t>작업명 표시</t>
        </is>
      </c>
      <c r="F165" s="119" t="inlineStr">
        <is>
          <t>작업명 표시</t>
        </is>
      </c>
    </row>
    <row r="166">
      <c r="B166" s="117" t="n">
        <v>250</v>
      </c>
      <c r="D166" s="119" t="inlineStr">
        <is>
          <t>Display the task name in the same field</t>
        </is>
      </c>
      <c r="E166" s="119" t="inlineStr">
        <is>
          <t>같은 필드에 작업명 표시</t>
        </is>
      </c>
      <c r="F166" s="119" t="inlineStr">
        <is>
          <t>같은 필드에 작업명 표시</t>
        </is>
      </c>
    </row>
    <row r="167">
      <c r="B167" s="117" t="n">
        <v>251</v>
      </c>
      <c r="D167" s="119" t="inlineStr">
        <is>
          <t>Display the total workload of the project</t>
        </is>
      </c>
      <c r="E167" s="135" t="inlineStr">
        <is>
          <t>프로젝트 전체의 작업량을 Man/Day로 표시, 자원수를 적용한 값</t>
        </is>
      </c>
      <c r="F167" s="135" t="inlineStr">
        <is>
          <t>프로젝트 전체의 작업량을 Man/Day로 표시, 자원수를 적용한 값</t>
        </is>
      </c>
    </row>
    <row r="168">
      <c r="B168" s="117" t="n">
        <v>252</v>
      </c>
      <c r="D168" s="119" t="inlineStr">
        <is>
          <t>Display year on the timescale</t>
        </is>
      </c>
      <c r="E168" s="119" t="inlineStr">
        <is>
          <t>간트차트 눈금에 년도 표시</t>
        </is>
      </c>
      <c r="F168" s="119" t="inlineStr">
        <is>
          <t>간트차트 눈금에 년도 표시</t>
        </is>
      </c>
    </row>
    <row r="169">
      <c r="B169" s="117" t="n">
        <v>253</v>
      </c>
      <c r="D169" s="119" t="inlineStr">
        <is>
          <t>Displayed in %Work complete column</t>
        </is>
      </c>
      <c r="E169" s="119" t="inlineStr">
        <is>
          <t>실적 열에 표시됨</t>
        </is>
      </c>
      <c r="F169" s="119" t="inlineStr">
        <is>
          <t>실적 열에 표시됨</t>
        </is>
      </c>
    </row>
    <row r="170">
      <c r="B170" s="117" t="n">
        <v>254</v>
      </c>
      <c r="D170" s="119" t="inlineStr">
        <is>
          <t>Displays the task name in the different field for each level</t>
        </is>
      </c>
      <c r="E170" s="119" t="inlineStr">
        <is>
          <t>Level별로 다른 필드에 작업명 표시</t>
        </is>
      </c>
      <c r="F170" s="119" t="inlineStr">
        <is>
          <t>Level별로 다른 필드에 작업명 표시</t>
        </is>
      </c>
    </row>
    <row r="171">
      <c r="B171" s="117" t="n">
        <v>255</v>
      </c>
      <c r="C171" s="118" t="inlineStr">
        <is>
          <t>for importOnStartup</t>
        </is>
      </c>
      <c r="D171" s="119" t="inlineStr">
        <is>
          <t>Do not recalculate WBS area after import</t>
        </is>
      </c>
      <c r="E171" s="119" t="inlineStr">
        <is>
          <t>가져오기 후 WBS영역 재계산 안함</t>
        </is>
      </c>
      <c r="F171" s="119" t="inlineStr">
        <is>
          <t>가져오기 후 WBS영역 재계산 안함</t>
        </is>
      </c>
    </row>
    <row r="172">
      <c r="B172" s="117" t="n">
        <v>256</v>
      </c>
      <c r="D172" s="119" t="inlineStr">
        <is>
          <t>Download the latest version</t>
        </is>
      </c>
      <c r="E172" s="119" t="inlineStr">
        <is>
          <t>프로그램 최신버전 다운로드</t>
        </is>
      </c>
      <c r="F172" s="119" t="inlineStr">
        <is>
          <t>프로그램 최신버전 다운로드</t>
        </is>
      </c>
    </row>
    <row r="173">
      <c r="B173" s="117" t="n">
        <v>257</v>
      </c>
      <c r="D173" s="119" t="inlineStr">
        <is>
          <t>Drawing Gantt chart</t>
        </is>
      </c>
      <c r="E173" s="119" t="inlineStr">
        <is>
          <t>Gantt chart 그리기 작업</t>
        </is>
      </c>
      <c r="F173" s="119" t="inlineStr">
        <is>
          <t>Gantt chart 그리기 작업</t>
        </is>
      </c>
    </row>
    <row r="174">
      <c r="B174" s="117" t="n">
        <v>258</v>
      </c>
      <c r="D174" s="119" t="inlineStr">
        <is>
          <t>Drawing progress line</t>
        </is>
      </c>
      <c r="E174" s="119" t="inlineStr">
        <is>
          <t>진척률선 그리기</t>
        </is>
      </c>
      <c r="F174" s="119" t="inlineStr">
        <is>
          <t>진척률선 그리기</t>
        </is>
      </c>
    </row>
    <row r="175">
      <c r="B175" s="117" t="n">
        <v>259</v>
      </c>
      <c r="D175" s="119" t="inlineStr">
        <is>
          <t xml:space="preserve">Duration </t>
        </is>
      </c>
      <c r="E175" s="119" t="inlineStr">
        <is>
          <t>기간 지정</t>
        </is>
      </c>
      <c r="F175" s="119" t="inlineStr">
        <is>
          <t>기간 지정</t>
        </is>
      </c>
    </row>
    <row r="176">
      <c r="B176" s="117" t="n">
        <v>260</v>
      </c>
      <c r="D176" s="119" t="inlineStr">
        <is>
          <t>Earned Value Accumulated(Man-Day)</t>
        </is>
      </c>
      <c r="E176" s="119" t="inlineStr">
        <is>
          <t>실적기성 누적(Man-Day)</t>
        </is>
      </c>
      <c r="F176" s="119" t="inlineStr">
        <is>
          <t>실적기성 누적(Man-Day)</t>
        </is>
      </c>
    </row>
    <row r="177">
      <c r="B177" s="117" t="n">
        <v>261</v>
      </c>
      <c r="D177" s="119" t="inlineStr">
        <is>
          <t>Earned value on planned schedule</t>
        </is>
      </c>
      <c r="E177" s="119" t="inlineStr">
        <is>
          <t>실적기성</t>
        </is>
      </c>
      <c r="F177" s="119" t="inlineStr">
        <is>
          <t>실적기성</t>
        </is>
      </c>
    </row>
    <row r="178" ht="24" customHeight="1">
      <c r="B178" s="117" t="n">
        <v>262</v>
      </c>
      <c r="D178" s="119" t="inlineStr">
        <is>
          <t>Earned value on planned schedule when managing schedule changes(Total Duration x %Work Complete) (EV)</t>
        </is>
      </c>
      <c r="E178" s="135" t="inlineStr">
        <is>
          <t>일정변경관리 할때 실적기성(프로젝트 전체 작업량 x 실적 진척률) (EV)</t>
        </is>
      </c>
      <c r="F178" s="135" t="inlineStr">
        <is>
          <t>일정변경관리 할때 실적기성(프로젝트 전체 작업량 x 실적 진척률) (EV)</t>
        </is>
      </c>
    </row>
    <row r="179" ht="24" customHeight="1">
      <c r="B179" s="117" t="n">
        <v>263</v>
      </c>
      <c r="D179" s="119" t="inlineStr">
        <is>
          <t>Earned value on planned schedule(Total Duration x %Work Complete) (EV)</t>
        </is>
      </c>
      <c r="E179" s="135" t="inlineStr">
        <is>
          <t>실적기성(프로젝트 전체 작업량 x 실적 진척률) (EV)</t>
        </is>
      </c>
      <c r="F179" s="135" t="inlineStr">
        <is>
          <t>실적기성(프로젝트 전체 작업량 x 실적 진척률) (EV)</t>
        </is>
      </c>
    </row>
    <row r="180">
      <c r="B180" s="117" t="n">
        <v>264</v>
      </c>
      <c r="D180" s="119" t="inlineStr">
        <is>
          <t>Earned Value Progress</t>
        </is>
      </c>
      <c r="E180" s="119" t="inlineStr">
        <is>
          <t>실적기성 진척률</t>
        </is>
      </c>
      <c r="F180" s="119" t="inlineStr">
        <is>
          <t>실적기성 진척률</t>
        </is>
      </c>
    </row>
    <row r="181">
      <c r="B181" s="117" t="n">
        <v>265</v>
      </c>
      <c r="D181" s="119" t="inlineStr">
        <is>
          <t>Earned Value(C)\nMan-day</t>
        </is>
      </c>
      <c r="E181" s="119" t="inlineStr">
        <is>
          <t>실적기성( C )\nMan-day</t>
        </is>
      </c>
      <c r="F181" s="119" t="inlineStr">
        <is>
          <t>실적기성( C )\nMan-day</t>
        </is>
      </c>
    </row>
    <row r="182">
      <c r="B182" s="117" t="n">
        <v>266</v>
      </c>
      <c r="D182" s="119" t="inlineStr">
        <is>
          <t>Earned Value(Man-Day)</t>
        </is>
      </c>
      <c r="E182" s="119" t="inlineStr">
        <is>
          <t>실적기성(Man-Day)</t>
        </is>
      </c>
      <c r="F182" s="119" t="inlineStr">
        <is>
          <t>실적기성(Man-Day)</t>
        </is>
      </c>
    </row>
    <row r="183">
      <c r="B183" s="117" t="n">
        <v>267</v>
      </c>
      <c r="D183" s="119" t="inlineStr">
        <is>
          <t>Edit a Task</t>
        </is>
      </c>
      <c r="E183" s="119" t="inlineStr">
        <is>
          <t>작업 정보</t>
        </is>
      </c>
      <c r="F183" s="119" t="inlineStr">
        <is>
          <t>작업 정보</t>
        </is>
      </c>
    </row>
    <row r="184">
      <c r="B184" s="117" t="n">
        <v>268</v>
      </c>
      <c r="D184" s="119" t="inlineStr">
        <is>
          <t>Elsa,John[50%]</t>
        </is>
      </c>
      <c r="E184" s="119" t="inlineStr">
        <is>
          <t>홍길동,김길동[50%]</t>
        </is>
      </c>
      <c r="F184" s="119" t="inlineStr">
        <is>
          <t>홍길동,김길동[50%]</t>
        </is>
      </c>
    </row>
    <row r="185">
      <c r="B185" s="117" t="n">
        <v>269</v>
      </c>
      <c r="D185" s="119" t="inlineStr">
        <is>
          <t>Enabled Languages</t>
        </is>
      </c>
      <c r="E185" s="119" t="inlineStr">
        <is>
          <t>사용할 수 있는 언어</t>
        </is>
      </c>
      <c r="F185" s="119" t="inlineStr">
        <is>
          <t>사용할 수 있는 언어</t>
        </is>
      </c>
    </row>
    <row r="186">
      <c r="B186" s="117" t="n">
        <v>270</v>
      </c>
      <c r="D186" s="119" t="inlineStr">
        <is>
          <t>Equals</t>
        </is>
      </c>
      <c r="E186" s="119" t="inlineStr">
        <is>
          <t>같음</t>
        </is>
      </c>
      <c r="F186" s="119" t="inlineStr">
        <is>
          <t>같음</t>
        </is>
      </c>
    </row>
    <row r="187" ht="24" customHeight="1">
      <c r="B187" s="117" t="n">
        <v>271</v>
      </c>
      <c r="D187" s="119" t="inlineStr">
        <is>
          <t>Error! Calculated Total Man-Day is different from the Total Man-Day of the {} sheet.</t>
        </is>
      </c>
      <c r="E187" s="119" t="inlineStr">
        <is>
          <t>오류! 계산된 Total Man-Day가 {} sheet의 Total Man-Day와 다릅니다.</t>
        </is>
      </c>
      <c r="F187" s="119" t="inlineStr">
        <is>
          <t>오류! 계산된 Total Man-Day가 {} sheet의 Total Man-Day와 다릅니다.</t>
        </is>
      </c>
    </row>
    <row r="188" ht="36" customHeight="1">
      <c r="B188" s="117" t="n">
        <v>272</v>
      </c>
      <c r="D188" s="119" t="inlineStr">
        <is>
          <t>Error! Cause may be one of the following.\n * File is invalid(e.g. the XLGantt file corrupted)\n * Not XLGantt file but General Excel file\n\n Please check the messages below for details.</t>
        </is>
      </c>
      <c r="E188" s="11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1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17" t="n">
        <v>273</v>
      </c>
      <c r="D189" s="119" t="inlineStr">
        <is>
          <t>Error, Invalid field specified.</t>
        </is>
      </c>
      <c r="E189" s="119" t="inlineStr">
        <is>
          <t>오류, 지정할 수 없는 필드가 있습니다</t>
        </is>
      </c>
      <c r="F189" s="119" t="inlineStr">
        <is>
          <t>오류, 지정할 수 없는 필드가 있습니다</t>
        </is>
      </c>
    </row>
    <row r="190">
      <c r="B190" s="117" t="n">
        <v>274</v>
      </c>
      <c r="D190" s="119" t="inlineStr">
        <is>
          <t>Etc</t>
        </is>
      </c>
      <c r="E190" s="119" t="inlineStr">
        <is>
          <t>기타</t>
        </is>
      </c>
      <c r="F190" s="119" t="inlineStr">
        <is>
          <t>기타</t>
        </is>
      </c>
    </row>
    <row r="191">
      <c r="B191" s="117" t="n">
        <v>275</v>
      </c>
      <c r="D191" s="119" t="inlineStr">
        <is>
          <t>Excel</t>
        </is>
      </c>
      <c r="E191" s="119" t="inlineStr">
        <is>
          <t>엑셀</t>
        </is>
      </c>
      <c r="F191" s="119" t="inlineStr">
        <is>
          <t>엑셀</t>
        </is>
      </c>
    </row>
    <row r="192">
      <c r="B192" s="117" t="n">
        <v>276</v>
      </c>
      <c r="D192" s="119" t="inlineStr">
        <is>
          <t>Execution path of Program</t>
        </is>
      </c>
      <c r="E192" s="119" t="inlineStr">
        <is>
          <t>프로그램 실행경로</t>
        </is>
      </c>
      <c r="F192" s="119" t="inlineStr">
        <is>
          <t>프로그램 실행경로</t>
        </is>
      </c>
    </row>
    <row r="193">
      <c r="B193" s="117" t="n">
        <v>277</v>
      </c>
      <c r="D193" s="119" t="inlineStr">
        <is>
          <t>Extension</t>
        </is>
      </c>
      <c r="E193" s="119" t="inlineStr">
        <is>
          <t>확장자명</t>
        </is>
      </c>
      <c r="F193" s="119" t="inlineStr">
        <is>
          <t>확장자명</t>
        </is>
      </c>
    </row>
    <row r="194">
      <c r="B194" s="117" t="n">
        <v>278</v>
      </c>
      <c r="D194" s="119" t="inlineStr">
        <is>
          <t>Filter</t>
        </is>
      </c>
      <c r="E194" s="119" t="inlineStr">
        <is>
          <t>필터 적용</t>
        </is>
      </c>
      <c r="F194" s="119" t="inlineStr">
        <is>
          <t>필터 적용</t>
        </is>
      </c>
    </row>
    <row r="195">
      <c r="B195" s="117" t="n">
        <v>279</v>
      </c>
      <c r="D195" s="119" t="inlineStr">
        <is>
          <t>Filter Task</t>
        </is>
      </c>
      <c r="E195" s="119" t="inlineStr">
        <is>
          <t>작업 필터</t>
        </is>
      </c>
      <c r="F195" s="119" t="inlineStr">
        <is>
          <t>작업 필터</t>
        </is>
      </c>
    </row>
    <row r="196">
      <c r="B196" s="117" t="n">
        <v>280</v>
      </c>
      <c r="D196" s="119" t="inlineStr">
        <is>
          <t>Finish</t>
        </is>
      </c>
      <c r="E196" s="119" t="inlineStr">
        <is>
          <t>완료일</t>
        </is>
      </c>
      <c r="F196" s="119" t="inlineStr">
        <is>
          <t>완료일</t>
        </is>
      </c>
    </row>
    <row r="197">
      <c r="B197" s="117" t="n">
        <v>281</v>
      </c>
      <c r="D197" s="119" t="inlineStr">
        <is>
          <t>Finish Date</t>
        </is>
      </c>
      <c r="E197" s="119" t="inlineStr">
        <is>
          <t>완료일자</t>
        </is>
      </c>
      <c r="F197" s="119" t="inlineStr">
        <is>
          <t>완료일자</t>
        </is>
      </c>
    </row>
    <row r="198">
      <c r="B198" s="117" t="n">
        <v>282</v>
      </c>
      <c r="D198" s="119" t="inlineStr">
        <is>
          <t>Finish date field of a task. It must be in date format.</t>
        </is>
      </c>
      <c r="E198" s="119" t="inlineStr">
        <is>
          <t>각 작업의 완료일(또는 종료일)을 표시합니다. 반드시 날짜 형식이어야 합니다.</t>
        </is>
      </c>
      <c r="F198" s="119" t="inlineStr">
        <is>
          <t>각 작업의 완료일(또는 종료일)을 표시합니다. 반드시 날짜 형식이어야 합니다.</t>
        </is>
      </c>
    </row>
    <row r="199">
      <c r="B199" s="117" t="n">
        <v>283</v>
      </c>
      <c r="D199" s="119" t="inlineStr">
        <is>
          <t>Finish date is invalid.</t>
        </is>
      </c>
      <c r="E199" s="119" t="inlineStr">
        <is>
          <t>작업완료일의 날짜형식이 잘못되었습니다.</t>
        </is>
      </c>
      <c r="F199" s="119" t="inlineStr">
        <is>
          <t>작업완료일의 날짜형식이 잘못되었습니다.</t>
        </is>
      </c>
    </row>
    <row r="200" ht="24" customHeight="1">
      <c r="B200" s="117" t="n">
        <v>284</v>
      </c>
      <c r="D200" s="119" t="inlineStr">
        <is>
          <t>Finish date is invalid. Verify row {} of the source file.</t>
        </is>
      </c>
      <c r="E200" s="135" t="inlineStr">
        <is>
          <t>완료일자에 날짜가 아닌 값이 포함되어 있습니다. Import하는 파일의 {}행을 확인하세요.</t>
        </is>
      </c>
      <c r="F200" s="119" t="inlineStr">
        <is>
          <t>완료일자에 날짜가 아닌 값이 포함되어 있습니다. Import하는 파일의 {}행을 확인하세요.</t>
        </is>
      </c>
    </row>
    <row r="201">
      <c r="B201" s="117" t="n">
        <v>285</v>
      </c>
      <c r="D201" s="119" t="inlineStr">
        <is>
          <t>First day of week</t>
        </is>
      </c>
      <c r="E201" s="119" t="inlineStr">
        <is>
          <t>한주의 시작요일</t>
        </is>
      </c>
      <c r="F201" s="119" t="inlineStr">
        <is>
          <t>한주의 시작요일</t>
        </is>
      </c>
    </row>
    <row r="202">
      <c r="B202" s="117" t="n">
        <v>286</v>
      </c>
      <c r="D202" s="119" t="inlineStr">
        <is>
          <t>Follow the language setting of your computer O/S</t>
        </is>
      </c>
      <c r="E202" s="119" t="inlineStr">
        <is>
          <t>컴퓨터 O/S의 언어설정을 따름</t>
        </is>
      </c>
      <c r="F202" s="119" t="inlineStr">
        <is>
          <t>컴퓨터 O/S의 언어설정을 따름</t>
        </is>
      </c>
    </row>
    <row r="203">
      <c r="B203" s="117" t="n">
        <v>287</v>
      </c>
      <c r="D203" s="119" t="inlineStr">
        <is>
          <t>Fri</t>
        </is>
      </c>
      <c r="E203" s="119" t="inlineStr">
        <is>
          <t>금</t>
        </is>
      </c>
      <c r="F203" s="119" t="inlineStr">
        <is>
          <t>금</t>
        </is>
      </c>
    </row>
    <row r="204">
      <c r="B204" s="117" t="n">
        <v>288</v>
      </c>
      <c r="D204" s="119" t="inlineStr">
        <is>
          <t>From (File to import )</t>
        </is>
      </c>
      <c r="E204" s="119" t="inlineStr">
        <is>
          <t>Source파일(가져올 파일 )</t>
        </is>
      </c>
      <c r="F204" s="119" t="inlineStr">
        <is>
          <t>Source파일(가져올 파일 )</t>
        </is>
      </c>
    </row>
    <row r="205">
      <c r="B205" s="117" t="n">
        <v>289</v>
      </c>
      <c r="D205" s="119" t="inlineStr">
        <is>
          <t>From Date is invalid.</t>
        </is>
      </c>
      <c r="E205" s="119" t="inlineStr">
        <is>
          <t>시작날짜 형식이 잘못되었습니다.</t>
        </is>
      </c>
      <c r="F205" s="119" t="inlineStr">
        <is>
          <t>시작날짜 형식이 잘못되었습니다.</t>
        </is>
      </c>
    </row>
    <row r="206">
      <c r="B206" s="117" t="n">
        <v>290</v>
      </c>
      <c r="D206" s="119" t="inlineStr">
        <is>
          <t>Gantt Chart Display</t>
        </is>
      </c>
      <c r="E206" s="119" t="inlineStr">
        <is>
          <t>Gantt chart 표시 방법</t>
        </is>
      </c>
      <c r="F206" s="119" t="inlineStr">
        <is>
          <t>Gantt chart 표시 방법</t>
        </is>
      </c>
    </row>
    <row r="207">
      <c r="B207" s="117" t="n">
        <v>291</v>
      </c>
      <c r="D207" s="119" t="inlineStr">
        <is>
          <t>Gantt chart group task bar</t>
        </is>
      </c>
      <c r="E207" s="119" t="inlineStr">
        <is>
          <t>간트차트 그룹작업Bar</t>
        </is>
      </c>
      <c r="F207" s="119" t="inlineStr">
        <is>
          <t>간트차트 그룹작업Bar</t>
        </is>
      </c>
    </row>
    <row r="208">
      <c r="B208" s="117" t="n">
        <v>292</v>
      </c>
      <c r="D208" s="119" t="inlineStr">
        <is>
          <t>Gantt chart progress line</t>
        </is>
      </c>
      <c r="E208" s="119" t="inlineStr">
        <is>
          <t>간트차트 진척률선</t>
        </is>
      </c>
      <c r="F208" s="119" t="inlineStr">
        <is>
          <t>간트차트 진척률선</t>
        </is>
      </c>
    </row>
    <row r="209">
      <c r="B209" s="117" t="n">
        <v>293</v>
      </c>
      <c r="D209" s="119" t="inlineStr">
        <is>
          <t>Gantt chart sub task bar</t>
        </is>
      </c>
      <c r="E209" s="119" t="inlineStr">
        <is>
          <t>간트차트 하위작업Bar</t>
        </is>
      </c>
      <c r="F209" s="119" t="inlineStr">
        <is>
          <t>간트차트 하위작업Bar</t>
        </is>
      </c>
    </row>
    <row r="210">
      <c r="B210" s="117" t="n">
        <v>294</v>
      </c>
      <c r="D210" s="119" t="inlineStr">
        <is>
          <t>Gantt chart title</t>
        </is>
      </c>
      <c r="E210" s="119" t="inlineStr">
        <is>
          <t>간트차트 타이틀</t>
        </is>
      </c>
      <c r="F210" s="119" t="inlineStr">
        <is>
          <t>간트차트 타이틀</t>
        </is>
      </c>
    </row>
    <row r="211">
      <c r="B211" s="117" t="n">
        <v>295</v>
      </c>
      <c r="D211" s="119" t="inlineStr">
        <is>
          <t>Gantt Chart View Style</t>
        </is>
      </c>
      <c r="E211" s="119" t="inlineStr">
        <is>
          <t>Gantt Chart 보기 형식</t>
        </is>
      </c>
      <c r="F211" s="119" t="inlineStr">
        <is>
          <t>Gantt Chart 보기 형식</t>
        </is>
      </c>
    </row>
    <row r="212">
      <c r="B212" s="117" t="n">
        <v>296</v>
      </c>
      <c r="D212" s="119" t="inlineStr">
        <is>
          <t>Gantt Chart Zoom Ratio(Max 999%)</t>
        </is>
      </c>
      <c r="E212" s="119" t="inlineStr">
        <is>
          <t>Gantt Chart 축소/확대 비율(최대 999%)</t>
        </is>
      </c>
      <c r="F212" s="119" t="inlineStr">
        <is>
          <t>Gantt Chart 축소/확대 비율(최대 999%)</t>
        </is>
      </c>
    </row>
    <row r="213">
      <c r="B213" s="117" t="n">
        <v>297</v>
      </c>
      <c r="D213" s="119" t="inlineStr">
        <is>
          <t>General</t>
        </is>
      </c>
      <c r="E213" s="119" t="inlineStr">
        <is>
          <t>일반</t>
        </is>
      </c>
      <c r="F213" s="119" t="inlineStr">
        <is>
          <t>일반</t>
        </is>
      </c>
    </row>
    <row r="214">
      <c r="B214" s="117" t="n">
        <v>298</v>
      </c>
      <c r="C214" s="118" t="inlineStr">
        <is>
          <t>for help sheet</t>
        </is>
      </c>
      <c r="D214" s="119" t="inlineStr">
        <is>
          <t>Getting Started With XLGantt</t>
        </is>
      </c>
      <c r="E214" s="119" t="inlineStr">
        <is>
          <t>간단 사용법</t>
        </is>
      </c>
      <c r="F214" s="119" t="inlineStr">
        <is>
          <t>간단 사용법</t>
        </is>
      </c>
    </row>
    <row r="215">
      <c r="B215" s="117" t="n">
        <v>299</v>
      </c>
      <c r="D215" s="119" t="inlineStr">
        <is>
          <t>Green</t>
        </is>
      </c>
      <c r="E215" s="119" t="inlineStr">
        <is>
          <t>그린</t>
        </is>
      </c>
      <c r="F215" s="119" t="inlineStr">
        <is>
          <t>그린</t>
        </is>
      </c>
    </row>
    <row r="216">
      <c r="B216" s="117" t="n">
        <v>300</v>
      </c>
      <c r="D216" s="119" t="inlineStr">
        <is>
          <t>Group rows</t>
        </is>
      </c>
      <c r="E216" s="119" t="inlineStr">
        <is>
          <t>작업을 그룹으로 묶기</t>
        </is>
      </c>
      <c r="F216" s="119" t="inlineStr">
        <is>
          <t>작업을 그룹으로 묶기</t>
        </is>
      </c>
    </row>
    <row r="217">
      <c r="B217" s="117" t="n">
        <v>301</v>
      </c>
      <c r="D217" s="119" t="inlineStr">
        <is>
          <t>Group rows(Max 8 Levels)</t>
        </is>
      </c>
      <c r="E217" s="119" t="inlineStr">
        <is>
          <t>작업을 그룹으로 묶기(최대 8 레벨)</t>
        </is>
      </c>
      <c r="F217" s="119" t="inlineStr">
        <is>
          <t>작업을 그룹으로 묶기(최대 8 레벨)</t>
        </is>
      </c>
    </row>
    <row r="218">
      <c r="B218" s="117" t="n">
        <v>302</v>
      </c>
      <c r="C218" s="118" t="inlineStr">
        <is>
          <t>for help sheet</t>
        </is>
      </c>
      <c r="D218" s="124" t="inlineStr">
        <is>
          <t>Help</t>
        </is>
      </c>
      <c r="E218" s="124" t="inlineStr">
        <is>
          <t>도움말</t>
        </is>
      </c>
      <c r="F218" s="124" t="inlineStr">
        <is>
          <t>도움말</t>
        </is>
      </c>
    </row>
    <row r="219">
      <c r="B219" s="117" t="n">
        <v>303</v>
      </c>
      <c r="C219" s="118" t="inlineStr">
        <is>
          <t>for help sheet</t>
        </is>
      </c>
      <c r="D219" s="124" t="inlineStr">
        <is>
          <t>Help and the latest version</t>
        </is>
      </c>
      <c r="E219" s="124" t="inlineStr">
        <is>
          <t>도움말, 최신 버전 다운로드</t>
        </is>
      </c>
      <c r="F219" s="124" t="inlineStr">
        <is>
          <t>도움말, 최신 버전 다운로드</t>
        </is>
      </c>
    </row>
    <row r="220">
      <c r="B220" s="117" t="n">
        <v>304</v>
      </c>
      <c r="C220" s="118" t="inlineStr">
        <is>
          <t>for help sheet</t>
        </is>
      </c>
      <c r="D220" s="124" t="inlineStr">
        <is>
          <t>How to use</t>
        </is>
      </c>
      <c r="E220" s="124" t="inlineStr">
        <is>
          <t>사용법</t>
        </is>
      </c>
      <c r="F220" s="124" t="inlineStr">
        <is>
          <t>사용법</t>
        </is>
      </c>
    </row>
    <row r="221">
      <c r="B221" s="117" t="n">
        <v>305</v>
      </c>
      <c r="C221" s="118" t="inlineStr">
        <is>
          <t>for help sheet</t>
        </is>
      </c>
      <c r="D221" s="124" t="inlineStr">
        <is>
          <t>https://xlworks.net/en/</t>
        </is>
      </c>
      <c r="E221" s="124" t="inlineStr">
        <is>
          <t>https://xlworks.net/</t>
        </is>
      </c>
      <c r="F221" s="124" t="inlineStr">
        <is>
          <t>https://xlworks.net/</t>
        </is>
      </c>
    </row>
    <row r="222">
      <c r="B222" s="117" t="n">
        <v>306</v>
      </c>
      <c r="C222" s="118" t="inlineStr">
        <is>
          <t>for help sheet</t>
        </is>
      </c>
      <c r="D222" s="124" t="inlineStr">
        <is>
          <t>https://xlworks.net/en/xlgantt-project-scheduler/</t>
        </is>
      </c>
      <c r="E222" s="124" t="inlineStr">
        <is>
          <t>https://xlworks.net/xlgantt-project-scheduler/</t>
        </is>
      </c>
      <c r="F222" s="124" t="inlineStr">
        <is>
          <t>https://xlworks.net/xlgantt-project-scheduler/</t>
        </is>
      </c>
    </row>
    <row r="223">
      <c r="B223" s="117" t="n">
        <v>307</v>
      </c>
      <c r="C223" s="118" t="inlineStr">
        <is>
          <t>for help sheet</t>
        </is>
      </c>
      <c r="D223" s="124" t="inlineStr">
        <is>
          <t>https://xlworks.net/en/xlgantt-howto-1-getting-started-with-xlgantt/</t>
        </is>
      </c>
      <c r="E223" s="124" t="inlineStr">
        <is>
          <t>https://xlworks.net/xlgantt-easy-tip/</t>
        </is>
      </c>
      <c r="F223" s="124" t="inlineStr">
        <is>
          <t>https://xlworks.net/xlgantt-easy-tip/</t>
        </is>
      </c>
    </row>
    <row r="224">
      <c r="B224" s="117" t="n">
        <v>308</v>
      </c>
      <c r="C224" s="118" t="inlineStr">
        <is>
          <t>for help sheet</t>
        </is>
      </c>
      <c r="D224" s="124" t="inlineStr">
        <is>
          <t>https://xlworks.net/en/xlgantt-howto-2-input-task-update-schedule/</t>
        </is>
      </c>
      <c r="E224" s="124" t="inlineStr">
        <is>
          <t>https://xlworks.net/xlgantt-howto-02-task/</t>
        </is>
      </c>
      <c r="F224" s="124" t="inlineStr">
        <is>
          <t>https://xlworks.net/xlgantt-howto-02-task/</t>
        </is>
      </c>
    </row>
    <row r="225">
      <c r="B225" s="117" t="n">
        <v>309</v>
      </c>
      <c r="C225" s="118" t="inlineStr">
        <is>
          <t>for help sheet</t>
        </is>
      </c>
      <c r="D225" s="124" t="inlineStr">
        <is>
          <t>https://xlworks.net/en/xlgantt-howto-03-gantt-chart/</t>
        </is>
      </c>
      <c r="E225" s="124" t="inlineStr">
        <is>
          <t>https://xlworks.net/xlgantt-howto-03-gantt-chart/</t>
        </is>
      </c>
      <c r="F225" s="124" t="inlineStr">
        <is>
          <t>https://xlworks.net/xlgantt-howto-03-gantt-chart/</t>
        </is>
      </c>
    </row>
    <row r="226">
      <c r="B226" s="117" t="n">
        <v>310</v>
      </c>
      <c r="C226" s="118" t="inlineStr">
        <is>
          <t>for help sheet</t>
        </is>
      </c>
      <c r="D226" s="124" t="inlineStr">
        <is>
          <t>https://xlworks.net/en/xlgantt-howto-04-project-progress/</t>
        </is>
      </c>
      <c r="E226" s="124" t="inlineStr">
        <is>
          <t>https://xlworks.net/xlgantt-howto-04-project-progress/</t>
        </is>
      </c>
      <c r="F226" s="124" t="inlineStr">
        <is>
          <t>https://xlworks.net/xlgantt-howto-04-project-progress/</t>
        </is>
      </c>
    </row>
    <row r="227">
      <c r="B227" s="117" t="n">
        <v>311</v>
      </c>
      <c r="C227" s="118" t="inlineStr">
        <is>
          <t>for help sheet</t>
        </is>
      </c>
      <c r="D227" s="124" t="inlineStr">
        <is>
          <t>https://xlworks.net/en/xlgantt-howto-05-analysis-report/</t>
        </is>
      </c>
      <c r="E227" s="124" t="inlineStr">
        <is>
          <t>https://xlworks.net/xlgantt-howto-05-analysis-report/</t>
        </is>
      </c>
      <c r="F227" s="124" t="inlineStr">
        <is>
          <t>https://xlworks.net/xlgantt-howto-05-analysis-report/</t>
        </is>
      </c>
    </row>
    <row r="228">
      <c r="B228" s="117" t="n">
        <v>312</v>
      </c>
      <c r="C228" s="118" t="inlineStr">
        <is>
          <t>for help sheet</t>
        </is>
      </c>
      <c r="D228" s="124" t="inlineStr">
        <is>
          <t>https://xlworks.net/en/xlgantt-howto-06-schedule-change-management/</t>
        </is>
      </c>
      <c r="E228" s="124" t="inlineStr">
        <is>
          <t>https://xlworks.net/xlgantt-howto-06-schedule-change-management/</t>
        </is>
      </c>
      <c r="F228" s="124" t="inlineStr">
        <is>
          <t>https://xlworks.net/xlgantt-howto-06-schedule-change-management/</t>
        </is>
      </c>
    </row>
    <row r="229">
      <c r="B229" s="117" t="n">
        <v>313</v>
      </c>
      <c r="C229" s="118" t="inlineStr">
        <is>
          <t>for help sheet</t>
        </is>
      </c>
      <c r="D229" s="124" t="inlineStr">
        <is>
          <t>https://xlworks.net/en/xlgantt-howto-07-deliverables/</t>
        </is>
      </c>
      <c r="E229" s="124" t="inlineStr">
        <is>
          <t>https://xlworks.net/xlgantt-howto-07-deliverables/</t>
        </is>
      </c>
      <c r="F229" s="124" t="inlineStr">
        <is>
          <t>https://xlworks.net/xlgantt-howto-07-deliverables/</t>
        </is>
      </c>
    </row>
    <row r="230">
      <c r="B230" s="117" t="n">
        <v>314</v>
      </c>
      <c r="C230" s="118" t="inlineStr">
        <is>
          <t>for help sheet</t>
        </is>
      </c>
      <c r="D230" s="124" t="inlineStr">
        <is>
          <t>https://xlworks.net/en/xlgantt-howto-08-add-tasks-to-outlook/</t>
        </is>
      </c>
      <c r="E230" s="124" t="inlineStr">
        <is>
          <t>https://xlworks.net/xlgantt-howto-08-add-tasks-to-outlook/</t>
        </is>
      </c>
      <c r="F230" s="124" t="inlineStr">
        <is>
          <t>https://xlworks.net/xlgantt-howto-08-add-tasks-to-outlook/</t>
        </is>
      </c>
    </row>
    <row r="231">
      <c r="B231" s="117" t="n">
        <v>315</v>
      </c>
      <c r="C231" s="118" t="inlineStr">
        <is>
          <t>for help sheet</t>
        </is>
      </c>
      <c r="D231" s="124" t="inlineStr">
        <is>
          <t>https://xlworks.net/en/xlgantt-howto-09-multilingual-support/</t>
        </is>
      </c>
      <c r="E231" s="119" t="inlineStr">
        <is>
          <t>https://xlworks.net/xlgantt-howto-09-multilingual-support/</t>
        </is>
      </c>
      <c r="F231" s="119" t="inlineStr">
        <is>
          <t>https://xlworks.net/xlgantt-howto-09-multilingual-support/</t>
        </is>
      </c>
    </row>
    <row r="232">
      <c r="B232" s="117" t="n">
        <v>316</v>
      </c>
      <c r="C232" s="118" t="inlineStr">
        <is>
          <t>for help sheet</t>
        </is>
      </c>
      <c r="D232" s="124" t="inlineStr">
        <is>
          <t>https://xlworks.net/en/xlgantt-howto-10-import-schedule/</t>
        </is>
      </c>
      <c r="E232" s="119" t="inlineStr">
        <is>
          <t>https://xlworks.net/xlgantt-howto-10-import-schedule/</t>
        </is>
      </c>
      <c r="F232" s="119" t="inlineStr">
        <is>
          <t>https://xlworks.net/xlgantt-howto-10-import-schedule/</t>
        </is>
      </c>
    </row>
    <row r="233">
      <c r="B233" s="117" t="n">
        <v>317</v>
      </c>
      <c r="C233" s="118" t="inlineStr">
        <is>
          <t>for help sheet</t>
        </is>
      </c>
      <c r="D233" s="124" t="inlineStr">
        <is>
          <t>https://xlworks.net/en/xlgantt-howto-11-calendar/</t>
        </is>
      </c>
      <c r="E233" s="119" t="inlineStr">
        <is>
          <t>https://xlworks.net/xlgantt-howto-11-calendar/</t>
        </is>
      </c>
      <c r="F233" s="119" t="inlineStr">
        <is>
          <t>https://xlworks.net/xlgantt-howto-11-calendar/</t>
        </is>
      </c>
    </row>
    <row r="234">
      <c r="B234" s="117" t="n">
        <v>318</v>
      </c>
      <c r="C234" s="118" t="inlineStr">
        <is>
          <t>for help sheet</t>
        </is>
      </c>
      <c r="D234" s="124" t="inlineStr">
        <is>
          <t>https://xlworks.net/en/xlgantt-howto-12-integration-with-excel/</t>
        </is>
      </c>
      <c r="E234" s="119" t="inlineStr">
        <is>
          <t>https://xlworks.net/xlgantt-howto-12-integration-with-excel/</t>
        </is>
      </c>
      <c r="F234" s="119" t="inlineStr">
        <is>
          <t>https://xlworks.net/xlgantt-howto-12-integration-with-excel/</t>
        </is>
      </c>
    </row>
    <row r="235">
      <c r="B235" s="117" t="n">
        <v>319</v>
      </c>
      <c r="C235" s="118" t="inlineStr">
        <is>
          <t>for help sheet</t>
        </is>
      </c>
      <c r="D235" s="124" t="inlineStr">
        <is>
          <t>https://xlworks.net/en/xlgantt-howto-13-server-data/</t>
        </is>
      </c>
      <c r="E235" s="124" t="inlineStr">
        <is>
          <t>https://xlworks.net/xlgantt-howto-13-server-data/</t>
        </is>
      </c>
      <c r="F235" s="124" t="inlineStr">
        <is>
          <t>https://xlworks.net/xlgantt-howto-13-server-data/</t>
        </is>
      </c>
    </row>
    <row r="236">
      <c r="B236" s="117" t="n">
        <v>320</v>
      </c>
      <c r="C236" s="118" t="inlineStr">
        <is>
          <t>for help sheet</t>
        </is>
      </c>
      <c r="D236" s="124" t="inlineStr">
        <is>
          <t>https://xlworks.net/en/xlgantt-howto-14-workloads/</t>
        </is>
      </c>
      <c r="E236" s="124" t="inlineStr">
        <is>
          <t>https://xlworks.net/xlgantt-howto-14-workloads/</t>
        </is>
      </c>
      <c r="F236" s="124" t="inlineStr">
        <is>
          <t>https://xlworks.net/xlgantt-howto-14-workloads/</t>
        </is>
      </c>
    </row>
    <row r="237">
      <c r="B237" s="117" t="n">
        <v>321</v>
      </c>
      <c r="C237" s="118" t="inlineStr">
        <is>
          <t>for help sheet</t>
        </is>
      </c>
      <c r="D237" s="124" t="inlineStr">
        <is>
          <t>https://xlworks.net/en/xlgantt-howto-15-color-theme/</t>
        </is>
      </c>
      <c r="E237" s="124" t="inlineStr">
        <is>
          <t>https://xlworks.net/xlgantt-howto-15-color-theme/</t>
        </is>
      </c>
      <c r="F237" s="124" t="inlineStr">
        <is>
          <t>https://xlworks.net/xlgantt-howto-15-color-theme/</t>
        </is>
      </c>
    </row>
    <row r="238">
      <c r="B238" s="117" t="n">
        <v>322</v>
      </c>
      <c r="C238" s="118" t="inlineStr">
        <is>
          <t>for help sheet</t>
        </is>
      </c>
      <c r="D238" s="124" t="n"/>
      <c r="E238" s="124" t="n"/>
      <c r="F238" s="124" t="n"/>
    </row>
    <row r="239" ht="24" customHeight="1">
      <c r="B239" s="117" t="n">
        <v>323</v>
      </c>
      <c r="D239" s="119" t="inlineStr">
        <is>
          <t>If the language in source file and the language in target file are different, you can not import.</t>
        </is>
      </c>
      <c r="E239" s="119" t="inlineStr">
        <is>
          <t>가져오는 파일(소스파일)에 설정된 언어와 이 파일(타겟파일)에 설정된 언어가 다르면 Import할 수 없습니다.</t>
        </is>
      </c>
      <c r="F239" s="119" t="inlineStr">
        <is>
          <t>가져오는 파일(소스파일)에 설정된 언어와 이 파일(타겟파일)에 설정된 언어가 다르면 Import할 수 없습니다.</t>
        </is>
      </c>
    </row>
    <row r="240" ht="24" customHeight="1">
      <c r="B240" s="117" t="n">
        <v>324</v>
      </c>
      <c r="D240" s="119" t="inlineStr">
        <is>
          <t>If you choose "Assigning path by task name automatically" option, you need to set the upper path.</t>
        </is>
      </c>
      <c r="E240" s="119" t="inlineStr">
        <is>
          <t>작업명으로 하위 경로 자동지정을 선택한 경우에는 상위의 기본경로를 설정해야 합니다.</t>
        </is>
      </c>
      <c r="F240" s="119" t="inlineStr">
        <is>
          <t>작업명으로 하위 경로 자동지정을 선택한 경우에는 상위의 기본경로를 설정해야 합니다.</t>
        </is>
      </c>
    </row>
    <row r="241" ht="24" customHeight="1">
      <c r="B241" s="117" t="n">
        <v>325</v>
      </c>
      <c r="D241" s="119" t="inlineStr">
        <is>
          <t>If you do not enter the actual finish date of row number {1} in the {2} sheet, you can't enter "%Work Complete" as 100%.</t>
        </is>
      </c>
      <c r="E241" s="119" t="inlineStr">
        <is>
          <t>{2} sheet의 {1}행의 실제시작일만 입력하고 실제완료일을 비워놓으면 완료율을 100%로 입력할 수 없습니다.</t>
        </is>
      </c>
      <c r="F241" s="119" t="inlineStr">
        <is>
          <t>{2} sheet의 {1}행의 실제시작일만 입력하고 실제완료일을 비워놓으면 완료율을 100%로 입력할 수 없습니다.</t>
        </is>
      </c>
    </row>
    <row r="242" ht="24" customHeight="1">
      <c r="B242" s="117" t="n">
        <v>326</v>
      </c>
      <c r="C242" s="118" t="inlineStr">
        <is>
          <t>for help sheet</t>
        </is>
      </c>
      <c r="D242" s="119" t="inlineStr">
        <is>
          <t>If you want to learn the features quickly and easily, see the "Getting Started With XLGantt".</t>
        </is>
      </c>
      <c r="E242" s="119" t="inlineStr">
        <is>
          <t>기능을 간단히 빨리 익히고 싶으면 “간단 사용법”을 참고한다</t>
        </is>
      </c>
      <c r="F242" s="119" t="inlineStr">
        <is>
          <t>기능을 간단히 빨리 익히고 싶으면 “간단 사용법”을 참고한다</t>
        </is>
      </c>
    </row>
    <row r="243">
      <c r="B243" s="117" t="n">
        <v>327</v>
      </c>
      <c r="D243" s="119" t="inlineStr">
        <is>
          <t>Import</t>
        </is>
      </c>
      <c r="E243" s="119" t="inlineStr">
        <is>
          <t>가져오기</t>
        </is>
      </c>
      <c r="F243" s="119" t="inlineStr">
        <is>
          <t>가져오기</t>
        </is>
      </c>
    </row>
    <row r="244">
      <c r="B244" s="117" t="n">
        <v>328</v>
      </c>
      <c r="C244" s="118" t="inlineStr">
        <is>
          <t>for importOnStartup</t>
        </is>
      </c>
      <c r="D244" s="119" t="inlineStr">
        <is>
          <t xml:space="preserve">Import  Data of "ServerData" sheet on Startup </t>
        </is>
      </c>
      <c r="E244" s="119" t="inlineStr">
        <is>
          <t>프로그램 시작 시 "ServerData" 시트의 데이터 가져오기</t>
        </is>
      </c>
      <c r="F244" s="119" t="inlineStr">
        <is>
          <t>프로그램 시작 시 "ServerData" 시트의 데이터 가져오기</t>
        </is>
      </c>
    </row>
    <row r="245">
      <c r="B245" s="117" t="n">
        <v>329</v>
      </c>
      <c r="D245" s="119" t="inlineStr">
        <is>
          <t>Import common Excel file</t>
        </is>
      </c>
      <c r="E245" s="119" t="inlineStr">
        <is>
          <t>일반 Excel 파일</t>
        </is>
      </c>
      <c r="F245" s="119" t="inlineStr">
        <is>
          <t>일반 Excel 파일</t>
        </is>
      </c>
    </row>
    <row r="246">
      <c r="B246" s="117" t="n">
        <v>330</v>
      </c>
      <c r="D246" s="119" t="inlineStr">
        <is>
          <t>Import data after clearing the existing data</t>
        </is>
      </c>
      <c r="E246" s="119" t="inlineStr">
        <is>
          <t>기존Data 지우고 가져오기</t>
        </is>
      </c>
      <c r="F246" s="119" t="inlineStr">
        <is>
          <t>기존Data 지우고 가져오기</t>
        </is>
      </c>
    </row>
    <row r="247">
      <c r="B247" s="117" t="n">
        <v>331</v>
      </c>
      <c r="D247" s="119" t="inlineStr">
        <is>
          <t>Import Data without Clearing the Existing Data</t>
        </is>
      </c>
      <c r="E247" s="119" t="inlineStr">
        <is>
          <t>기존Data 아래에 추가하기</t>
        </is>
      </c>
      <c r="F247" s="119" t="inlineStr">
        <is>
          <t>기존Data 아래에 추가하기</t>
        </is>
      </c>
    </row>
    <row r="248">
      <c r="B248" s="117" t="n">
        <v>332</v>
      </c>
      <c r="C248" s="118" t="inlineStr">
        <is>
          <t>for importOnStartup</t>
        </is>
      </c>
      <c r="D248" s="116" t="inlineStr">
        <is>
          <t>Import file format Error! Range A1 should contain "xlgantt_reserved" string.</t>
        </is>
      </c>
      <c r="E248" s="124" t="inlineStr">
        <is>
          <t>가져오는 파일의 포맷이 잘못되었습니다. A1셀에는 "xlgantt_reserved"가 입력되어 있어야 합니다.</t>
        </is>
      </c>
      <c r="F248" s="124" t="inlineStr">
        <is>
          <t>가져오는 파일의 포맷이 잘못되었습니다. A1셀에는 "xlgantt_reserved"가 입력되어 있어야 합니다.</t>
        </is>
      </c>
    </row>
    <row r="249">
      <c r="B249" s="117" t="n">
        <v>333</v>
      </c>
      <c r="C249" s="118" t="inlineStr">
        <is>
          <t>for importOnStartup</t>
        </is>
      </c>
      <c r="D249" s="116" t="inlineStr">
        <is>
          <t>Import file format Error! Range A2 should contain the import result.</t>
        </is>
      </c>
      <c r="E249" s="124" t="inlineStr">
        <is>
          <t>가져오는 파일의 포맷이 잘못되었습니다. A2셀에는 가져오기 결과가 입력되어 있어야 합니다.</t>
        </is>
      </c>
      <c r="F249" s="124" t="inlineStr">
        <is>
          <t>가져오는 파일의 포맷이 잘못되었습니다. A2셀에는 가져오기 결과가 입력되어 있어야 합니다.</t>
        </is>
      </c>
    </row>
    <row r="250">
      <c r="B250" s="117" t="n">
        <v>334</v>
      </c>
      <c r="D250" s="119" t="inlineStr">
        <is>
          <t>Import files created in XLGantt</t>
        </is>
      </c>
      <c r="E250" s="119" t="inlineStr">
        <is>
          <t>XLGantt로 작성된 파일 가져오기</t>
        </is>
      </c>
      <c r="F250" s="119" t="inlineStr">
        <is>
          <t>XLGantt로 작성된 파일 가져오기</t>
        </is>
      </c>
    </row>
    <row r="251">
      <c r="B251" s="117" t="n">
        <v>335</v>
      </c>
      <c r="C251" s="118" t="inlineStr">
        <is>
          <t>for importOnStartup</t>
        </is>
      </c>
      <c r="D251" s="119" t="inlineStr">
        <is>
          <t>Import from Server</t>
        </is>
      </c>
      <c r="E251" s="119" t="inlineStr">
        <is>
          <t>서버에서\n가져오기</t>
        </is>
      </c>
      <c r="F251" s="119" t="inlineStr">
        <is>
          <t>서버에서\n가져오기</t>
        </is>
      </c>
    </row>
    <row r="252">
      <c r="B252" s="117" t="n">
        <v>336</v>
      </c>
      <c r="C252" s="118" t="inlineStr">
        <is>
          <t>for importOnStartup</t>
        </is>
      </c>
      <c r="D252" s="116" t="inlineStr">
        <is>
          <t>Import has already been completed.</t>
        </is>
      </c>
      <c r="E252" s="124" t="inlineStr">
        <is>
          <t>가져오기가 이미 완료되었습니다.</t>
        </is>
      </c>
      <c r="F252" s="124" t="inlineStr">
        <is>
          <t>가져오기가 이미 완료되었습니다.</t>
        </is>
      </c>
    </row>
    <row r="253" ht="24" customHeight="1">
      <c r="B253" s="117" t="n">
        <v>337</v>
      </c>
      <c r="D253" s="119" t="inlineStr">
        <is>
          <t>Import new data into the Schedule sheet after clearing the exisint data</t>
        </is>
      </c>
      <c r="E253" s="119" t="inlineStr">
        <is>
          <t>이 XLGantt파일에 있는 Data를 지우고 새로운 Data를 가져와서 _x000D_
붙여 넣기</t>
        </is>
      </c>
      <c r="F253" s="119" t="inlineStr">
        <is>
          <t>이 XLGantt파일에 있는 Data를 지우고 새로운 Data를 가져와서 _x000D_
붙여 넣기</t>
        </is>
      </c>
    </row>
    <row r="254" ht="24" customHeight="1">
      <c r="B254" s="117" t="n">
        <v>338</v>
      </c>
      <c r="D254" s="119" t="inlineStr">
        <is>
          <t>Import new data into the Schedule sheet without clearing the existing  data</t>
        </is>
      </c>
      <c r="E254" s="119" t="inlineStr">
        <is>
          <t>이 XLGantt파일에 있는 Data를 그대로 두고 맨 아래에 새로운 Data를 가져와서 붙여 넣기</t>
        </is>
      </c>
      <c r="F254" s="119" t="inlineStr">
        <is>
          <t>이 XLGantt파일에 있는 Data를 그대로 두고 맨 아래에 새로운 Data를 가져와서 붙여 넣기</t>
        </is>
      </c>
    </row>
    <row r="255">
      <c r="B255" s="117" t="n">
        <v>339</v>
      </c>
      <c r="D255" s="119" t="inlineStr">
        <is>
          <t>Import Option</t>
        </is>
      </c>
      <c r="E255" s="119" t="inlineStr">
        <is>
          <t>가져오기 옵션</t>
        </is>
      </c>
      <c r="F255" s="119" t="inlineStr">
        <is>
          <t>가져오기 옵션</t>
        </is>
      </c>
    </row>
    <row r="256">
      <c r="B256" s="117" t="n">
        <v>340</v>
      </c>
      <c r="D256" s="119" t="inlineStr">
        <is>
          <t xml:space="preserve">Import success!\nTotal rows of imported data : </t>
        </is>
      </c>
      <c r="E256" s="119" t="inlineStr">
        <is>
          <t xml:space="preserve">가져오기 작업이 정상적으로 완료되었습니다.\n가져온 자료의 전체 행수 : </t>
        </is>
      </c>
      <c r="F256" s="119" t="inlineStr">
        <is>
          <t xml:space="preserve">가져오기 작업이 정상적으로 완료되었습니다.\n가져온 자료의 전체 행수 : </t>
        </is>
      </c>
    </row>
    <row r="257">
      <c r="B257" s="117" t="n">
        <v>341</v>
      </c>
      <c r="D257" s="119" t="inlineStr">
        <is>
          <t>Import without clearing the existing data.</t>
        </is>
      </c>
      <c r="E257" s="119" t="inlineStr">
        <is>
          <t>기존Data에 추가하기</t>
        </is>
      </c>
      <c r="F257" s="119" t="inlineStr">
        <is>
          <t>기존Data에 추가하기</t>
        </is>
      </c>
    </row>
    <row r="258">
      <c r="B258" s="117" t="n">
        <v>342</v>
      </c>
      <c r="D258" s="119" t="inlineStr">
        <is>
          <t>Import Wizard</t>
        </is>
      </c>
      <c r="E258" s="119" t="inlineStr">
        <is>
          <t>파일 가져오기</t>
        </is>
      </c>
      <c r="F258" s="119" t="inlineStr">
        <is>
          <t>파일 가져오기</t>
        </is>
      </c>
    </row>
    <row r="259">
      <c r="B259" s="117" t="n">
        <v>343</v>
      </c>
      <c r="C259" s="118" t="inlineStr">
        <is>
          <t>for help sheet</t>
        </is>
      </c>
      <c r="D259" s="119" t="inlineStr">
        <is>
          <t>Importing Schedules from Another File</t>
        </is>
      </c>
      <c r="E259" s="119" t="inlineStr">
        <is>
          <t>다른 파일에서 일정 가져오기</t>
        </is>
      </c>
      <c r="F259" s="119" t="inlineStr">
        <is>
          <t>다른 파일에서 일정 가져오기</t>
        </is>
      </c>
    </row>
    <row r="260">
      <c r="B260" s="117" t="n">
        <v>344</v>
      </c>
      <c r="C260" s="118" t="inlineStr">
        <is>
          <t>for help sheet</t>
        </is>
      </c>
      <c r="D260" s="119" t="inlineStr">
        <is>
          <t>Importing Server Data</t>
        </is>
      </c>
      <c r="E260" s="119" t="inlineStr">
        <is>
          <t>Server Data 가져오기</t>
        </is>
      </c>
      <c r="F260" s="119" t="inlineStr">
        <is>
          <t>Server Data 가져오기</t>
        </is>
      </c>
    </row>
    <row r="261">
      <c r="B261" s="117" t="n">
        <v>345</v>
      </c>
      <c r="D261" s="119" t="inlineStr">
        <is>
          <t>Importing..., Please wait...</t>
        </is>
      </c>
      <c r="E261" s="119" t="inlineStr">
        <is>
          <t>자료를 가져옵니다. 잠시만 기다려주세요...</t>
        </is>
      </c>
      <c r="F261" s="119" t="inlineStr">
        <is>
          <t>자료를 가져옵니다. 잠시만 기다려주세요...</t>
        </is>
      </c>
    </row>
    <row r="262" ht="24" customHeight="1">
      <c r="B262" s="117" t="n">
        <v>346</v>
      </c>
      <c r="C262" s="118" t="inlineStr">
        <is>
          <t>for help sheet</t>
        </is>
      </c>
      <c r="D262" s="119" t="inlineStr">
        <is>
          <t>Imports schedules into XLGantt. You can import the schedules by mapping the fields.</t>
        </is>
      </c>
      <c r="E262" s="119" t="inlineStr">
        <is>
          <t>엑셀간트에서는 엑셀간트(XLGantt) 또는 일반 엑셀파일로 만들어진 일정을 가져오는 기능을 제공한다.</t>
        </is>
      </c>
      <c r="F262" s="119" t="inlineStr">
        <is>
          <t>엑셀간트에서는 엑셀간트(XLGantt) 또는 일반 엑셀파일로 만들어진 일정을 가져오는 기능을 제공한다.</t>
        </is>
      </c>
    </row>
    <row r="263">
      <c r="B263" s="117" t="n">
        <v>347</v>
      </c>
      <c r="D263" s="119" t="inlineStr">
        <is>
          <t>Included in the selection\nlist when deliverables\nnot specified</t>
        </is>
      </c>
      <c r="E263" s="119" t="inlineStr">
        <is>
          <t>산출물명 비었을때\n선택목록에 포함\n여부</t>
        </is>
      </c>
      <c r="F263" s="119" t="inlineStr">
        <is>
          <t>산출물명 비었을때\n선택목록에 포함\n여부</t>
        </is>
      </c>
    </row>
    <row r="264">
      <c r="B264" s="117" t="n">
        <v>348</v>
      </c>
      <c r="D264" s="119" t="inlineStr">
        <is>
          <t>Indent Task</t>
        </is>
      </c>
      <c r="E264" s="119" t="inlineStr">
        <is>
          <t>작업레벨 내림</t>
        </is>
      </c>
      <c r="F264" s="119" t="inlineStr">
        <is>
          <t>작업레벨 내림</t>
        </is>
      </c>
    </row>
    <row r="265">
      <c r="B265" s="117" t="n">
        <v>349</v>
      </c>
      <c r="D265" s="119" t="inlineStr">
        <is>
          <t>Inside of the chart</t>
        </is>
      </c>
      <c r="E265" s="119" t="inlineStr">
        <is>
          <t>Chart 내부</t>
        </is>
      </c>
      <c r="F265" s="119" t="inlineStr">
        <is>
          <t>Chart 내부</t>
        </is>
      </c>
    </row>
    <row r="266">
      <c r="B266" s="117" t="n">
        <v>350</v>
      </c>
      <c r="C266" s="118" t="inlineStr">
        <is>
          <t>for help sheet</t>
        </is>
      </c>
      <c r="D266" s="119" t="inlineStr">
        <is>
          <t>Integration with Excel Features</t>
        </is>
      </c>
      <c r="E266" s="119" t="inlineStr">
        <is>
          <t>Excel기능과 통합</t>
        </is>
      </c>
      <c r="F266" s="119" t="inlineStr">
        <is>
          <t>Excel기능과 통합</t>
        </is>
      </c>
    </row>
    <row r="267">
      <c r="B267" s="117" t="n">
        <v>351</v>
      </c>
      <c r="C267" s="118" t="inlineStr">
        <is>
          <t>for importOnStartup</t>
        </is>
      </c>
      <c r="D267" s="116" t="inlineStr">
        <is>
          <t>Invalid field name!</t>
        </is>
      </c>
      <c r="E267" s="124" t="inlineStr">
        <is>
          <t>필드명이 잘못되었습니다!</t>
        </is>
      </c>
      <c r="F267" s="124" t="inlineStr">
        <is>
          <t>필드명이 잘못되었습니다!</t>
        </is>
      </c>
    </row>
    <row r="268" ht="24" customHeight="1">
      <c r="B268" s="117" t="n">
        <v>352</v>
      </c>
      <c r="C268" s="118" t="inlineStr">
        <is>
          <t>for help sheet</t>
        </is>
      </c>
      <c r="D268" s="119" t="inlineStr">
        <is>
          <t>It is used when you want to see schedule data of IT system where server exists separately.</t>
        </is>
      </c>
      <c r="E268" s="119" t="inlineStr">
        <is>
          <t>Server가 별도로 존재하는 IT시스템의 일정관리 Data를 PC에서 보고자할 때 사용한다.</t>
        </is>
      </c>
      <c r="F268" s="119" t="inlineStr">
        <is>
          <t>Server가 별도로 존재하는 IT시스템의 일정관리 Data를 PC에서 보고자할 때 사용한다.</t>
        </is>
      </c>
    </row>
    <row r="269" ht="24" customHeight="1">
      <c r="B269" s="117" t="n">
        <v>353</v>
      </c>
      <c r="D269" s="119" t="inlineStr">
        <is>
          <t>It recalculates duration and % Work Complete. Clicking the Save button will be the same.</t>
        </is>
      </c>
      <c r="F269" s="119" t="n"/>
    </row>
    <row r="270">
      <c r="B270" s="117" t="n">
        <v>354</v>
      </c>
      <c r="D270" s="119" t="inlineStr">
        <is>
          <t>It's already chosen language.</t>
        </is>
      </c>
      <c r="E270" s="119" t="inlineStr">
        <is>
          <t>이미 선택된 언어입니다.</t>
        </is>
      </c>
      <c r="F270" s="119" t="inlineStr">
        <is>
          <t>이미 선택된 언어입니다.</t>
        </is>
      </c>
    </row>
    <row r="271">
      <c r="B271" s="117" t="n">
        <v>355</v>
      </c>
      <c r="D271" s="119" t="inlineStr">
        <is>
          <t>Job Results</t>
        </is>
      </c>
      <c r="E271" s="119" t="inlineStr">
        <is>
          <t>작업결과</t>
        </is>
      </c>
      <c r="F271" s="119" t="inlineStr">
        <is>
          <t>작업결과</t>
        </is>
      </c>
    </row>
    <row r="272">
      <c r="B272" s="117" t="n">
        <v>356</v>
      </c>
      <c r="D272" s="119" t="inlineStr">
        <is>
          <t>John</t>
        </is>
      </c>
      <c r="E272" s="119" t="inlineStr">
        <is>
          <t>홍길동</t>
        </is>
      </c>
      <c r="F272" s="119" t="inlineStr">
        <is>
          <t>홍길동</t>
        </is>
      </c>
    </row>
    <row r="273">
      <c r="B273" s="117" t="n">
        <v>357</v>
      </c>
      <c r="C273" s="118" t="inlineStr">
        <is>
          <t>for help sheet</t>
        </is>
      </c>
      <c r="D273" s="119" t="inlineStr">
        <is>
          <t>Keeping track of project progress</t>
        </is>
      </c>
      <c r="E273" s="119" t="inlineStr">
        <is>
          <t>프로젝트 전체 진행상황 파악하기</t>
        </is>
      </c>
      <c r="F273" s="119" t="inlineStr">
        <is>
          <t>프로젝트 전체 진행상황 파악하기</t>
        </is>
      </c>
    </row>
    <row r="274">
      <c r="B274" s="117" t="n">
        <v>358</v>
      </c>
      <c r="D274" s="119" t="inlineStr">
        <is>
          <t>Language</t>
        </is>
      </c>
      <c r="E274" s="119" t="inlineStr">
        <is>
          <t>언어</t>
        </is>
      </c>
      <c r="F274" s="119" t="inlineStr">
        <is>
          <t>언어</t>
        </is>
      </c>
    </row>
    <row r="275">
      <c r="B275" s="117" t="n">
        <v>359</v>
      </c>
      <c r="D275" s="119" t="inlineStr">
        <is>
          <t>Left of the chart</t>
        </is>
      </c>
      <c r="E275" s="119" t="inlineStr">
        <is>
          <t>Chart 왼쪽</t>
        </is>
      </c>
      <c r="F275" s="119" t="inlineStr">
        <is>
          <t>Chart 왼쪽</t>
        </is>
      </c>
    </row>
    <row r="276">
      <c r="B276" s="117" t="n">
        <v>360</v>
      </c>
      <c r="D276" s="119" t="inlineStr">
        <is>
          <t>License</t>
        </is>
      </c>
      <c r="E276" s="119" t="inlineStr">
        <is>
          <t>라이선스</t>
        </is>
      </c>
      <c r="F276" s="119" t="inlineStr">
        <is>
          <t>라이선스</t>
        </is>
      </c>
    </row>
    <row r="277" ht="24" customHeight="1">
      <c r="B277" s="117" t="n">
        <v>361</v>
      </c>
      <c r="C277" s="118" t="inlineStr">
        <is>
          <t>for help sheet</t>
        </is>
      </c>
      <c r="D277" s="119" t="inlineStr">
        <is>
          <t>Makes workload data by weekly and monthly. You can do analysis as you want by using Excel features such as pivot.</t>
        </is>
      </c>
      <c r="E277" s="119" t="inlineStr">
        <is>
          <t>Workload data를 주별/월별로 만들어 준다. 피벗 등의 기능으로 사용자가 원하는대로 분석을 할 수 있다.</t>
        </is>
      </c>
      <c r="F277" s="119" t="inlineStr">
        <is>
          <t>Workload data를 주별/월별로 만들어 준다. 피벗 등의 기능으로 사용자가 원하는대로 분석을 할 수 있다.</t>
        </is>
      </c>
    </row>
    <row r="278" ht="36" customHeight="1">
      <c r="B278" s="117" t="n">
        <v>362</v>
      </c>
      <c r="C278" s="118" t="inlineStr">
        <is>
          <t>for help sheet</t>
        </is>
      </c>
      <c r="D278" s="119" t="inlineStr">
        <is>
          <t>Manages the planned schedule and actual schedule of the project.</t>
        </is>
      </c>
      <c r="E278" s="11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1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17" t="n">
        <v>363</v>
      </c>
      <c r="D279" s="119" t="inlineStr">
        <is>
          <t>Managing Schedule Changes</t>
        </is>
      </c>
      <c r="E279" s="119" t="inlineStr">
        <is>
          <t>일정변경 관리함(시작일/완료일, 실제시작일/실제완료일 사용)</t>
        </is>
      </c>
      <c r="F279" s="119" t="inlineStr">
        <is>
          <t>일정변경 관리함(시작일/완료일, 실제시작일/실제완료일 사용)</t>
        </is>
      </c>
    </row>
    <row r="280">
      <c r="B280" s="117" t="n">
        <v>364</v>
      </c>
      <c r="D280" s="119" t="inlineStr">
        <is>
          <t>Man-Day</t>
        </is>
      </c>
      <c r="E280" s="119" t="inlineStr">
        <is>
          <t>Man-Day</t>
        </is>
      </c>
      <c r="F280" s="119" t="inlineStr">
        <is>
          <t>Man-Day</t>
        </is>
      </c>
    </row>
    <row r="281">
      <c r="B281" s="117" t="n">
        <v>365</v>
      </c>
      <c r="D281" s="119" t="inlineStr">
        <is>
          <t>Man-Month</t>
        </is>
      </c>
      <c r="E281" s="119" t="inlineStr">
        <is>
          <t>Man-Month</t>
        </is>
      </c>
      <c r="F281" s="119" t="inlineStr">
        <is>
          <t>Man-Month</t>
        </is>
      </c>
    </row>
    <row r="282">
      <c r="B282" s="117" t="n">
        <v>366</v>
      </c>
      <c r="D282" s="119" t="inlineStr">
        <is>
          <t>Manual</t>
        </is>
      </c>
      <c r="E282" s="119" t="inlineStr">
        <is>
          <t>수동</t>
        </is>
      </c>
      <c r="F282" s="119" t="inlineStr">
        <is>
          <t>수동</t>
        </is>
      </c>
    </row>
    <row r="283">
      <c r="B283" s="117" t="n">
        <v>367</v>
      </c>
      <c r="D283" s="119" t="inlineStr">
        <is>
          <t>Map &gt;&gt;</t>
        </is>
      </c>
      <c r="E283" s="119" t="inlineStr">
        <is>
          <t>Mapping &gt;&gt;</t>
        </is>
      </c>
      <c r="F283" s="119" t="inlineStr">
        <is>
          <t>Mapping &gt;&gt;</t>
        </is>
      </c>
    </row>
    <row r="284">
      <c r="B284" s="117" t="n">
        <v>368</v>
      </c>
      <c r="D284" s="119" t="inlineStr">
        <is>
          <t>Mark task as milestone</t>
        </is>
      </c>
      <c r="E284" s="119" t="inlineStr">
        <is>
          <t>작업을 마일스톤으로 지정</t>
        </is>
      </c>
      <c r="F284" s="119" t="inlineStr">
        <is>
          <t>작업을 마일스톤으로 지정</t>
        </is>
      </c>
    </row>
    <row r="285">
      <c r="B285" s="117" t="n">
        <v>369</v>
      </c>
      <c r="D285" s="119" t="inlineStr">
        <is>
          <t>mm/dd/yyyy</t>
        </is>
      </c>
      <c r="E285" s="119" t="inlineStr">
        <is>
          <t>yyyy/mm/dd</t>
        </is>
      </c>
      <c r="F285" s="119" t="inlineStr">
        <is>
          <t>yyyy/mm/dd</t>
        </is>
      </c>
    </row>
    <row r="286">
      <c r="B286" s="117" t="n">
        <v>370</v>
      </c>
      <c r="D286" s="119" t="inlineStr">
        <is>
          <t>mmmm yyyy</t>
        </is>
      </c>
      <c r="E286" s="119" t="inlineStr">
        <is>
          <t>yyyy년 m월</t>
        </is>
      </c>
      <c r="F286" s="119" t="inlineStr">
        <is>
          <t>yyyy년 m월</t>
        </is>
      </c>
    </row>
    <row r="287">
      <c r="B287" s="117" t="n">
        <v>371</v>
      </c>
      <c r="D287" s="119" t="inlineStr">
        <is>
          <t>Mon</t>
        </is>
      </c>
      <c r="E287" s="119" t="inlineStr">
        <is>
          <t>월</t>
        </is>
      </c>
      <c r="F287" s="119" t="inlineStr">
        <is>
          <t>월</t>
        </is>
      </c>
    </row>
    <row r="288">
      <c r="B288" s="117" t="n">
        <v>372</v>
      </c>
      <c r="D288" s="119" t="inlineStr">
        <is>
          <t>Monthly</t>
        </is>
      </c>
      <c r="E288" s="119" t="inlineStr">
        <is>
          <t>월별</t>
        </is>
      </c>
      <c r="F288" s="119" t="inlineStr">
        <is>
          <t>월별</t>
        </is>
      </c>
    </row>
    <row r="289">
      <c r="B289" s="117" t="n">
        <v>373</v>
      </c>
      <c r="D289" s="119" t="inlineStr">
        <is>
          <t>Monthly view</t>
        </is>
      </c>
      <c r="E289" s="119" t="inlineStr">
        <is>
          <t>월별보기</t>
        </is>
      </c>
      <c r="F289" s="119" t="inlineStr">
        <is>
          <t>월별보기</t>
        </is>
      </c>
    </row>
    <row r="290">
      <c r="B290" s="117" t="n">
        <v>374</v>
      </c>
      <c r="D290" s="119" t="inlineStr">
        <is>
          <t>Months</t>
        </is>
      </c>
      <c r="E290" s="119" t="inlineStr">
        <is>
          <t>월별</t>
        </is>
      </c>
      <c r="F290" s="119" t="inlineStr">
        <is>
          <t>월별</t>
        </is>
      </c>
    </row>
    <row r="291">
      <c r="B291" s="117" t="n">
        <v>375</v>
      </c>
      <c r="C291" s="118" t="inlineStr">
        <is>
          <t>for help sheet</t>
        </is>
      </c>
      <c r="D291" s="119" t="inlineStr">
        <is>
          <t>Multilingual Support</t>
        </is>
      </c>
      <c r="E291" s="119" t="inlineStr">
        <is>
          <t>다국어 지원</t>
        </is>
      </c>
      <c r="F291" s="119" t="inlineStr">
        <is>
          <t>다국어 지원</t>
        </is>
      </c>
    </row>
    <row r="292">
      <c r="B292" s="117" t="n">
        <v>376</v>
      </c>
      <c r="D292" s="119" t="inlineStr">
        <is>
          <t>Name of Nonworking Days</t>
        </is>
      </c>
      <c r="E292" s="119" t="inlineStr">
        <is>
          <t>휴무일명</t>
        </is>
      </c>
      <c r="F292" s="119" t="inlineStr">
        <is>
          <t>휴무일명</t>
        </is>
      </c>
    </row>
    <row r="293">
      <c r="B293" s="117" t="n">
        <v>377</v>
      </c>
      <c r="D293" s="119" t="inlineStr">
        <is>
          <t>New Version</t>
        </is>
      </c>
      <c r="E293" s="119" t="inlineStr">
        <is>
          <t>최신 버전</t>
        </is>
      </c>
      <c r="F293" s="119" t="inlineStr">
        <is>
          <t>최신 버전</t>
        </is>
      </c>
    </row>
    <row r="294">
      <c r="B294" s="117" t="n">
        <v>378</v>
      </c>
      <c r="D294" s="119" t="inlineStr">
        <is>
          <t>Next &gt;&gt;</t>
        </is>
      </c>
      <c r="E294" s="119" t="inlineStr">
        <is>
          <t>다음 &gt;&gt;</t>
        </is>
      </c>
      <c r="F294" s="119" t="inlineStr">
        <is>
          <t>다음 &gt;&gt;</t>
        </is>
      </c>
    </row>
    <row r="295">
      <c r="B295" s="117" t="n">
        <v>379</v>
      </c>
      <c r="C295" s="118" t="inlineStr">
        <is>
          <t>for importOnStartup</t>
        </is>
      </c>
      <c r="D295" s="116" t="inlineStr">
        <is>
          <t>No data to import.</t>
        </is>
      </c>
      <c r="E295" s="124" t="inlineStr">
        <is>
          <t>가져올 데이터가 없습니다.</t>
        </is>
      </c>
      <c r="F295" s="124" t="inlineStr">
        <is>
          <t>가져올 데이터가 없습니다.</t>
        </is>
      </c>
    </row>
    <row r="296">
      <c r="B296" s="117" t="n">
        <v>380</v>
      </c>
      <c r="D296" s="119" t="inlineStr">
        <is>
          <t>No need to enter in the Calendar sheet</t>
        </is>
      </c>
      <c r="E296" s="119" t="inlineStr">
        <is>
          <t>Calendar sheet에 입력할 필요 없음</t>
        </is>
      </c>
      <c r="F296" s="119" t="inlineStr">
        <is>
          <t>Calendar sheet에 입력할 필요 없음</t>
        </is>
      </c>
    </row>
    <row r="297">
      <c r="B297" s="117" t="n">
        <v>381</v>
      </c>
      <c r="D297" s="119" t="inlineStr">
        <is>
          <t>No need to enter Saturdays and Sundays in the Calendar sheet</t>
        </is>
      </c>
      <c r="E297" s="119" t="inlineStr">
        <is>
          <t>토요일,일요일은 Calendar sheet에 입력할 필요 없음</t>
        </is>
      </c>
      <c r="F297" s="119" t="inlineStr">
        <is>
          <t>토요일,일요일은 Calendar sheet에 입력할 필요 없음</t>
        </is>
      </c>
    </row>
    <row r="298">
      <c r="B298" s="117" t="n">
        <v>382</v>
      </c>
      <c r="C298" s="118" t="inlineStr">
        <is>
          <t>for Week Number</t>
        </is>
      </c>
      <c r="D298" s="119" t="inlineStr">
        <is>
          <t>None</t>
        </is>
      </c>
      <c r="E298" s="119" t="inlineStr">
        <is>
          <t>표시 안함</t>
        </is>
      </c>
      <c r="F298" s="119" t="inlineStr">
        <is>
          <t>표시 안함</t>
        </is>
      </c>
    </row>
    <row r="299">
      <c r="B299" s="117" t="n">
        <v>383</v>
      </c>
      <c r="D299" s="119" t="inlineStr">
        <is>
          <t>Nonworking Days</t>
        </is>
      </c>
      <c r="E299" s="119" t="inlineStr">
        <is>
          <t>휴무일자</t>
        </is>
      </c>
      <c r="F299" s="119" t="inlineStr">
        <is>
          <t>휴무일자</t>
        </is>
      </c>
    </row>
    <row r="300">
      <c r="B300" s="117" t="n">
        <v>384</v>
      </c>
      <c r="D300" s="119" t="inlineStr">
        <is>
          <t>Not Completed(&lt;&gt;100%)</t>
        </is>
      </c>
      <c r="E300" s="119" t="inlineStr">
        <is>
          <t>미완료</t>
        </is>
      </c>
      <c r="F300" s="119" t="inlineStr">
        <is>
          <t>미완료</t>
        </is>
      </c>
    </row>
    <row r="301">
      <c r="B301" s="117" t="n">
        <v>385</v>
      </c>
      <c r="D301" s="119" t="inlineStr">
        <is>
          <t>Not Managing Schedule Changes</t>
        </is>
      </c>
      <c r="E301" s="119" t="inlineStr">
        <is>
          <t>일정변경 관리 안함(시작일/완료일만 사용)</t>
        </is>
      </c>
      <c r="F301" s="119" t="inlineStr">
        <is>
          <t>일정변경 관리 안함(시작일/완료일만 사용)</t>
        </is>
      </c>
    </row>
    <row r="302">
      <c r="B302" s="117" t="n">
        <v>386</v>
      </c>
      <c r="D302" s="119" t="inlineStr">
        <is>
          <t>Not Specified(Standard Calendar)</t>
        </is>
      </c>
      <c r="E302" s="119" t="inlineStr">
        <is>
          <t>지정하지 않음(표준캘린더)</t>
        </is>
      </c>
      <c r="F302" s="119" t="inlineStr">
        <is>
          <t>지정하지 않음(표준캘린더)</t>
        </is>
      </c>
    </row>
    <row r="303">
      <c r="B303" s="117" t="n">
        <v>387</v>
      </c>
      <c r="D303" s="119" t="inlineStr">
        <is>
          <t>Note</t>
        </is>
      </c>
      <c r="E303" s="119" t="inlineStr">
        <is>
          <t>비고</t>
        </is>
      </c>
      <c r="F303" s="119" t="inlineStr">
        <is>
          <t>비고</t>
        </is>
      </c>
    </row>
    <row r="304">
      <c r="B304" s="117" t="n">
        <v>388</v>
      </c>
      <c r="D304" s="119" t="inlineStr">
        <is>
          <t>Number of "Task" columns(Max 20)</t>
        </is>
      </c>
      <c r="E304" s="119" t="inlineStr">
        <is>
          <t>"작업"열의 개수(최대 20개)</t>
        </is>
      </c>
      <c r="F304" s="119" t="inlineStr">
        <is>
          <t>"작업"열의 개수(최대 20개)</t>
        </is>
      </c>
    </row>
    <row r="305" ht="24" customHeight="1">
      <c r="B305" s="117" t="n">
        <v>389</v>
      </c>
      <c r="D305" s="119" t="inlineStr">
        <is>
          <t>Of the first two rows, at least one has been deleted. Please retry after changing the sheet to its previous state.</t>
        </is>
      </c>
      <c r="E305" s="119" t="inlineStr">
        <is>
          <t>1~2행 중 한 행이 삭제되었습니다. 원래대로 복구한 후 작업하십시오.</t>
        </is>
      </c>
      <c r="F305" s="119" t="inlineStr">
        <is>
          <t>1~2행 중 한 행이 삭제되었습니다. 원래대로 복구한 후 작업하십시오.</t>
        </is>
      </c>
    </row>
    <row r="306">
      <c r="B306" s="117" t="n">
        <v>390</v>
      </c>
      <c r="D306" s="119" t="inlineStr">
        <is>
          <t>On schedule</t>
        </is>
      </c>
      <c r="E306" s="119" t="inlineStr">
        <is>
          <t>일정 준수</t>
        </is>
      </c>
      <c r="F306" s="119" t="inlineStr">
        <is>
          <t>일정 준수</t>
        </is>
      </c>
    </row>
    <row r="307" ht="24" customHeight="1">
      <c r="B307" s="117" t="n">
        <v>391</v>
      </c>
      <c r="D307" s="119" t="inlineStr">
        <is>
          <t>Once you choose "Display the task name in the same field" option, you should select a WBS No. or a WBS Level field.</t>
        </is>
      </c>
      <c r="E307" s="119" t="inlineStr">
        <is>
          <t>"같은 필드에 작업명 표시" 옵션을 선택했으면 WBS No. 또는 개요수준(WBS Level) 필드 중 하나는 선택되어야 합니다</t>
        </is>
      </c>
      <c r="F307" s="119" t="inlineStr">
        <is>
          <t>"같은 필드에 작업명 표시" 옵션을 선택했으면 WBS No. 또는 개요수준(WBS Level) 필드 중 하나는 선택되어야 합니다</t>
        </is>
      </c>
    </row>
    <row r="308">
      <c r="B308" s="117" t="n">
        <v>392</v>
      </c>
      <c r="D308" s="119" t="inlineStr">
        <is>
          <t>Only Saturdays and Sundays</t>
        </is>
      </c>
      <c r="E308" s="119" t="inlineStr">
        <is>
          <t>토요일,일요일만</t>
        </is>
      </c>
      <c r="F308" s="119" t="inlineStr">
        <is>
          <t>토요일,일요일만</t>
        </is>
      </c>
    </row>
    <row r="309">
      <c r="B309" s="117" t="n">
        <v>393</v>
      </c>
      <c r="D309" s="119" t="inlineStr">
        <is>
          <t>Only the dates entered in the Calendar sheet</t>
        </is>
      </c>
      <c r="E309" s="119" t="inlineStr">
        <is>
          <t>Calendar sheet에 입력된 날짜만</t>
        </is>
      </c>
      <c r="F309" s="119" t="inlineStr">
        <is>
          <t>Calendar sheet에 입력된 날짜만</t>
        </is>
      </c>
    </row>
    <row r="310">
      <c r="B310" s="117" t="n">
        <v>394</v>
      </c>
      <c r="D310" s="119" t="inlineStr">
        <is>
          <t>Open Deliverables</t>
        </is>
      </c>
      <c r="E310" s="119" t="inlineStr">
        <is>
          <t>산출물 열기</t>
        </is>
      </c>
      <c r="F310" s="119" t="inlineStr">
        <is>
          <t>산출물 열기</t>
        </is>
      </c>
    </row>
    <row r="311">
      <c r="B311" s="117" t="n">
        <v>395</v>
      </c>
      <c r="D311" s="119" t="inlineStr">
        <is>
          <t>Open Deliverables Folder</t>
        </is>
      </c>
      <c r="E311" s="119" t="inlineStr">
        <is>
          <t>산출물 폴더 열기</t>
        </is>
      </c>
      <c r="F311" s="119" t="inlineStr">
        <is>
          <t>산출물 폴더 열기</t>
        </is>
      </c>
    </row>
    <row r="312">
      <c r="B312" s="117" t="n">
        <v>396</v>
      </c>
      <c r="D312" s="119" t="inlineStr">
        <is>
          <t>Options</t>
        </is>
      </c>
      <c r="E312" s="119" t="inlineStr">
        <is>
          <t>옵션</t>
        </is>
      </c>
      <c r="F312" s="119" t="inlineStr">
        <is>
          <t>옵션</t>
        </is>
      </c>
    </row>
    <row r="313">
      <c r="B313" s="117" t="n">
        <v>397</v>
      </c>
      <c r="D313" s="119" t="inlineStr">
        <is>
          <t>Outdent Task</t>
        </is>
      </c>
      <c r="E313" s="119" t="inlineStr">
        <is>
          <t>작업레벨 올림</t>
        </is>
      </c>
      <c r="F313" s="119" t="inlineStr">
        <is>
          <t>작업레벨 올림</t>
        </is>
      </c>
    </row>
    <row r="314">
      <c r="B314" s="117" t="n">
        <v>398</v>
      </c>
      <c r="D314" s="119" t="inlineStr">
        <is>
          <t>Outline Level</t>
        </is>
      </c>
      <c r="E314" s="119" t="inlineStr">
        <is>
          <t>개요수준</t>
        </is>
      </c>
      <c r="F314" s="119" t="inlineStr">
        <is>
          <t>개요수준</t>
        </is>
      </c>
    </row>
    <row r="315">
      <c r="B315" s="117" t="n">
        <v>399</v>
      </c>
      <c r="D315" s="119" t="inlineStr">
        <is>
          <t xml:space="preserve">Percent </t>
        </is>
      </c>
      <c r="E315" s="119" t="inlineStr">
        <is>
          <t>퍼센트 지정</t>
        </is>
      </c>
      <c r="F315" s="119" t="inlineStr">
        <is>
          <t>퍼센트 지정</t>
        </is>
      </c>
    </row>
    <row r="316">
      <c r="B316" s="117" t="n">
        <v>400</v>
      </c>
      <c r="D316" s="119" t="inlineStr">
        <is>
          <t>Pick a Date</t>
        </is>
      </c>
      <c r="E316" s="119" t="inlineStr">
        <is>
          <t>날짜 선택</t>
        </is>
      </c>
      <c r="F316" s="119" t="inlineStr">
        <is>
          <t>날짜 선택</t>
        </is>
      </c>
    </row>
    <row r="317">
      <c r="B317" s="117" t="n">
        <v>401</v>
      </c>
      <c r="C317" s="118" t="inlineStr">
        <is>
          <t>manual input</t>
        </is>
      </c>
      <c r="D317" s="119" t="inlineStr">
        <is>
          <t>Plan</t>
        </is>
      </c>
      <c r="E317" s="119" t="inlineStr">
        <is>
          <t>계획</t>
        </is>
      </c>
      <c r="F317" s="119" t="inlineStr">
        <is>
          <t>계획</t>
        </is>
      </c>
    </row>
    <row r="318">
      <c r="B318" s="117" t="n">
        <v>402</v>
      </c>
      <c r="C318" s="118" t="inlineStr">
        <is>
          <t>for importOnStartup</t>
        </is>
      </c>
      <c r="D318" s="116" t="inlineStr">
        <is>
          <t>Planned %Work Complete</t>
        </is>
      </c>
      <c r="E318" s="124" t="inlineStr">
        <is>
          <t>계획진척률</t>
        </is>
      </c>
      <c r="F318" s="124" t="inlineStr">
        <is>
          <t>계획진척률</t>
        </is>
      </c>
    </row>
    <row r="319">
      <c r="B319" s="117" t="n">
        <v>403</v>
      </c>
      <c r="D319" s="119" t="inlineStr">
        <is>
          <t>Planned %Work Complete calculation base date</t>
        </is>
      </c>
      <c r="E319" s="119" t="inlineStr">
        <is>
          <t>계획진척률 계산 기준일자</t>
        </is>
      </c>
      <c r="F319" s="119" t="inlineStr">
        <is>
          <t>계획진척률 계산 기준일자</t>
        </is>
      </c>
    </row>
    <row r="320">
      <c r="B320" s="117" t="n">
        <v>404</v>
      </c>
      <c r="D320" s="119" t="inlineStr">
        <is>
          <t>Planned %Work Complete from the start date to the current date</t>
        </is>
      </c>
      <c r="E320" s="135" t="inlineStr">
        <is>
          <t>현재날짜까지 계획된 진척률, WBS의 "계획진척률"의 전체 합계 진척률을 표시</t>
        </is>
      </c>
      <c r="F320" s="135" t="inlineStr">
        <is>
          <t>현재날짜까지 계획된 진척률, WBS의 "계획진척률"의 전체 합계 진척률을 표시</t>
        </is>
      </c>
    </row>
    <row r="321">
      <c r="B321" s="117" t="n">
        <v>405</v>
      </c>
      <c r="D321" s="119" t="inlineStr">
        <is>
          <t>Planned %Work Complete(A)</t>
        </is>
      </c>
      <c r="E321" s="119" t="inlineStr">
        <is>
          <t>계획 진척률(A)</t>
        </is>
      </c>
      <c r="F321" s="119" t="inlineStr">
        <is>
          <t>계획 진척률(A)</t>
        </is>
      </c>
    </row>
    <row r="322">
      <c r="B322" s="117" t="n">
        <v>406</v>
      </c>
      <c r="D322" s="119" t="inlineStr">
        <is>
          <t>Planned %Work Complete(B/A)</t>
        </is>
      </c>
      <c r="E322" s="119" t="inlineStr">
        <is>
          <t>계획(B/A)</t>
        </is>
      </c>
      <c r="F322" s="119" t="inlineStr">
        <is>
          <t>계획(B/A)</t>
        </is>
      </c>
    </row>
    <row r="323">
      <c r="B323" s="117" t="n">
        <v>407</v>
      </c>
      <c r="C323" s="118" t="inlineStr">
        <is>
          <t>for importOnStartup</t>
        </is>
      </c>
      <c r="D323" s="116" t="inlineStr">
        <is>
          <t>Planned Duration</t>
        </is>
      </c>
      <c r="E323" s="124" t="inlineStr">
        <is>
          <t>계획기간</t>
        </is>
      </c>
      <c r="F323" s="124" t="inlineStr">
        <is>
          <t>계획기간</t>
        </is>
      </c>
    </row>
    <row r="324">
      <c r="B324" s="117" t="n">
        <v>408</v>
      </c>
      <c r="D324" s="119" t="inlineStr">
        <is>
          <t>Planned Progress</t>
        </is>
      </c>
      <c r="E324" s="119" t="inlineStr">
        <is>
          <t>계획진척률</t>
        </is>
      </c>
      <c r="F324" s="119" t="inlineStr">
        <is>
          <t>계획진척률</t>
        </is>
      </c>
    </row>
    <row r="325">
      <c r="B325" s="117" t="n">
        <v>409</v>
      </c>
      <c r="C325" s="118" t="inlineStr">
        <is>
          <t>for importOnStartup</t>
        </is>
      </c>
      <c r="D325" s="119" t="inlineStr">
        <is>
          <t>Planned Work</t>
        </is>
      </c>
      <c r="E325" s="124" t="inlineStr">
        <is>
          <t>계획작업량</t>
        </is>
      </c>
      <c r="F325" s="124" t="inlineStr">
        <is>
          <t>계획작업량</t>
        </is>
      </c>
    </row>
    <row r="326">
      <c r="B326" s="117" t="n">
        <v>410</v>
      </c>
      <c r="D326" s="119" t="inlineStr">
        <is>
          <t>Planned Work(B)\nMan-day</t>
        </is>
      </c>
      <c r="E326" s="119" t="inlineStr">
        <is>
          <t>계획작업량(B)\nMan-day</t>
        </is>
      </c>
      <c r="F326" s="119" t="inlineStr">
        <is>
          <t>계획작업량(B)\nMan-day</t>
        </is>
      </c>
    </row>
    <row r="327" ht="36" customHeight="1">
      <c r="B327" s="117" t="n">
        <v>411</v>
      </c>
      <c r="D327" s="119" t="inlineStr">
        <is>
          <t>Planned Work\n(ManDay to Today)</t>
        </is>
      </c>
      <c r="E327" s="119" t="inlineStr">
        <is>
          <t>계획 작업량_x000D_
(현재일까지ManDay,_x000D_
자원수 감안)</t>
        </is>
      </c>
      <c r="F327" s="119" t="inlineStr">
        <is>
          <t>계획 작업량_x000D_
(현재일까지ManDay,_x000D_
자원수 감안)</t>
        </is>
      </c>
    </row>
    <row r="328">
      <c r="B328" s="117" t="n">
        <v>412</v>
      </c>
      <c r="D328" s="119" t="inlineStr">
        <is>
          <t>Planned workload</t>
        </is>
      </c>
      <c r="E328" s="119" t="inlineStr">
        <is>
          <t>현재일까지 계획된 작업량</t>
        </is>
      </c>
      <c r="F328" s="119" t="inlineStr">
        <is>
          <t>현재일까지 계획된 작업량</t>
        </is>
      </c>
    </row>
    <row r="329">
      <c r="B329" s="117" t="n">
        <v>413</v>
      </c>
      <c r="D329" s="119" t="inlineStr">
        <is>
          <t>Planned Workload Accumulated(Man-Day)</t>
        </is>
      </c>
      <c r="E329" s="119" t="inlineStr">
        <is>
          <t>계획작업량 누적(Man-Day)</t>
        </is>
      </c>
      <c r="F329" s="119" t="inlineStr">
        <is>
          <t>계획작업량 누적(Man-Day)</t>
        </is>
      </c>
    </row>
    <row r="330" ht="24" customHeight="1">
      <c r="B330" s="117" t="n">
        <v>414</v>
      </c>
      <c r="D330" s="119" t="inlineStr">
        <is>
          <t>Planned workload from the start date to the current date(PV)</t>
        </is>
      </c>
      <c r="E330" s="135" t="inlineStr">
        <is>
          <t>프로젝트 시작일부터 현재일까지의 작업량(현재 날짜까지 진행되었어야 할 작업량) (PV)</t>
        </is>
      </c>
      <c r="F330" s="135" t="inlineStr">
        <is>
          <t>프로젝트 시작일부터 현재일까지의 작업량(현재 날짜까지 진행되었어야 할 작업량) (PV)</t>
        </is>
      </c>
    </row>
    <row r="331">
      <c r="B331" s="117" t="n">
        <v>415</v>
      </c>
      <c r="D331" s="119" t="inlineStr">
        <is>
          <t>Planned Workload Progress</t>
        </is>
      </c>
      <c r="E331" s="119" t="inlineStr">
        <is>
          <t>계획작업량 진척률</t>
        </is>
      </c>
      <c r="F331" s="119" t="inlineStr">
        <is>
          <t>계획작업량 진척률</t>
        </is>
      </c>
    </row>
    <row r="332">
      <c r="B332" s="117" t="n">
        <v>416</v>
      </c>
      <c r="D332" s="119" t="inlineStr">
        <is>
          <t>Planned Workload(Man-Day)</t>
        </is>
      </c>
      <c r="E332" s="119" t="inlineStr">
        <is>
          <t>계획작업량(Man-Day)</t>
        </is>
      </c>
      <c r="F332" s="119" t="inlineStr">
        <is>
          <t>계획작업량(Man-Day)</t>
        </is>
      </c>
    </row>
    <row r="333">
      <c r="A333" s="121" t="n"/>
      <c r="B333" s="117" t="n">
        <v>417</v>
      </c>
      <c r="C333" s="122" t="inlineStr">
        <is>
          <t>for import columun</t>
        </is>
      </c>
      <c r="D333" s="120" t="inlineStr">
        <is>
          <t>Planned__%Work Complete</t>
        </is>
      </c>
      <c r="E333" s="120" t="inlineStr">
        <is>
          <t>계획</t>
        </is>
      </c>
      <c r="F333" s="120" t="inlineStr">
        <is>
          <t>계획</t>
        </is>
      </c>
    </row>
    <row r="334">
      <c r="A334" s="121" t="n"/>
      <c r="B334" s="117" t="n">
        <v>418</v>
      </c>
      <c r="C334" s="122" t="inlineStr">
        <is>
          <t>for import columun</t>
        </is>
      </c>
      <c r="D334" s="120" t="inlineStr">
        <is>
          <t>Planned__Duration</t>
        </is>
      </c>
      <c r="E334" s="120" t="inlineStr">
        <is>
          <t>계획__기간</t>
        </is>
      </c>
      <c r="F334" s="120" t="inlineStr">
        <is>
          <t>계획__기간</t>
        </is>
      </c>
    </row>
    <row r="335">
      <c r="A335" s="121" t="n"/>
      <c r="B335" s="117" t="n">
        <v>419</v>
      </c>
      <c r="C335" s="122" t="inlineStr">
        <is>
          <t>for import columun</t>
        </is>
      </c>
      <c r="D335" s="120" t="inlineStr">
        <is>
          <t>Planned__Work</t>
        </is>
      </c>
      <c r="E335" s="120" t="inlineStr">
        <is>
          <t>계획__작업량</t>
        </is>
      </c>
      <c r="F335" s="120" t="inlineStr">
        <is>
          <t>계획__작업량</t>
        </is>
      </c>
    </row>
    <row r="336">
      <c r="B336" s="117" t="n">
        <v>420</v>
      </c>
      <c r="D336" s="119" t="inlineStr">
        <is>
          <t>Planned\n%Work Complete</t>
        </is>
      </c>
      <c r="E336" s="119" t="inlineStr">
        <is>
          <t>계획</t>
        </is>
      </c>
      <c r="F336" s="119" t="inlineStr">
        <is>
          <t>계획</t>
        </is>
      </c>
    </row>
    <row r="337">
      <c r="B337" s="117" t="n">
        <v>421</v>
      </c>
      <c r="D337" s="119" t="inlineStr">
        <is>
          <t>Planned\nDuration</t>
        </is>
      </c>
      <c r="E337" s="120" t="inlineStr">
        <is>
          <t>계획\n기간</t>
        </is>
      </c>
      <c r="F337" s="120" t="inlineStr">
        <is>
          <t>계획\n기간</t>
        </is>
      </c>
    </row>
    <row r="338">
      <c r="B338" s="117" t="n">
        <v>422</v>
      </c>
      <c r="D338" s="119" t="inlineStr">
        <is>
          <t>Planned\nWork</t>
        </is>
      </c>
      <c r="E338" s="119" t="inlineStr">
        <is>
          <t>계획\n작업량</t>
        </is>
      </c>
      <c r="F338" s="119" t="inlineStr">
        <is>
          <t>계획\n작업량</t>
        </is>
      </c>
    </row>
    <row r="339">
      <c r="B339" s="117" t="n">
        <v>423</v>
      </c>
      <c r="D339" s="119" t="inlineStr">
        <is>
          <t>Please choose a type of the task field.</t>
        </is>
      </c>
      <c r="E339" s="119" t="inlineStr">
        <is>
          <t>작업필드의 유형을 선택하세요.</t>
        </is>
      </c>
      <c r="F339" s="119" t="inlineStr">
        <is>
          <t>작업필드의 유형을 선택하세요.</t>
        </is>
      </c>
    </row>
    <row r="340">
      <c r="B340" s="117" t="n">
        <v>424</v>
      </c>
      <c r="D340" s="119" t="inlineStr">
        <is>
          <t>Please enter the extension.</t>
        </is>
      </c>
      <c r="E340" s="119" t="inlineStr">
        <is>
          <t>확장자명을 입력하세요.</t>
        </is>
      </c>
      <c r="F340" s="119" t="inlineStr">
        <is>
          <t>확장자명을 입력하세요.</t>
        </is>
      </c>
    </row>
    <row r="341">
      <c r="B341" s="117" t="n">
        <v>425</v>
      </c>
      <c r="D341" s="119" t="inlineStr">
        <is>
          <t>Please enter the path where deliverables are saved.</t>
        </is>
      </c>
      <c r="E341" s="119" t="inlineStr">
        <is>
          <t>산출물이 저장될 특정경로를 입력하세요.</t>
        </is>
      </c>
      <c r="F341" s="119" t="inlineStr">
        <is>
          <t>산출물이 저장될 특정경로를 입력하세요.</t>
        </is>
      </c>
    </row>
    <row r="342">
      <c r="B342" s="117" t="n">
        <v>426</v>
      </c>
      <c r="D342" s="119" t="inlineStr">
        <is>
          <t>Please enter the program execution path.</t>
        </is>
      </c>
      <c r="E342" s="119" t="inlineStr">
        <is>
          <t>프로그램 실행경로를 입력하세요.</t>
        </is>
      </c>
      <c r="F342" s="119" t="inlineStr">
        <is>
          <t>프로그램 실행경로를 입력하세요.</t>
        </is>
      </c>
    </row>
    <row r="343">
      <c r="B343" s="117" t="n">
        <v>427</v>
      </c>
      <c r="D343" s="119" t="inlineStr">
        <is>
          <t>Please set project calendars in this sheet.</t>
        </is>
      </c>
      <c r="E343" s="119" t="inlineStr">
        <is>
          <t>이 Sheet에서 프로젝트 Calendar를 설정하세요.</t>
        </is>
      </c>
      <c r="F343" s="119" t="inlineStr">
        <is>
          <t>이 Sheet에서 프로젝트 Calendar를 설정하세요.</t>
        </is>
      </c>
    </row>
    <row r="344">
      <c r="B344" s="117" t="n">
        <v>428</v>
      </c>
      <c r="D344" s="119" t="inlineStr">
        <is>
          <t>Positive - ahead of schedule, Negative - behind schedule</t>
        </is>
      </c>
      <c r="E344" s="119" t="inlineStr">
        <is>
          <t>양수이면 계획보다 빨리 진행, 음수이면 지연</t>
        </is>
      </c>
      <c r="F344" s="119" t="inlineStr">
        <is>
          <t>양수이면 계획보다 빨리 진행, 음수이면 지연</t>
        </is>
      </c>
    </row>
    <row r="345">
      <c r="B345" s="117" t="n">
        <v>429</v>
      </c>
      <c r="D345" s="119" t="inlineStr">
        <is>
          <t>Powerpoint</t>
        </is>
      </c>
      <c r="E345" s="119" t="inlineStr">
        <is>
          <t>파워포인트</t>
        </is>
      </c>
      <c r="F345" s="119" t="inlineStr">
        <is>
          <t>파워포인트</t>
        </is>
      </c>
    </row>
    <row r="346">
      <c r="B346" s="117" t="n">
        <v>430</v>
      </c>
      <c r="D346" s="119" t="inlineStr">
        <is>
          <t>Program Info</t>
        </is>
      </c>
      <c r="E346" s="119" t="inlineStr">
        <is>
          <t>프로그램 정보</t>
        </is>
      </c>
      <c r="F346" s="119" t="inlineStr">
        <is>
          <t>프로그램 정보</t>
        </is>
      </c>
    </row>
    <row r="347">
      <c r="B347" s="117" t="n">
        <v>431</v>
      </c>
      <c r="D347" s="119" t="inlineStr">
        <is>
          <t>Program Name</t>
        </is>
      </c>
      <c r="E347" s="119" t="inlineStr">
        <is>
          <t>프로그램명</t>
        </is>
      </c>
      <c r="F347" s="119" t="inlineStr">
        <is>
          <t>프로그램명</t>
        </is>
      </c>
    </row>
    <row r="348">
      <c r="B348" s="117" t="n">
        <v>432</v>
      </c>
      <c r="D348" s="119" t="inlineStr">
        <is>
          <t>Program Site</t>
        </is>
      </c>
      <c r="E348" s="119" t="inlineStr">
        <is>
          <t>프로그램 사이트</t>
        </is>
      </c>
      <c r="F348" s="119" t="inlineStr">
        <is>
          <t>프로그램 사이트</t>
        </is>
      </c>
    </row>
    <row r="349">
      <c r="B349" s="117" t="n">
        <v>433</v>
      </c>
      <c r="D349" s="119" t="inlineStr">
        <is>
          <t>Progress</t>
        </is>
      </c>
      <c r="E349" s="119" t="inlineStr">
        <is>
          <t>진척률</t>
        </is>
      </c>
      <c r="F349" s="119" t="inlineStr">
        <is>
          <t>진척률</t>
        </is>
      </c>
    </row>
    <row r="350">
      <c r="B350" s="117" t="n">
        <v>434</v>
      </c>
      <c r="D350" s="119" t="inlineStr">
        <is>
          <t>Progress by Months</t>
        </is>
      </c>
      <c r="E350" s="119" t="inlineStr">
        <is>
          <t>진척률(월별)</t>
        </is>
      </c>
      <c r="F350" s="119" t="inlineStr">
        <is>
          <t>진척률(월별)</t>
        </is>
      </c>
    </row>
    <row r="351">
      <c r="B351" s="117" t="n">
        <v>435</v>
      </c>
      <c r="D351" s="119" t="inlineStr">
        <is>
          <t>Progress by Weeks</t>
        </is>
      </c>
      <c r="E351" s="119" t="inlineStr">
        <is>
          <t>진척률(주별)</t>
        </is>
      </c>
      <c r="F351" s="119" t="inlineStr">
        <is>
          <t>진척률(주별)</t>
        </is>
      </c>
    </row>
    <row r="352">
      <c r="B352" s="117" t="n">
        <v>436</v>
      </c>
      <c r="D352" s="119" t="inlineStr">
        <is>
          <t>Progresses by Resources</t>
        </is>
      </c>
      <c r="E352" s="119" t="inlineStr">
        <is>
          <t>담당별\n진행률</t>
        </is>
      </c>
      <c r="F352" s="119" t="inlineStr">
        <is>
          <t>담당별\n진행률</t>
        </is>
      </c>
    </row>
    <row r="353">
      <c r="B353" s="117" t="n">
        <v>437</v>
      </c>
      <c r="D353" s="119" t="inlineStr">
        <is>
          <t>Project Execution Plan</t>
        </is>
      </c>
      <c r="E353" s="119" t="inlineStr">
        <is>
          <t>프로젝트수행계획서</t>
        </is>
      </c>
      <c r="F353" s="119" t="inlineStr">
        <is>
          <t>프로젝트수행계획서</t>
        </is>
      </c>
    </row>
    <row r="354">
      <c r="B354" s="117" t="n">
        <v>438</v>
      </c>
      <c r="D354" s="119" t="inlineStr">
        <is>
          <t>Project Information</t>
        </is>
      </c>
      <c r="E354" s="119" t="inlineStr">
        <is>
          <t>프로젝트 정보</t>
        </is>
      </c>
      <c r="F354" s="119" t="inlineStr">
        <is>
          <t>프로젝트 정보</t>
        </is>
      </c>
    </row>
    <row r="355">
      <c r="B355" s="117" t="n">
        <v>439</v>
      </c>
      <c r="D355" s="119" t="inlineStr">
        <is>
          <t>Project Name</t>
        </is>
      </c>
      <c r="E355" s="119" t="inlineStr">
        <is>
          <t>프로젝트명</t>
        </is>
      </c>
      <c r="F355" s="119" t="inlineStr">
        <is>
          <t>프로젝트명</t>
        </is>
      </c>
    </row>
    <row r="356">
      <c r="B356" s="117" t="n">
        <v>440</v>
      </c>
      <c r="D356" s="119" t="inlineStr">
        <is>
          <t>Project Progress - When managing schedule changes</t>
        </is>
      </c>
      <c r="E356" s="119" t="inlineStr">
        <is>
          <t>프로젝트 진척률 - 일정변경 관리할때</t>
        </is>
      </c>
      <c r="F356" s="119" t="inlineStr">
        <is>
          <t>프로젝트 진척률 - 일정변경 관리할때</t>
        </is>
      </c>
    </row>
    <row r="357">
      <c r="B357" s="117" t="n">
        <v>441</v>
      </c>
      <c r="D357" s="119" t="inlineStr">
        <is>
          <t>Project Progress - When not managing schedule changes</t>
        </is>
      </c>
      <c r="E357" s="119" t="inlineStr">
        <is>
          <t>프로젝트 진척률 - 일정변경 관리하지 않을때</t>
        </is>
      </c>
      <c r="F357" s="119" t="inlineStr">
        <is>
          <t>프로젝트 진척률 - 일정변경 관리하지 않을때</t>
        </is>
      </c>
    </row>
    <row r="358">
      <c r="B358" s="117" t="n">
        <v>442</v>
      </c>
      <c r="D358" s="119" t="inlineStr">
        <is>
          <t>Project Progresses by Months</t>
        </is>
      </c>
      <c r="E358" s="119" t="inlineStr">
        <is>
          <t>프로젝트 진척률(월별)</t>
        </is>
      </c>
      <c r="F358" s="119" t="inlineStr">
        <is>
          <t>프로젝트 진척률(월별)</t>
        </is>
      </c>
    </row>
    <row r="359">
      <c r="B359" s="117" t="n">
        <v>443</v>
      </c>
      <c r="D359" s="119" t="inlineStr">
        <is>
          <t>Project Progresses by Weeks</t>
        </is>
      </c>
      <c r="E359" s="119" t="inlineStr">
        <is>
          <t>프로젝트 진척률(주별)</t>
        </is>
      </c>
      <c r="F359" s="119" t="inlineStr">
        <is>
          <t>프로젝트 진척률(주별)</t>
        </is>
      </c>
    </row>
    <row r="360">
      <c r="B360" s="117" t="n">
        <v>444</v>
      </c>
      <c r="D360" s="119" t="inlineStr">
        <is>
          <t>Project Scheduler</t>
        </is>
      </c>
      <c r="E360" s="119" t="inlineStr">
        <is>
          <t>Project Scheduler</t>
        </is>
      </c>
      <c r="F360" s="119" t="inlineStr">
        <is>
          <t>Project Scheduler</t>
        </is>
      </c>
    </row>
    <row r="361" ht="24" customHeight="1">
      <c r="B361" s="117" t="n">
        <v>445</v>
      </c>
      <c r="C361" s="118" t="inlineStr">
        <is>
          <t>for help sheet</t>
        </is>
      </c>
      <c r="D361" s="119" t="inlineStr">
        <is>
          <t>Provides you with analytical reports such as progress, workload, and workload data for tracking the status of your project.</t>
        </is>
      </c>
      <c r="E361" s="119" t="inlineStr">
        <is>
          <t>프로젝트의 현황을 파악할 수 있는 진행률, Workload 등의 분석 리포트와 분석용 Workload data를 제공한다.</t>
        </is>
      </c>
      <c r="F361" s="119" t="inlineStr">
        <is>
          <t>프로젝트의 현황을 파악할 수 있는 진행률, Workload 등의 분석 리포트와 분석용 Workload data를 제공한다.</t>
        </is>
      </c>
    </row>
    <row r="362">
      <c r="B362" s="117" t="n">
        <v>446</v>
      </c>
      <c r="D362" s="119" t="inlineStr">
        <is>
          <t>Purple</t>
        </is>
      </c>
      <c r="E362" s="119" t="inlineStr">
        <is>
          <t>퍼플</t>
        </is>
      </c>
      <c r="F362" s="119" t="inlineStr">
        <is>
          <t>퍼플</t>
        </is>
      </c>
    </row>
    <row r="363">
      <c r="B363" s="117" t="n">
        <v>447</v>
      </c>
      <c r="C363" s="118" t="inlineStr">
        <is>
          <t>for importOnStartup</t>
        </is>
      </c>
      <c r="D363" s="119" t="inlineStr">
        <is>
          <t>Recalculate WBS area after import</t>
        </is>
      </c>
      <c r="E363" s="119" t="inlineStr">
        <is>
          <t>가져오기 후 WBS영역 재계산</t>
        </is>
      </c>
      <c r="F363" s="119" t="inlineStr">
        <is>
          <t>가져오기 후 WBS영역 재계산</t>
        </is>
      </c>
    </row>
    <row r="364">
      <c r="B364" s="117" t="n">
        <v>448</v>
      </c>
      <c r="D364" s="119" t="inlineStr">
        <is>
          <t>Reformatting</t>
        </is>
      </c>
      <c r="E364" s="119" t="inlineStr">
        <is>
          <t>서식\n재설정</t>
        </is>
      </c>
      <c r="F364" s="119" t="inlineStr">
        <is>
          <t>서식\n재설정</t>
        </is>
      </c>
    </row>
    <row r="365" ht="24" customHeight="1">
      <c r="B365" s="117" t="n">
        <v>449</v>
      </c>
      <c r="D365" s="119" t="inlineStr">
        <is>
          <t>Regardless of the language setting in computer O/S, you can choose a language directly</t>
        </is>
      </c>
      <c r="E365" s="119" t="inlineStr">
        <is>
          <t>컴퓨터 O/S에 설정된 언어와 관계없이 사용자가 표시할 언어를 직접 선택할 수 _x000D_
있습니다.</t>
        </is>
      </c>
      <c r="F365" s="119" t="inlineStr">
        <is>
          <t>컴퓨터 O/S에 설정된 언어와 관계없이 사용자가 표시할 언어를 직접 선택할 수 _x000D_
있습니다.</t>
        </is>
      </c>
    </row>
    <row r="366">
      <c r="B366" s="117" t="n">
        <v>450</v>
      </c>
      <c r="D366" s="119" t="inlineStr">
        <is>
          <t>Release Date</t>
        </is>
      </c>
      <c r="E366" s="119" t="inlineStr">
        <is>
          <t>릴리즈 일자</t>
        </is>
      </c>
      <c r="F366" s="119" t="inlineStr">
        <is>
          <t>릴리즈 일자</t>
        </is>
      </c>
    </row>
    <row r="367">
      <c r="B367" s="117" t="n">
        <v>451</v>
      </c>
      <c r="D367" s="119" t="inlineStr">
        <is>
          <t>Resource Allocation Ratio</t>
        </is>
      </c>
      <c r="E367" s="119" t="inlineStr">
        <is>
          <t>자원배정비율</t>
        </is>
      </c>
      <c r="F367" s="119" t="inlineStr">
        <is>
          <t>자원배정비율</t>
        </is>
      </c>
    </row>
    <row r="368" ht="24" customHeight="1">
      <c r="B368" s="117" t="n">
        <v>452</v>
      </c>
      <c r="D368" s="119" t="inlineStr">
        <is>
          <t>Resource field.</t>
        </is>
      </c>
      <c r="E368" s="119" t="inlineStr">
        <is>
          <t>자원 필드입니다. 담당자, 리소스 등의 이름으로 불리기도 합니다. 해당 작업의 담당자를 표시합니다</t>
        </is>
      </c>
      <c r="F368" s="119" t="inlineStr">
        <is>
          <t>자원 필드입니다. 담당자, 리소스 등의 이름으로 불리기도 합니다. 해당 작업의 담당자를 표시합니다</t>
        </is>
      </c>
    </row>
    <row r="369">
      <c r="B369" s="117" t="n">
        <v>453</v>
      </c>
      <c r="D369" s="120" t="inlineStr">
        <is>
          <t>Resources</t>
        </is>
      </c>
      <c r="E369" s="119" t="inlineStr">
        <is>
          <t>담당</t>
        </is>
      </c>
      <c r="F369" s="119" t="inlineStr">
        <is>
          <t>담당</t>
        </is>
      </c>
    </row>
    <row r="370">
      <c r="B370" s="117" t="n">
        <v>454</v>
      </c>
      <c r="D370" s="119" t="inlineStr">
        <is>
          <t>Right of the chart</t>
        </is>
      </c>
      <c r="E370" s="119" t="inlineStr">
        <is>
          <t>Chart 오른쪽</t>
        </is>
      </c>
      <c r="F370" s="119" t="inlineStr">
        <is>
          <t>Chart 오른쪽</t>
        </is>
      </c>
    </row>
    <row r="371">
      <c r="B371" s="117" t="n">
        <v>455</v>
      </c>
      <c r="D371" s="119" t="inlineStr">
        <is>
          <t xml:space="preserve">Rows of imported data : </t>
        </is>
      </c>
      <c r="E371" s="119" t="inlineStr">
        <is>
          <t xml:space="preserve">가져온 자료의 행수 : </t>
        </is>
      </c>
      <c r="F371" s="119" t="inlineStr">
        <is>
          <t xml:space="preserve">가져온 자료의 행수 : </t>
        </is>
      </c>
    </row>
    <row r="372">
      <c r="B372" s="117" t="n">
        <v>456</v>
      </c>
      <c r="D372" s="119" t="inlineStr">
        <is>
          <t>Run "Update Schedule"  When Saving XLGantt File</t>
        </is>
      </c>
      <c r="E372" s="119" t="inlineStr">
        <is>
          <t>File저장시 "스케줄업데이트" 실행</t>
        </is>
      </c>
      <c r="F372" s="119" t="inlineStr">
        <is>
          <t>File저장시 "스케줄업데이트" 실행</t>
        </is>
      </c>
    </row>
    <row r="373">
      <c r="B373" s="117" t="n">
        <v>457</v>
      </c>
      <c r="D373" s="119" t="inlineStr">
        <is>
          <t>Sat</t>
        </is>
      </c>
      <c r="E373" s="119" t="inlineStr">
        <is>
          <t>토</t>
        </is>
      </c>
      <c r="F373" s="119" t="inlineStr">
        <is>
          <t>토</t>
        </is>
      </c>
    </row>
    <row r="374">
      <c r="B374" s="117" t="n">
        <v>458</v>
      </c>
      <c r="D374" s="119" t="inlineStr">
        <is>
          <t>Save</t>
        </is>
      </c>
      <c r="E374" s="119" t="inlineStr">
        <is>
          <t>저장</t>
        </is>
      </c>
      <c r="F374" s="119" t="inlineStr">
        <is>
          <t>저장</t>
        </is>
      </c>
    </row>
    <row r="375">
      <c r="B375" s="117" t="n">
        <v>459</v>
      </c>
      <c r="C375" s="118" t="inlineStr">
        <is>
          <t>for help sheet</t>
        </is>
      </c>
      <c r="D375" s="119" t="inlineStr">
        <is>
          <t>Schedule change</t>
        </is>
      </c>
      <c r="E375" s="119" t="inlineStr">
        <is>
          <t>일정계획 변경관리</t>
        </is>
      </c>
      <c r="F375" s="119" t="inlineStr">
        <is>
          <t>일정계획 변경관리</t>
        </is>
      </c>
    </row>
    <row r="376">
      <c r="B376" s="117" t="n">
        <v>460</v>
      </c>
      <c r="D376" s="119" t="inlineStr">
        <is>
          <t>Schedule Change Management</t>
        </is>
      </c>
      <c r="E376" s="119" t="inlineStr">
        <is>
          <t>일정계획 변경관리</t>
        </is>
      </c>
      <c r="F376" s="119" t="inlineStr">
        <is>
          <t>일정계획 변경관리</t>
        </is>
      </c>
    </row>
    <row r="377">
      <c r="B377" s="117" t="n">
        <v>461</v>
      </c>
      <c r="D377" s="119" t="inlineStr">
        <is>
          <t>Schedule update has been completed.</t>
        </is>
      </c>
      <c r="E377" s="119" t="inlineStr">
        <is>
          <t>스케줄업데이트 작업이 완료되었습니다.</t>
        </is>
      </c>
      <c r="F377" s="119" t="inlineStr">
        <is>
          <t>스케줄업데이트 작업이 완료되었습니다.</t>
        </is>
      </c>
    </row>
    <row r="378">
      <c r="B378" s="117" t="n">
        <v>462</v>
      </c>
      <c r="D378" s="119" t="inlineStr">
        <is>
          <t>Schedule variance</t>
        </is>
      </c>
      <c r="E378" s="119" t="inlineStr">
        <is>
          <t>계획대비 실적 차이</t>
        </is>
      </c>
      <c r="F378" s="119" t="inlineStr">
        <is>
          <t>계획대비 실적 차이</t>
        </is>
      </c>
    </row>
    <row r="379">
      <c r="B379" s="117" t="n">
        <v>463</v>
      </c>
      <c r="D379" s="119" t="inlineStr">
        <is>
          <t>Schedule Variance(B-A)</t>
        </is>
      </c>
      <c r="E379" s="119" t="inlineStr">
        <is>
          <t>차이(B-A)</t>
        </is>
      </c>
      <c r="F379" s="119" t="inlineStr">
        <is>
          <t>차이(B-A)</t>
        </is>
      </c>
    </row>
    <row r="380">
      <c r="B380" s="117" t="n">
        <v>464</v>
      </c>
      <c r="D380" s="119" t="inlineStr">
        <is>
          <t>Search for the tasks based on criteria.</t>
        </is>
      </c>
      <c r="F380" s="119" t="n"/>
    </row>
    <row r="381">
      <c r="B381" s="117" t="n">
        <v>465</v>
      </c>
      <c r="D381" s="119" t="inlineStr">
        <is>
          <t>Select source files(Muliple Select)</t>
        </is>
      </c>
      <c r="E381" s="119" t="inlineStr">
        <is>
          <t>가져올 파일을 선택하세요(다중선택가능)</t>
        </is>
      </c>
      <c r="F381" s="119" t="inlineStr">
        <is>
          <t>가져올 파일을 선택하세요(다중선택가능)</t>
        </is>
      </c>
    </row>
    <row r="382" ht="24" customHeight="1">
      <c r="B382" s="117" t="n">
        <v>466</v>
      </c>
      <c r="D382" s="119" t="inlineStr">
        <is>
          <t>Set "the earliest start date and the lastest fisnish date of the tasks" to the Project Start-Finish date.</t>
        </is>
      </c>
      <c r="E382" s="119" t="inlineStr">
        <is>
          <t>Task의 가장 빠른 시작일과 가장 늦은 완료일을 프로젝트 기간으로 자동설정</t>
        </is>
      </c>
      <c r="F382" s="119" t="inlineStr">
        <is>
          <t>Task의 가장 빠른 시작일과 가장 늦은 완료일을 프로젝트 기간으로 자동설정</t>
        </is>
      </c>
    </row>
    <row r="383" ht="24" customHeight="1">
      <c r="B383" s="117" t="n">
        <v>467</v>
      </c>
      <c r="D383" s="119" t="inlineStr">
        <is>
          <t xml:space="preserve">Set path by the task name automatically\n(in this case, specify the upper path of automatically assigned path) </t>
        </is>
      </c>
      <c r="E383" s="119" t="inlineStr">
        <is>
          <t xml:space="preserve">작업명으로 경로 자동지정(이 경우 자동지정된 경로의 상위경로를 입력) </t>
        </is>
      </c>
      <c r="F383" s="119" t="inlineStr">
        <is>
          <t xml:space="preserve">작업명으로 경로 자동지정(이 경우 자동지정된 경로의 상위경로를 입력) </t>
        </is>
      </c>
    </row>
    <row r="384">
      <c r="B384" s="117" t="n">
        <v>468</v>
      </c>
      <c r="D384" s="119" t="inlineStr">
        <is>
          <t>Set program execution paths to open deliverables</t>
        </is>
      </c>
      <c r="E384" s="119" t="inlineStr">
        <is>
          <t>산출물열기 프로그램 실행경로 지정</t>
        </is>
      </c>
      <c r="F384" s="119" t="inlineStr">
        <is>
          <t>산출물열기 프로그램 실행경로 지정</t>
        </is>
      </c>
    </row>
    <row r="385">
      <c r="B385" s="117" t="n">
        <v>469</v>
      </c>
      <c r="D385" s="119" t="inlineStr">
        <is>
          <t>Set saving path of deliverables</t>
        </is>
      </c>
      <c r="E385" s="119" t="inlineStr">
        <is>
          <t>산출물 저장경로</t>
        </is>
      </c>
      <c r="F385" s="119" t="inlineStr">
        <is>
          <t>산출물 저장경로</t>
        </is>
      </c>
    </row>
    <row r="386">
      <c r="B386" s="117" t="n">
        <v>470</v>
      </c>
      <c r="C386" s="118" t="inlineStr">
        <is>
          <t>for help sheet</t>
        </is>
      </c>
      <c r="D386" s="119" t="inlineStr">
        <is>
          <t>Sets nonworking days.</t>
        </is>
      </c>
      <c r="E386" s="119" t="inlineStr">
        <is>
          <t>프로젝트의 휴무일을 설정한다.</t>
        </is>
      </c>
      <c r="F386" s="119" t="inlineStr">
        <is>
          <t>프로젝트의 휴무일을 설정한다.</t>
        </is>
      </c>
    </row>
    <row r="387">
      <c r="B387" s="117" t="n">
        <v>471</v>
      </c>
      <c r="C387" s="118" t="inlineStr">
        <is>
          <t>for help sheet</t>
        </is>
      </c>
      <c r="D387" s="119" t="inlineStr">
        <is>
          <t>Setting Gantt chart display style</t>
        </is>
      </c>
      <c r="E387" s="119" t="inlineStr">
        <is>
          <t>간트차트 표시방법 설정</t>
        </is>
      </c>
      <c r="F387" s="119" t="inlineStr">
        <is>
          <t>간트차트 표시방법 설정</t>
        </is>
      </c>
    </row>
    <row r="388">
      <c r="B388" s="117" t="n">
        <v>472</v>
      </c>
      <c r="D388" s="119" t="inlineStr">
        <is>
          <t>Settings</t>
        </is>
      </c>
      <c r="E388" s="119" t="inlineStr">
        <is>
          <t>설정</t>
        </is>
      </c>
      <c r="F388" s="119" t="inlineStr">
        <is>
          <t>설정</t>
        </is>
      </c>
    </row>
    <row r="389">
      <c r="B389" s="117" t="n">
        <v>473</v>
      </c>
      <c r="C389" s="118" t="inlineStr">
        <is>
          <t>for help sheet</t>
        </is>
      </c>
      <c r="D389" s="119" t="inlineStr">
        <is>
          <t>Sheets</t>
        </is>
      </c>
      <c r="E389" s="119" t="inlineStr">
        <is>
          <t>시트 구성</t>
        </is>
      </c>
      <c r="F389" s="119" t="inlineStr">
        <is>
          <t>시트 구성</t>
        </is>
      </c>
    </row>
    <row r="390" ht="24" customHeight="1">
      <c r="B390" s="117" t="n">
        <v>474</v>
      </c>
      <c r="C390" s="118" t="inlineStr">
        <is>
          <t>for help sheet</t>
        </is>
      </c>
      <c r="D390" s="119" t="inlineStr">
        <is>
          <t>Shows you the progresses and workloads of the project by weeks, months, and resources.</t>
        </is>
      </c>
      <c r="E390" s="119" t="inlineStr">
        <is>
          <t>담당별 진행률, Workload등 분석용 Report를 만들어서 보여준다.</t>
        </is>
      </c>
      <c r="F390" s="119" t="inlineStr">
        <is>
          <t>담당별 진행률, Workload등 분석용 Report를 만들어서 보여준다.</t>
        </is>
      </c>
    </row>
    <row r="391">
      <c r="B391" s="117" t="n">
        <v>475</v>
      </c>
      <c r="C391" s="118" t="inlineStr">
        <is>
          <t>for help sheet</t>
        </is>
      </c>
      <c r="D391" s="119" t="inlineStr">
        <is>
          <t>Shows you the workloads, progresses, etc.</t>
        </is>
      </c>
      <c r="E391" s="119" t="inlineStr">
        <is>
          <t>작업량, 진척률 등을 볼 수 있다.</t>
        </is>
      </c>
      <c r="F391" s="119" t="inlineStr">
        <is>
          <t>작업량, 진척률 등을 볼 수 있다.</t>
        </is>
      </c>
    </row>
    <row r="392">
      <c r="B392" s="117" t="n">
        <v>476</v>
      </c>
      <c r="D392" s="119" t="inlineStr">
        <is>
          <t>Specific Date</t>
        </is>
      </c>
      <c r="E392" s="119" t="inlineStr">
        <is>
          <t>특정날짜</t>
        </is>
      </c>
      <c r="F392" s="119" t="inlineStr">
        <is>
          <t>특정날짜</t>
        </is>
      </c>
    </row>
    <row r="393">
      <c r="B393" s="117" t="n">
        <v>477</v>
      </c>
      <c r="D393" s="119" t="inlineStr">
        <is>
          <t>Specific path</t>
        </is>
      </c>
      <c r="E393" s="119" t="inlineStr">
        <is>
          <t>특정 경로</t>
        </is>
      </c>
      <c r="F393" s="119" t="inlineStr">
        <is>
          <t>특정 경로</t>
        </is>
      </c>
    </row>
    <row r="394" ht="36" customHeight="1">
      <c r="B394" s="117" t="n">
        <v>478</v>
      </c>
      <c r="C394" s="118" t="inlineStr">
        <is>
          <t>for help sheet</t>
        </is>
      </c>
      <c r="D394" s="119" t="inlineStr">
        <is>
          <t>Specifies the save path of the deliverables and open the deliverables.</t>
        </is>
      </c>
      <c r="E394" s="11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1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17" t="n">
        <v>479</v>
      </c>
      <c r="D395" s="119" t="inlineStr">
        <is>
          <t>Standard Calendar</t>
        </is>
      </c>
      <c r="E395" s="119" t="inlineStr">
        <is>
          <t>표준캘린더</t>
        </is>
      </c>
      <c r="F395" s="119" t="inlineStr">
        <is>
          <t>표준캘린더</t>
        </is>
      </c>
    </row>
    <row r="396">
      <c r="B396" s="117" t="n">
        <v>480</v>
      </c>
      <c r="D396" s="119" t="inlineStr">
        <is>
          <t>Star(*) marks - required fields</t>
        </is>
      </c>
      <c r="E396" s="119" t="inlineStr">
        <is>
          <t>별(*)표시는 필수입력</t>
        </is>
      </c>
      <c r="F396" s="119" t="inlineStr">
        <is>
          <t>별(*)표시는 필수입력</t>
        </is>
      </c>
    </row>
    <row r="397">
      <c r="B397" s="117" t="n">
        <v>481</v>
      </c>
      <c r="D397" s="119" t="inlineStr">
        <is>
          <t>Start</t>
        </is>
      </c>
      <c r="E397" s="119" t="inlineStr">
        <is>
          <t>시작일</t>
        </is>
      </c>
      <c r="F397" s="119" t="inlineStr">
        <is>
          <t>시작일</t>
        </is>
      </c>
    </row>
    <row r="398">
      <c r="B398" s="117" t="n">
        <v>482</v>
      </c>
      <c r="D398" s="119" t="inlineStr">
        <is>
          <t>Start Date</t>
        </is>
      </c>
      <c r="E398" s="119" t="inlineStr">
        <is>
          <t>시작일자</t>
        </is>
      </c>
      <c r="F398" s="119" t="inlineStr">
        <is>
          <t>시작일자</t>
        </is>
      </c>
    </row>
    <row r="399">
      <c r="B399" s="117" t="n">
        <v>483</v>
      </c>
      <c r="D399" s="119" t="inlineStr">
        <is>
          <t>Start date field of a task. It must be in date format.</t>
        </is>
      </c>
      <c r="E399" s="119" t="inlineStr">
        <is>
          <t>각 작업의 시작일을 표시합니다. 반드시 날짜 형식이어야 합니다.</t>
        </is>
      </c>
      <c r="F399" s="119" t="inlineStr">
        <is>
          <t>각 작업의 시작일을 표시합니다. 반드시 날짜 형식이어야 합니다.</t>
        </is>
      </c>
    </row>
    <row r="400">
      <c r="B400" s="117" t="n">
        <v>484</v>
      </c>
      <c r="D400" s="119" t="inlineStr">
        <is>
          <t>Start date is invalid.</t>
        </is>
      </c>
      <c r="E400" s="119" t="inlineStr">
        <is>
          <t>작업시작일의 날짜형식이 잘못되었습니다.</t>
        </is>
      </c>
      <c r="F400" s="119" t="inlineStr">
        <is>
          <t>작업시작일의 날짜형식이 잘못되었습니다.</t>
        </is>
      </c>
    </row>
    <row r="401" ht="24" customHeight="1">
      <c r="B401" s="117" t="n">
        <v>485</v>
      </c>
      <c r="D401" s="119" t="inlineStr">
        <is>
          <t>Start date is invalid. Verify row {} of the source file.</t>
        </is>
      </c>
      <c r="E401" s="119" t="inlineStr">
        <is>
          <t>시작일자에 날짜가 아닌 값이 포함되어 있습니다. Import하는 파일의 {}행을 확인하세요.</t>
        </is>
      </c>
      <c r="F401" s="119" t="inlineStr">
        <is>
          <t>시작일자에 날짜가 아닌 값이 포함되어 있습니다. Import하는 파일의 {}행을 확인하세요.</t>
        </is>
      </c>
    </row>
    <row r="402">
      <c r="B402" s="117" t="n">
        <v>486</v>
      </c>
      <c r="D402" s="119" t="inlineStr">
        <is>
          <t>Started as planned</t>
        </is>
      </c>
      <c r="E402" s="119" t="inlineStr">
        <is>
          <t>계획과 같은 날짜에 시작됨</t>
        </is>
      </c>
      <c r="F402" s="119" t="inlineStr">
        <is>
          <t>계획과 같은 날짜에 시작됨</t>
        </is>
      </c>
    </row>
    <row r="403">
      <c r="B403" s="117" t="n">
        <v>487</v>
      </c>
      <c r="D403" s="119" t="inlineStr">
        <is>
          <t>Started earlier than planned</t>
        </is>
      </c>
      <c r="E403" s="119" t="inlineStr">
        <is>
          <t>계획보다 일찍 시작됨</t>
        </is>
      </c>
      <c r="F403" s="119" t="inlineStr">
        <is>
          <t>계획보다 일찍 시작됨</t>
        </is>
      </c>
    </row>
    <row r="404">
      <c r="B404" s="117" t="n">
        <v>488</v>
      </c>
      <c r="D404" s="119" t="inlineStr">
        <is>
          <t>Started later than planned</t>
        </is>
      </c>
      <c r="E404" s="119" t="inlineStr">
        <is>
          <t>계획보다 늦게 시작됨</t>
        </is>
      </c>
      <c r="F404" s="119" t="inlineStr">
        <is>
          <t>계획보다 늦게 시작됨</t>
        </is>
      </c>
    </row>
    <row r="405">
      <c r="B405" s="117" t="n">
        <v>489</v>
      </c>
      <c r="D405" s="119" t="inlineStr">
        <is>
          <t>Start-Finish</t>
        </is>
      </c>
      <c r="E405" s="119" t="inlineStr">
        <is>
          <t>시작일-완료일</t>
        </is>
      </c>
      <c r="F405" s="119" t="inlineStr">
        <is>
          <t>시작일-완료일</t>
        </is>
      </c>
    </row>
    <row r="406">
      <c r="B406" s="117" t="n">
        <v>490</v>
      </c>
      <c r="C406" s="118" t="inlineStr">
        <is>
          <t>for importOnStartup</t>
        </is>
      </c>
      <c r="D406" s="119" t="inlineStr">
        <is>
          <t>Successfully imported.</t>
        </is>
      </c>
      <c r="E406" s="119" t="inlineStr">
        <is>
          <t>가져오기가 정상적으로 완료되었습니다.</t>
        </is>
      </c>
      <c r="F406" s="119" t="inlineStr">
        <is>
          <t>가져오기가 정상적으로 완료되었습니다.</t>
        </is>
      </c>
    </row>
    <row r="407">
      <c r="B407" s="117" t="n">
        <v>491</v>
      </c>
      <c r="D407" s="119" t="inlineStr">
        <is>
          <t>Sun</t>
        </is>
      </c>
      <c r="E407" s="119" t="inlineStr">
        <is>
          <t>일</t>
        </is>
      </c>
      <c r="F407" s="119" t="inlineStr">
        <is>
          <t>일</t>
        </is>
      </c>
    </row>
    <row r="408">
      <c r="B408" s="117" t="n">
        <v>492</v>
      </c>
      <c r="C408" s="118" t="inlineStr">
        <is>
          <t>for Week Number</t>
        </is>
      </c>
      <c r="D408" s="119" t="inlineStr">
        <is>
          <t>System 1</t>
        </is>
      </c>
      <c r="E408" s="119" t="inlineStr">
        <is>
          <t>체계 1</t>
        </is>
      </c>
      <c r="F408" s="119" t="inlineStr">
        <is>
          <t>체계 1</t>
        </is>
      </c>
    </row>
    <row r="409">
      <c r="B409" s="117" t="n">
        <v>493</v>
      </c>
      <c r="C409" s="118" t="inlineStr">
        <is>
          <t>for Week Number</t>
        </is>
      </c>
      <c r="D409" s="119" t="inlineStr">
        <is>
          <t>System 2</t>
        </is>
      </c>
      <c r="E409" s="119" t="inlineStr">
        <is>
          <t>체계 2</t>
        </is>
      </c>
      <c r="F409" s="119" t="inlineStr">
        <is>
          <t>체계 2</t>
        </is>
      </c>
    </row>
    <row r="410">
      <c r="B410" s="117" t="n">
        <v>494</v>
      </c>
      <c r="D410" s="119" t="inlineStr">
        <is>
          <t>Task</t>
        </is>
      </c>
      <c r="E410" s="119" t="inlineStr">
        <is>
          <t>작업</t>
        </is>
      </c>
      <c r="F410" s="119" t="inlineStr">
        <is>
          <t>작업</t>
        </is>
      </c>
    </row>
    <row r="411">
      <c r="B411" s="117" t="n">
        <v>495</v>
      </c>
      <c r="D411" s="119" t="inlineStr">
        <is>
          <t>Task area was not selected. Please select a task area.</t>
        </is>
      </c>
      <c r="E411" s="119" t="inlineStr">
        <is>
          <t>작업영역이 선택되지 않았습니다. 영역을 선택하세요.</t>
        </is>
      </c>
      <c r="F411" s="119" t="inlineStr">
        <is>
          <t>작업영역이 선택되지 않았습니다. 영역을 선택하세요.</t>
        </is>
      </c>
    </row>
    <row r="412">
      <c r="B412" s="117" t="n">
        <v>496</v>
      </c>
      <c r="C412" s="118" t="inlineStr">
        <is>
          <t>for help sheet</t>
        </is>
      </c>
      <c r="D412" s="119" t="inlineStr">
        <is>
          <t>Enter tasks, Update schedule</t>
        </is>
      </c>
      <c r="E412" s="119" t="inlineStr">
        <is>
          <t>작업입력, 스케줄 업데이트</t>
        </is>
      </c>
      <c r="F412" s="119" t="inlineStr">
        <is>
          <t>작업입력, 스케줄 업데이트</t>
        </is>
      </c>
    </row>
    <row r="413">
      <c r="B413" s="117" t="n">
        <v>497</v>
      </c>
      <c r="D413" s="119" t="inlineStr">
        <is>
          <t>Task Name</t>
        </is>
      </c>
      <c r="E413" s="119" t="inlineStr">
        <is>
          <t>작업명</t>
        </is>
      </c>
      <c r="F413" s="119" t="inlineStr">
        <is>
          <t>작업명</t>
        </is>
      </c>
    </row>
    <row r="414" ht="36" customHeight="1">
      <c r="B414" s="117" t="n">
        <v>498</v>
      </c>
      <c r="D414" s="119" t="inlineStr">
        <is>
          <t>Task name field.It's also referred to as "Work" or "Activity" or etc.</t>
        </is>
      </c>
      <c r="E414" s="11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1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17" t="n">
        <v>499</v>
      </c>
      <c r="D415" s="119" t="inlineStr">
        <is>
          <t>Task(Task name or Name) is missing.</t>
        </is>
      </c>
      <c r="E415" s="119" t="inlineStr">
        <is>
          <t>Task(작업명, 이름 등)는 반드시 입력되어야 합니다.</t>
        </is>
      </c>
      <c r="F415" s="119" t="inlineStr">
        <is>
          <t>Task(작업명, 이름 등)는 반드시 입력되어야 합니다.</t>
        </is>
      </c>
    </row>
    <row r="416" ht="24" customHeight="1">
      <c r="B416" s="117" t="n">
        <v>500</v>
      </c>
      <c r="D416" s="119" t="inlineStr">
        <is>
          <t>The "%Work Complete" column has been deleted. Please retry after changing the sheet to its previous state.</t>
        </is>
      </c>
      <c r="E416" s="119" t="inlineStr">
        <is>
          <t>실적진척률 열이 삭제되었습니다. 원래대로 복구한 후 작업하세요.</t>
        </is>
      </c>
      <c r="F416" s="119" t="inlineStr">
        <is>
          <t>실적진척률 열이 삭제되었습니다. 원래대로 복구한 후 작업하세요.</t>
        </is>
      </c>
    </row>
    <row r="417" ht="24" customHeight="1">
      <c r="B417" s="117" t="n">
        <v>501</v>
      </c>
      <c r="D417" s="119" t="inlineStr">
        <is>
          <t>The "%Work Complete" of row number {1} in the {2} sheet is not a number.</t>
        </is>
      </c>
      <c r="E417" s="119" t="inlineStr">
        <is>
          <t>{2} sheet의 {1}행의 실적진척률이 숫자가 아닙니다.</t>
        </is>
      </c>
      <c r="F417" s="119" t="inlineStr">
        <is>
          <t>{2} sheet의 {1}행의 실적진척률이 숫자가 아닙니다.</t>
        </is>
      </c>
    </row>
    <row r="418" ht="24" customHeight="1">
      <c r="B418" s="117" t="n">
        <v>502</v>
      </c>
      <c r="D418" s="119" t="inlineStr">
        <is>
          <t>The "Actual Finish Date" column has been deleted. Please retry after changing the sheet to its previous state.</t>
        </is>
      </c>
      <c r="E418" s="119" t="inlineStr">
        <is>
          <t>실제완료일 열이 삭제되었습니다. 원래대로 복구한 후 작업하세요.</t>
        </is>
      </c>
      <c r="F418" s="119" t="inlineStr">
        <is>
          <t>실제완료일 열이 삭제되었습니다. 원래대로 복구한 후 작업하세요.</t>
        </is>
      </c>
    </row>
    <row r="419" ht="24" customHeight="1">
      <c r="B419" s="117" t="n">
        <v>503</v>
      </c>
      <c r="D419" s="119" t="inlineStr">
        <is>
          <t>The "Actual Start Date" column has been deleted. Please retry after changing the sheet to its previous state.</t>
        </is>
      </c>
      <c r="E419" s="119" t="inlineStr">
        <is>
          <t>실제시작일 열이 삭제되었습니다. 원래대로 복구한 후 작업하세요.</t>
        </is>
      </c>
      <c r="F419" s="119" t="inlineStr">
        <is>
          <t>실제시작일 열이 삭제되었습니다. 원래대로 복구한 후 작업하세요.</t>
        </is>
      </c>
    </row>
    <row r="420" ht="24" customHeight="1">
      <c r="B420" s="117" t="n">
        <v>504</v>
      </c>
      <c r="D420" s="119" t="inlineStr">
        <is>
          <t>The "Actual Total Duration" column has been deleted. Please retry after changing the sheet to its previous state.</t>
        </is>
      </c>
      <c r="E420" s="119" t="inlineStr">
        <is>
          <t>실제총기간 열이 삭제되었습니다. 원래대로 복구한 후 작업하세요.</t>
        </is>
      </c>
      <c r="F420" s="119" t="inlineStr">
        <is>
          <t>실제총기간 열이 삭제되었습니다. 원래대로 복구한 후 작업하세요.</t>
        </is>
      </c>
    </row>
    <row r="421" ht="24" customHeight="1">
      <c r="B421" s="117" t="n">
        <v>505</v>
      </c>
      <c r="D421" s="119" t="inlineStr">
        <is>
          <t>The "Actual Total Work" column has been deleted. Please retry after changing the sheet to its previous state.</t>
        </is>
      </c>
      <c r="E421" s="119" t="inlineStr">
        <is>
          <t>실제총작업량 열이 삭제되었습니다. 원래대로 복구한 후 작업하세요.</t>
        </is>
      </c>
      <c r="F421" s="119" t="inlineStr">
        <is>
          <t>실제총작업량 열이 삭제되었습니다. 원래대로 복구한 후 작업하세요.</t>
        </is>
      </c>
    </row>
    <row r="422" ht="24" customHeight="1">
      <c r="B422" s="117" t="n">
        <v>506</v>
      </c>
      <c r="D422" s="119" t="inlineStr">
        <is>
          <t>The "Calendar" column has been deleted. Please retry after changing the sheet to its previous state.</t>
        </is>
      </c>
      <c r="E422" s="119" t="inlineStr">
        <is>
          <t>Calendar 열이 삭제되었습니다. 원래대로 복구한 후 작업하세요.</t>
        </is>
      </c>
      <c r="F422" s="119" t="inlineStr">
        <is>
          <t>Calendar 열이 삭제되었습니다. 원래대로 복구한 후 작업하세요.</t>
        </is>
      </c>
    </row>
    <row r="423" ht="24" customHeight="1">
      <c r="B423" s="117" t="n">
        <v>507</v>
      </c>
      <c r="D423" s="119" t="inlineStr">
        <is>
          <t>The "Deliverables" column has been deleted. Please retry after changing the sheet to its previous state.</t>
        </is>
      </c>
      <c r="E423" s="119" t="inlineStr">
        <is>
          <t>산출물 열이 삭제되었습니다. 원래대로 복구한 후 작업하세요.</t>
        </is>
      </c>
      <c r="F423" s="119" t="inlineStr">
        <is>
          <t>산출물 열이 삭제되었습니다. 원래대로 복구한 후 작업하세요.</t>
        </is>
      </c>
    </row>
    <row r="424" ht="24" customHeight="1">
      <c r="B424" s="117" t="n">
        <v>508</v>
      </c>
      <c r="D424" s="119" t="inlineStr">
        <is>
          <t>The "Finish Date" column has been deleted. Please retry after changing the sheet to its previous state.</t>
        </is>
      </c>
      <c r="E424" s="119" t="inlineStr">
        <is>
          <t>완료일 열이 삭제되었습니다. 원래대로 복구한 후 작업하세요.</t>
        </is>
      </c>
      <c r="F424" s="119" t="inlineStr">
        <is>
          <t>완료일 열이 삭제되었습니다. 원래대로 복구한 후 작업하세요.</t>
        </is>
      </c>
    </row>
    <row r="425" ht="24" customHeight="1">
      <c r="B425" s="117" t="n">
        <v>509</v>
      </c>
      <c r="D425" s="119" t="inlineStr">
        <is>
          <t>The "Note" column has been deleted. Please retry after changing the sheet to its previous state.</t>
        </is>
      </c>
      <c r="E425" s="119" t="inlineStr">
        <is>
          <t>비고 열이 삭제되었습니다. 원래대로 복구한 후 작업하세요.</t>
        </is>
      </c>
      <c r="F425" s="119" t="inlineStr">
        <is>
          <t>비고 열이 삭제되었습니다. 원래대로 복구한 후 작업하세요.</t>
        </is>
      </c>
    </row>
    <row r="426" ht="24" customHeight="1">
      <c r="B426" s="117" t="n">
        <v>510</v>
      </c>
      <c r="D426" s="119" t="inlineStr">
        <is>
          <t>The "Planned %Work Complete" column has been deleted. Please retry after changing the sheet to its previous state.</t>
        </is>
      </c>
      <c r="E426" s="119" t="inlineStr">
        <is>
          <t>계획진척률 열이 삭제되었습니다. 원래대로 복구한 후 작업하세요.</t>
        </is>
      </c>
      <c r="F426" s="119" t="inlineStr">
        <is>
          <t>계획진척률 열이 삭제되었습니다. 원래대로 복구한 후 작업하세요.</t>
        </is>
      </c>
    </row>
    <row r="427" ht="24" customHeight="1">
      <c r="B427" s="117" t="n">
        <v>511</v>
      </c>
      <c r="D427" s="119" t="inlineStr">
        <is>
          <t>The "Planned Duration" column has been deleted. Please retry after changing the sheet to its previous state.</t>
        </is>
      </c>
      <c r="E427" s="119" t="inlineStr">
        <is>
          <t>계획기간 열이 삭제되었습니다. 원래대로 복구한 후 작업하세요.</t>
        </is>
      </c>
      <c r="F427" s="119" t="inlineStr">
        <is>
          <t>계획기간 열이 삭제되었습니다. 원래대로 복구한 후 작업하세요.</t>
        </is>
      </c>
    </row>
    <row r="428" ht="24" customHeight="1">
      <c r="B428" s="117" t="n">
        <v>512</v>
      </c>
      <c r="D428" s="119" t="inlineStr">
        <is>
          <t>The "Planned Work" column has been deleted. Please retry after changing the sheet to its previous state.</t>
        </is>
      </c>
      <c r="E428" s="119" t="inlineStr">
        <is>
          <t>계획작업량 열이 삭제되었습니다. 원래대로 복구한 후 작업하세요.</t>
        </is>
      </c>
      <c r="F428" s="119" t="inlineStr">
        <is>
          <t>계획작업량 열이 삭제되었습니다. 원래대로 복구한 후 작업하세요.</t>
        </is>
      </c>
    </row>
    <row r="429" ht="24" customHeight="1">
      <c r="B429" s="117" t="n">
        <v>513</v>
      </c>
      <c r="D429" s="119" t="inlineStr">
        <is>
          <t>The "Resources" column has been deleted. Please retry after changing the sheet to its previous state.</t>
        </is>
      </c>
      <c r="E429" s="119" t="inlineStr">
        <is>
          <t>담당 열이 삭제되었습니다. 원래대로 복구한 후 작업하세요.</t>
        </is>
      </c>
      <c r="F429" s="119" t="inlineStr">
        <is>
          <t>담당 열이 삭제되었습니다. 원래대로 복구한 후 작업하세요.</t>
        </is>
      </c>
    </row>
    <row r="430" ht="24" customHeight="1">
      <c r="B430" s="117" t="n">
        <v>514</v>
      </c>
      <c r="D430" s="119" t="inlineStr">
        <is>
          <t>The "Start Date" column has been deleted. Please retry after changing the sheet to its previous state.</t>
        </is>
      </c>
      <c r="E430" s="119" t="inlineStr">
        <is>
          <t>시작일 열이 삭제되었습니다. 원래대로 복구한 후 작업하세요.</t>
        </is>
      </c>
      <c r="F430" s="119" t="inlineStr">
        <is>
          <t>시작일 열이 삭제되었습니다. 원래대로 복구한 후 작업하세요.</t>
        </is>
      </c>
    </row>
    <row r="431" ht="24" customHeight="1">
      <c r="B431" s="117" t="n">
        <v>515</v>
      </c>
      <c r="D431" s="119" t="inlineStr">
        <is>
          <t>The "Task" column has been deleted. Please retry after changing the sheet to its previous state.</t>
        </is>
      </c>
      <c r="E431" s="119" t="inlineStr">
        <is>
          <t>작업 열이 삭제되었습니다. 원래대로 복구한 후 작업하세요.</t>
        </is>
      </c>
      <c r="F431" s="119" t="inlineStr">
        <is>
          <t>작업 열이 삭제되었습니다. 원래대로 복구한 후 작업하세요.</t>
        </is>
      </c>
    </row>
    <row r="432" ht="24" customHeight="1">
      <c r="B432" s="117" t="n">
        <v>516</v>
      </c>
      <c r="D432" s="119" t="inlineStr">
        <is>
          <t>The "Total Duration" column has been deleted. Please retry after changing the sheet to its previous state.</t>
        </is>
      </c>
      <c r="E432" s="119" t="inlineStr">
        <is>
          <t>총기간 열이 삭제되었습니다. 원래대로 복구한 후 작업하세요.</t>
        </is>
      </c>
      <c r="F432" s="119" t="inlineStr">
        <is>
          <t>총기간 열이 삭제되었습니다. 원래대로 복구한 후 작업하세요.</t>
        </is>
      </c>
    </row>
    <row r="433" ht="24" customHeight="1">
      <c r="B433" s="117" t="n">
        <v>517</v>
      </c>
      <c r="D433" s="119" t="inlineStr">
        <is>
          <t>The "Total Work" column has been deleted. Please retry after changing the sheet to its previous state.</t>
        </is>
      </c>
      <c r="E433" s="119" t="inlineStr">
        <is>
          <t>총작업량 열이 삭제되었습니다. 원래대로 복구한 후 작업하세요.</t>
        </is>
      </c>
      <c r="F433" s="119" t="inlineStr">
        <is>
          <t>총작업량 열이 삭제되었습니다. 원래대로 복구한 후 작업하세요.</t>
        </is>
      </c>
    </row>
    <row r="434" ht="24" customHeight="1">
      <c r="B434" s="117" t="n">
        <v>518</v>
      </c>
      <c r="D434" s="119" t="inlineStr">
        <is>
          <t>The "WBS Level" column has been deleted. Please retry after changing the sheet to its previous state.</t>
        </is>
      </c>
      <c r="E434" s="119" t="inlineStr">
        <is>
          <t>WBS Level 열이 삭제되었습니다. 원래대로 복구한 후 작업하세요.</t>
        </is>
      </c>
      <c r="F434" s="119" t="inlineStr">
        <is>
          <t>WBS Level 열이 삭제되었습니다. 원래대로 복구한 후 작업하세요.</t>
        </is>
      </c>
    </row>
    <row r="435" ht="24" customHeight="1">
      <c r="B435" s="117" t="n">
        <v>519</v>
      </c>
      <c r="D435" s="119" t="inlineStr">
        <is>
          <t>The "WBS" column has been deleted. Please retry after changing the sheet to its previous state.</t>
        </is>
      </c>
      <c r="E435" s="119" t="inlineStr">
        <is>
          <t>WBS 열이 삭제되었습니다. 원래대로 복구한 후 작업하세요.</t>
        </is>
      </c>
      <c r="F435" s="119" t="inlineStr">
        <is>
          <t>WBS 열이 삭제되었습니다. 원래대로 복구한 후 작업하세요.</t>
        </is>
      </c>
    </row>
    <row r="436" ht="24" customHeight="1">
      <c r="B436" s="117" t="n">
        <v>520</v>
      </c>
      <c r="D436" s="119" t="inlineStr">
        <is>
          <t>The "Resource Count" column has been deleted. Please retry after changing the sheet to its previous state.</t>
        </is>
      </c>
      <c r="E436" s="119" t="inlineStr">
        <is>
          <t>자원수 열이 삭제되었습니다. 원래대로 복구한 후 작업하세요.</t>
        </is>
      </c>
      <c r="F436" s="119" t="inlineStr">
        <is>
          <t>자원수 열이 삭제되었습니다. 원래대로 복구한 후 작업하세요.</t>
        </is>
      </c>
    </row>
    <row r="437" ht="24" customHeight="1">
      <c r="B437" s="117" t="n">
        <v>521</v>
      </c>
      <c r="D437" s="119" t="inlineStr">
        <is>
          <t>The {} sheet does not exist. Please check that you changed or deleted the sheet.</t>
        </is>
      </c>
      <c r="E437" s="119" t="inlineStr">
        <is>
          <t>{} sheet가 존재하지 않습니다. 이름을 변경하거나 삭제했는지 확인하세요.</t>
        </is>
      </c>
      <c r="F437" s="119" t="inlineStr">
        <is>
          <t>{} sheet가 존재하지 않습니다. 이름을 변경하거나 삭제했는지 확인하세요.</t>
        </is>
      </c>
    </row>
    <row r="438" ht="24" customHeight="1">
      <c r="B438" s="117" t="n">
        <v>522</v>
      </c>
      <c r="D438" s="119" t="inlineStr">
        <is>
          <t>The {} sheet does not exist. Please check that you have changed or deleted the sheet.</t>
        </is>
      </c>
      <c r="E438" s="119" t="inlineStr">
        <is>
          <t>{} sheet가 존재하지 않습니다. 이름을 변경하거나 삭제했는지 확인하세요.</t>
        </is>
      </c>
      <c r="F438" s="119" t="inlineStr">
        <is>
          <t>{} sheet가 존재하지 않습니다. 이름을 변경하거나 삭제했는지 확인하세요.</t>
        </is>
      </c>
    </row>
    <row r="439" ht="24" customHeight="1">
      <c r="B439" s="117" t="n">
        <v>523</v>
      </c>
      <c r="D439" s="119" t="inlineStr">
        <is>
          <t>The actual finish date format of row number {1} in the {2} sheet is invalid.</t>
        </is>
      </c>
      <c r="E439" s="119" t="inlineStr">
        <is>
          <t>{2} sheet의 {1}행의 실제완료일이 날짜형식이 아닙니다. 정확한 날짜형식으로 입력하세요.</t>
        </is>
      </c>
      <c r="F439" s="119" t="inlineStr">
        <is>
          <t>{2} sheet의 {1}행의 실제완료일이 날짜형식이 아닙니다. 정확한 날짜형식으로 입력하세요.</t>
        </is>
      </c>
    </row>
    <row r="440" ht="24" customHeight="1">
      <c r="B440" s="117" t="n">
        <v>524</v>
      </c>
      <c r="D440" s="119" t="inlineStr">
        <is>
          <t>The actual finish date of the row number {1} in the {2} sheet was entered, but the actual start date is empty.</t>
        </is>
      </c>
      <c r="E440" s="119" t="inlineStr">
        <is>
          <t>{2} sheet의 {1}행의 실제시작일이 비어있고 실제완료일만 입력되어 있습니다.</t>
        </is>
      </c>
      <c r="F440" s="119" t="inlineStr">
        <is>
          <t>{2} sheet의 {1}행의 실제시작일이 비어있고 실제완료일만 입력되어 있습니다.</t>
        </is>
      </c>
    </row>
    <row r="441" ht="24" customHeight="1">
      <c r="B441" s="117" t="n">
        <v>525</v>
      </c>
      <c r="D441" s="119" t="inlineStr">
        <is>
          <t>The actual start date format of row number {1} in the {2} sheet is invalid.</t>
        </is>
      </c>
      <c r="E441" s="119" t="inlineStr">
        <is>
          <t>{2} sheet의 {1}행의 실제시작일이 날짜형식이 아닙니다. 정확한 날짜형식으로 입력하세요.</t>
        </is>
      </c>
      <c r="F441" s="119" t="inlineStr">
        <is>
          <t>{2} sheet의 {1}행의 실제시작일이 날짜형식이 아닙니다. 정확한 날짜형식으로 입력하세요.</t>
        </is>
      </c>
    </row>
    <row r="442" ht="24" customHeight="1">
      <c r="B442" s="117" t="n">
        <v>526</v>
      </c>
      <c r="D442" s="119" t="inlineStr">
        <is>
          <t>The actual start date of row number {1} in the {2} sheet is later than the actual finish date.</t>
        </is>
      </c>
      <c r="E442" s="119" t="inlineStr">
        <is>
          <t>{2} sheet의 {1}행의 실제시작일이 실제완료일보다 큽니다.</t>
        </is>
      </c>
      <c r="F442" s="119" t="inlineStr">
        <is>
          <t>{2} sheet의 {1}행의 실제시작일이 실제완료일보다 큽니다.</t>
        </is>
      </c>
    </row>
    <row r="443" ht="24" customHeight="1">
      <c r="B443" s="117" t="n">
        <v>527</v>
      </c>
      <c r="D443" s="119" t="inlineStr">
        <is>
          <t>The actual start date of row number {1} in the {2} sheet is out of the project duration.</t>
        </is>
      </c>
      <c r="E443" s="119" t="inlineStr">
        <is>
          <t>{2} sheet의 {1}행의 실제 시작일이 프로젝트 기간을 벗어났습니다.</t>
        </is>
      </c>
      <c r="F443" s="119" t="inlineStr">
        <is>
          <t>{2} sheet의 {1}행의 실제 시작일이 프로젝트 기간을 벗어났습니다.</t>
        </is>
      </c>
    </row>
    <row r="444" ht="24" customFormat="1" customHeight="1" s="120">
      <c r="A444" s="116" t="n"/>
      <c r="B444" s="117" t="n">
        <v>528</v>
      </c>
      <c r="C444" s="118" t="n"/>
      <c r="D444" s="119" t="inlineStr">
        <is>
          <t>The actual start or finish date of row number {1} in the {2} sheet is out of the project duration.</t>
        </is>
      </c>
      <c r="E444" s="119" t="inlineStr">
        <is>
          <t>{2} sheet의 {1}행의 실젝 시작일 또는 완료일이 프로젝트 기간을 벗어났습니다.</t>
        </is>
      </c>
      <c r="F444" s="119" t="inlineStr">
        <is>
          <t>{2} sheet의 {1}행의 실젝 시작일 또는 완료일이 프로젝트 기간을 벗어났습니다.</t>
        </is>
      </c>
      <c r="G444" s="116" t="n"/>
      <c r="H444" s="116" t="n"/>
      <c r="I444" s="116" t="n"/>
      <c r="J444" s="116" t="n"/>
      <c r="K444" s="116" t="n"/>
      <c r="L444" s="116" t="n"/>
      <c r="M444" s="116" t="n"/>
      <c r="N444" s="116" t="n"/>
      <c r="O444" s="116" t="n"/>
      <c r="P444" s="116" t="n"/>
      <c r="Q444" s="116" t="n"/>
      <c r="R444" s="116" t="n"/>
      <c r="S444" s="116" t="n"/>
      <c r="T444" s="116" t="n"/>
      <c r="U444" s="116" t="n"/>
      <c r="V444" s="116" t="n"/>
      <c r="W444" s="116" t="n"/>
      <c r="X444" s="116" t="n"/>
      <c r="Y444" s="116" t="n"/>
      <c r="Z444" s="116" t="n"/>
      <c r="AA444" s="116" t="n"/>
    </row>
    <row r="445" customFormat="1" s="120">
      <c r="A445" s="116" t="n"/>
      <c r="B445" s="117" t="n">
        <v>529</v>
      </c>
      <c r="C445" s="118" t="n"/>
      <c r="D445" s="119" t="inlineStr">
        <is>
          <t>The count of level</t>
        </is>
      </c>
      <c r="E445" s="119" t="inlineStr">
        <is>
          <t>Level의 갯수</t>
        </is>
      </c>
      <c r="F445" s="119" t="inlineStr">
        <is>
          <t>Level의 갯수</t>
        </is>
      </c>
      <c r="G445" s="116" t="n"/>
      <c r="H445" s="116" t="n"/>
      <c r="I445" s="116" t="n"/>
      <c r="J445" s="116" t="n"/>
      <c r="K445" s="116" t="n"/>
      <c r="L445" s="116" t="n"/>
      <c r="M445" s="116" t="n"/>
      <c r="N445" s="116" t="n"/>
      <c r="O445" s="116" t="n"/>
      <c r="P445" s="116" t="n"/>
      <c r="Q445" s="116" t="n"/>
      <c r="R445" s="116" t="n"/>
      <c r="S445" s="116" t="n"/>
      <c r="T445" s="116" t="n"/>
      <c r="U445" s="116" t="n"/>
      <c r="V445" s="116" t="n"/>
      <c r="W445" s="116" t="n"/>
      <c r="X445" s="116" t="n"/>
      <c r="Y445" s="116" t="n"/>
      <c r="Z445" s="116" t="n"/>
      <c r="AA445" s="116" t="n"/>
    </row>
    <row r="446" ht="36" customFormat="1" customHeight="1" s="121">
      <c r="A446" s="116" t="n"/>
      <c r="B446" s="117" t="n">
        <v>530</v>
      </c>
      <c r="C446" s="118" t="n"/>
      <c r="D446" s="119" t="inlineStr">
        <is>
          <t>The date field of row number {1} in the {2} sheet was entered, but the task field is empty.\nEnter a value in the task field or clear the date field.</t>
        </is>
      </c>
      <c r="E446" s="119" t="inlineStr">
        <is>
          <t>{2} sheet의 {1}행의 날짜는 입력되었는데 작업필드가 비어있습니다.\n작업필드의 값을 채우거나 날짜를 지우세요.</t>
        </is>
      </c>
      <c r="F446" s="119" t="inlineStr">
        <is>
          <t>{2} sheet의 {1}행의 날짜는 입력되었는데 작업필드가 비어있습니다.\n작업필드의 값을 채우거나 날짜를 지우세요.</t>
        </is>
      </c>
      <c r="G446" s="116" t="n"/>
      <c r="H446" s="116" t="n"/>
      <c r="I446" s="116" t="n"/>
      <c r="J446" s="116" t="n"/>
      <c r="K446" s="116" t="n"/>
      <c r="L446" s="116" t="n"/>
      <c r="M446" s="116" t="n"/>
      <c r="N446" s="116" t="n"/>
      <c r="O446" s="116" t="n"/>
      <c r="P446" s="116" t="n"/>
      <c r="Q446" s="116" t="n"/>
      <c r="R446" s="116" t="n"/>
      <c r="S446" s="116" t="n"/>
      <c r="T446" s="116" t="n"/>
      <c r="U446" s="116" t="n"/>
      <c r="V446" s="116" t="n"/>
      <c r="W446" s="116" t="n"/>
      <c r="X446" s="116" t="n"/>
      <c r="Y446" s="116" t="n"/>
      <c r="Z446" s="116" t="n"/>
      <c r="AA446" s="116" t="n"/>
    </row>
    <row r="447" customFormat="1" s="121">
      <c r="A447" s="116" t="n"/>
      <c r="B447" s="117" t="n">
        <v>531</v>
      </c>
      <c r="C447" s="118" t="n"/>
      <c r="D447" s="119" t="inlineStr">
        <is>
          <t>The deliverables name is empty.</t>
        </is>
      </c>
      <c r="E447" s="119" t="inlineStr">
        <is>
          <t>산출물명이 비어있습니다.</t>
        </is>
      </c>
      <c r="F447" s="119" t="inlineStr">
        <is>
          <t>산출물명이 비어있습니다.</t>
        </is>
      </c>
      <c r="G447" s="116" t="n"/>
      <c r="H447" s="116" t="n"/>
      <c r="I447" s="116" t="n"/>
      <c r="J447" s="116" t="n"/>
      <c r="K447" s="116" t="n"/>
      <c r="L447" s="116" t="n"/>
      <c r="M447" s="116" t="n"/>
      <c r="N447" s="116" t="n"/>
      <c r="O447" s="116" t="n"/>
      <c r="P447" s="116" t="n"/>
      <c r="Q447" s="116" t="n"/>
      <c r="R447" s="116" t="n"/>
      <c r="S447" s="116" t="n"/>
      <c r="T447" s="116" t="n"/>
      <c r="U447" s="116" t="n"/>
      <c r="V447" s="116" t="n"/>
      <c r="W447" s="116" t="n"/>
      <c r="X447" s="116" t="n"/>
      <c r="Y447" s="116" t="n"/>
      <c r="Z447" s="116" t="n"/>
      <c r="AA447" s="116" t="n"/>
    </row>
    <row r="448" ht="36" customFormat="1" customHeight="1" s="121">
      <c r="A448" s="116" t="n"/>
      <c r="B448" s="117" t="n">
        <v>532</v>
      </c>
      <c r="C448" s="118" t="n"/>
      <c r="D448" s="119" t="inlineStr">
        <is>
          <t>The earliest start date({1}) of the tasks is earlier than the start date({2}) of the project.\n\nIn this case, there may be problems with resource calculations. Please change the start date to valid date.</t>
        </is>
      </c>
      <c r="E448" s="11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1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16" t="n"/>
      <c r="H448" s="116" t="n"/>
      <c r="I448" s="116" t="n"/>
      <c r="J448" s="116" t="n"/>
      <c r="K448" s="116" t="n"/>
      <c r="L448" s="116" t="n"/>
      <c r="M448" s="116" t="n"/>
      <c r="N448" s="116" t="n"/>
      <c r="O448" s="116" t="n"/>
      <c r="P448" s="116" t="n"/>
      <c r="Q448" s="116" t="n"/>
      <c r="R448" s="116" t="n"/>
      <c r="S448" s="116" t="n"/>
      <c r="T448" s="116" t="n"/>
      <c r="U448" s="116" t="n"/>
      <c r="V448" s="116" t="n"/>
      <c r="W448" s="116" t="n"/>
      <c r="X448" s="116" t="n"/>
      <c r="Y448" s="116" t="n"/>
      <c r="Z448" s="116" t="n"/>
      <c r="AA448" s="116" t="n"/>
    </row>
    <row r="449" ht="24" customFormat="1" customHeight="1" s="121">
      <c r="A449" s="116" t="n"/>
      <c r="B449" s="117" t="n">
        <v>533</v>
      </c>
      <c r="C449" s="118" t="n"/>
      <c r="D449" s="119" t="inlineStr">
        <is>
          <t>The finish date format of row number {1} in the {2} sheet is invalid.</t>
        </is>
      </c>
      <c r="E449" s="119" t="inlineStr">
        <is>
          <t>{2} sheet의 {1}행의 완료일이 날짜형식이 아닙니다. 정확한 날짜형식으로 입력하세요.</t>
        </is>
      </c>
      <c r="F449" s="119" t="inlineStr">
        <is>
          <t>{2} sheet의 {1}행의 완료일이 날짜형식이 아닙니다. 정확한 날짜형식으로 입력하세요.</t>
        </is>
      </c>
      <c r="G449" s="116" t="n"/>
      <c r="H449" s="116" t="n"/>
      <c r="I449" s="116" t="n"/>
      <c r="J449" s="116" t="n"/>
      <c r="K449" s="116" t="n"/>
      <c r="L449" s="116" t="n"/>
      <c r="M449" s="116" t="n"/>
      <c r="N449" s="116" t="n"/>
      <c r="O449" s="116" t="n"/>
      <c r="P449" s="116" t="n"/>
      <c r="Q449" s="116" t="n"/>
      <c r="R449" s="116" t="n"/>
      <c r="S449" s="116" t="n"/>
      <c r="T449" s="116" t="n"/>
      <c r="U449" s="116" t="n"/>
      <c r="V449" s="116" t="n"/>
      <c r="W449" s="116" t="n"/>
      <c r="X449" s="116" t="n"/>
      <c r="Y449" s="116" t="n"/>
      <c r="Z449" s="116" t="n"/>
      <c r="AA449" s="116" t="n"/>
    </row>
    <row r="450" ht="24" customFormat="1" customHeight="1" s="121">
      <c r="A450" s="116" t="n"/>
      <c r="B450" s="117" t="n">
        <v>534</v>
      </c>
      <c r="C450" s="118" t="n"/>
      <c r="D450" s="119" t="inlineStr">
        <is>
          <t>The first column of Gantt area has been deleted. Please retry after changing the sheet to its previous state.</t>
        </is>
      </c>
      <c r="E450" s="119" t="inlineStr">
        <is>
          <t>Gantt영역의 첫번째 열이 삭제되었습니다. 원래대로 복구한 후 작업하세요.</t>
        </is>
      </c>
      <c r="F450" s="119" t="inlineStr">
        <is>
          <t>Gantt영역의 첫번째 열이 삭제되었습니다. 원래대로 복구한 후 작업하세요.</t>
        </is>
      </c>
      <c r="G450" s="116" t="n"/>
      <c r="H450" s="116" t="n"/>
      <c r="I450" s="116" t="n"/>
      <c r="J450" s="116" t="n"/>
      <c r="K450" s="116" t="n"/>
      <c r="L450" s="116" t="n"/>
      <c r="M450" s="116" t="n"/>
      <c r="N450" s="116" t="n"/>
      <c r="O450" s="116" t="n"/>
      <c r="P450" s="116" t="n"/>
      <c r="Q450" s="116" t="n"/>
      <c r="R450" s="116" t="n"/>
      <c r="S450" s="116" t="n"/>
      <c r="T450" s="116" t="n"/>
      <c r="U450" s="116" t="n"/>
      <c r="V450" s="116" t="n"/>
      <c r="W450" s="116" t="n"/>
      <c r="X450" s="116" t="n"/>
      <c r="Y450" s="116" t="n"/>
      <c r="Z450" s="116" t="n"/>
      <c r="AA450" s="116" t="n"/>
    </row>
    <row r="451" ht="24" customFormat="1" customHeight="1" s="121">
      <c r="A451" s="116" t="n"/>
      <c r="B451" s="117" t="n">
        <v>535</v>
      </c>
      <c r="C451" s="118" t="n"/>
      <c r="D451" s="119" t="inlineStr">
        <is>
          <t>The following file formats are not supported. You can import files with version 0.9.7 or higher than 0.9.7.</t>
        </is>
      </c>
      <c r="E451" s="119" t="inlineStr">
        <is>
          <t>다음 파일은 지원하지 않는 형식입니다. XLGantt Version 0.9.7 이상 버전만 지원합니다.</t>
        </is>
      </c>
      <c r="F451" s="119" t="inlineStr">
        <is>
          <t>다음 파일은 지원하지 않는 형식입니다. XLGantt Version 0.9.7 이상 버전만 지원합니다.</t>
        </is>
      </c>
      <c r="G451" s="116" t="n"/>
      <c r="H451" s="116" t="n"/>
      <c r="I451" s="116" t="n"/>
      <c r="J451" s="116" t="n"/>
      <c r="K451" s="116" t="n"/>
      <c r="L451" s="116" t="n"/>
      <c r="M451" s="116" t="n"/>
      <c r="N451" s="116" t="n"/>
      <c r="O451" s="116" t="n"/>
      <c r="P451" s="116" t="n"/>
      <c r="Q451" s="116" t="n"/>
      <c r="R451" s="116" t="n"/>
      <c r="S451" s="116" t="n"/>
      <c r="T451" s="116" t="n"/>
      <c r="U451" s="116" t="n"/>
      <c r="V451" s="116" t="n"/>
      <c r="W451" s="116" t="n"/>
      <c r="X451" s="116" t="n"/>
      <c r="Y451" s="116" t="n"/>
      <c r="Z451" s="116" t="n"/>
      <c r="AA451" s="116" t="n"/>
    </row>
    <row r="452" ht="24" customFormat="1" customHeight="1" s="121">
      <c r="A452" s="116" t="n"/>
      <c r="B452" s="117" t="n">
        <v>536</v>
      </c>
      <c r="C452" s="118" t="n"/>
      <c r="D452" s="119" t="inlineStr">
        <is>
          <t>The following file formats are not supported. You can import the files if the version is 0.9.7 or higher than 0.9.7.</t>
        </is>
      </c>
      <c r="E452" s="119" t="inlineStr">
        <is>
          <t>다음의 XLGantt파일은 지원하지 않는 버전입니다. Version 0.9.7 이상 버전만 지원합니다.</t>
        </is>
      </c>
      <c r="F452" s="119" t="inlineStr">
        <is>
          <t>다음의 XLGantt파일은 지원하지 않는 버전입니다. Version 0.9.7 이상 버전만 지원합니다.</t>
        </is>
      </c>
      <c r="G452" s="116" t="n"/>
      <c r="H452" s="116" t="n"/>
      <c r="I452" s="116" t="n"/>
      <c r="J452" s="116" t="n"/>
      <c r="K452" s="116" t="n"/>
      <c r="L452" s="116" t="n"/>
      <c r="M452" s="116" t="n"/>
      <c r="N452" s="116" t="n"/>
      <c r="O452" s="116" t="n"/>
      <c r="P452" s="116" t="n"/>
      <c r="Q452" s="116" t="n"/>
      <c r="R452" s="116" t="n"/>
      <c r="S452" s="116" t="n"/>
      <c r="T452" s="116" t="n"/>
      <c r="U452" s="116" t="n"/>
      <c r="V452" s="116" t="n"/>
      <c r="W452" s="116" t="n"/>
      <c r="X452" s="116" t="n"/>
      <c r="Y452" s="116" t="n"/>
      <c r="Z452" s="116" t="n"/>
      <c r="AA452" s="116" t="n"/>
    </row>
    <row r="453" customFormat="1" s="121">
      <c r="A453" s="116" t="n"/>
      <c r="B453" s="117" t="n">
        <v>537</v>
      </c>
      <c r="C453" s="118" t="n"/>
      <c r="D453" s="119" t="inlineStr">
        <is>
          <t>The following files have been successfully imported.</t>
        </is>
      </c>
      <c r="E453" s="119" t="inlineStr">
        <is>
          <t>다음 파일을 성공적으로 가져왔습니다.</t>
        </is>
      </c>
      <c r="F453" s="119" t="inlineStr">
        <is>
          <t>다음 파일을 성공적으로 가져왔습니다.</t>
        </is>
      </c>
      <c r="G453" s="116" t="n"/>
      <c r="H453" s="116" t="n"/>
      <c r="I453" s="116" t="n"/>
      <c r="J453" s="116" t="n"/>
      <c r="K453" s="116" t="n"/>
      <c r="L453" s="116" t="n"/>
      <c r="M453" s="116" t="n"/>
      <c r="N453" s="116" t="n"/>
      <c r="O453" s="116" t="n"/>
      <c r="P453" s="116" t="n"/>
      <c r="Q453" s="116" t="n"/>
      <c r="R453" s="116" t="n"/>
      <c r="S453" s="116" t="n"/>
      <c r="T453" s="116" t="n"/>
      <c r="U453" s="116" t="n"/>
      <c r="V453" s="116" t="n"/>
      <c r="W453" s="116" t="n"/>
      <c r="X453" s="116" t="n"/>
      <c r="Y453" s="116" t="n"/>
      <c r="Z453" s="116" t="n"/>
      <c r="AA453" s="116" t="n"/>
    </row>
    <row r="454" customFormat="1" s="121">
      <c r="A454" s="116" t="n"/>
      <c r="B454" s="117" t="n">
        <v>538</v>
      </c>
      <c r="C454" s="118" t="n"/>
      <c r="D454" s="119" t="inlineStr">
        <is>
          <t>The following folder does not exist.</t>
        </is>
      </c>
      <c r="E454" s="119" t="inlineStr">
        <is>
          <t>다음의 폴더가 존재하지 않습니다.</t>
        </is>
      </c>
      <c r="F454" s="119" t="inlineStr">
        <is>
          <t>다음의 폴더가 존재하지 않습니다.</t>
        </is>
      </c>
      <c r="G454" s="116" t="n"/>
      <c r="H454" s="116" t="n"/>
      <c r="I454" s="116" t="n"/>
      <c r="J454" s="116" t="n"/>
      <c r="K454" s="116" t="n"/>
      <c r="L454" s="116" t="n"/>
      <c r="M454" s="116" t="n"/>
      <c r="N454" s="116" t="n"/>
      <c r="O454" s="116" t="n"/>
      <c r="P454" s="116" t="n"/>
      <c r="Q454" s="116" t="n"/>
      <c r="R454" s="116" t="n"/>
      <c r="S454" s="116" t="n"/>
      <c r="T454" s="116" t="n"/>
      <c r="U454" s="116" t="n"/>
      <c r="V454" s="116" t="n"/>
      <c r="W454" s="116" t="n"/>
      <c r="X454" s="116" t="n"/>
      <c r="Y454" s="116" t="n"/>
      <c r="Z454" s="116" t="n"/>
      <c r="AA454" s="116" t="n"/>
    </row>
    <row r="455" ht="24" customFormat="1" customHeight="1" s="121">
      <c r="A455" s="116" t="n"/>
      <c r="B455" s="117" t="n">
        <v>539</v>
      </c>
      <c r="C455" s="118" t="n"/>
      <c r="D455" s="119" t="inlineStr">
        <is>
          <t>The format of "Calculation Base Date of Planned %Work Complete" is invalid.</t>
        </is>
      </c>
      <c r="E455" s="119" t="inlineStr">
        <is>
          <t>계획진척률 계산 기준일자의 날짜형식이 잘못되었습니다.</t>
        </is>
      </c>
      <c r="F455" s="119" t="inlineStr">
        <is>
          <t>계획진척률 계산 기준일자의 날짜형식이 잘못되었습니다.</t>
        </is>
      </c>
      <c r="G455" s="116" t="n"/>
      <c r="H455" s="116" t="n"/>
      <c r="I455" s="116" t="n"/>
      <c r="J455" s="116" t="n"/>
      <c r="K455" s="116" t="n"/>
      <c r="L455" s="116" t="n"/>
      <c r="M455" s="116" t="n"/>
      <c r="N455" s="116" t="n"/>
      <c r="O455" s="116" t="n"/>
      <c r="P455" s="116" t="n"/>
      <c r="Q455" s="116" t="n"/>
      <c r="R455" s="116" t="n"/>
      <c r="S455" s="116" t="n"/>
      <c r="T455" s="116" t="n"/>
      <c r="U455" s="116" t="n"/>
      <c r="V455" s="116" t="n"/>
      <c r="W455" s="116" t="n"/>
      <c r="X455" s="116" t="n"/>
      <c r="Y455" s="116" t="n"/>
      <c r="Z455" s="116" t="n"/>
      <c r="AA455" s="116" t="n"/>
    </row>
    <row r="456" customFormat="1" s="121">
      <c r="A456" s="116" t="n"/>
      <c r="B456" s="117" t="n">
        <v>540</v>
      </c>
      <c r="C456" s="118" t="n"/>
      <c r="D456" s="119" t="inlineStr">
        <is>
          <t>The format of the project finish date is invalid.</t>
        </is>
      </c>
      <c r="E456" s="119" t="inlineStr">
        <is>
          <t>프로젝트 완료일의 날짜형식이 잘못되었습니다.</t>
        </is>
      </c>
      <c r="F456" s="119" t="inlineStr">
        <is>
          <t>프로젝트 완료일의 날짜형식이 잘못되었습니다.</t>
        </is>
      </c>
      <c r="G456" s="116" t="n"/>
      <c r="H456" s="116" t="n"/>
      <c r="I456" s="116" t="n"/>
      <c r="J456" s="116" t="n"/>
      <c r="K456" s="116" t="n"/>
      <c r="L456" s="116" t="n"/>
      <c r="M456" s="116" t="n"/>
      <c r="N456" s="116" t="n"/>
      <c r="O456" s="116" t="n"/>
      <c r="P456" s="116" t="n"/>
      <c r="Q456" s="116" t="n"/>
      <c r="R456" s="116" t="n"/>
      <c r="S456" s="116" t="n"/>
      <c r="T456" s="116" t="n"/>
      <c r="U456" s="116" t="n"/>
      <c r="V456" s="116" t="n"/>
      <c r="W456" s="116" t="n"/>
      <c r="X456" s="116" t="n"/>
      <c r="Y456" s="116" t="n"/>
      <c r="Z456" s="116" t="n"/>
      <c r="AA456" s="116" t="n"/>
    </row>
    <row r="457">
      <c r="B457" s="117" t="n">
        <v>541</v>
      </c>
      <c r="D457" s="119" t="inlineStr">
        <is>
          <t>The format of the project start date is invalid.</t>
        </is>
      </c>
      <c r="E457" s="119" t="inlineStr">
        <is>
          <t>프로젝트 시작일의 날짜형식이 잘못되었습니다.</t>
        </is>
      </c>
      <c r="F457" s="119" t="inlineStr">
        <is>
          <t>프로젝트 시작일의 날짜형식이 잘못되었습니다.</t>
        </is>
      </c>
    </row>
    <row r="458">
      <c r="B458" s="117" t="n">
        <v>542</v>
      </c>
      <c r="D458" s="119" t="inlineStr">
        <is>
          <t>The job was not completed successfully.</t>
        </is>
      </c>
      <c r="E458" s="119" t="inlineStr">
        <is>
          <t>작업이 정상적으로 완료되지 않았습니다.</t>
        </is>
      </c>
      <c r="F458" s="119" t="inlineStr">
        <is>
          <t>작업이 정상적으로 완료되지 않았습니다.</t>
        </is>
      </c>
    </row>
    <row r="459" ht="24" customHeight="1">
      <c r="B459" s="117" t="n">
        <v>543</v>
      </c>
      <c r="D459" s="119" t="inlineStr">
        <is>
          <t>The kind of period is invalid. You must enter one of the M(Months) or W(Weeks)</t>
        </is>
      </c>
      <c r="E459" s="119" t="inlineStr">
        <is>
          <t>기간의 종류가 잘못되었습니다. W(주), M(월) 중에 하나를 입력해야 합니다</t>
        </is>
      </c>
      <c r="F459" s="119" t="inlineStr">
        <is>
          <t>기간의 종류가 잘못되었습니다. W(주), M(월) 중에 하나를 입력해야 합니다</t>
        </is>
      </c>
    </row>
    <row r="460" ht="48" customHeight="1">
      <c r="A460" s="120" t="n"/>
      <c r="B460" s="117" t="n">
        <v>544</v>
      </c>
      <c r="C460" s="126" t="inlineStr">
        <is>
          <t>manual input</t>
        </is>
      </c>
      <c r="D460" s="120" t="inlineStr">
        <is>
          <t>The language setting has been changed.\nPress the OK button to start translation. \nIt may take a long time to translate.\nHowever, translation of Ribbon menu and Popup menu takes effect after reopening this XLGantt file.</t>
        </is>
      </c>
      <c r="E460" s="12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2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17" t="n">
        <v>545</v>
      </c>
      <c r="D461" s="119" t="inlineStr">
        <is>
          <t>The latest finish date({1}) of the tasks is later than the finish date({2}) of the project.\n\nIn this case, there may be problems with resource calculations. Please change the finish date to valid date.</t>
        </is>
      </c>
      <c r="E461" s="11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1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17" t="n">
        <v>546</v>
      </c>
      <c r="D462" s="119" t="inlineStr">
        <is>
          <t>The level of row {} is invalid.</t>
        </is>
      </c>
      <c r="E462" s="119" t="inlineStr">
        <is>
          <t>{} 행의 Level이 맞지 않습니다. Level을 1보다 크게 증가했는지 확인하세요.</t>
        </is>
      </c>
      <c r="F462" s="119" t="inlineStr">
        <is>
          <t>{} 행의 Level이 맞지 않습니다. Level을 1보다 크게 증가했는지 확인하세요.</t>
        </is>
      </c>
    </row>
    <row r="463">
      <c r="B463" s="117" t="n">
        <v>547</v>
      </c>
      <c r="D463" s="119" t="inlineStr">
        <is>
          <t>The number of Level must be less than or equal to {}</t>
        </is>
      </c>
      <c r="E463" s="119" t="inlineStr">
        <is>
          <t>Level의 갯수는 {}개까지만 가능합니다.</t>
        </is>
      </c>
      <c r="F463" s="119" t="inlineStr">
        <is>
          <t>Level의 갯수는 {}개까지만 가능합니다.</t>
        </is>
      </c>
    </row>
    <row r="464">
      <c r="B464" s="117" t="n">
        <v>548</v>
      </c>
      <c r="D464" s="119" t="inlineStr">
        <is>
          <t>The number of Level must be positive integer.</t>
        </is>
      </c>
      <c r="E464" s="119" t="inlineStr">
        <is>
          <t>Level의 갯수는 양의 정수만 가능합니다.</t>
        </is>
      </c>
      <c r="F464" s="119" t="inlineStr">
        <is>
          <t>Level의 갯수는 양의 정수만 가능합니다.</t>
        </is>
      </c>
    </row>
    <row r="465" ht="24" customHeight="1">
      <c r="B465" s="117" t="n">
        <v>549</v>
      </c>
      <c r="D465" s="119" t="inlineStr">
        <is>
          <t>The number of task columns is not 10. Please retry after changing the sheet to its previous state.</t>
        </is>
      </c>
      <c r="E465" s="119" t="inlineStr">
        <is>
          <t>Task열의 갯수가 10개가 아닙니다. 원래대로 복구한 후 작업하세요.</t>
        </is>
      </c>
      <c r="F465" s="119" t="inlineStr">
        <is>
          <t>Task열의 갯수가 10개가 아닙니다. 원래대로 복구한 후 작업하세요.</t>
        </is>
      </c>
    </row>
    <row r="466">
      <c r="B466" s="117" t="n">
        <v>550</v>
      </c>
      <c r="D466" s="119" t="inlineStr">
        <is>
          <t>The process was terminated due to the {} sheet error.</t>
        </is>
      </c>
      <c r="E466" s="119" t="inlineStr">
        <is>
          <t>{} sheet의 에러로 인해 작업이 중단되었습니다.</t>
        </is>
      </c>
      <c r="F466" s="119" t="inlineStr">
        <is>
          <t>{} sheet의 에러로 인해 작업이 중단되었습니다.</t>
        </is>
      </c>
    </row>
    <row r="467">
      <c r="B467" s="117" t="n">
        <v>551</v>
      </c>
      <c r="D467" s="119" t="inlineStr">
        <is>
          <t>The project finish date({}) you entered is not valid date format.</t>
        </is>
      </c>
      <c r="E467" s="119" t="inlineStr">
        <is>
          <t>입력한 프로젝트 기간의 완료일({})이 날짜형식이 아닙니다.</t>
        </is>
      </c>
      <c r="F467" s="119" t="inlineStr">
        <is>
          <t>입력한 프로젝트 기간의 완료일({})이 날짜형식이 아닙니다.</t>
        </is>
      </c>
    </row>
    <row r="468">
      <c r="B468" s="117" t="n">
        <v>552</v>
      </c>
      <c r="D468" s="119" t="inlineStr">
        <is>
          <t>The project start date({}) you entered is not valid date format.</t>
        </is>
      </c>
      <c r="E468" s="119" t="inlineStr">
        <is>
          <t>입력한 프로젝트 기간의 시작일({})이 날짜형식이 아닙니다</t>
        </is>
      </c>
      <c r="F468" s="119" t="inlineStr">
        <is>
          <t>입력한 프로젝트 기간의 시작일({})이 날짜형식이 아닙니다</t>
        </is>
      </c>
    </row>
    <row r="469" ht="24" customHeight="1">
      <c r="B469" s="117" t="n">
        <v>553</v>
      </c>
      <c r="D469" s="119" t="inlineStr">
        <is>
          <t>The resource allocation ratio in the resource field of row number {1} in the {2} sheet is invalid.</t>
        </is>
      </c>
      <c r="E469" s="119" t="inlineStr">
        <is>
          <t>{2} sheet의 {1}행의 자원배정비율이 잘못입력되었습니다.</t>
        </is>
      </c>
      <c r="F469" s="119" t="inlineStr">
        <is>
          <t>{2} sheet의 {1}행의 자원배정비율이 잘못입력되었습니다.</t>
        </is>
      </c>
    </row>
    <row r="470">
      <c r="B470" s="117" t="n">
        <v>554</v>
      </c>
      <c r="D470" s="119" t="inlineStr">
        <is>
          <t>The resource field should be entered in the following format.</t>
        </is>
      </c>
      <c r="E470" s="119" t="inlineStr">
        <is>
          <t>자원배정비율은 다음과 같은 형식으로 입력되어야 합니다.</t>
        </is>
      </c>
      <c r="F470" s="119" t="inlineStr">
        <is>
          <t>자원배정비율은 다음과 같은 형식으로 입력되어야 합니다.</t>
        </is>
      </c>
    </row>
    <row r="471" ht="24" customHeight="1">
      <c r="B471" s="117" t="n">
        <v>555</v>
      </c>
      <c r="D471" s="119" t="inlineStr">
        <is>
          <t>The start date format of row number {1} in the {2} sheet is invalid.</t>
        </is>
      </c>
      <c r="E471" s="119" t="inlineStr">
        <is>
          <t>{2} sheet의 {1}행의 시작일이 날짜형식이 아닙니다. 정확한 날짜형식으로 입력하세요.</t>
        </is>
      </c>
      <c r="F471" s="119" t="inlineStr">
        <is>
          <t>{2} sheet의 {1}행의 시작일이 날짜형식이 아닙니다. 정확한 날짜형식으로 입력하세요.</t>
        </is>
      </c>
    </row>
    <row r="472">
      <c r="B472" s="117" t="n">
        <v>556</v>
      </c>
      <c r="D472" s="119" t="inlineStr">
        <is>
          <t>The start date is later than the finish date.</t>
        </is>
      </c>
      <c r="E472" s="119" t="inlineStr">
        <is>
          <t>시작일이 완료일보다 큽니다.</t>
        </is>
      </c>
      <c r="F472" s="119" t="inlineStr">
        <is>
          <t>시작일이 완료일보다 큽니다.</t>
        </is>
      </c>
    </row>
    <row r="473" ht="24" customHeight="1">
      <c r="B473" s="117" t="n">
        <v>557</v>
      </c>
      <c r="D473" s="119" t="inlineStr">
        <is>
          <t>The start date of row number {1} in the {2} sheet is later than the finish date.</t>
        </is>
      </c>
      <c r="E473" s="119" t="inlineStr">
        <is>
          <t>{2} sheet의 {1}행의 시작일이 완료일보다 큽니다.</t>
        </is>
      </c>
      <c r="F473" s="119" t="inlineStr">
        <is>
          <t>{2} sheet의 {1}행의 시작일이 완료일보다 큽니다.</t>
        </is>
      </c>
    </row>
    <row r="474" ht="24" customHeight="1">
      <c r="B474" s="117" t="n">
        <v>558</v>
      </c>
      <c r="D474" s="119" t="inlineStr">
        <is>
          <t>The start or finish date of row number {1} in the {2} sheet is out of the project duration.</t>
        </is>
      </c>
      <c r="E474" s="119" t="inlineStr">
        <is>
          <t>{2} sheet의 {1}행의 시작일 또는 완료일이 프로젝트 기간을 벗어났습니다.</t>
        </is>
      </c>
      <c r="F474" s="119" t="inlineStr">
        <is>
          <t>{2} sheet의 {1}행의 시작일 또는 완료일이 프로젝트 기간을 벗어났습니다.</t>
        </is>
      </c>
    </row>
    <row r="475" ht="24" customHeight="1">
      <c r="B475" s="117" t="n">
        <v>559</v>
      </c>
      <c r="D475" s="119" t="inlineStr">
        <is>
          <t>The task of the first row of the {} sheet is not level 1.</t>
        </is>
      </c>
      <c r="E475" s="119" t="inlineStr">
        <is>
          <t>{} sheet 첫행의 작업이 1 Level이 아닙니다. 첫행의 작업이 첫째칸이 아닌 다른 칸에 입력되었는지 확인하세요.</t>
        </is>
      </c>
      <c r="F475" s="119" t="inlineStr">
        <is>
          <t>{} sheet 첫행의 작업이 1 Level이 아닙니다. 첫행의 작업이 첫째칸이 아닌 다른 칸에 입력되었는지 확인하세요.</t>
        </is>
      </c>
    </row>
    <row r="476">
      <c r="B476" s="117" t="n">
        <v>560</v>
      </c>
      <c r="D476" s="119" t="inlineStr">
        <is>
          <t>The type of task fields</t>
        </is>
      </c>
      <c r="E476" s="119" t="inlineStr">
        <is>
          <t>Task필드 유형</t>
        </is>
      </c>
      <c r="F476" s="119" t="inlineStr">
        <is>
          <t>Task필드 유형</t>
        </is>
      </c>
    </row>
    <row r="477">
      <c r="B477" s="117" t="n">
        <v>561</v>
      </c>
      <c r="C477" s="118" t="inlineStr">
        <is>
          <t>for Week Number</t>
        </is>
      </c>
      <c r="D477" s="119" t="inlineStr">
        <is>
          <t>The week containing January 1 is the first week of the year.</t>
        </is>
      </c>
      <c r="E477" s="119" t="inlineStr">
        <is>
          <t>1월 1일을 포함하는 주가 년도의 첫주가 되는 방식</t>
        </is>
      </c>
      <c r="F477" s="119" t="inlineStr">
        <is>
          <t>1월 1일을 포함하는 주가 년도의 첫주가 되는 방식</t>
        </is>
      </c>
    </row>
    <row r="478" ht="24" customHeight="1">
      <c r="B478" s="117" t="n">
        <v>562</v>
      </c>
      <c r="C478" s="118" t="inlineStr">
        <is>
          <t>for Week Number</t>
        </is>
      </c>
      <c r="D478" s="119" t="inlineStr">
        <is>
          <t>The week containing the first Thursday of the year is the first week of the year(ISO 8601 Standard).</t>
        </is>
      </c>
      <c r="E478" s="119" t="inlineStr">
        <is>
          <t>한주의 시작은 월요일이며 년도의 첫번째 목요일을 포함하는 주가 첫주가 되는 방식(ISO 8601 표준)</t>
        </is>
      </c>
      <c r="F478" s="119" t="inlineStr">
        <is>
          <t>한주의 시작은 월요일이며 년도의 첫번째 목요일을 포함하는 주가 첫주가 되는 방식(ISO 8601 표준)</t>
        </is>
      </c>
    </row>
    <row r="479" ht="24" customHeight="1">
      <c r="B479" s="117" t="n">
        <v>563</v>
      </c>
      <c r="D479" s="119" t="inlineStr">
        <is>
          <t>The resource count of row number {1} in the {2} sheet is not a number.</t>
        </is>
      </c>
      <c r="E479" s="119" t="inlineStr">
        <is>
          <t>{2} sheet의 {1}행의 자원수가 숫자가 아닙니다.</t>
        </is>
      </c>
      <c r="F479" s="119" t="inlineStr">
        <is>
          <t>{2} sheet의 {1}행의 자원수가 숫자가 아닙니다.</t>
        </is>
      </c>
    </row>
    <row r="480">
      <c r="B480" s="117" t="n">
        <v>564</v>
      </c>
      <c r="D480" s="119" t="inlineStr">
        <is>
          <t>There are no executable programs that open the deliverables.</t>
        </is>
      </c>
      <c r="E480" s="119" t="inlineStr">
        <is>
          <t>입력한 산출물을 열 수 있는 실행프로그램이 없습니다.</t>
        </is>
      </c>
      <c r="F480" s="119" t="inlineStr">
        <is>
          <t>입력한 산출물을 열 수 있는 실행프로그램이 없습니다.</t>
        </is>
      </c>
    </row>
    <row r="481" ht="36" customHeight="1">
      <c r="B481" s="117" t="n">
        <v>565</v>
      </c>
      <c r="D481" s="119" t="inlineStr">
        <is>
          <t>There is an error in the total workload or planned workload field of row number {1} in the {2} sheet. Please check that the start / finish date was entered correctly, or that the formula is correct.</t>
        </is>
      </c>
      <c r="E481" s="119" t="inlineStr">
        <is>
          <t>{2} sheet의 {1}행의 총작업량 또는계획작업량 필드에 오류가 있습니다. 시작일/완료일이 잘못 입력되었는지 또는 수식에 문제가 없는지 확인하세요.</t>
        </is>
      </c>
      <c r="F481" s="119" t="inlineStr">
        <is>
          <t>{2} sheet의 {1}행의 총작업량 또는계획작업량 필드에 오류가 있습니다. 시작일/완료일이 잘못 입력되었는지 또는 수식에 문제가 없는지 확인하세요.</t>
        </is>
      </c>
    </row>
    <row r="482">
      <c r="B482" s="117" t="n">
        <v>566</v>
      </c>
      <c r="D482" s="119" t="inlineStr">
        <is>
          <t>There is no data in the following files</t>
        </is>
      </c>
      <c r="E482" s="119" t="inlineStr">
        <is>
          <t>다음 파일에 자료가 없습니다.</t>
        </is>
      </c>
      <c r="F482" s="119" t="inlineStr">
        <is>
          <t>다음 파일에 자료가 없습니다.</t>
        </is>
      </c>
    </row>
    <row r="483">
      <c r="B483" s="117" t="n">
        <v>567</v>
      </c>
      <c r="D483" s="119" t="inlineStr">
        <is>
          <t>There is no input data</t>
        </is>
      </c>
      <c r="E483" s="119" t="inlineStr">
        <is>
          <t>입력된 자료가 없습니다</t>
        </is>
      </c>
      <c r="F483" s="119" t="inlineStr">
        <is>
          <t>입력된 자료가 없습니다</t>
        </is>
      </c>
    </row>
    <row r="484">
      <c r="B484" s="117" t="n">
        <v>568</v>
      </c>
      <c r="D484" s="119" t="inlineStr">
        <is>
          <t>There is no input data that will be calculated.</t>
        </is>
      </c>
      <c r="E484" s="119" t="inlineStr">
        <is>
          <t>계산할 입력자료가 없습니다.</t>
        </is>
      </c>
      <c r="F484" s="119" t="inlineStr">
        <is>
          <t>계산할 입력자료가 없습니다.</t>
        </is>
      </c>
    </row>
    <row r="485">
      <c r="B485" s="117" t="n">
        <v>569</v>
      </c>
      <c r="D485" s="119" t="inlineStr">
        <is>
          <t>There is no input data.</t>
        </is>
      </c>
      <c r="E485" s="119" t="inlineStr">
        <is>
          <t>입력된 자료가 없습니다.</t>
        </is>
      </c>
      <c r="F485" s="119" t="inlineStr">
        <is>
          <t>입력된 자료가 없습니다.</t>
        </is>
      </c>
    </row>
    <row r="486">
      <c r="B486" s="117" t="n">
        <v>570</v>
      </c>
      <c r="D486" s="119" t="inlineStr">
        <is>
          <t>There is no input data. Please enter after reformatting.</t>
        </is>
      </c>
      <c r="E486" s="119" t="inlineStr">
        <is>
          <t>입력된 자료가 없습니다. 입력 후 서식재설정 해 주세요.</t>
        </is>
      </c>
      <c r="F486" s="119" t="inlineStr">
        <is>
          <t>입력된 자료가 없습니다. 입력 후 서식재설정 해 주세요.</t>
        </is>
      </c>
    </row>
    <row r="487" ht="36" customHeight="1">
      <c r="B487" s="117" t="n">
        <v>571</v>
      </c>
      <c r="D487" s="119" t="inlineStr">
        <is>
          <t>There was an error in "Progress Line" drawing. This can happen if the actual start date or actual finish date is beyond the project period. Check the message below.</t>
        </is>
      </c>
      <c r="E487" s="119" t="inlineStr">
        <is>
          <t>진척률선 그리기 작업 중 에러가 발생했습니다. 실제시작일 또는 실제완료일이 프로젝트 기간을 벗어난 경우에 발생할 수 있습니다. 아래의 메시지를 확인하십시오.</t>
        </is>
      </c>
      <c r="F487" s="11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17" t="n">
        <v>572</v>
      </c>
      <c r="D488" s="119" t="inlineStr">
        <is>
          <t>This area can not be selected. Please select an area that contains tasks.</t>
        </is>
      </c>
      <c r="E488" s="119" t="inlineStr">
        <is>
          <t>선택할 수 없는 영역입니다. 작업명이 입력된 행을 선택하세요.</t>
        </is>
      </c>
      <c r="F488" s="119" t="inlineStr">
        <is>
          <t>선택할 수 없는 영역입니다. 작업명이 입력된 행을 선택하세요.</t>
        </is>
      </c>
    </row>
    <row r="489">
      <c r="B489" s="117" t="n">
        <v>573</v>
      </c>
      <c r="D489" s="119" t="inlineStr">
        <is>
          <t>This Month only</t>
        </is>
      </c>
      <c r="E489" s="119" t="inlineStr">
        <is>
          <t>이번 달 작업만 조회</t>
        </is>
      </c>
      <c r="F489" s="119" t="inlineStr">
        <is>
          <t>이번 달 작업만 조회</t>
        </is>
      </c>
    </row>
    <row r="490">
      <c r="B490" s="117" t="n">
        <v>574</v>
      </c>
      <c r="D490" s="119" t="inlineStr">
        <is>
          <t>This Week only</t>
        </is>
      </c>
      <c r="E490" s="119" t="inlineStr">
        <is>
          <t>이번 주 작업만 조회</t>
        </is>
      </c>
      <c r="F490" s="119" t="inlineStr">
        <is>
          <t>이번 주 작업만 조회</t>
        </is>
      </c>
    </row>
    <row r="491" ht="24" customHeight="1">
      <c r="B491" s="117" t="n">
        <v>575</v>
      </c>
      <c r="D491" s="119" t="inlineStr">
        <is>
          <t>This XLGantt is not the latest version. Download the latest version from the following site.</t>
        </is>
      </c>
      <c r="E491" s="119" t="inlineStr">
        <is>
          <t>지금 사용하고 계신 XLGantt는 최신버전이 아닙니다.\n_x000D_
최신버전을 아래의 사이트에서 다운로드 받으세요.</t>
        </is>
      </c>
      <c r="F491" s="119" t="inlineStr">
        <is>
          <t>지금 사용하고 계신 XLGantt는 최신버전이 아닙니다.\n_x000D_
최신버전을 아래의 사이트에서 다운로드 받으세요.</t>
        </is>
      </c>
    </row>
    <row r="492">
      <c r="B492" s="117" t="n">
        <v>576</v>
      </c>
      <c r="D492" s="119" t="inlineStr">
        <is>
          <t>Thu</t>
        </is>
      </c>
      <c r="E492" s="119" t="inlineStr">
        <is>
          <t>목</t>
        </is>
      </c>
      <c r="F492" s="119" t="inlineStr">
        <is>
          <t>목</t>
        </is>
      </c>
    </row>
    <row r="493">
      <c r="B493" s="117" t="n">
        <v>577</v>
      </c>
      <c r="D493" s="119" t="inlineStr">
        <is>
          <t>Time bucket type is invalid.</t>
        </is>
      </c>
      <c r="E493" s="119" t="inlineStr">
        <is>
          <t>Time bucket type 오류입니다.</t>
        </is>
      </c>
      <c r="F493" s="119" t="inlineStr">
        <is>
          <t>Time bucket type 오류입니다.</t>
        </is>
      </c>
    </row>
    <row r="494">
      <c r="B494" s="117" t="n">
        <v>578</v>
      </c>
      <c r="D494" s="119" t="inlineStr">
        <is>
          <t>Title above Gantt chart</t>
        </is>
      </c>
      <c r="E494" s="119" t="inlineStr">
        <is>
          <t>간트차트 위의 타이틀</t>
        </is>
      </c>
      <c r="F494" s="119" t="inlineStr">
        <is>
          <t>간트차트 위의 타이틀</t>
        </is>
      </c>
    </row>
    <row r="495">
      <c r="B495" s="117" t="n">
        <v>579</v>
      </c>
      <c r="D495" s="119" t="inlineStr">
        <is>
          <t>Title above WBS</t>
        </is>
      </c>
      <c r="E495" s="119" t="inlineStr">
        <is>
          <t>WBS영역 위의 타이틀</t>
        </is>
      </c>
      <c r="F495" s="119" t="inlineStr">
        <is>
          <t>WBS영역 위의 타이틀</t>
        </is>
      </c>
    </row>
    <row r="496">
      <c r="B496" s="117" t="n">
        <v>580</v>
      </c>
      <c r="D496" s="119" t="inlineStr">
        <is>
          <t>To (XLGantt)</t>
        </is>
      </c>
      <c r="E496" s="119" t="inlineStr">
        <is>
          <t>Target파일(가져온 후 파일)</t>
        </is>
      </c>
      <c r="F496" s="119" t="inlineStr">
        <is>
          <t>Target파일(가져온 후 파일)</t>
        </is>
      </c>
    </row>
    <row r="497">
      <c r="B497" s="117" t="n">
        <v>581</v>
      </c>
      <c r="D497" s="119" t="inlineStr">
        <is>
          <t>To Date is invalid.</t>
        </is>
      </c>
      <c r="E497" s="119" t="inlineStr">
        <is>
          <t>끝날짜 형식이 잘못되었습니다.</t>
        </is>
      </c>
      <c r="F497" s="119" t="inlineStr">
        <is>
          <t>끝날짜 형식이 잘못되었습니다.</t>
        </is>
      </c>
    </row>
    <row r="498" ht="36" customHeight="1">
      <c r="B498" s="117" t="n">
        <v>582</v>
      </c>
      <c r="D498" s="119" t="inlineStr">
        <is>
          <t>To import files from source to the target file, map the respective fields.\nSelect a field in source file first and then find a corresponding field in the target file.</t>
        </is>
      </c>
      <c r="E498" s="119" t="inlineStr">
        <is>
          <t>Source파일에서 Target파일로 가져오기 위해서 각각의 필드를 Mapping합니다. _x000D_
Source파일의 필드를 먼저 선택하고 해당되는 필드를 Targe파일에서 찾아서 Mapping합니다.</t>
        </is>
      </c>
      <c r="F498" s="119" t="inlineStr">
        <is>
          <t>Source파일에서 Target파일로 가져오기 위해서 각각의 필드를 Mapping합니다. _x000D_
Source파일의 필드를 먼저 선택하고 해당되는 필드를 Targe파일에서 찾아서 Mapping합니다.</t>
        </is>
      </c>
    </row>
    <row r="499">
      <c r="B499" s="117" t="n">
        <v>583</v>
      </c>
      <c r="D499" s="119" t="inlineStr">
        <is>
          <t>Today</t>
        </is>
      </c>
      <c r="E499" s="119" t="inlineStr">
        <is>
          <t>오늘</t>
        </is>
      </c>
      <c r="F499" s="119" t="inlineStr">
        <is>
          <t>오늘</t>
        </is>
      </c>
    </row>
    <row r="500">
      <c r="B500" s="117" t="n">
        <v>584</v>
      </c>
      <c r="D500" s="119" t="inlineStr">
        <is>
          <t>Today only</t>
        </is>
      </c>
      <c r="E500" s="119" t="inlineStr">
        <is>
          <t>오늘 작업만 조회</t>
        </is>
      </c>
      <c r="F500" s="119" t="inlineStr">
        <is>
          <t>오늘 작업만 조회</t>
        </is>
      </c>
    </row>
    <row r="501">
      <c r="B501" s="117" t="n">
        <v>585</v>
      </c>
      <c r="C501" s="118" t="inlineStr">
        <is>
          <t>for importOnStartup</t>
        </is>
      </c>
      <c r="D501" s="116" t="inlineStr">
        <is>
          <t>Total Duration</t>
        </is>
      </c>
      <c r="E501" s="124" t="inlineStr">
        <is>
          <t>총기간</t>
        </is>
      </c>
      <c r="F501" s="124" t="inlineStr">
        <is>
          <t>총기간</t>
        </is>
      </c>
    </row>
    <row r="502">
      <c r="B502" s="117" t="n">
        <v>586</v>
      </c>
      <c r="C502" s="118" t="inlineStr">
        <is>
          <t>for importOnStartup</t>
        </is>
      </c>
      <c r="D502" s="119" t="inlineStr">
        <is>
          <t>Total Work</t>
        </is>
      </c>
      <c r="E502" s="124" t="inlineStr">
        <is>
          <t>총작업량</t>
        </is>
      </c>
      <c r="F502" s="124" t="inlineStr">
        <is>
          <t>총작업량</t>
        </is>
      </c>
    </row>
    <row r="503">
      <c r="B503" s="117" t="n">
        <v>587</v>
      </c>
      <c r="D503" s="119" t="inlineStr">
        <is>
          <t>Total Work(A)\nMan-day</t>
        </is>
      </c>
      <c r="E503" s="119" t="inlineStr">
        <is>
          <t>총작업량(A)\nMan-day</t>
        </is>
      </c>
      <c r="F503" s="119" t="inlineStr">
        <is>
          <t>총작업량(A)\nMan-day</t>
        </is>
      </c>
    </row>
    <row r="504" ht="36" customHeight="1">
      <c r="B504" s="117" t="n">
        <v>588</v>
      </c>
      <c r="D504" s="119" t="inlineStr">
        <is>
          <t>Total Work\n(Total ManDay)</t>
        </is>
      </c>
      <c r="E504" s="119" t="inlineStr">
        <is>
          <t>총 작업량_x000D_
(총ManDay,_x000D_
자원수 감안)</t>
        </is>
      </c>
      <c r="F504" s="119" t="inlineStr">
        <is>
          <t>총 작업량_x000D_
(총ManDay,_x000D_
자원수 감안)</t>
        </is>
      </c>
    </row>
    <row r="505">
      <c r="B505" s="117" t="n">
        <v>589</v>
      </c>
      <c r="D505" s="119" t="inlineStr">
        <is>
          <t>Total workload of the project</t>
        </is>
      </c>
      <c r="E505" s="119" t="inlineStr">
        <is>
          <t>프로젝트 전체 작업량</t>
        </is>
      </c>
      <c r="F505" s="119" t="inlineStr">
        <is>
          <t>프로젝트 전체 작업량</t>
        </is>
      </c>
    </row>
    <row r="506">
      <c r="A506" s="121" t="n"/>
      <c r="B506" s="117" t="n">
        <v>590</v>
      </c>
      <c r="C506" s="122" t="inlineStr">
        <is>
          <t>for import columun</t>
        </is>
      </c>
      <c r="D506" s="120" t="inlineStr">
        <is>
          <t>Total__Duration</t>
        </is>
      </c>
      <c r="E506" s="120" t="inlineStr">
        <is>
          <t>총__기간</t>
        </is>
      </c>
      <c r="F506" s="120" t="inlineStr">
        <is>
          <t>총__기간</t>
        </is>
      </c>
    </row>
    <row r="507">
      <c r="A507" s="121" t="n"/>
      <c r="B507" s="117" t="n">
        <v>591</v>
      </c>
      <c r="C507" s="122" t="inlineStr">
        <is>
          <t>for import columun</t>
        </is>
      </c>
      <c r="D507" s="120" t="inlineStr">
        <is>
          <t>Total__Work</t>
        </is>
      </c>
      <c r="E507" s="120" t="inlineStr">
        <is>
          <t>총__작업량</t>
        </is>
      </c>
      <c r="F507" s="120" t="inlineStr">
        <is>
          <t>총__작업량</t>
        </is>
      </c>
    </row>
    <row r="508">
      <c r="B508" s="117" t="n">
        <v>592</v>
      </c>
      <c r="D508" s="119" t="inlineStr">
        <is>
          <t>Total\nDuration</t>
        </is>
      </c>
      <c r="E508" s="120" t="inlineStr">
        <is>
          <t>총\n기간</t>
        </is>
      </c>
      <c r="F508" s="120" t="inlineStr">
        <is>
          <t>총\n기간</t>
        </is>
      </c>
    </row>
    <row r="509">
      <c r="B509" s="117" t="n">
        <v>593</v>
      </c>
      <c r="D509" s="119" t="inlineStr">
        <is>
          <t>Total\nWork</t>
        </is>
      </c>
      <c r="E509" s="119" t="inlineStr">
        <is>
          <t>총\n작업량</t>
        </is>
      </c>
      <c r="F509" s="119" t="inlineStr">
        <is>
          <t>총\n작업량</t>
        </is>
      </c>
    </row>
    <row r="510">
      <c r="B510" s="117" t="n">
        <v>594</v>
      </c>
      <c r="D510" s="119" t="inlineStr">
        <is>
          <t>Tue</t>
        </is>
      </c>
      <c r="E510" s="119" t="inlineStr">
        <is>
          <t>화</t>
        </is>
      </c>
      <c r="F510" s="119" t="inlineStr">
        <is>
          <t>화</t>
        </is>
      </c>
    </row>
    <row r="511" ht="24" customHeight="1">
      <c r="B511" s="117" t="n">
        <v>595</v>
      </c>
      <c r="D511" s="119" t="inlineStr">
        <is>
          <t>Type a number between 0% and 100% in "%Work Complete" field of row number {1} in the {2} sheet.</t>
        </is>
      </c>
      <c r="E511" s="119" t="inlineStr">
        <is>
          <t>{2} sheet의 {1}행의 실적진척률을 0~100% 범위로 입력해주세요.</t>
        </is>
      </c>
      <c r="F511" s="119" t="inlineStr">
        <is>
          <t>{2} sheet의 {1}행의 실적진척률을 0~100% 범위로 입력해주세요.</t>
        </is>
      </c>
    </row>
    <row r="512">
      <c r="B512" s="117" t="n">
        <v>596</v>
      </c>
      <c r="D512" s="119" t="inlineStr">
        <is>
          <t>UI Design</t>
        </is>
      </c>
      <c r="E512" s="119" t="inlineStr">
        <is>
          <t>화면설계</t>
        </is>
      </c>
      <c r="F512" s="119" t="inlineStr">
        <is>
          <t>화면설계</t>
        </is>
      </c>
    </row>
    <row r="513" ht="36" customHeight="1">
      <c r="B513" s="117" t="n">
        <v>597</v>
      </c>
      <c r="D513" s="119" t="inlineStr">
        <is>
          <t>Unable to open file. Please change the "Check if you save deliverables in specific directory" option to the checked state in the Setting&gt;Deliverables tab.</t>
        </is>
      </c>
      <c r="E513" s="119" t="inlineStr">
        <is>
          <t>파일을 열수 없습니다. 환경설정&gt;산출물관리 탭에서 "산출물 관리를 할 경우에 체크하세요" 옵션을 체크상태로 변경해 주세요.</t>
        </is>
      </c>
      <c r="F513" s="119" t="inlineStr">
        <is>
          <t>파일을 열수 없습니다. 환경설정&gt;산출물관리 탭에서 "산출물 관리를 할 경우에 체크하세요" 옵션을 체크상태로 변경해 주세요.</t>
        </is>
      </c>
    </row>
    <row r="514">
      <c r="B514" s="117" t="n">
        <v>598</v>
      </c>
      <c r="D514" s="119" t="inlineStr">
        <is>
          <t>Update Schedule</t>
        </is>
      </c>
      <c r="E514" s="119" t="inlineStr">
        <is>
          <t>스케줄\n업데이트</t>
        </is>
      </c>
      <c r="F514" s="119" t="inlineStr">
        <is>
          <t>스케줄\n업데이트</t>
        </is>
      </c>
    </row>
    <row r="515">
      <c r="B515" s="117" t="n">
        <v>599</v>
      </c>
      <c r="D515" s="119" t="inlineStr">
        <is>
          <t>Updates</t>
        </is>
      </c>
      <c r="E515" s="119" t="inlineStr">
        <is>
          <t>업데이트 내용</t>
        </is>
      </c>
      <c r="F515" s="119" t="inlineStr">
        <is>
          <t>업데이트 내용</t>
        </is>
      </c>
    </row>
    <row r="516">
      <c r="B516" s="117" t="n">
        <v>600</v>
      </c>
      <c r="D516" s="119" t="inlineStr">
        <is>
          <t>Updating schedule... \nplease wait...</t>
        </is>
      </c>
      <c r="E516" s="119" t="inlineStr">
        <is>
          <t>스케줄업데이트 중입니다...\n잠시만 기다려 주세요...</t>
        </is>
      </c>
      <c r="F516" s="119" t="inlineStr">
        <is>
          <t>스케줄업데이트 중입니다...\n잠시만 기다려 주세요...</t>
        </is>
      </c>
    </row>
    <row r="517">
      <c r="B517" s="117" t="n">
        <v>601</v>
      </c>
      <c r="D517" s="119" t="inlineStr">
        <is>
          <t>User Defined Calendar 1</t>
        </is>
      </c>
      <c r="E517" s="119" t="inlineStr">
        <is>
          <t>사용자정의 캘린더1</t>
        </is>
      </c>
      <c r="F517" s="119" t="inlineStr">
        <is>
          <t>사용자정의 캘린더1</t>
        </is>
      </c>
    </row>
    <row r="518">
      <c r="B518" s="117" t="n">
        <v>602</v>
      </c>
      <c r="D518" s="119" t="inlineStr">
        <is>
          <t>User Defined Calendar 2</t>
        </is>
      </c>
      <c r="E518" s="119" t="inlineStr">
        <is>
          <t>사용자정의 캘린더2</t>
        </is>
      </c>
      <c r="F518" s="119" t="inlineStr">
        <is>
          <t>사용자정의 캘린더2</t>
        </is>
      </c>
    </row>
    <row r="519">
      <c r="B519" s="117" t="n">
        <v>603</v>
      </c>
      <c r="D519" s="119" t="inlineStr">
        <is>
          <t>Variance(Actual-Planned)</t>
        </is>
      </c>
      <c r="E519" s="119" t="inlineStr">
        <is>
          <t>차이(실적-계획)</t>
        </is>
      </c>
      <c r="F519" s="119" t="inlineStr">
        <is>
          <t>차이(실적-계획)</t>
        </is>
      </c>
    </row>
    <row r="520">
      <c r="B520" s="117" t="n">
        <v>604</v>
      </c>
      <c r="D520" s="119" t="inlineStr">
        <is>
          <t>WBS</t>
        </is>
      </c>
      <c r="E520" s="119" t="inlineStr">
        <is>
          <t>WBS</t>
        </is>
      </c>
      <c r="F520" s="119" t="inlineStr">
        <is>
          <t>WBS</t>
        </is>
      </c>
    </row>
    <row r="521">
      <c r="B521" s="117" t="n">
        <v>605</v>
      </c>
      <c r="D521" s="119" t="inlineStr">
        <is>
          <t>WBS Area Display</t>
        </is>
      </c>
      <c r="E521" s="119" t="inlineStr">
        <is>
          <t>WBS영역 표시방법</t>
        </is>
      </c>
      <c r="F521" s="119" t="inlineStr">
        <is>
          <t>WBS영역 표시방법</t>
        </is>
      </c>
    </row>
    <row r="522" ht="24" customHeight="1">
      <c r="B522" s="117" t="n">
        <v>606</v>
      </c>
      <c r="D522" s="119" t="inlineStr">
        <is>
          <t>WBS Level is invalid. Enter a number only. Verify row {} of the source file.</t>
        </is>
      </c>
      <c r="E522" s="119" t="inlineStr">
        <is>
          <t>WBS Level(개요번호)에 숫자가 아닌 값이 포함되어 있습니다. Import하는 파일의 {}행을 확인하세요.</t>
        </is>
      </c>
      <c r="F522" s="119" t="inlineStr">
        <is>
          <t>WBS Level(개요번호)에 숫자가 아닌 값이 포함되어 있습니다. Import하는 파일의 {}행을 확인하세요.</t>
        </is>
      </c>
    </row>
    <row r="523">
      <c r="B523" s="117" t="n">
        <v>607</v>
      </c>
      <c r="D523" s="119" t="inlineStr">
        <is>
          <t>WBS No.</t>
        </is>
      </c>
      <c r="E523" s="119" t="inlineStr">
        <is>
          <t>WBS No.</t>
        </is>
      </c>
      <c r="F523" s="119" t="inlineStr">
        <is>
          <t>WBS No.</t>
        </is>
      </c>
    </row>
    <row r="524">
      <c r="B524" s="117" t="n">
        <v>608</v>
      </c>
      <c r="D524" s="119" t="inlineStr">
        <is>
          <t>WBS title - auto calculated field</t>
        </is>
      </c>
      <c r="E524" s="119" t="inlineStr">
        <is>
          <t>WBS 타이틀 - 자동계산필드</t>
        </is>
      </c>
      <c r="F524" s="119" t="inlineStr">
        <is>
          <t>WBS 타이틀 - 자동계산필드</t>
        </is>
      </c>
    </row>
    <row r="525">
      <c r="B525" s="117" t="n">
        <v>609</v>
      </c>
      <c r="D525" s="119" t="inlineStr">
        <is>
          <t>WBS title - input field</t>
        </is>
      </c>
      <c r="E525" s="119" t="inlineStr">
        <is>
          <t>WBS 타이틀 - 입력필드</t>
        </is>
      </c>
      <c r="F525" s="119" t="inlineStr">
        <is>
          <t>WBS 타이틀 - 입력필드</t>
        </is>
      </c>
    </row>
    <row r="526">
      <c r="B526" s="117" t="n">
        <v>610</v>
      </c>
      <c r="D526" s="119" t="inlineStr">
        <is>
          <t>WBS,Gantt Chart</t>
        </is>
      </c>
      <c r="F526" s="119" t="n"/>
    </row>
    <row r="527">
      <c r="B527" s="117" t="n">
        <v>611</v>
      </c>
      <c r="D527" s="119" t="inlineStr">
        <is>
          <t>Wed</t>
        </is>
      </c>
      <c r="E527" s="119" t="inlineStr">
        <is>
          <t>수</t>
        </is>
      </c>
      <c r="F527" s="119" t="inlineStr">
        <is>
          <t>수</t>
        </is>
      </c>
    </row>
    <row r="528">
      <c r="B528" s="117" t="n">
        <v>612</v>
      </c>
      <c r="C528" s="118" t="inlineStr">
        <is>
          <t>for Week Number</t>
        </is>
      </c>
      <c r="D528" s="119" t="inlineStr">
        <is>
          <t>Week Numbers Display</t>
        </is>
      </c>
      <c r="E528" s="119" t="inlineStr">
        <is>
          <t>주차 표시방식</t>
        </is>
      </c>
      <c r="F528" s="119" t="inlineStr">
        <is>
          <t>주차 표시방식</t>
        </is>
      </c>
    </row>
    <row r="529">
      <c r="B529" s="117" t="n">
        <v>613</v>
      </c>
      <c r="D529" s="119" t="inlineStr">
        <is>
          <t>Weekly</t>
        </is>
      </c>
      <c r="E529" s="119" t="inlineStr">
        <is>
          <t>주별</t>
        </is>
      </c>
      <c r="F529" s="119" t="inlineStr">
        <is>
          <t>주별</t>
        </is>
      </c>
    </row>
    <row r="530">
      <c r="B530" s="117" t="n">
        <v>614</v>
      </c>
      <c r="D530" s="119" t="inlineStr">
        <is>
          <t>Weekly view</t>
        </is>
      </c>
      <c r="E530" s="119" t="inlineStr">
        <is>
          <t>주별보기</t>
        </is>
      </c>
      <c r="F530" s="119" t="inlineStr">
        <is>
          <t>주별보기</t>
        </is>
      </c>
    </row>
    <row r="531">
      <c r="B531" s="117" t="n">
        <v>615</v>
      </c>
      <c r="D531" s="119" t="inlineStr">
        <is>
          <t>Weeks</t>
        </is>
      </c>
      <c r="E531" s="119" t="inlineStr">
        <is>
          <t>주별</t>
        </is>
      </c>
      <c r="F531" s="119" t="inlineStr">
        <is>
          <t>주별</t>
        </is>
      </c>
    </row>
    <row r="532">
      <c r="B532" s="117" t="n">
        <v>616</v>
      </c>
      <c r="D532" s="119" t="inlineStr">
        <is>
          <t>Resource Count</t>
        </is>
      </c>
      <c r="E532" s="119" t="inlineStr">
        <is>
          <t>자원수</t>
        </is>
      </c>
      <c r="F532" s="119" t="inlineStr">
        <is>
          <t>자원수</t>
        </is>
      </c>
    </row>
    <row r="533">
      <c r="B533" s="117" t="n">
        <v>617</v>
      </c>
      <c r="D533" s="119" t="inlineStr">
        <is>
          <t>Resource Count is invalid.</t>
        </is>
      </c>
      <c r="E533" s="119" t="inlineStr">
        <is>
          <t>자원수의 숫자형식이 잘못되었습니다.</t>
        </is>
      </c>
      <c r="F533" s="119" t="inlineStr">
        <is>
          <t>자원수의 숫자형식이 잘못되었습니다.</t>
        </is>
      </c>
    </row>
    <row r="534">
      <c r="B534" s="117" t="n">
        <v>618</v>
      </c>
      <c r="D534" s="119" t="inlineStr">
        <is>
          <t>Resource Count must be greater than zero.</t>
        </is>
      </c>
      <c r="E534" s="119" t="inlineStr">
        <is>
          <t>자원수는 0보다 커야 합니다.</t>
        </is>
      </c>
      <c r="F534" s="119" t="inlineStr">
        <is>
          <t>자원수는 0보다 커야 합니다.</t>
        </is>
      </c>
    </row>
    <row r="535">
      <c r="B535" s="117" t="n">
        <v>619</v>
      </c>
      <c r="D535" s="119" t="inlineStr">
        <is>
          <t>When managing schedule changes</t>
        </is>
      </c>
      <c r="E535" s="119" t="inlineStr">
        <is>
          <t>일정변경 관리할 때</t>
        </is>
      </c>
      <c r="F535" s="119" t="inlineStr">
        <is>
          <t>일정변경 관리할 때</t>
        </is>
      </c>
    </row>
    <row r="536">
      <c r="B536" s="117" t="n">
        <v>620</v>
      </c>
      <c r="D536" s="119" t="inlineStr">
        <is>
          <t>When not managing schedule changes</t>
        </is>
      </c>
      <c r="E536" s="119" t="inlineStr">
        <is>
          <t>일정변경 관리 안할 때</t>
        </is>
      </c>
      <c r="F536" s="119" t="inlineStr">
        <is>
          <t>일정변경 관리 안할 때</t>
        </is>
      </c>
    </row>
    <row r="537" ht="36" customHeight="1">
      <c r="B537" s="117" t="n">
        <v>621</v>
      </c>
      <c r="C537" s="118" t="inlineStr">
        <is>
          <t>for help sheet</t>
        </is>
      </c>
      <c r="D537" s="119" t="inlineStr">
        <is>
          <t>When you enter a task and a schedule, the progress rate is calculated and the schedule of the task is displayed as a gantt chart.</t>
        </is>
      </c>
      <c r="E537" s="119" t="inlineStr">
        <is>
          <t>작업과 일정을 입력하면 진척률이 계산되며 작업의 일정을 간트차트로 표시해 준다.</t>
        </is>
      </c>
      <c r="F537" s="119" t="inlineStr">
        <is>
          <t>작업과 일정을 입력하면 진척률이 계산되며 작업의 일정을 간트차트로 표시해 준다.</t>
        </is>
      </c>
    </row>
    <row r="538" ht="36" customHeight="1">
      <c r="B538" s="117" t="n">
        <v>622</v>
      </c>
      <c r="C538" s="118" t="inlineStr">
        <is>
          <t>for help sheet</t>
        </is>
      </c>
      <c r="D538" s="119" t="inlineStr">
        <is>
          <t>When you enter task names, start and finish dates, and %work complete values, XLGantt automatically calculates the tasks durations, planned %work complete values.</t>
        </is>
      </c>
      <c r="E538" s="119" t="inlineStr">
        <is>
          <t>작업명, 시작일, 완료일, 진척률을 입력하면 휴무일, 자원수를 고려하여 자동으로 작업기간, 계획진척률, 실적진척률 등이 계산된다.</t>
        </is>
      </c>
      <c r="F538" s="119" t="inlineStr">
        <is>
          <t>작업명, 시작일, 완료일, 진척률을 입력하면 휴무일, 자원수를 고려하여 자동으로 작업기간, 계획진척률, 실적진척률 등이 계산된다.</t>
        </is>
      </c>
    </row>
    <row r="539">
      <c r="B539" s="117" t="n">
        <v>623</v>
      </c>
      <c r="D539" s="119" t="inlineStr">
        <is>
          <t>Word</t>
        </is>
      </c>
      <c r="E539" s="119" t="inlineStr">
        <is>
          <t>워드</t>
        </is>
      </c>
      <c r="F539" s="119" t="inlineStr">
        <is>
          <t>워드</t>
        </is>
      </c>
    </row>
    <row r="540">
      <c r="B540" s="117" t="n">
        <v>624</v>
      </c>
      <c r="D540" s="119" t="inlineStr">
        <is>
          <t>Workload Calculation</t>
        </is>
      </c>
      <c r="E540" s="119" t="inlineStr">
        <is>
          <t>작업량 계산</t>
        </is>
      </c>
      <c r="F540" s="119" t="inlineStr">
        <is>
          <t>작업량 계산</t>
        </is>
      </c>
    </row>
    <row r="541">
      <c r="B541" s="117" t="n">
        <v>625</v>
      </c>
      <c r="D541" s="119" t="inlineStr">
        <is>
          <t>Workload Data</t>
        </is>
      </c>
      <c r="E541" s="119" t="inlineStr">
        <is>
          <t>Workload Data</t>
        </is>
      </c>
      <c r="F541" s="119" t="inlineStr">
        <is>
          <t>Workload Data</t>
        </is>
      </c>
    </row>
    <row r="542">
      <c r="B542" s="117" t="n">
        <v>626</v>
      </c>
      <c r="D542" s="119" t="inlineStr">
        <is>
          <t>Workload\n(Man-Day)</t>
        </is>
      </c>
      <c r="F542" s="119" t="n"/>
    </row>
    <row r="543">
      <c r="B543" s="117" t="n">
        <v>627</v>
      </c>
      <c r="D543" s="119" t="inlineStr">
        <is>
          <t>Workload\n(Man-Month)</t>
        </is>
      </c>
      <c r="F543" s="119" t="n"/>
    </row>
    <row r="544">
      <c r="B544" s="117" t="n">
        <v>628</v>
      </c>
      <c r="D544" s="119" t="inlineStr">
        <is>
          <t>Workloads</t>
        </is>
      </c>
      <c r="E544" s="119" t="inlineStr">
        <is>
          <t>Workload</t>
        </is>
      </c>
      <c r="F544" s="119" t="inlineStr">
        <is>
          <t>Workload</t>
        </is>
      </c>
    </row>
    <row r="545">
      <c r="B545" s="117" t="n">
        <v>629</v>
      </c>
      <c r="D545" s="119" t="inlineStr">
        <is>
          <t>Workloads by {}</t>
        </is>
      </c>
      <c r="E545" s="119" t="inlineStr">
        <is>
          <t>Workload현황({})</t>
        </is>
      </c>
      <c r="F545" s="119" t="inlineStr">
        <is>
          <t>Workload현황({})</t>
        </is>
      </c>
    </row>
    <row r="546">
      <c r="B546" s="117" t="n">
        <v>630</v>
      </c>
      <c r="D546" s="119" t="inlineStr">
        <is>
          <t>Workloads by Months</t>
        </is>
      </c>
      <c r="E546" s="119" t="inlineStr">
        <is>
          <t>Workload(월별)</t>
        </is>
      </c>
      <c r="F546" s="119" t="inlineStr">
        <is>
          <t>Workload(월별)</t>
        </is>
      </c>
    </row>
    <row r="547">
      <c r="B547" s="117" t="n">
        <v>631</v>
      </c>
      <c r="D547" s="119" t="inlineStr">
        <is>
          <t>Workloads by Resouces</t>
        </is>
      </c>
      <c r="E547" s="119" t="inlineStr">
        <is>
          <t>Workload(담당별)</t>
        </is>
      </c>
      <c r="F547" s="119" t="inlineStr">
        <is>
          <t>Workload(담당별)</t>
        </is>
      </c>
    </row>
    <row r="548">
      <c r="B548" s="117" t="n">
        <v>632</v>
      </c>
      <c r="D548" s="119" t="inlineStr">
        <is>
          <t>Workloads by Weeks</t>
        </is>
      </c>
      <c r="E548" s="119" t="inlineStr">
        <is>
          <t>Workload(주별)</t>
        </is>
      </c>
      <c r="F548" s="119" t="inlineStr">
        <is>
          <t>Workload(주별)</t>
        </is>
      </c>
    </row>
    <row r="549">
      <c r="B549" s="117" t="n">
        <v>633</v>
      </c>
      <c r="D549" s="119" t="inlineStr">
        <is>
          <t>Worloads by Resources</t>
        </is>
      </c>
      <c r="E549" s="119" t="inlineStr">
        <is>
          <t>Workload현황(담당별)</t>
        </is>
      </c>
      <c r="F549" s="119" t="inlineStr">
        <is>
          <t>Workload현황(담당별)</t>
        </is>
      </c>
    </row>
    <row r="550" ht="24" customHeight="1">
      <c r="A550" s="120" t="n"/>
      <c r="B550" s="117" t="n">
        <v>634</v>
      </c>
      <c r="C550" s="120" t="n"/>
      <c r="D550" s="120" t="inlineStr">
        <is>
          <t>Would you like to update the schedule before saving?</t>
        </is>
      </c>
      <c r="E550" s="120" t="inlineStr">
        <is>
          <t>저장하기 전에 스케줄을 업데이트하시겠습니까?\n\n[스케줄업데이트]메뉴를 클릭할 때와 동일한 작업을 수행합니다.</t>
        </is>
      </c>
      <c r="F550" s="120" t="inlineStr">
        <is>
          <t>저장하기 전에 스케줄을 업데이트하시겠습니까?\n\n[스케줄업데이트]메뉴를 클릭할 때와 동일한 작업을 수행합니다.</t>
        </is>
      </c>
    </row>
    <row r="551">
      <c r="B551" s="117" t="n">
        <v>635</v>
      </c>
      <c r="C551" s="118" t="inlineStr">
        <is>
          <t>for help sheet</t>
        </is>
      </c>
      <c r="D551" s="119" t="inlineStr">
        <is>
          <t>XLGantt  - Project Scheduler</t>
        </is>
      </c>
      <c r="E551" s="119" t="inlineStr">
        <is>
          <t>엑셀간트(XLGantt) - 엑셀 일정관리</t>
        </is>
      </c>
      <c r="F551" s="119" t="inlineStr">
        <is>
          <t>엑셀간트(XLGantt) - 엑셀 일정관리</t>
        </is>
      </c>
    </row>
    <row r="552">
      <c r="B552" s="117" t="n">
        <v>636</v>
      </c>
      <c r="C552" s="118" t="inlineStr">
        <is>
          <t>for help sheet</t>
        </is>
      </c>
      <c r="D552" s="119" t="inlineStr">
        <is>
          <t>XLGantt Version {} Terms of Use</t>
        </is>
      </c>
      <c r="E552" s="119" t="inlineStr">
        <is>
          <t>XLGantt Version {} 사용조건</t>
        </is>
      </c>
      <c r="F552" s="119" t="inlineStr">
        <is>
          <t>XLGantt Version {} 사용조건</t>
        </is>
      </c>
    </row>
    <row r="553">
      <c r="B553" s="117" t="n">
        <v>637</v>
      </c>
      <c r="D553" s="119" t="inlineStr">
        <is>
          <t>XLGantt Version Check</t>
        </is>
      </c>
      <c r="E553" s="119" t="inlineStr">
        <is>
          <t>XLGantt Version Check</t>
        </is>
      </c>
      <c r="F553" s="119" t="inlineStr">
        <is>
          <t>XLGantt Version Check</t>
        </is>
      </c>
    </row>
    <row r="554">
      <c r="B554" s="117" t="n">
        <v>638</v>
      </c>
      <c r="D554" s="119" t="inlineStr">
        <is>
          <t>You are using the latest version of XLGantt.\nCurrent Verison : {}</t>
        </is>
      </c>
      <c r="E554" s="119" t="inlineStr">
        <is>
          <t>사용하고 계신 XLGantt는 최신 버전입니다.\n현재 버전 : {}</t>
        </is>
      </c>
      <c r="F554" s="119" t="inlineStr">
        <is>
          <t>사용하고 계신 XLGantt는 최신 버전입니다.\n현재 버전 : {}</t>
        </is>
      </c>
    </row>
    <row r="555">
      <c r="B555" s="117" t="n">
        <v>639</v>
      </c>
      <c r="D555" s="119" t="inlineStr">
        <is>
          <t>You can add "Outlook Appointments" only on the {} sheet.</t>
        </is>
      </c>
      <c r="E555" s="119" t="inlineStr">
        <is>
          <t>{} Sheet에서만 Outlook일정을 등록할 수 있습니다.</t>
        </is>
      </c>
      <c r="F555" s="119" t="inlineStr">
        <is>
          <t>{} Sheet에서만 Outlook일정을 등록할 수 있습니다.</t>
        </is>
      </c>
    </row>
    <row r="556">
      <c r="B556" s="117" t="n">
        <v>640</v>
      </c>
      <c r="D556" s="119" t="inlineStr">
        <is>
          <t>You can add "Outlook Tasks" only on the {} sheet.</t>
        </is>
      </c>
      <c r="E556" s="119" t="inlineStr">
        <is>
          <t>{} Sheet에서만 Outlook작업을 등록할 수 있습니다.</t>
        </is>
      </c>
      <c r="F556" s="119" t="inlineStr">
        <is>
          <t>{} Sheet에서만 Outlook작업을 등록할 수 있습니다.</t>
        </is>
      </c>
    </row>
    <row r="557" ht="24" customHeight="1">
      <c r="B557" s="117" t="n">
        <v>641</v>
      </c>
      <c r="C557" s="118" t="inlineStr">
        <is>
          <t>for help sheet</t>
        </is>
      </c>
      <c r="D557" s="119" t="inlineStr">
        <is>
          <t>You can click the "Options" button on the ribbon to customize a Gantt chart style.</t>
        </is>
      </c>
      <c r="E557" s="119" t="inlineStr">
        <is>
          <t>Bar chart형태로 간트차트를 보여주며 여러 가지 표시방법을 옵션에서 설정할 수 있다.</t>
        </is>
      </c>
      <c r="F557" s="119" t="inlineStr">
        <is>
          <t>Bar chart형태로 간트차트를 보여주며 여러 가지 표시방법을 옵션에서 설정할 수 있다.</t>
        </is>
      </c>
    </row>
    <row r="558">
      <c r="B558" s="117" t="n">
        <v>642</v>
      </c>
      <c r="D558" s="119" t="inlineStr">
        <is>
          <t>You can edit task only on the {} sheet.</t>
        </is>
      </c>
      <c r="E558" s="119" t="inlineStr">
        <is>
          <t>{} Sheet에서만 작업을 편집할 수 있습니다.</t>
        </is>
      </c>
      <c r="F558" s="119" t="inlineStr">
        <is>
          <t>{} Sheet에서만 작업을 편집할 수 있습니다.</t>
        </is>
      </c>
    </row>
    <row r="559" ht="36" customHeight="1">
      <c r="B559" s="117" t="n">
        <v>643</v>
      </c>
      <c r="C559" s="118" t="inlineStr">
        <is>
          <t>for help sheet</t>
        </is>
      </c>
      <c r="D559" s="119" t="inlineStr">
        <is>
          <t>You can include the formulas and functions of the Excel in XLGantt.</t>
        </is>
      </c>
      <c r="E559" s="11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1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17" t="n">
        <v>644</v>
      </c>
      <c r="D560" s="119" t="inlineStr">
        <is>
          <t>You can indent or outdent tasks only on the {} sheet.</t>
        </is>
      </c>
      <c r="E560" s="119" t="inlineStr">
        <is>
          <t>{} Sheet에서만 작업가능합니다.</t>
        </is>
      </c>
      <c r="F560" s="119" t="inlineStr">
        <is>
          <t>{} Sheet에서만 작업가능합니다.</t>
        </is>
      </c>
    </row>
    <row r="561">
      <c r="B561" s="117" t="n">
        <v>645</v>
      </c>
      <c r="D561" s="119" t="inlineStr">
        <is>
          <t>You can not add "Outlook Appointments" in the selected area.</t>
        </is>
      </c>
      <c r="E561" s="119" t="inlineStr">
        <is>
          <t>선택한 위치에서는 작업할 수 없습니다.</t>
        </is>
      </c>
      <c r="F561" s="119" t="inlineStr">
        <is>
          <t>선택한 위치에서는 작업할 수 없습니다.</t>
        </is>
      </c>
    </row>
    <row r="562">
      <c r="B562" s="117" t="n">
        <v>646</v>
      </c>
      <c r="D562" s="119" t="inlineStr">
        <is>
          <t>You can not add "Outlook Tasks" in the selected area.</t>
        </is>
      </c>
      <c r="E562" s="119" t="inlineStr">
        <is>
          <t>선택한 위치에서는 Outlook작업을 등록할 수 없습니다.</t>
        </is>
      </c>
      <c r="F562" s="119" t="inlineStr">
        <is>
          <t>선택한 위치에서는 Outlook작업을 등록할 수 없습니다.</t>
        </is>
      </c>
    </row>
    <row r="563" ht="24" customHeight="1">
      <c r="B563" s="117" t="n">
        <v>647</v>
      </c>
      <c r="D563" s="119" t="inlineStr">
        <is>
          <t>You can not add a column between column A and C because the range is reserved by XLGantt.</t>
        </is>
      </c>
      <c r="E563" s="119" t="inlineStr">
        <is>
          <t>A열부터 C열까지는 XLGantt프로그램에서 사용하는 영역이므로 임의로 열을 추가할 수 없습니다.</t>
        </is>
      </c>
      <c r="F563" s="119" t="inlineStr">
        <is>
          <t>A열부터 C열까지는 XLGantt프로그램에서 사용하는 영역이므로 임의로 열을 추가할 수 없습니다.</t>
        </is>
      </c>
    </row>
    <row r="564">
      <c r="B564" s="117" t="n">
        <v>648</v>
      </c>
      <c r="D564" s="119" t="inlineStr">
        <is>
          <t>You can not edit a task in the selected area.</t>
        </is>
      </c>
      <c r="E564" s="119" t="inlineStr">
        <is>
          <t>선택한 위치에서는 작업할 수 없습니다.</t>
        </is>
      </c>
      <c r="F564" s="119" t="inlineStr">
        <is>
          <t>선택한 위치에서는 작업할 수 없습니다.</t>
        </is>
      </c>
    </row>
    <row r="565">
      <c r="B565" s="117" t="n">
        <v>649</v>
      </c>
      <c r="D565" s="119" t="inlineStr">
        <is>
          <t>You can not enter any more.</t>
        </is>
      </c>
      <c r="E565" s="119" t="inlineStr">
        <is>
          <t>더 이상 입력불가</t>
        </is>
      </c>
      <c r="F565" s="119" t="inlineStr">
        <is>
          <t>더 이상 입력불가</t>
        </is>
      </c>
    </row>
    <row r="566">
      <c r="B566" s="117" t="n">
        <v>650</v>
      </c>
      <c r="D566" s="119" t="inlineStr">
        <is>
          <t>You can not indent any more!</t>
        </is>
      </c>
      <c r="E566" s="119" t="inlineStr">
        <is>
          <t>더 이상 오른쪽으로 이동할 수 없습니다!</t>
        </is>
      </c>
      <c r="F566" s="119" t="inlineStr">
        <is>
          <t>더 이상 오른쪽으로 이동할 수 없습니다!</t>
        </is>
      </c>
    </row>
    <row r="567">
      <c r="B567" s="117" t="n">
        <v>651</v>
      </c>
      <c r="D567" s="119" t="inlineStr">
        <is>
          <t>You can not indent or outdent the selected row.</t>
        </is>
      </c>
      <c r="E567" s="119" t="inlineStr">
        <is>
          <t>선택한 위치에서는 이동할 수 없습니다.</t>
        </is>
      </c>
      <c r="F567" s="119" t="inlineStr">
        <is>
          <t>선택한 위치에서는 이동할 수 없습니다.</t>
        </is>
      </c>
    </row>
    <row r="568">
      <c r="B568" s="117" t="n">
        <v>652</v>
      </c>
      <c r="D568" s="119" t="inlineStr">
        <is>
          <t>You can not outdent any more!</t>
        </is>
      </c>
      <c r="E568" s="119" t="inlineStr">
        <is>
          <t>더 이상 왼쪽으로 이동할 수 없습니다!</t>
        </is>
      </c>
      <c r="F568" s="119" t="inlineStr">
        <is>
          <t>더 이상 왼쪽으로 이동할 수 없습니다!</t>
        </is>
      </c>
      <c r="H568" s="120" t="n"/>
      <c r="I568" s="120" t="n"/>
      <c r="J568" s="120" t="n"/>
      <c r="K568" s="120" t="n"/>
      <c r="L568" s="120" t="n"/>
      <c r="M568" s="120" t="n"/>
      <c r="N568" s="120" t="n"/>
      <c r="O568" s="120" t="n"/>
      <c r="P568" s="120" t="n"/>
      <c r="Q568" s="120" t="n"/>
      <c r="R568" s="120" t="n"/>
      <c r="S568" s="120" t="n"/>
      <c r="T568" s="120" t="n"/>
      <c r="U568" s="120" t="n"/>
      <c r="V568" s="120" t="n"/>
      <c r="W568" s="120" t="n"/>
      <c r="X568" s="120" t="n"/>
      <c r="Y568" s="120" t="n"/>
      <c r="Z568" s="120" t="n"/>
      <c r="AA568" s="120" t="n"/>
    </row>
    <row r="569" ht="24" customHeight="1">
      <c r="B569" s="117" t="n">
        <v>653</v>
      </c>
      <c r="D569" s="119" t="inlineStr">
        <is>
          <t>You can not use "Microsoft Outlook". \nMake sure you properly installed it.</t>
        </is>
      </c>
      <c r="E569" s="119" t="inlineStr">
        <is>
          <t>Microsoft Outlook을 사용할 수 없습니다.\n정상적으로 설치되어 있는지 확인하세요.</t>
        </is>
      </c>
      <c r="F569" s="119" t="inlineStr">
        <is>
          <t>Microsoft Outlook을 사용할 수 없습니다.\n정상적으로 설치되어 있는지 확인하세요.</t>
        </is>
      </c>
      <c r="H569" s="120" t="n"/>
      <c r="I569" s="120" t="n"/>
      <c r="J569" s="120" t="n"/>
      <c r="K569" s="120" t="n"/>
      <c r="L569" s="120" t="n"/>
      <c r="M569" s="120" t="n"/>
      <c r="N569" s="120" t="n"/>
      <c r="O569" s="120" t="n"/>
      <c r="P569" s="120" t="n"/>
      <c r="Q569" s="120" t="n"/>
      <c r="R569" s="120" t="n"/>
      <c r="S569" s="120" t="n"/>
      <c r="T569" s="120" t="n"/>
      <c r="U569" s="120" t="n"/>
      <c r="V569" s="120" t="n"/>
      <c r="W569" s="120" t="n"/>
      <c r="X569" s="120" t="n"/>
      <c r="Y569" s="120" t="n"/>
      <c r="Z569" s="120" t="n"/>
      <c r="AA569" s="120" t="n"/>
    </row>
    <row r="570">
      <c r="B570" s="117" t="n">
        <v>654</v>
      </c>
      <c r="D570" s="119" t="inlineStr">
        <is>
          <t>You can open deliverables only on the {} Sheet.</t>
        </is>
      </c>
      <c r="E570" s="119" t="inlineStr">
        <is>
          <t>{} Sheet에서만 작업가능합니다.</t>
        </is>
      </c>
      <c r="F570" s="119" t="inlineStr">
        <is>
          <t>{} Sheet에서만 작업가능합니다.</t>
        </is>
      </c>
      <c r="H570" s="121" t="n"/>
      <c r="I570" s="121" t="n"/>
      <c r="J570" s="121" t="n"/>
      <c r="K570" s="121" t="n"/>
      <c r="L570" s="121" t="n"/>
      <c r="M570" s="121" t="n"/>
      <c r="N570" s="121" t="n"/>
      <c r="O570" s="121" t="n"/>
      <c r="P570" s="121" t="n"/>
      <c r="Q570" s="121" t="n"/>
      <c r="R570" s="121" t="n"/>
      <c r="S570" s="121" t="n"/>
      <c r="T570" s="121" t="n"/>
      <c r="U570" s="121" t="n"/>
      <c r="V570" s="121" t="n"/>
      <c r="W570" s="121" t="n"/>
      <c r="X570" s="121" t="n"/>
      <c r="Y570" s="121" t="n"/>
      <c r="Z570" s="121" t="n"/>
      <c r="AA570" s="121" t="n"/>
    </row>
    <row r="571" ht="24" customHeight="1">
      <c r="B571" s="117" t="n">
        <v>655</v>
      </c>
      <c r="C571" s="118" t="inlineStr">
        <is>
          <t>for help sheet</t>
        </is>
      </c>
      <c r="D571" s="119" t="inlineStr">
        <is>
          <t>You can use %work complete to keep track of the progress of the project.</t>
        </is>
      </c>
      <c r="E571" s="119" t="inlineStr">
        <is>
          <t>진척률을 이용하여 프로젝트 전체 진행상황을 파악할 수 있다.</t>
        </is>
      </c>
      <c r="F571" s="119" t="inlineStr">
        <is>
          <t>진척률을 이용하여 프로젝트 전체 진행상황을 파악할 수 있다.</t>
        </is>
      </c>
    </row>
    <row r="572" ht="24" customHeight="1">
      <c r="B572" s="117" t="n">
        <v>656</v>
      </c>
      <c r="D572" s="119" t="inlineStr">
        <is>
          <t>You can use only start and finish dates. So you can not manage schedule changes.</t>
        </is>
      </c>
      <c r="E572" s="119" t="inlineStr">
        <is>
          <t xml:space="preserve">일정을 관리할 때 작업 시작일/완료일만 사용합니다. 변경된 일정은 관리하지 않습니다. 일정이 변경되었을 때는 시작일과 완료일을 변경합니다.  </t>
        </is>
      </c>
      <c r="F572" s="119" t="inlineStr">
        <is>
          <t xml:space="preserve">일정을 관리할 때 작업 시작일/완료일만 사용합니다. 변경된 일정은 관리하지 않습니다. 일정이 변경되었을 때는 시작일과 완료일을 변경합니다.  </t>
        </is>
      </c>
      <c r="H572" s="121" t="n"/>
      <c r="I572" s="121" t="n"/>
      <c r="J572" s="121" t="n"/>
      <c r="K572" s="121" t="n"/>
      <c r="L572" s="121" t="n"/>
      <c r="M572" s="121" t="n"/>
      <c r="N572" s="121" t="n"/>
      <c r="O572" s="121" t="n"/>
      <c r="P572" s="121" t="n"/>
      <c r="Q572" s="121" t="n"/>
      <c r="R572" s="121" t="n"/>
      <c r="S572" s="121" t="n"/>
      <c r="T572" s="121" t="n"/>
      <c r="U572" s="121" t="n"/>
      <c r="V572" s="121" t="n"/>
      <c r="W572" s="121" t="n"/>
      <c r="X572" s="121" t="n"/>
      <c r="Y572" s="121" t="n"/>
      <c r="Z572" s="121" t="n"/>
      <c r="AA572" s="121" t="n"/>
    </row>
    <row r="573" ht="36" customHeight="1">
      <c r="B573" s="117" t="n">
        <v>657</v>
      </c>
      <c r="D573" s="119" t="inlineStr">
        <is>
          <t xml:space="preserve">You can use start and finish dates, actual start and finish dates. You can identify the schedule is delayed or aheaded by entering actual start and finish dates. </t>
        </is>
      </c>
      <c r="E573" s="11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1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21" t="n"/>
      <c r="I573" s="121" t="n"/>
      <c r="J573" s="121" t="n"/>
      <c r="K573" s="121" t="n"/>
      <c r="L573" s="121" t="n"/>
      <c r="M573" s="121" t="n"/>
      <c r="N573" s="121" t="n"/>
      <c r="O573" s="121" t="n"/>
      <c r="P573" s="121" t="n"/>
      <c r="Q573" s="121" t="n"/>
      <c r="R573" s="121" t="n"/>
      <c r="S573" s="121" t="n"/>
      <c r="T573" s="121" t="n"/>
      <c r="U573" s="121" t="n"/>
      <c r="V573" s="121" t="n"/>
      <c r="W573" s="121" t="n"/>
      <c r="X573" s="121" t="n"/>
      <c r="Y573" s="121" t="n"/>
      <c r="Z573" s="121" t="n"/>
      <c r="AA573" s="121" t="n"/>
    </row>
    <row r="574">
      <c r="B574" s="117" t="n">
        <v>658</v>
      </c>
      <c r="D574" s="119" t="inlineStr">
        <is>
          <t>You can't choose a field that is empty.</t>
        </is>
      </c>
      <c r="E574" s="119" t="inlineStr">
        <is>
          <t>필드명이 비어있는 항목은 선택할 수 없습니다.</t>
        </is>
      </c>
      <c r="F574" s="119" t="inlineStr">
        <is>
          <t>필드명이 비어있는 항목은 선택할 수 없습니다.</t>
        </is>
      </c>
      <c r="H574" s="121" t="n"/>
      <c r="I574" s="121" t="n"/>
      <c r="J574" s="121" t="n"/>
      <c r="K574" s="121" t="n"/>
      <c r="L574" s="121" t="n"/>
      <c r="M574" s="121" t="n"/>
      <c r="N574" s="121" t="n"/>
      <c r="O574" s="121" t="n"/>
      <c r="P574" s="121" t="n"/>
      <c r="Q574" s="121" t="n"/>
      <c r="R574" s="121" t="n"/>
      <c r="S574" s="121" t="n"/>
      <c r="T574" s="121" t="n"/>
      <c r="U574" s="121" t="n"/>
      <c r="V574" s="121" t="n"/>
      <c r="W574" s="121" t="n"/>
      <c r="X574" s="121" t="n"/>
      <c r="Y574" s="121" t="n"/>
      <c r="Z574" s="121" t="n"/>
      <c r="AA574" s="121" t="n"/>
    </row>
    <row r="575" ht="36" customHeight="1">
      <c r="B575" s="117" t="n">
        <v>659</v>
      </c>
      <c r="D575" s="119" t="inlineStr">
        <is>
          <t>You can't import an Excel Macro file. Please import after saving it as an xls or xlsx file. If it is an XLGantt file, you can import it at the menu "Import files created in XLGantt"</t>
        </is>
      </c>
      <c r="E575" s="119" t="inlineStr">
        <is>
          <t>엑셀매크로 파일은 가져오기를 할 수 없습니다. xls 또는 xlsx파일로 저장하여 작업하시기 바랍니다. 만약 XLGantt파일인 경우에는 "XLGantt로 작성된 파일 가져오기"에서 작업 가능합니다</t>
        </is>
      </c>
      <c r="F575" s="119" t="inlineStr">
        <is>
          <t>엑셀매크로 파일은 가져오기를 할 수 없습니다. xls 또는 xlsx파일로 저장하여 작업하시기 바랍니다. 만약 XLGantt파일인 경우에는 "XLGantt로 작성된 파일 가져오기"에서 작업 가능합니다</t>
        </is>
      </c>
      <c r="H575" s="121" t="n"/>
      <c r="I575" s="121" t="n"/>
      <c r="J575" s="121" t="n"/>
      <c r="K575" s="121" t="n"/>
      <c r="L575" s="121" t="n"/>
      <c r="M575" s="121" t="n"/>
      <c r="N575" s="121" t="n"/>
      <c r="O575" s="121" t="n"/>
      <c r="P575" s="121" t="n"/>
      <c r="Q575" s="121" t="n"/>
      <c r="R575" s="121" t="n"/>
      <c r="S575" s="121" t="n"/>
      <c r="T575" s="121" t="n"/>
      <c r="U575" s="121" t="n"/>
      <c r="V575" s="121" t="n"/>
      <c r="W575" s="121" t="n"/>
      <c r="X575" s="121" t="n"/>
      <c r="Y575" s="121" t="n"/>
      <c r="Z575" s="121" t="n"/>
      <c r="AA575" s="121" t="n"/>
    </row>
    <row r="576">
      <c r="B576" s="117" t="n">
        <v>660</v>
      </c>
      <c r="D576" s="119" t="inlineStr">
        <is>
          <t>You can't remove the default languages(English and Korean).</t>
        </is>
      </c>
      <c r="E576" s="119" t="inlineStr">
        <is>
          <t>기본언어인 English와 Korean은 삭제할 수 없습니다.</t>
        </is>
      </c>
      <c r="F576" s="119" t="inlineStr">
        <is>
          <t>기본언어인 English와 Korean은 삭제할 수 없습니다.</t>
        </is>
      </c>
      <c r="H576" s="121" t="n"/>
      <c r="I576" s="121" t="n"/>
      <c r="J576" s="121" t="n"/>
      <c r="K576" s="121" t="n"/>
      <c r="L576" s="121" t="n"/>
      <c r="M576" s="121" t="n"/>
      <c r="N576" s="121" t="n"/>
      <c r="O576" s="121" t="n"/>
      <c r="P576" s="121" t="n"/>
      <c r="Q576" s="121" t="n"/>
      <c r="R576" s="121" t="n"/>
      <c r="S576" s="121" t="n"/>
      <c r="T576" s="121" t="n"/>
      <c r="U576" s="121" t="n"/>
      <c r="V576" s="121" t="n"/>
      <c r="W576" s="121" t="n"/>
      <c r="X576" s="121" t="n"/>
      <c r="Y576" s="121" t="n"/>
      <c r="Z576" s="121" t="n"/>
      <c r="AA576" s="121" t="n"/>
    </row>
    <row r="577">
      <c r="B577" s="117" t="n">
        <v>661</v>
      </c>
      <c r="D577" s="119" t="inlineStr">
        <is>
          <t>You didn't choose a language.</t>
        </is>
      </c>
      <c r="E577" s="119" t="inlineStr">
        <is>
          <t>언어가 선택되지 않았습니다.</t>
        </is>
      </c>
      <c r="F577" s="119" t="inlineStr">
        <is>
          <t>언어가 선택되지 않았습니다.</t>
        </is>
      </c>
      <c r="H577" s="121" t="n"/>
      <c r="I577" s="121" t="n"/>
      <c r="J577" s="121" t="n"/>
      <c r="K577" s="121" t="n"/>
      <c r="L577" s="121" t="n"/>
      <c r="M577" s="121" t="n"/>
      <c r="N577" s="121" t="n"/>
      <c r="O577" s="121" t="n"/>
      <c r="P577" s="121" t="n"/>
      <c r="Q577" s="121" t="n"/>
      <c r="R577" s="121" t="n"/>
      <c r="S577" s="121" t="n"/>
      <c r="T577" s="121" t="n"/>
      <c r="U577" s="121" t="n"/>
      <c r="V577" s="121" t="n"/>
      <c r="W577" s="121" t="n"/>
      <c r="X577" s="121" t="n"/>
      <c r="Y577" s="121" t="n"/>
      <c r="Z577" s="121" t="n"/>
      <c r="AA577" s="121" t="n"/>
    </row>
    <row r="578">
      <c r="B578" s="117" t="n">
        <v>662</v>
      </c>
      <c r="D578" s="119" t="inlineStr">
        <is>
          <t>You didn't choose a source field.</t>
        </is>
      </c>
      <c r="E578" s="119" t="inlineStr">
        <is>
          <t>Source항목이 선택되지 않았습니다.</t>
        </is>
      </c>
      <c r="F578" s="119" t="inlineStr">
        <is>
          <t>Source항목이 선택되지 않았습니다.</t>
        </is>
      </c>
      <c r="H578" s="121" t="n"/>
      <c r="I578" s="121" t="n"/>
      <c r="J578" s="121" t="n"/>
      <c r="K578" s="121" t="n"/>
      <c r="L578" s="121" t="n"/>
      <c r="M578" s="121" t="n"/>
      <c r="N578" s="121" t="n"/>
      <c r="O578" s="121" t="n"/>
      <c r="P578" s="121" t="n"/>
      <c r="Q578" s="121" t="n"/>
      <c r="R578" s="121" t="n"/>
      <c r="S578" s="121" t="n"/>
      <c r="T578" s="121" t="n"/>
      <c r="U578" s="121" t="n"/>
      <c r="V578" s="121" t="n"/>
      <c r="W578" s="121" t="n"/>
      <c r="X578" s="121" t="n"/>
      <c r="Y578" s="121" t="n"/>
      <c r="Z578" s="121" t="n"/>
      <c r="AA578" s="121" t="n"/>
    </row>
    <row r="579">
      <c r="B579" s="117" t="n">
        <v>663</v>
      </c>
      <c r="D579" s="119" t="inlineStr">
        <is>
          <t>You didn't choose a target field.</t>
        </is>
      </c>
      <c r="E579" s="119" t="inlineStr">
        <is>
          <t>Target항목이 선택되지 않았습니다.</t>
        </is>
      </c>
      <c r="F579" s="119" t="inlineStr">
        <is>
          <t>Target항목이 선택되지 않았습니다.</t>
        </is>
      </c>
      <c r="H579" s="121" t="n"/>
      <c r="I579" s="121" t="n"/>
      <c r="J579" s="121" t="n"/>
      <c r="K579" s="121" t="n"/>
      <c r="L579" s="121" t="n"/>
      <c r="M579" s="121" t="n"/>
      <c r="N579" s="121" t="n"/>
      <c r="O579" s="121" t="n"/>
      <c r="P579" s="121" t="n"/>
      <c r="Q579" s="121" t="n"/>
      <c r="R579" s="121" t="n"/>
      <c r="S579" s="121" t="n"/>
      <c r="T579" s="121" t="n"/>
      <c r="U579" s="121" t="n"/>
      <c r="V579" s="121" t="n"/>
      <c r="W579" s="121" t="n"/>
      <c r="X579" s="121" t="n"/>
      <c r="Y579" s="121" t="n"/>
      <c r="Z579" s="121" t="n"/>
      <c r="AA579" s="121" t="n"/>
    </row>
    <row r="580">
      <c r="B580" s="117" t="n">
        <v>664</v>
      </c>
      <c r="D580" s="119" t="inlineStr">
        <is>
          <t>You didn't choose an unmap item.</t>
        </is>
      </c>
      <c r="E580" s="119" t="inlineStr">
        <is>
          <t>Mapping취소항목이 선택되지 않았습니다.</t>
        </is>
      </c>
      <c r="F580" s="119" t="inlineStr">
        <is>
          <t>Mapping취소항목이 선택되지 않았습니다.</t>
        </is>
      </c>
      <c r="H580" s="121" t="n"/>
      <c r="I580" s="121" t="n"/>
      <c r="J580" s="121" t="n"/>
      <c r="K580" s="121" t="n"/>
      <c r="L580" s="121" t="n"/>
      <c r="M580" s="121" t="n"/>
      <c r="N580" s="121" t="n"/>
      <c r="O580" s="121" t="n"/>
      <c r="P580" s="121" t="n"/>
      <c r="Q580" s="121" t="n"/>
      <c r="R580" s="121" t="n"/>
      <c r="S580" s="121" t="n"/>
      <c r="T580" s="121" t="n"/>
      <c r="U580" s="121" t="n"/>
      <c r="V580" s="121" t="n"/>
      <c r="W580" s="121" t="n"/>
      <c r="X580" s="121" t="n"/>
      <c r="Y580" s="121" t="n"/>
      <c r="Z580" s="121" t="n"/>
      <c r="AA580" s="121" t="n"/>
    </row>
    <row r="581">
      <c r="B581" s="117" t="n">
        <v>665</v>
      </c>
      <c r="D581" s="119" t="inlineStr">
        <is>
          <t>You selected {} areas. Please select only one area.</t>
        </is>
      </c>
      <c r="E581" s="119" t="inlineStr">
        <is>
          <t>한곳만 선택하세요. 현재 {}곳이 선택되었습니다.</t>
        </is>
      </c>
      <c r="F581" s="119" t="inlineStr">
        <is>
          <t>한곳만 선택하세요. 현재 {}곳이 선택되었습니다.</t>
        </is>
      </c>
      <c r="H581" s="121" t="n"/>
      <c r="I581" s="121" t="n"/>
      <c r="J581" s="121" t="n"/>
      <c r="K581" s="121" t="n"/>
      <c r="L581" s="121" t="n"/>
      <c r="M581" s="121" t="n"/>
      <c r="N581" s="121" t="n"/>
      <c r="O581" s="121" t="n"/>
      <c r="P581" s="121" t="n"/>
      <c r="Q581" s="121" t="n"/>
      <c r="R581" s="121" t="n"/>
      <c r="S581" s="121" t="n"/>
      <c r="T581" s="121" t="n"/>
      <c r="U581" s="121" t="n"/>
      <c r="V581" s="121" t="n"/>
      <c r="W581" s="121" t="n"/>
      <c r="X581" s="121" t="n"/>
      <c r="Y581" s="121" t="n"/>
      <c r="Z581" s="121" t="n"/>
      <c r="AA581" s="121" t="n"/>
    </row>
    <row r="582">
      <c r="B582" s="117" t="n">
        <v>666</v>
      </c>
      <c r="D582" s="119" t="inlineStr">
        <is>
          <t>Date</t>
        </is>
      </c>
      <c r="E582" s="119" t="inlineStr">
        <is>
          <t>날짜</t>
        </is>
      </c>
      <c r="F582" s="119" t="inlineStr">
        <is>
          <t>날짜</t>
        </is>
      </c>
    </row>
    <row r="583">
      <c r="B583" s="117" t="n">
        <v>667</v>
      </c>
      <c r="D583" s="119" t="inlineStr">
        <is>
          <t>Day</t>
        </is>
      </c>
      <c r="E583" s="119" t="inlineStr">
        <is>
          <t>요일</t>
        </is>
      </c>
      <c r="F583" s="119" t="inlineStr">
        <is>
          <t>요일</t>
        </is>
      </c>
    </row>
    <row r="584">
      <c r="B584" s="117" t="n">
        <v>668</v>
      </c>
      <c r="D584" s="119" t="inlineStr">
        <is>
          <t>Display date or day on the timescale</t>
        </is>
      </c>
      <c r="E584" s="119" t="inlineStr">
        <is>
          <t>간트차트 눈금에 날짜/요일 표시방법</t>
        </is>
      </c>
      <c r="F584" s="119" t="inlineStr">
        <is>
          <t>간트차트 눈금에 날짜/요일 표시방법</t>
        </is>
      </c>
    </row>
    <row r="585">
      <c r="B585" s="117" t="n">
        <v>669</v>
      </c>
      <c r="D585" s="119" t="inlineStr">
        <is>
          <t>Align WBS Column</t>
        </is>
      </c>
      <c r="E585" s="119" t="inlineStr">
        <is>
          <t>WBS열 정렬</t>
        </is>
      </c>
      <c r="F585" s="119" t="inlineStr">
        <is>
          <t>WBS열 정렬</t>
        </is>
      </c>
    </row>
    <row r="586">
      <c r="B586" s="117" t="n">
        <v>670</v>
      </c>
      <c r="D586" s="119" t="inlineStr">
        <is>
          <t>Left</t>
        </is>
      </c>
      <c r="E586" s="119" t="inlineStr">
        <is>
          <t>왼쪽</t>
        </is>
      </c>
      <c r="F586" s="119" t="inlineStr">
        <is>
          <t>왼쪽</t>
        </is>
      </c>
    </row>
    <row r="587">
      <c r="B587" s="117" t="n">
        <v>671</v>
      </c>
      <c r="D587" s="119" t="inlineStr">
        <is>
          <t>Center</t>
        </is>
      </c>
      <c r="E587" s="119" t="inlineStr">
        <is>
          <t>가운데</t>
        </is>
      </c>
      <c r="F587" s="119" t="inlineStr">
        <is>
          <t>가운데</t>
        </is>
      </c>
    </row>
    <row r="588">
      <c r="B588" s="117" t="n">
        <v>672</v>
      </c>
      <c r="D588" s="119" t="inlineStr">
        <is>
          <t>Right</t>
        </is>
      </c>
      <c r="E588" s="119" t="inlineStr">
        <is>
          <t>오른쪽</t>
        </is>
      </c>
      <c r="F588" s="119" t="inlineStr">
        <is>
          <t>오른쪽</t>
        </is>
      </c>
    </row>
    <row r="589">
      <c r="B589" s="117" t="n">
        <v>673</v>
      </c>
      <c r="D589" s="119" t="inlineStr">
        <is>
          <t>The same field name exists.</t>
        </is>
      </c>
      <c r="E589" s="119" t="inlineStr">
        <is>
          <t>동일한 필드명이 존재합니다.</t>
        </is>
      </c>
      <c r="F589" s="119" t="inlineStr">
        <is>
          <t>동일한 필드명이 존재합니다.</t>
        </is>
      </c>
    </row>
    <row r="590">
      <c r="B590" s="117" t="n">
        <v>674</v>
      </c>
      <c r="D590" s="119" t="inlineStr">
        <is>
          <t>Select Formula Cells</t>
        </is>
      </c>
      <c r="E590" s="119" t="inlineStr">
        <is>
          <t>수식셀 선택</t>
        </is>
      </c>
      <c r="F590" s="119" t="inlineStr">
        <is>
          <t>수식셀 선택</t>
        </is>
      </c>
    </row>
    <row r="591">
      <c r="B591" s="117" t="n">
        <v>675</v>
      </c>
      <c r="D591" s="119" t="inlineStr">
        <is>
          <t>Average number of working days per month</t>
        </is>
      </c>
      <c r="E591" s="119" t="inlineStr">
        <is>
          <t>월 평균 근무일수</t>
        </is>
      </c>
      <c r="F591" s="119" t="inlineStr">
        <is>
          <t>월 평균 근무일수</t>
        </is>
      </c>
    </row>
    <row r="592">
      <c r="B592" s="117" t="n">
        <v>676</v>
      </c>
      <c r="D592" s="119" t="inlineStr">
        <is>
          <t>Free space in the print area</t>
        </is>
      </c>
      <c r="E592" s="119" t="inlineStr">
        <is>
          <t>프린트 영역 여유 공간</t>
        </is>
      </c>
      <c r="F592" s="119" t="inlineStr">
        <is>
          <t>프린트 영역 여유 공간</t>
        </is>
      </c>
    </row>
    <row r="593">
      <c r="B593" s="117" t="n">
        <v>677</v>
      </c>
      <c r="D593" s="119" t="inlineStr">
        <is>
          <t>Automatically adjust height of Schedule sheet rows 1-4</t>
        </is>
      </c>
      <c r="E593" s="119" t="inlineStr">
        <is>
          <t>Schedule 시트 1-4행의 높이를 자동으로 조정</t>
        </is>
      </c>
      <c r="F593" s="116" t="inlineStr">
        <is>
          <t>Schedule 시트 1-4행의 높이를 자동으로 조정</t>
        </is>
      </c>
    </row>
    <row r="594">
      <c r="B594" s="117" t="n">
        <v>678</v>
      </c>
      <c r="D594" s="119" t="inlineStr">
        <is>
          <t>Program error has occurred.</t>
        </is>
      </c>
      <c r="E594" s="119" t="inlineStr">
        <is>
          <t>오류가 발생했습니다.</t>
        </is>
      </c>
      <c r="F594" s="119" t="inlineStr">
        <is>
          <t>오류가 발생했습니다.</t>
        </is>
      </c>
    </row>
    <row r="595">
      <c r="B595" s="117" t="n">
        <v>679</v>
      </c>
      <c r="D595" s="119" t="inlineStr">
        <is>
          <t>Setting WBS Area and Color Theme</t>
        </is>
      </c>
      <c r="E595" s="119" t="inlineStr">
        <is>
          <t>WBS영역, 컬러테마 설정</t>
        </is>
      </c>
      <c r="F595" s="119" t="inlineStr">
        <is>
          <t>WBS영역, 컬러테마 설정</t>
        </is>
      </c>
    </row>
    <row r="596">
      <c r="B596" s="117" t="n">
        <v>680</v>
      </c>
      <c r="D596" s="119" t="inlineStr">
        <is>
          <t>You can select the workload calculation method.</t>
        </is>
      </c>
      <c r="E596" s="134" t="inlineStr">
        <is>
          <t>작업량 계산 방식을 선택할 수 있다.</t>
        </is>
      </c>
      <c r="F596" s="134" t="inlineStr">
        <is>
          <t>작업량 계산 방식을 선택할 수 있다.</t>
        </is>
      </c>
    </row>
    <row r="597">
      <c r="B597" s="117" t="n">
        <v>681</v>
      </c>
      <c r="D597" s="119" t="inlineStr">
        <is>
          <t>You can set the appearance and color of the XLGantt.</t>
        </is>
      </c>
      <c r="E597" s="134" t="inlineStr">
        <is>
          <t>엑셀간트의 모양과 색상을 지정할 수 있다.</t>
        </is>
      </c>
      <c r="F597" s="134" t="inlineStr">
        <is>
          <t>엑셀간트의 모양과 색상을 지정할 수 있다.</t>
        </is>
      </c>
    </row>
    <row r="598" ht="13.5" customHeight="1">
      <c r="B598" s="117" t="n">
        <v>682</v>
      </c>
      <c r="D598" s="119" t="inlineStr">
        <is>
          <t>Setting Task Dependencies</t>
        </is>
      </c>
      <c r="E598" s="136" t="inlineStr">
        <is>
          <t>작업 의존관계 설정</t>
        </is>
      </c>
      <c r="F598" s="136" t="inlineStr">
        <is>
          <t>작업 의존관계 설정</t>
        </is>
      </c>
    </row>
    <row r="599" ht="13.5" customHeight="1">
      <c r="B599" s="117" t="n">
        <v>683</v>
      </c>
      <c r="D599" s="119" t="inlineStr">
        <is>
          <t>You can set the Task Dependencies(FS,SS,FF,SF).</t>
        </is>
      </c>
      <c r="E599" s="136" t="inlineStr">
        <is>
          <t>작업 의존관계(FS,SS,FF,SF)를 설정할 수 있다.</t>
        </is>
      </c>
      <c r="F599" s="136" t="inlineStr">
        <is>
          <t>작업 의존관계(FS,SS,FF,SF)를 설정할 수 있다.</t>
        </is>
      </c>
    </row>
    <row r="600">
      <c r="B600" s="117" t="n">
        <v>684</v>
      </c>
      <c r="D600" s="119" t="inlineStr">
        <is>
          <t>https://xlworks.net/en/xlgantt-howto-16-task-dependencies/</t>
        </is>
      </c>
      <c r="E600" s="119" t="inlineStr">
        <is>
          <t>https://xlworks.net/xlgantt-howto-16-task-dependencies/</t>
        </is>
      </c>
      <c r="F600" s="119" t="inlineStr">
        <is>
          <t>https://xlworks.net/xlgantt-howto-16-task-dependencies/</t>
        </is>
      </c>
    </row>
    <row r="601">
      <c r="B601" s="117" t="n">
        <v>685</v>
      </c>
      <c r="D601" s="119" t="inlineStr">
        <is>
          <t>Copy Sheet</t>
        </is>
      </c>
      <c r="E601" s="135" t="inlineStr">
        <is>
          <t>시트복사</t>
        </is>
      </c>
      <c r="F601" s="135" t="inlineStr">
        <is>
          <t>시트복사</t>
        </is>
      </c>
    </row>
    <row r="602">
      <c r="B602" s="117" t="n">
        <v>686</v>
      </c>
      <c r="D602" s="119" t="inlineStr">
        <is>
          <t>Display Gantt Chart</t>
        </is>
      </c>
      <c r="E602" s="149" t="inlineStr">
        <is>
          <t>Gantt Chart  표시</t>
        </is>
      </c>
      <c r="F602" s="149" t="inlineStr">
        <is>
          <t>Gantt Chart  표시</t>
        </is>
      </c>
    </row>
    <row r="603">
      <c r="B603" s="117" t="n">
        <v>687</v>
      </c>
      <c r="D603" s="119" t="inlineStr">
        <is>
          <t>Use default color theme</t>
        </is>
      </c>
      <c r="E603" s="134" t="inlineStr">
        <is>
          <t>초기 설정 컬러 테마 사용</t>
        </is>
      </c>
      <c r="F603" s="134" t="inlineStr">
        <is>
          <t>초기 설정 컬러 테마 사용</t>
        </is>
      </c>
    </row>
    <row r="604">
      <c r="B604" s="117" t="n">
        <v>688</v>
      </c>
      <c r="D604" s="119" t="inlineStr">
        <is>
          <t>Weight</t>
        </is>
      </c>
      <c r="E604" s="158" t="inlineStr">
        <is>
          <t>가중치</t>
        </is>
      </c>
      <c r="F604" s="158" t="inlineStr">
        <is>
          <t>가중치</t>
        </is>
      </c>
    </row>
    <row r="605" ht="36" customHeight="1">
      <c r="B605" s="117" t="n">
        <v>689</v>
      </c>
      <c r="D605" s="119" t="inlineStr">
        <is>
          <t>The date format in Windows is not the default format. If you've changed the date format to a custom format, change the date format to the default format in the 'Date and Time' item in Control Panel.</t>
        </is>
      </c>
      <c r="E605" s="172" t="inlineStr">
        <is>
          <t>윈도우의 날짜 형식이 기본 포맷이 아닙니다. 날짜 형식을 사용자 지정 형식으로 변경했다면 제어판의 '날짜 및 시간' 항목에서 날자를 기본 형식으로 변경하세요.</t>
        </is>
      </c>
      <c r="F605" s="172" t="inlineStr">
        <is>
          <t>윈도우의 날짜 형식이 기본 포맷이 아닙니다. 날짜 형식을 사용자 지정 형식으로 변경했다면 제어판의 '날짜 및 시간' 항목에서 날자를 기본 형식으로 변경하세요.</t>
        </is>
      </c>
    </row>
    <row r="606">
      <c r="B606" s="117" t="n">
        <v>690</v>
      </c>
      <c r="D606" s="119" t="inlineStr">
        <is>
          <t>Actual Incurred Accumulated(Man-Day)</t>
        </is>
      </c>
      <c r="E606" s="135" t="inlineStr">
        <is>
          <t>실제투입량 누적(Man-Day)</t>
        </is>
      </c>
      <c r="F606" s="135" t="inlineStr">
        <is>
          <t>실제투입량 누적(Man-Day)</t>
        </is>
      </c>
    </row>
    <row r="607">
      <c r="B607" s="117" t="n">
        <v>691</v>
      </c>
      <c r="D607" s="119" t="inlineStr">
        <is>
          <t>Actual Incurred Progress</t>
        </is>
      </c>
      <c r="E607" s="135" t="inlineStr">
        <is>
          <t>실제투입량 진척률</t>
        </is>
      </c>
      <c r="F607" s="135" t="inlineStr">
        <is>
          <t>실제투입량 진척률</t>
        </is>
      </c>
    </row>
    <row r="608">
      <c r="B608" s="117" t="n">
        <v>692</v>
      </c>
      <c r="D608" s="119" t="inlineStr">
        <is>
          <t>Actual Incurred(Man-Day)</t>
        </is>
      </c>
      <c r="E608" s="135" t="inlineStr">
        <is>
          <t>실제투입량(Man-Day)</t>
        </is>
      </c>
      <c r="F608" s="135" t="inlineStr">
        <is>
          <t>실제투입량(Man-Day)</t>
        </is>
      </c>
    </row>
    <row r="609">
      <c r="B609" s="117" t="n">
        <v>693</v>
      </c>
      <c r="D609" s="119" t="inlineStr">
        <is>
          <t>Display task dependencies</t>
        </is>
      </c>
      <c r="E609" s="135" t="inlineStr">
        <is>
          <t>간트차트 작업 의존관계(연결선) 표시</t>
        </is>
      </c>
      <c r="F609" s="135" t="inlineStr">
        <is>
          <t>간트차트 작업 의존관계(연결선) 표시</t>
        </is>
      </c>
    </row>
    <row r="610">
      <c r="B610" s="117" t="n">
        <v>694</v>
      </c>
      <c r="D610" s="119" t="inlineStr">
        <is>
          <t>Retrieve Holidays</t>
        </is>
      </c>
      <c r="E610" s="179" t="inlineStr">
        <is>
          <t>공휴일 가져오기</t>
        </is>
      </c>
      <c r="F610" s="179" t="inlineStr">
        <is>
          <t>공휴일 가져오기</t>
        </is>
      </c>
    </row>
    <row r="611" ht="24" customHeight="1">
      <c r="B611" s="117" t="n">
        <v>695</v>
      </c>
      <c r="D611" s="119" t="inlineStr">
        <is>
          <t>Retrieve holidays for 3 years (last, current, and next) from the server. Existing dates in the Calendar sheet remain unchanged.</t>
        </is>
      </c>
      <c r="E611" s="178" t="inlineStr">
        <is>
          <t>서버에서 3년간(전년,금년,내년)의 공휴일을 가져옵니다. Calendar sheet에 이미 있는 날짜는 그대로 유지됩니다.</t>
        </is>
      </c>
      <c r="F611" s="178" t="inlineStr">
        <is>
          <t>서버에서 3년간(전년,금년,내년)의 공휴일을 가져옵니다. Calendar sheet에 이미 있는 날짜는 그대로 유지됩니다.</t>
        </is>
      </c>
    </row>
    <row r="612">
      <c r="B612" s="117" t="n">
        <v>696</v>
      </c>
      <c r="D612" s="119" t="inlineStr">
        <is>
          <t>Korean Public Holidays</t>
        </is>
      </c>
      <c r="E612" s="134" t="inlineStr">
        <is>
          <t>대한민국 공휴일</t>
        </is>
      </c>
      <c r="F612" s="134" t="inlineStr">
        <is>
          <t>대한민국 공휴일</t>
        </is>
      </c>
    </row>
    <row r="613">
      <c r="B613" s="117" t="n">
        <v>697</v>
      </c>
      <c r="D613" s="119" t="inlineStr">
        <is>
          <t>U.S. Federal Holidays</t>
        </is>
      </c>
      <c r="E613" s="134" t="inlineStr">
        <is>
          <t>미국 연방 공휴일</t>
        </is>
      </c>
      <c r="F613" s="134" t="inlineStr">
        <is>
          <t>미국 연방 공휴일</t>
        </is>
      </c>
    </row>
    <row r="614">
      <c r="B614" s="117" t="n">
        <v>698</v>
      </c>
      <c r="D614" s="119" t="inlineStr">
        <is>
          <t>Choose a holiday calendar from the list.</t>
        </is>
      </c>
      <c r="E614" s="134" t="inlineStr">
        <is>
          <t>목록에서 공휴일 캘린더를 선택하세요.</t>
        </is>
      </c>
      <c r="F614" s="134" t="inlineStr">
        <is>
          <t>목록에서 공휴일 캘린더를 선택하세요.</t>
        </is>
      </c>
    </row>
    <row r="615">
      <c r="B615" s="117" t="n">
        <v>699</v>
      </c>
      <c r="D615" s="119" t="inlineStr">
        <is>
          <t>An error occurred while choosing a holiday calendar.</t>
        </is>
      </c>
      <c r="E615" s="172" t="inlineStr">
        <is>
          <t>공휴일 캘린더 선택 오류입니다.</t>
        </is>
      </c>
      <c r="F615" s="172" t="inlineStr">
        <is>
          <t>공휴일 캘린더 선택 오류입니다.</t>
        </is>
      </c>
    </row>
    <row r="616">
      <c r="B616" s="117" t="n">
        <v>700</v>
      </c>
      <c r="D616" s="119" t="inlineStr">
        <is>
          <t>The Calendar sheet does not exist.</t>
        </is>
      </c>
      <c r="E616" s="172" t="inlineStr">
        <is>
          <t>Calendar 시트가 없습니다.</t>
        </is>
      </c>
      <c r="F616" s="172" t="inlineStr">
        <is>
          <t>Calendar 시트가 없습니다.</t>
        </is>
      </c>
    </row>
    <row r="617">
      <c r="B617" s="117" t="n">
        <v>701</v>
      </c>
      <c r="D617" s="119" t="inlineStr">
        <is>
          <t>Failed to retrieve data from the server.</t>
        </is>
      </c>
      <c r="E617" s="172" t="inlineStr">
        <is>
          <t>서버에서 데이터를 가져오지 못했습니다.</t>
        </is>
      </c>
      <c r="F617" s="172" t="inlineStr">
        <is>
          <t>서버에서 데이터를 가져오지 못했습니다.</t>
        </is>
      </c>
    </row>
    <row r="618">
      <c r="B618" s="117" t="n">
        <v>702</v>
      </c>
      <c r="D618" s="119" t="inlineStr">
        <is>
          <t>Successfully retrieved and added {} new holiday(s) from the server.</t>
        </is>
      </c>
      <c r="E618" s="135" t="inlineStr">
        <is>
          <t>서버에서 {}개의 새로운 공휴일을 가져와 추가했습니다.</t>
        </is>
      </c>
      <c r="F618" s="135" t="inlineStr">
        <is>
          <t>서버에서 {}개의 새로운 공휴일을 가져와 추가했습니다.</t>
        </is>
      </c>
    </row>
    <row r="619">
      <c r="B619" s="117" t="n">
        <v>703</v>
      </c>
      <c r="D619" s="119" t="inlineStr">
        <is>
          <t>No new holidays to add. (Already up to date.)</t>
        </is>
      </c>
      <c r="E619" s="135" t="inlineStr">
        <is>
          <t>새롭게 추가할 공휴일이 없습니다.(이미 최신 상태입니다.)</t>
        </is>
      </c>
      <c r="F619" s="135" t="inlineStr">
        <is>
          <t>새롭게 추가할 공휴일이 없습니다.(이미 최신 상태입니다.)</t>
        </is>
      </c>
    </row>
    <row r="620">
      <c r="B620" s="117" t="n">
        <v>704</v>
      </c>
      <c r="D620" s="119" t="inlineStr">
        <is>
          <t>An error occurred while retrieving holiday information.</t>
        </is>
      </c>
      <c r="E620" s="135" t="inlineStr">
        <is>
          <t>공휴일 정보를 가져오는 중 오류가 발생했습니다.</t>
        </is>
      </c>
      <c r="F620" s="135" t="inlineStr">
        <is>
          <t>공휴일 정보를 가져오는 중 오류가 발생했습니다.</t>
        </is>
      </c>
    </row>
    <row r="621">
      <c r="B621" s="117" t="n">
        <v>705</v>
      </c>
      <c r="D621" s="119" t="inlineStr">
        <is>
          <t>Progress Data</t>
        </is>
      </c>
      <c r="E621" s="134" t="inlineStr">
        <is>
          <t>진척률 데이터</t>
        </is>
      </c>
      <c r="F621" s="134" t="inlineStr">
        <is>
          <t>진척률 데이터</t>
        </is>
      </c>
    </row>
    <row r="622">
      <c r="B622" s="117" t="n">
        <v>706</v>
      </c>
      <c r="D622" s="119" t="inlineStr">
        <is>
          <t>Week Number</t>
        </is>
      </c>
      <c r="E622" s="134" t="inlineStr">
        <is>
          <t>주차</t>
        </is>
      </c>
      <c r="F622" s="134" t="inlineStr">
        <is>
          <t>주차</t>
        </is>
      </c>
    </row>
    <row r="623">
      <c r="B623" s="117" t="n">
        <v>707</v>
      </c>
      <c r="D623" s="119" t="inlineStr">
        <is>
          <t>Daily Planned Workload(Man-Day)</t>
        </is>
      </c>
      <c r="E623" s="119" t="inlineStr">
        <is>
          <t>일일 계획작업량(Man-Day)</t>
        </is>
      </c>
      <c r="F623" s="119" t="inlineStr">
        <is>
          <t>일일 계획작업량(Man-Day)</t>
        </is>
      </c>
    </row>
    <row r="624">
      <c r="B624" s="117" t="n">
        <v>708</v>
      </c>
      <c r="D624" s="119" t="inlineStr">
        <is>
          <t>Daily Earned Value(Man-Day)</t>
        </is>
      </c>
      <c r="E624" s="119" t="inlineStr">
        <is>
          <t>일일 실적기성(Man-Day)</t>
        </is>
      </c>
      <c r="F624" s="119" t="inlineStr">
        <is>
          <t>일일 실적기성(Man-Day)</t>
        </is>
      </c>
    </row>
    <row r="625">
      <c r="B625" s="117" t="n">
        <v>709</v>
      </c>
      <c r="D625" s="119" t="inlineStr">
        <is>
          <t>Daily Actual Incurred(Man-Day)</t>
        </is>
      </c>
      <c r="E625" s="135" t="inlineStr">
        <is>
          <t>일일 실제투입작업량(Man-Day)</t>
        </is>
      </c>
      <c r="F625" s="119" t="inlineStr">
        <is>
          <t>일일 실제 투입작업량(Man-Day)</t>
        </is>
      </c>
    </row>
    <row r="626">
      <c r="B626" s="117" t="n">
        <v>710</v>
      </c>
      <c r="D626" s="119" t="inlineStr">
        <is>
          <t>There is no valid Progress data.</t>
        </is>
      </c>
      <c r="E626" s="134" t="inlineStr">
        <is>
          <t>유효한 진척률 데이터가 없습니다.</t>
        </is>
      </c>
      <c r="F626" s="134" t="inlineStr">
        <is>
          <t>유효한 진척률 데이터가 없습니다.</t>
        </is>
      </c>
    </row>
    <row r="627" ht="24" customHeight="1">
      <c r="B627" s="117" t="n">
        <v>711</v>
      </c>
      <c r="D627" s="119" t="inlineStr">
        <is>
          <t>Create daily raw data for progress rates, supporting customized charting and analysis.</t>
        </is>
      </c>
      <c r="E627" s="172" t="inlineStr">
        <is>
          <t>진척률 정보를 일단위 Raw data로 생성한다. 차트를 그리거나 사용자가 원하는대로 분석을 할 수 있다.</t>
        </is>
      </c>
      <c r="F627" s="172" t="inlineStr">
        <is>
          <t>진척률 정보를 일단위 Raw data로 생성한다. 차트를 그리거나 사용자가 원하는대로 분석을 할 수 있다.</t>
        </is>
      </c>
    </row>
    <row r="628" customFormat="1" s="192">
      <c r="B628" s="117" t="n">
        <v>712</v>
      </c>
      <c r="C628" s="193" t="inlineStr">
        <is>
          <t>for help sheet</t>
        </is>
      </c>
      <c r="D628" s="194" t="inlineStr">
        <is>
          <t>Task input, schedule update</t>
        </is>
      </c>
      <c r="E628" s="194" t="inlineStr">
        <is>
          <t>작업입력, 스케줄 업데이트</t>
        </is>
      </c>
      <c r="F628" s="194"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3" min="1" max="1"/>
    <col width="33.25" bestFit="1" customWidth="1" style="63" min="2" max="2"/>
    <col width="20.25" customWidth="1" style="62" min="3" max="3"/>
    <col width="23.125" customWidth="1" style="62" min="4" max="4"/>
    <col width="10" customWidth="1" style="62" min="5" max="5"/>
    <col width="15.25" customWidth="1" style="62" min="6" max="6"/>
    <col width="21.25" bestFit="1" customWidth="1" style="62" min="7" max="7"/>
    <col width="40.375" customWidth="1" style="63" min="8" max="8"/>
    <col width="23.625" bestFit="1" customWidth="1" style="63" min="9" max="9"/>
    <col width="9.5" bestFit="1" customWidth="1" style="63" min="10" max="10"/>
    <col width="22.5" bestFit="1" customWidth="1" style="63" min="11" max="11"/>
    <col width="60.75" bestFit="1" customWidth="1" style="63" min="12" max="12"/>
    <col width="25.125" bestFit="1" customWidth="1" style="63" min="13" max="13"/>
    <col width="4.75" bestFit="1" customWidth="1" style="63" min="14" max="14"/>
    <col width="23" bestFit="1" customWidth="1" style="63" min="15" max="15"/>
    <col width="8" bestFit="1" customWidth="1" style="63" min="16" max="16"/>
    <col width="28.375" bestFit="1" customWidth="1" style="63" min="17" max="17"/>
    <col width="6" bestFit="1" customWidth="1" style="63" min="18" max="18"/>
    <col width="27.75" bestFit="1" customWidth="1" style="63" min="19" max="19"/>
    <col width="4.75" bestFit="1" customWidth="1" style="63" min="20" max="20"/>
    <col width="24.375" bestFit="1" customWidth="1" style="63" min="21" max="21"/>
    <col width="4.25" bestFit="1" customWidth="1" style="63" min="22" max="22"/>
    <col width="28.875" bestFit="1" customWidth="1" style="63" min="23" max="23"/>
    <col width="8" bestFit="1" customWidth="1" style="63" min="24" max="24"/>
    <col width="22.625" bestFit="1" customWidth="1" style="63" min="25" max="25"/>
    <col width="4.875" bestFit="1" customWidth="1" style="63" min="26" max="26"/>
    <col width="24.375" customWidth="1" style="63" min="27" max="27"/>
    <col hidden="1" width="7.375" customWidth="1" style="63" min="28" max="28"/>
    <col width="19.75" bestFit="1" customWidth="1" style="63" min="29" max="29"/>
    <col width="4.25" bestFit="1" customWidth="1" style="63" min="30" max="30"/>
    <col width="15.375" bestFit="1" customWidth="1" style="63" min="31" max="31"/>
    <col width="39.625" bestFit="1" customWidth="1" style="63" min="32" max="32"/>
    <col width="35.75" bestFit="1" customWidth="1" style="63" min="33" max="33"/>
    <col width="4.875" bestFit="1" customWidth="1" style="63" min="34" max="34"/>
    <col width="24.25" bestFit="1" customWidth="1" style="63" min="35" max="35"/>
    <col width="8.75" bestFit="1" customWidth="1" style="63" min="36" max="36"/>
    <col width="26" bestFit="1" customWidth="1" style="63" min="37" max="37"/>
    <col width="4.625" bestFit="1" customWidth="1" style="63" min="38" max="38"/>
    <col width="35.625" bestFit="1" customWidth="1" style="63" min="39" max="39"/>
    <col width="33.375" bestFit="1" customWidth="1" style="63" min="40" max="40"/>
    <col width="22.625" bestFit="1" customWidth="1" style="63" min="41" max="41"/>
    <col width="5.25" bestFit="1" customWidth="1" style="63" min="42" max="42"/>
    <col width="16.625" bestFit="1" customWidth="1" style="63" min="43" max="43"/>
    <col width="93.375" bestFit="1" customWidth="1" style="63" min="44" max="44"/>
    <col width="21" bestFit="1" customWidth="1" style="63" min="45" max="45"/>
    <col width="5.5" bestFit="1" customWidth="1" style="63" min="46" max="46"/>
    <col width="14.875" bestFit="1" customWidth="1" style="63" min="47" max="47"/>
    <col width="28.625" bestFit="1" customWidth="1" style="63" min="48" max="48"/>
    <col width="22.625" bestFit="1" customWidth="1" style="63" min="49" max="49"/>
    <col width="4.875" bestFit="1" customWidth="1" style="63" min="50" max="50"/>
    <col width="15.625" bestFit="1" customWidth="1" style="63" min="51" max="51"/>
    <col width="13.125" bestFit="1" customWidth="1" style="63" min="52" max="53"/>
    <col width="14.875" bestFit="1" customWidth="1" style="63" min="54" max="55"/>
    <col width="22.625" bestFit="1" customWidth="1" style="63" min="56" max="57"/>
    <col width="15.625" bestFit="1" customWidth="1" style="63" min="58" max="59"/>
    <col width="13.125" bestFit="1" customWidth="1" style="63" min="60" max="61"/>
    <col width="14.875" bestFit="1" customWidth="1" style="63" min="62" max="63"/>
    <col width="22.625" bestFit="1" customWidth="1" style="63" min="64" max="65"/>
    <col width="10" customWidth="1" style="63" min="66" max="66"/>
    <col width="33.75" bestFit="1" customWidth="1" style="63" min="67" max="67"/>
    <col width="10" customWidth="1" style="63" min="68" max="68"/>
    <col width="10" customWidth="1" style="63" min="69" max="16384"/>
  </cols>
  <sheetData>
    <row r="1" customFormat="1" s="62">
      <c r="A1" s="61" t="inlineStr">
        <is>
          <t>ITEM_GROUP</t>
        </is>
      </c>
      <c r="B1" s="61" t="inlineStr">
        <is>
          <t>ITEM</t>
        </is>
      </c>
      <c r="C1" s="61" t="inlineStr">
        <is>
          <t>VALUE1</t>
        </is>
      </c>
      <c r="D1" s="61" t="inlineStr">
        <is>
          <t>VALUE2</t>
        </is>
      </c>
      <c r="E1" s="61" t="inlineStr">
        <is>
          <t>VALUE3</t>
        </is>
      </c>
      <c r="F1" s="61" t="inlineStr">
        <is>
          <t>INSERTED_DATE</t>
        </is>
      </c>
      <c r="G1" s="61" t="inlineStr">
        <is>
          <t>UPDATED_DATE</t>
        </is>
      </c>
      <c r="H1" s="61" t="inlineStr">
        <is>
          <t>DESCRIPTION</t>
        </is>
      </c>
    </row>
    <row r="2">
      <c r="A2" s="112" t="inlineStr">
        <is>
          <t>CM</t>
        </is>
      </c>
      <c r="B2" s="112" t="inlineStr">
        <is>
          <t>COMPANY</t>
        </is>
      </c>
      <c r="C2" s="113" t="inlineStr">
        <is>
          <t>XLWorks</t>
        </is>
      </c>
      <c r="D2" s="113" t="n"/>
      <c r="E2" s="113" t="n"/>
      <c r="F2" s="113" t="n"/>
      <c r="G2" s="113" t="n"/>
      <c r="H2" s="113" t="inlineStr">
        <is>
          <t>DO NOT UPDATE</t>
        </is>
      </c>
    </row>
    <row r="3">
      <c r="A3" s="112" t="inlineStr">
        <is>
          <t>CM</t>
        </is>
      </c>
      <c r="B3" s="112" t="inlineStr">
        <is>
          <t>AUTHOR_NAME</t>
        </is>
      </c>
      <c r="C3" s="113" t="inlineStr">
        <is>
          <t>XLWorks</t>
        </is>
      </c>
      <c r="D3" s="113" t="n"/>
      <c r="E3" s="113" t="n"/>
      <c r="F3" s="113" t="n"/>
      <c r="G3" s="113" t="n"/>
      <c r="H3" s="113" t="inlineStr">
        <is>
          <t>DO NOT UPDATE</t>
        </is>
      </c>
    </row>
    <row r="4">
      <c r="A4" s="112" t="inlineStr">
        <is>
          <t>CM</t>
        </is>
      </c>
      <c r="B4" s="112" t="inlineStr">
        <is>
          <t>AUTHOR_EMAIL</t>
        </is>
      </c>
      <c r="C4" s="128" t="inlineStr">
        <is>
          <t>admin@xlworks.net</t>
        </is>
      </c>
      <c r="D4" s="113" t="n"/>
      <c r="E4" s="113" t="n"/>
      <c r="F4" s="113" t="n"/>
      <c r="G4" s="113" t="n"/>
      <c r="H4" s="113" t="inlineStr">
        <is>
          <t>DO NOT UPDATE</t>
        </is>
      </c>
    </row>
    <row r="5">
      <c r="A5" s="112" t="inlineStr">
        <is>
          <t>CM</t>
        </is>
      </c>
      <c r="B5" s="112" t="inlineStr">
        <is>
          <t>PROGRAM_NAME</t>
        </is>
      </c>
      <c r="C5" s="113" t="inlineStr">
        <is>
          <t>XLGantt</t>
        </is>
      </c>
      <c r="D5" s="113" t="n"/>
      <c r="E5" s="113" t="n"/>
      <c r="F5" s="113" t="n"/>
      <c r="G5" s="113" t="n"/>
      <c r="H5" s="113" t="inlineStr">
        <is>
          <t>DO NOT UPDATE</t>
        </is>
      </c>
    </row>
    <row r="6" ht="13.5" customHeight="1">
      <c r="A6" s="112" t="inlineStr">
        <is>
          <t>CM</t>
        </is>
      </c>
      <c r="B6" s="112" t="inlineStr">
        <is>
          <t>PROGRAM_SITE</t>
        </is>
      </c>
      <c r="C6" s="129" t="inlineStr">
        <is>
          <t>https://xlworks.net/en/xlgantt-project-scheduler/</t>
        </is>
      </c>
      <c r="D6" s="113" t="n"/>
      <c r="E6" s="113" t="n"/>
      <c r="F6" s="113" t="n"/>
      <c r="G6" s="113" t="n"/>
      <c r="H6" s="113" t="inlineStr">
        <is>
          <t>DO NOT UPDATE</t>
        </is>
      </c>
    </row>
    <row r="7">
      <c r="A7" s="112" t="inlineStr">
        <is>
          <t>CM</t>
        </is>
      </c>
      <c r="B7" s="112" t="inlineStr">
        <is>
          <t>PROGRAM_SITE_DISP</t>
        </is>
      </c>
      <c r="C7" s="112" t="inlineStr">
        <is>
          <t>XLWorks</t>
        </is>
      </c>
      <c r="D7" s="113" t="n"/>
      <c r="E7" s="113" t="n"/>
      <c r="F7" s="113" t="n"/>
      <c r="G7" s="113" t="n"/>
      <c r="H7" s="113" t="inlineStr">
        <is>
          <t>DO NOT UPDATE</t>
        </is>
      </c>
    </row>
    <row r="8">
      <c r="A8" s="131" t="inlineStr">
        <is>
          <t>CM</t>
        </is>
      </c>
      <c r="B8" s="131" t="inlineStr">
        <is>
          <t>VERSION</t>
        </is>
      </c>
      <c r="C8" s="132" t="inlineStr">
        <is>
          <t>6.1.0</t>
        </is>
      </c>
      <c r="D8" s="133" t="inlineStr">
        <is>
          <t>{"TASK_FIRST_COL":"5","START_ROW":"5","WBS_AREA_LAST_COL":"31"}</t>
        </is>
      </c>
      <c r="E8" s="133" t="n">
        <v>82</v>
      </c>
      <c r="F8" s="133" t="n"/>
      <c r="G8" s="131" t="n"/>
      <c r="H8" s="133" t="inlineStr">
        <is>
          <t>DO NOT UPDATE, DO NOT MOVE ROW 8 TO ANOTHER ROW</t>
        </is>
      </c>
    </row>
    <row r="9">
      <c r="A9" s="112" t="inlineStr">
        <is>
          <t>CM</t>
        </is>
      </c>
      <c r="B9" s="112" t="inlineStr">
        <is>
          <t>RELEASE_DATE</t>
        </is>
      </c>
      <c r="C9" s="130" t="n">
        <v>46119</v>
      </c>
      <c r="D9" s="113" t="n"/>
      <c r="E9" s="113" t="n"/>
      <c r="F9" s="113" t="n"/>
      <c r="G9" s="113" t="n"/>
      <c r="H9" s="113" t="inlineStr">
        <is>
          <t>DO NOT UPDATE</t>
        </is>
      </c>
    </row>
    <row r="10">
      <c r="A10" s="112" t="inlineStr">
        <is>
          <t>CM</t>
        </is>
      </c>
      <c r="B10" s="112" t="inlineStr">
        <is>
          <t>LICENSE</t>
        </is>
      </c>
      <c r="C10" s="113" t="inlineStr">
        <is>
          <t>Freeware</t>
        </is>
      </c>
      <c r="D10" s="113" t="n"/>
      <c r="E10" s="113" t="n"/>
      <c r="F10" s="113" t="n"/>
      <c r="G10" s="113" t="n"/>
      <c r="H10" s="113" t="inlineStr">
        <is>
          <t>DO NOT UPDATE</t>
        </is>
      </c>
    </row>
    <row r="11">
      <c r="A11" s="63" t="inlineStr">
        <is>
          <t>OG</t>
        </is>
      </c>
      <c r="B11" s="63" t="inlineStr">
        <is>
          <t>chkAutoAdjustHeightRow1_4</t>
        </is>
      </c>
      <c r="C11" s="62" t="n">
        <v>1</v>
      </c>
      <c r="G11" s="65" t="n">
        <v>46141.75611111111</v>
      </c>
    </row>
    <row r="12">
      <c r="A12" s="63" t="inlineStr">
        <is>
          <t>OG</t>
        </is>
      </c>
      <c r="B12" s="63" t="inlineStr">
        <is>
          <t>chkAutoAdjustHeightRow1_5</t>
        </is>
      </c>
      <c r="C12" s="62" t="n">
        <v>1</v>
      </c>
    </row>
    <row r="13">
      <c r="A13" s="63" t="inlineStr">
        <is>
          <t>OG</t>
        </is>
      </c>
      <c r="B13" s="63" t="inlineStr">
        <is>
          <t>chkCheckForUpdatesOnStartup</t>
        </is>
      </c>
      <c r="C13" s="62" t="n">
        <v>1</v>
      </c>
      <c r="G13" s="65" t="n">
        <v>46141.75611111111</v>
      </c>
    </row>
    <row r="14">
      <c r="A14" s="63" t="inlineStr">
        <is>
          <t>OG</t>
        </is>
      </c>
      <c r="B14" s="63" t="inlineStr">
        <is>
          <t>chkImportDataOnStartup</t>
        </is>
      </c>
      <c r="C14" s="62" t="n">
        <v>0</v>
      </c>
      <c r="G14" s="65" t="n">
        <v>46141.75611111111</v>
      </c>
    </row>
    <row r="15">
      <c r="A15" s="63" t="inlineStr">
        <is>
          <t>OG</t>
        </is>
      </c>
      <c r="B15" s="63" t="inlineStr">
        <is>
          <t>chkWBSUpdateExecuteYN</t>
        </is>
      </c>
      <c r="C15" s="62" t="n">
        <v>1</v>
      </c>
      <c r="G15" s="65" t="n">
        <v>46141.75611111111</v>
      </c>
    </row>
    <row r="16">
      <c r="A16" s="63" t="inlineStr">
        <is>
          <t>OG</t>
        </is>
      </c>
      <c r="B16" s="63" t="inlineStr">
        <is>
          <t>isConfirmedProjectBasicInfo</t>
        </is>
      </c>
      <c r="C16" s="62" t="n">
        <v>1</v>
      </c>
      <c r="G16" s="65" t="n">
        <v>46141.75611111111</v>
      </c>
    </row>
    <row r="17">
      <c r="A17" s="63" t="inlineStr">
        <is>
          <t>OG</t>
        </is>
      </c>
      <c r="B17" s="63" t="inlineStr">
        <is>
          <t>optFirstDayOfWeek</t>
        </is>
      </c>
      <c r="C17" s="62" t="n">
        <v>1</v>
      </c>
      <c r="G17" s="65" t="n">
        <v>46141.75611111111</v>
      </c>
    </row>
    <row r="18">
      <c r="A18" s="63" t="inlineStr">
        <is>
          <t>OG</t>
        </is>
      </c>
      <c r="B18" s="63" t="inlineStr">
        <is>
          <t>optNonWorkingDays</t>
        </is>
      </c>
      <c r="C18" s="62" t="n">
        <v>1</v>
      </c>
      <c r="G18" s="65" t="n">
        <v>46141.75611111111</v>
      </c>
    </row>
    <row r="19">
      <c r="A19" s="63" t="inlineStr">
        <is>
          <t>OG</t>
        </is>
      </c>
      <c r="B19" s="63" t="inlineStr">
        <is>
          <t>optPlanRateCriteriaDate</t>
        </is>
      </c>
      <c r="C19" s="64" t="inlineStr">
        <is>
          <t>TODAY</t>
        </is>
      </c>
      <c r="G19" s="65" t="n">
        <v>46141.75611111111</v>
      </c>
    </row>
    <row r="20">
      <c r="A20" s="63" t="inlineStr">
        <is>
          <t>OG</t>
        </is>
      </c>
      <c r="B20" s="63" t="inlineStr">
        <is>
          <t>optRecalcWBSArea</t>
        </is>
      </c>
      <c r="C20" s="62" t="n">
        <v>0</v>
      </c>
      <c r="G20" s="65" t="n">
        <v>46141.75611111111</v>
      </c>
    </row>
    <row r="21">
      <c r="A21" s="63" t="inlineStr">
        <is>
          <t>OG</t>
        </is>
      </c>
      <c r="B21" s="63" t="inlineStr">
        <is>
          <t>optScheduleChangeMgt</t>
        </is>
      </c>
      <c r="C21" s="62" t="n">
        <v>1</v>
      </c>
      <c r="G21" s="65" t="n">
        <v>46141.75611111111</v>
      </c>
    </row>
    <row r="22">
      <c r="A22" s="63" t="inlineStr">
        <is>
          <t>OG</t>
        </is>
      </c>
      <c r="B22" s="63" t="inlineStr">
        <is>
          <t>optWeekNum</t>
        </is>
      </c>
      <c r="C22" s="62" t="n">
        <v>1</v>
      </c>
      <c r="G22" s="65" t="n">
        <v>46141.75611111111</v>
      </c>
    </row>
    <row r="23">
      <c r="A23" s="63" t="inlineStr">
        <is>
          <t>OG</t>
        </is>
      </c>
      <c r="B23" s="63" t="inlineStr">
        <is>
          <t>optWorkloadCalcByResourceAssignRate</t>
        </is>
      </c>
      <c r="C23" s="62" t="n">
        <v>1</v>
      </c>
      <c r="G23" s="65" t="n">
        <v>46141.75611111111</v>
      </c>
    </row>
    <row r="24">
      <c r="A24" s="63" t="inlineStr">
        <is>
          <t>OG</t>
        </is>
      </c>
      <c r="B24" s="63" t="inlineStr">
        <is>
          <t>projectEndDate</t>
        </is>
      </c>
      <c r="C24" s="64" t="n">
        <v>46568</v>
      </c>
      <c r="G24" s="65" t="n">
        <v>46189.47292824074</v>
      </c>
    </row>
    <row r="25">
      <c r="A25" s="63" t="inlineStr">
        <is>
          <t>OG</t>
        </is>
      </c>
      <c r="B25" s="63" t="inlineStr">
        <is>
          <t>projectName</t>
        </is>
      </c>
      <c r="C25" s="62" t="inlineStr">
        <is>
          <t>Nexus 프로젝트</t>
        </is>
      </c>
      <c r="G25" s="65" t="n">
        <v>46141.75611111111</v>
      </c>
    </row>
    <row r="26">
      <c r="A26" s="63" t="inlineStr">
        <is>
          <t>OG</t>
        </is>
      </c>
      <c r="B26" s="63" t="inlineStr">
        <is>
          <t>projectStartDate</t>
        </is>
      </c>
      <c r="C26" s="64" t="n">
        <v>46086</v>
      </c>
      <c r="G26" s="65" t="n">
        <v>46189.47292824074</v>
      </c>
    </row>
    <row r="27">
      <c r="A27" s="63" t="inlineStr">
        <is>
          <t>OG</t>
        </is>
      </c>
      <c r="B27" s="63" t="inlineStr">
        <is>
          <t>scheduleSheetPosition</t>
        </is>
      </c>
      <c r="C27" s="62" t="inlineStr">
        <is>
          <t>SCHEDULE_SHEET_POSITION:3545151617181920212223242526272829303132</t>
        </is>
      </c>
      <c r="G27" s="65" t="n">
        <v>46189.47042824074</v>
      </c>
    </row>
    <row r="28">
      <c r="A28" s="63" t="inlineStr">
        <is>
          <t>OG</t>
        </is>
      </c>
      <c r="B28" s="63" t="inlineStr">
        <is>
          <t>setTaskDateToProjectDate</t>
        </is>
      </c>
      <c r="C28" s="62" t="n">
        <v>1</v>
      </c>
      <c r="G28" s="65" t="n">
        <v>46141.75611111111</v>
      </c>
    </row>
    <row r="29">
      <c r="A29" s="63" t="inlineStr">
        <is>
          <t>OG</t>
        </is>
      </c>
      <c r="B29" s="63" t="inlineStr">
        <is>
          <t>txtAvgWorkingdays</t>
        </is>
      </c>
      <c r="C29" s="62" t="n">
        <v>20</v>
      </c>
      <c r="G29" s="65" t="n">
        <v>46141.75611111111</v>
      </c>
    </row>
    <row r="30">
      <c r="A30" s="63" t="inlineStr">
        <is>
          <t>OG</t>
        </is>
      </c>
      <c r="B30" s="63" t="inlineStr">
        <is>
          <t>txtPrintSpace</t>
        </is>
      </c>
      <c r="C30" s="62" t="n">
        <v>10</v>
      </c>
      <c r="G30" s="65" t="n">
        <v>46141.75611111111</v>
      </c>
    </row>
    <row r="31">
      <c r="A31" s="63" t="inlineStr">
        <is>
          <t>OG</t>
        </is>
      </c>
      <c r="B31" s="63" t="inlineStr">
        <is>
          <t>XLGanttFileCalcMode</t>
        </is>
      </c>
      <c r="C31" s="62" t="n">
        <v>-4105</v>
      </c>
      <c r="F31" s="65" t="n"/>
      <c r="G31" s="65" t="n">
        <v>46189.47292824074</v>
      </c>
    </row>
    <row r="32">
      <c r="A32" s="63" t="inlineStr">
        <is>
          <t>OW</t>
        </is>
      </c>
      <c r="B32" s="63" t="inlineStr">
        <is>
          <t>actualRateDisp</t>
        </is>
      </c>
      <c r="C32" s="62" t="n">
        <v>1</v>
      </c>
      <c r="G32" s="65" t="n">
        <v>46141.75611111111</v>
      </c>
    </row>
    <row r="33">
      <c r="A33" s="63" t="inlineStr">
        <is>
          <t>OW</t>
        </is>
      </c>
      <c r="B33" s="63" t="inlineStr">
        <is>
          <t>applyUserInputFirst</t>
        </is>
      </c>
      <c r="C33" s="62" t="n">
        <v>0</v>
      </c>
    </row>
    <row r="34">
      <c r="A34" s="63" t="inlineStr">
        <is>
          <t>OW</t>
        </is>
      </c>
      <c r="B34" s="63" t="inlineStr">
        <is>
          <t>cbxColorTheme</t>
        </is>
      </c>
      <c r="C34" s="62" t="n">
        <v>1</v>
      </c>
      <c r="G34" s="65" t="n">
        <v>46141.75611111111</v>
      </c>
    </row>
    <row r="35">
      <c r="A35" s="63" t="inlineStr">
        <is>
          <t>OW</t>
        </is>
      </c>
      <c r="B35" s="63" t="inlineStr">
        <is>
          <t>chkProjectWeekNumDispOverTimescale</t>
        </is>
      </c>
      <c r="C35" s="62" t="n">
        <v>1</v>
      </c>
      <c r="G35" s="65" t="n">
        <v>46141.75611111111</v>
      </c>
    </row>
    <row r="36">
      <c r="A36" s="63" t="inlineStr">
        <is>
          <t>OW</t>
        </is>
      </c>
      <c r="B36" s="63" t="inlineStr">
        <is>
          <t>chkYearDispOverTimescale</t>
        </is>
      </c>
      <c r="C36" s="62" t="n">
        <v>1</v>
      </c>
      <c r="G36" s="65" t="n">
        <v>46141.75611111111</v>
      </c>
    </row>
    <row r="37">
      <c r="A37" s="63" t="inlineStr">
        <is>
          <t>OW</t>
        </is>
      </c>
      <c r="B37" s="63" t="inlineStr">
        <is>
          <t>completeTaskGrayDisplay</t>
        </is>
      </c>
      <c r="C37" s="62" t="n">
        <v>0</v>
      </c>
      <c r="G37" s="65" t="n">
        <v>46141.75611111111</v>
      </c>
    </row>
    <row r="38">
      <c r="A38" s="63" t="inlineStr">
        <is>
          <t>OW</t>
        </is>
      </c>
      <c r="B38" s="63" t="inlineStr">
        <is>
          <t>dateDisp</t>
        </is>
      </c>
      <c r="C38" s="62" t="n">
        <v>1</v>
      </c>
      <c r="G38" s="65" t="n">
        <v>46141.75611111111</v>
      </c>
    </row>
    <row r="39">
      <c r="A39" s="63" t="inlineStr">
        <is>
          <t>OW</t>
        </is>
      </c>
      <c r="B39" s="63" t="inlineStr">
        <is>
          <t>dateDispOnTimescale</t>
        </is>
      </c>
      <c r="C39" s="62" t="n">
        <v>2</v>
      </c>
      <c r="G39" s="65" t="n">
        <v>46141.75611111111</v>
      </c>
    </row>
    <row r="40">
      <c r="A40" s="63" t="inlineStr">
        <is>
          <t>OW</t>
        </is>
      </c>
      <c r="B40" s="63" t="inlineStr">
        <is>
          <t>ganttColWidth</t>
        </is>
      </c>
      <c r="C40" s="62" t="n">
        <v>0.7</v>
      </c>
    </row>
    <row r="41">
      <c r="A41" s="63" t="inlineStr">
        <is>
          <t>OW</t>
        </is>
      </c>
      <c r="B41" s="63" t="inlineStr">
        <is>
          <t>groupRows</t>
        </is>
      </c>
      <c r="C41" s="62" t="n">
        <v>1</v>
      </c>
      <c r="G41" s="65" t="n">
        <v>46141.75611111111</v>
      </c>
    </row>
    <row r="42">
      <c r="A42" s="63" t="inlineStr">
        <is>
          <t>OW</t>
        </is>
      </c>
      <c r="B42" s="63" t="inlineStr">
        <is>
          <t>groupTaskInteriorGrayDisplay</t>
        </is>
      </c>
      <c r="C42" s="62" t="n">
        <v>1</v>
      </c>
      <c r="G42" s="65" t="n">
        <v>46141.75611111111</v>
      </c>
    </row>
    <row r="43">
      <c r="A43" s="63" t="inlineStr">
        <is>
          <t>OW</t>
        </is>
      </c>
      <c r="B43" s="63" t="inlineStr">
        <is>
          <t>optAlignWBSColumn</t>
        </is>
      </c>
      <c r="C43" s="62" t="n">
        <v>-4131</v>
      </c>
      <c r="G43" s="65" t="n">
        <v>46141.75611111111</v>
      </c>
    </row>
    <row r="44">
      <c r="A44" s="63" t="inlineStr">
        <is>
          <t>OW</t>
        </is>
      </c>
      <c r="B44" s="63" t="inlineStr">
        <is>
          <t>optGanttChartColumnDisplay</t>
        </is>
      </c>
      <c r="C44" s="62" t="n">
        <v>7</v>
      </c>
      <c r="G44" s="65" t="n">
        <v>46141.75611111111</v>
      </c>
    </row>
    <row r="45">
      <c r="A45" s="63" t="inlineStr">
        <is>
          <t>OW</t>
        </is>
      </c>
      <c r="B45" s="63" t="inlineStr">
        <is>
          <t>plannedRateDisp</t>
        </is>
      </c>
      <c r="C45" s="62" t="n">
        <v>0</v>
      </c>
      <c r="G45" s="65" t="n">
        <v>46141.75611111111</v>
      </c>
    </row>
    <row r="46">
      <c r="A46" s="63" t="inlineStr">
        <is>
          <t>OW</t>
        </is>
      </c>
      <c r="B46" s="63" t="inlineStr">
        <is>
          <t>resourceDisp</t>
        </is>
      </c>
      <c r="C46" s="62" t="n">
        <v>1</v>
      </c>
      <c r="G46" s="65" t="n">
        <v>46141.75611111111</v>
      </c>
    </row>
    <row r="47">
      <c r="A47" s="63" t="inlineStr">
        <is>
          <t>OW</t>
        </is>
      </c>
      <c r="B47" s="63" t="inlineStr">
        <is>
          <t>taskDisp</t>
        </is>
      </c>
      <c r="C47" s="62" t="n">
        <v>1</v>
      </c>
      <c r="G47" s="65" t="n">
        <v>46141.75611111111</v>
      </c>
    </row>
    <row r="48">
      <c r="A48" s="63" t="inlineStr">
        <is>
          <t>OW</t>
        </is>
      </c>
      <c r="B48" s="63" t="inlineStr">
        <is>
          <t>taskDispInGroup</t>
        </is>
      </c>
      <c r="C48" s="62" t="n">
        <v>1</v>
      </c>
    </row>
    <row r="49">
      <c r="A49" s="63" t="inlineStr">
        <is>
          <t>OW</t>
        </is>
      </c>
      <c r="B49" s="63" t="inlineStr">
        <is>
          <t>taskDispInSub</t>
        </is>
      </c>
      <c r="C49" s="62" t="n">
        <v>0</v>
      </c>
    </row>
    <row r="50">
      <c r="A50" s="63" t="inlineStr">
        <is>
          <t>OW</t>
        </is>
      </c>
      <c r="B50" s="63" t="inlineStr">
        <is>
          <t>taskNameDisplayPosition</t>
        </is>
      </c>
      <c r="C50" s="62" t="n">
        <v>2</v>
      </c>
      <c r="G50" s="65" t="n">
        <v>46141.75611111111</v>
      </c>
    </row>
    <row r="51">
      <c r="A51" s="63" t="inlineStr">
        <is>
          <t>OW</t>
        </is>
      </c>
      <c r="B51" s="63" t="inlineStr">
        <is>
          <t>themeColorList</t>
        </is>
      </c>
      <c r="C51" s="62" t="inlineStr">
        <is>
          <t>10066176;10066176;26367;8421504;26367;8421504;16764108;16737792;65280;16737792;13311;65280;14540253;65535;255</t>
        </is>
      </c>
      <c r="G51" s="65" t="n">
        <v>45811.50578703704</v>
      </c>
    </row>
    <row r="52">
      <c r="A52" s="63" t="inlineStr">
        <is>
          <t>OW</t>
        </is>
      </c>
      <c r="B52" s="63" t="inlineStr">
        <is>
          <t>txtGanttChartZoomRatio</t>
        </is>
      </c>
      <c r="C52" s="62" t="n">
        <v>100</v>
      </c>
      <c r="G52" s="65" t="n">
        <v>46141.75611111111</v>
      </c>
    </row>
    <row r="53">
      <c r="A53" s="63" t="inlineStr">
        <is>
          <t>OW</t>
        </is>
      </c>
      <c r="B53" s="63" t="inlineStr">
        <is>
          <t>txtNumberOfTaskColumn</t>
        </is>
      </c>
      <c r="C53" s="62" t="n">
        <v>9</v>
      </c>
    </row>
    <row r="54">
      <c r="A54" s="63" t="inlineStr">
        <is>
          <t>OW</t>
        </is>
      </c>
      <c r="B54" s="63" t="inlineStr">
        <is>
          <t>ganttChartDisp</t>
        </is>
      </c>
      <c r="C54" s="62" t="n">
        <v>1</v>
      </c>
      <c r="F54" s="65" t="n">
        <v>45811.00981481482</v>
      </c>
      <c r="G54" s="65" t="n">
        <v>46141.75611111111</v>
      </c>
    </row>
    <row r="55">
      <c r="A55" s="63" t="inlineStr">
        <is>
          <t>OD</t>
        </is>
      </c>
      <c r="B55" s="63" t="inlineStr">
        <is>
          <t>chkDeliverablesMgt</t>
        </is>
      </c>
      <c r="C55" s="62" t="n">
        <v>1</v>
      </c>
      <c r="G55" s="65" t="n">
        <v>46141.75611111111</v>
      </c>
    </row>
    <row r="56">
      <c r="A56" s="63" t="inlineStr">
        <is>
          <t>OD</t>
        </is>
      </c>
      <c r="B56" s="63" t="inlineStr">
        <is>
          <t>savePathType</t>
        </is>
      </c>
      <c r="C56" s="62" t="inlineStr">
        <is>
          <t>DEFINED</t>
        </is>
      </c>
      <c r="G56" s="65" t="n">
        <v>46141.75611111111</v>
      </c>
    </row>
    <row r="57">
      <c r="A57" s="63" t="inlineStr">
        <is>
          <t>OD</t>
        </is>
      </c>
      <c r="B57" s="63" t="inlineStr">
        <is>
          <t>txtAutoDefinedBasePath</t>
        </is>
      </c>
      <c r="C57" s="62" t="inlineStr">
        <is>
          <t>C:\Temp</t>
        </is>
      </c>
      <c r="G57" s="65" t="n">
        <v>46116.96946759259</v>
      </c>
    </row>
    <row r="58">
      <c r="A58" s="63" t="inlineStr">
        <is>
          <t>OD</t>
        </is>
      </c>
      <c r="B58" s="63" t="inlineStr">
        <is>
          <t>txtDefinedPath</t>
        </is>
      </c>
      <c r="C58" s="62" t="inlineStr">
        <is>
          <t>C:\Temp</t>
        </is>
      </c>
      <c r="G58" s="65" t="n">
        <v>46141.75611111111</v>
      </c>
    </row>
    <row r="59">
      <c r="A59" s="63" t="inlineStr">
        <is>
          <t>OL</t>
        </is>
      </c>
      <c r="B59" s="63" t="inlineStr">
        <is>
          <t>languageSelectedByManual</t>
        </is>
      </c>
      <c r="C59" s="62" t="n">
        <v>82</v>
      </c>
      <c r="G59" s="65" t="n">
        <v>46141.75611111111</v>
      </c>
    </row>
    <row r="60">
      <c r="A60" s="63" t="inlineStr">
        <is>
          <t>OL</t>
        </is>
      </c>
      <c r="B60" s="63" t="inlineStr">
        <is>
          <t>languageSelectionType</t>
        </is>
      </c>
      <c r="C60" s="62" t="n">
        <v>1</v>
      </c>
      <c r="G60" s="65" t="n">
        <v>46141.75611111111</v>
      </c>
    </row>
    <row r="61">
      <c r="A61" s="63" t="inlineStr">
        <is>
          <t>OL</t>
        </is>
      </c>
      <c r="B61" s="63" t="inlineStr">
        <is>
          <t>lastTranslatedLanguage</t>
        </is>
      </c>
      <c r="C61" s="62" t="n">
        <v>82</v>
      </c>
      <c r="G61" s="65" t="n">
        <v>46118.934375</v>
      </c>
    </row>
    <row r="62">
      <c r="A62" s="63" t="inlineStr">
        <is>
          <t>OL</t>
        </is>
      </c>
      <c r="B62" s="63" t="inlineStr">
        <is>
          <t>selectedLanguageList</t>
        </is>
      </c>
      <c r="C62" s="62" t="inlineStr">
        <is>
          <t>1:English,82:Korean,999:Custom</t>
        </is>
      </c>
      <c r="G62" s="65" t="n">
        <v>46141.75611111111</v>
      </c>
    </row>
    <row r="63">
      <c r="A63" s="63" t="inlineStr">
        <is>
          <t>OP</t>
        </is>
      </c>
      <c r="B63" s="63" t="inlineStr">
        <is>
          <t>chkInclude2SelectList1</t>
        </is>
      </c>
      <c r="C63" s="62" t="b">
        <v>0</v>
      </c>
      <c r="G63" s="65" t="n">
        <v>46141.75611111111</v>
      </c>
    </row>
    <row r="64">
      <c r="A64" s="63" t="inlineStr">
        <is>
          <t>OP</t>
        </is>
      </c>
      <c r="B64" s="63" t="inlineStr">
        <is>
          <t>chkInclude2SelectList2</t>
        </is>
      </c>
      <c r="C64" s="62" t="b">
        <v>0</v>
      </c>
      <c r="G64" s="65" t="n">
        <v>46141.75611111111</v>
      </c>
    </row>
    <row r="65">
      <c r="A65" s="63" t="inlineStr">
        <is>
          <t>OP</t>
        </is>
      </c>
      <c r="B65" s="63" t="inlineStr">
        <is>
          <t>chkInclude2SelectList3</t>
        </is>
      </c>
      <c r="C65" s="62" t="b">
        <v>1</v>
      </c>
      <c r="G65" s="65" t="n">
        <v>46141.75611111111</v>
      </c>
    </row>
    <row r="66">
      <c r="A66" s="63" t="inlineStr">
        <is>
          <t>OP</t>
        </is>
      </c>
      <c r="B66" s="63" t="inlineStr">
        <is>
          <t>chkInclude2SelectList4</t>
        </is>
      </c>
      <c r="C66" s="62" t="b">
        <v>1</v>
      </c>
      <c r="G66" s="65" t="n">
        <v>46141.75611111111</v>
      </c>
    </row>
    <row r="67">
      <c r="A67" s="63" t="inlineStr">
        <is>
          <t>OP</t>
        </is>
      </c>
      <c r="B67" s="63" t="inlineStr">
        <is>
          <t>chkInclude2SelectList5</t>
        </is>
      </c>
      <c r="C67" s="62" t="b">
        <v>1</v>
      </c>
      <c r="G67" s="65" t="n">
        <v>46141.75611111111</v>
      </c>
    </row>
    <row r="68">
      <c r="A68" s="63" t="inlineStr">
        <is>
          <t>OP</t>
        </is>
      </c>
      <c r="B68" s="63" t="inlineStr">
        <is>
          <t>chkInclude2SelectList6</t>
        </is>
      </c>
      <c r="C68" s="62" t="b">
        <v>1</v>
      </c>
      <c r="G68" s="65" t="n">
        <v>46141.75611111111</v>
      </c>
    </row>
    <row r="69">
      <c r="A69" s="63" t="inlineStr">
        <is>
          <t>OP</t>
        </is>
      </c>
      <c r="B69" s="63" t="inlineStr">
        <is>
          <t>chkInclude2SelectList7</t>
        </is>
      </c>
      <c r="C69" s="62" t="b">
        <v>1</v>
      </c>
      <c r="G69" s="65" t="n">
        <v>46141.75611111111</v>
      </c>
    </row>
    <row r="70">
      <c r="A70" s="63" t="inlineStr">
        <is>
          <t>OP</t>
        </is>
      </c>
      <c r="B70" s="63" t="inlineStr">
        <is>
          <t>chkInclude2SelectList8</t>
        </is>
      </c>
      <c r="G70" s="65" t="n">
        <v>46141.75611111111</v>
      </c>
    </row>
    <row r="71">
      <c r="A71" s="63" t="inlineStr">
        <is>
          <t>OP</t>
        </is>
      </c>
      <c r="B71" s="63" t="inlineStr">
        <is>
          <t>txtFileExt1</t>
        </is>
      </c>
      <c r="C71" s="62" t="inlineStr">
        <is>
          <t>ppt*</t>
        </is>
      </c>
      <c r="G71" s="65" t="n">
        <v>46141.75611111111</v>
      </c>
    </row>
    <row r="72">
      <c r="A72" s="63" t="inlineStr">
        <is>
          <t>OP</t>
        </is>
      </c>
      <c r="B72" s="63" t="inlineStr">
        <is>
          <t>txtFileExt2</t>
        </is>
      </c>
      <c r="C72" s="62" t="inlineStr">
        <is>
          <t>doc*</t>
        </is>
      </c>
      <c r="G72" s="65" t="n">
        <v>46141.75611111111</v>
      </c>
    </row>
    <row r="73">
      <c r="A73" s="63" t="inlineStr">
        <is>
          <t>OP</t>
        </is>
      </c>
      <c r="B73" s="63" t="inlineStr">
        <is>
          <t>txtFileExt3</t>
        </is>
      </c>
      <c r="C73" s="62" t="inlineStr">
        <is>
          <t>xls*</t>
        </is>
      </c>
      <c r="G73" s="65" t="n">
        <v>46141.75611111111</v>
      </c>
    </row>
    <row r="74">
      <c r="A74" s="63" t="inlineStr">
        <is>
          <t>OP</t>
        </is>
      </c>
      <c r="B74" s="63" t="inlineStr">
        <is>
          <t>txtFileExt4</t>
        </is>
      </c>
      <c r="C74" s="62" t="inlineStr">
        <is>
          <t>dwg</t>
        </is>
      </c>
      <c r="G74" s="65" t="n">
        <v>46141.75611111111</v>
      </c>
    </row>
    <row r="75">
      <c r="A75" s="63" t="inlineStr">
        <is>
          <t>OP</t>
        </is>
      </c>
      <c r="B75" s="63" t="inlineStr">
        <is>
          <t>txtFileExt5</t>
        </is>
      </c>
      <c r="C75" s="62" t="inlineStr">
        <is>
          <t>html</t>
        </is>
      </c>
      <c r="G75" s="65" t="n">
        <v>46141.75611111111</v>
      </c>
    </row>
    <row r="76">
      <c r="A76" s="63" t="inlineStr">
        <is>
          <t>OP</t>
        </is>
      </c>
      <c r="B76" s="63" t="inlineStr">
        <is>
          <t>txtFileExt6</t>
        </is>
      </c>
      <c r="C76" s="62" t="inlineStr">
        <is>
          <t>txt</t>
        </is>
      </c>
      <c r="G76" s="65" t="n">
        <v>46141.75611111111</v>
      </c>
    </row>
    <row r="77">
      <c r="A77" s="63" t="inlineStr">
        <is>
          <t>OP</t>
        </is>
      </c>
      <c r="B77" s="63" t="inlineStr">
        <is>
          <t>txtFileExt7</t>
        </is>
      </c>
      <c r="C77" s="62" t="inlineStr">
        <is>
          <t>pdf</t>
        </is>
      </c>
      <c r="G77" s="65" t="n">
        <v>46141.75611111111</v>
      </c>
    </row>
    <row r="78">
      <c r="A78" s="63" t="inlineStr">
        <is>
          <t>OP</t>
        </is>
      </c>
      <c r="B78" s="63" t="inlineStr">
        <is>
          <t>txtFileExt8</t>
        </is>
      </c>
      <c r="G78" s="65" t="n">
        <v>46141.75611111111</v>
      </c>
    </row>
    <row r="79">
      <c r="A79" s="63" t="inlineStr">
        <is>
          <t>OP</t>
        </is>
      </c>
      <c r="B79" s="63" t="inlineStr">
        <is>
          <t>txtPgmName1</t>
        </is>
      </c>
      <c r="C79" s="62" t="inlineStr">
        <is>
          <t>파워포인트</t>
        </is>
      </c>
      <c r="G79" s="65" t="n">
        <v>46141.75611111111</v>
      </c>
    </row>
    <row r="80">
      <c r="A80" s="63" t="inlineStr">
        <is>
          <t>OP</t>
        </is>
      </c>
      <c r="B80" s="63" t="inlineStr">
        <is>
          <t>txtPgmName2</t>
        </is>
      </c>
      <c r="C80" s="62" t="inlineStr">
        <is>
          <t>워드</t>
        </is>
      </c>
      <c r="G80" s="65" t="n">
        <v>46141.75611111111</v>
      </c>
    </row>
    <row r="81">
      <c r="A81" s="63" t="inlineStr">
        <is>
          <t>OP</t>
        </is>
      </c>
      <c r="B81" s="63" t="inlineStr">
        <is>
          <t>txtPgmName3</t>
        </is>
      </c>
      <c r="C81" s="62" t="inlineStr">
        <is>
          <t>엑셀</t>
        </is>
      </c>
      <c r="G81" s="65" t="n">
        <v>46141.75611111111</v>
      </c>
    </row>
    <row r="82">
      <c r="A82" s="63" t="inlineStr">
        <is>
          <t>OP</t>
        </is>
      </c>
      <c r="B82" s="63" t="inlineStr">
        <is>
          <t>txtPgmName4</t>
        </is>
      </c>
      <c r="C82" s="62" t="inlineStr">
        <is>
          <t>AutoCAD</t>
        </is>
      </c>
      <c r="G82" s="65" t="n">
        <v>46141.75611111111</v>
      </c>
    </row>
    <row r="83">
      <c r="A83" s="63" t="inlineStr">
        <is>
          <t>OP</t>
        </is>
      </c>
      <c r="B83" s="63" t="inlineStr">
        <is>
          <t>txtPgmName5</t>
        </is>
      </c>
      <c r="C83" s="62" t="inlineStr">
        <is>
          <t>Notepad++</t>
        </is>
      </c>
      <c r="G83" s="65" t="n">
        <v>46141.75611111111</v>
      </c>
    </row>
    <row r="84">
      <c r="A84" s="63" t="inlineStr">
        <is>
          <t>OP</t>
        </is>
      </c>
      <c r="B84" s="63" t="inlineStr">
        <is>
          <t>txtPgmName6</t>
        </is>
      </c>
      <c r="C84" s="62" t="inlineStr">
        <is>
          <t>메모장</t>
        </is>
      </c>
      <c r="G84" s="65" t="n">
        <v>46141.75611111111</v>
      </c>
    </row>
    <row r="85">
      <c r="A85" s="63" t="inlineStr">
        <is>
          <t>OP</t>
        </is>
      </c>
      <c r="B85" s="63" t="inlineStr">
        <is>
          <t>txtPgmName7</t>
        </is>
      </c>
      <c r="C85" s="62" t="inlineStr">
        <is>
          <t>PDF</t>
        </is>
      </c>
      <c r="G85" s="65" t="n">
        <v>46141.75611111111</v>
      </c>
    </row>
    <row r="86">
      <c r="A86" s="63" t="inlineStr">
        <is>
          <t>OP</t>
        </is>
      </c>
      <c r="B86" s="63" t="inlineStr">
        <is>
          <t>txtPgmName8</t>
        </is>
      </c>
      <c r="G86" s="65" t="n">
        <v>46141.75611111111</v>
      </c>
    </row>
    <row r="87">
      <c r="A87" s="63" t="inlineStr">
        <is>
          <t>OP</t>
        </is>
      </c>
      <c r="B87" s="63" t="inlineStr">
        <is>
          <t>txtPgmPath1</t>
        </is>
      </c>
      <c r="C87" s="62" t="inlineStr">
        <is>
          <t>자동지정</t>
        </is>
      </c>
      <c r="G87" s="65" t="n">
        <v>46141.75611111111</v>
      </c>
    </row>
    <row r="88">
      <c r="A88" s="63" t="inlineStr">
        <is>
          <t>OP</t>
        </is>
      </c>
      <c r="B88" s="63" t="inlineStr">
        <is>
          <t>txtPgmPath2</t>
        </is>
      </c>
      <c r="C88" s="62" t="inlineStr">
        <is>
          <t>자동지정</t>
        </is>
      </c>
      <c r="G88" s="65" t="n">
        <v>46141.75611111111</v>
      </c>
    </row>
    <row r="89">
      <c r="A89" s="63" t="inlineStr">
        <is>
          <t>OP</t>
        </is>
      </c>
      <c r="B89" s="63" t="inlineStr">
        <is>
          <t>txtPgmPath3</t>
        </is>
      </c>
      <c r="C89" s="62" t="inlineStr">
        <is>
          <t>자동지정</t>
        </is>
      </c>
      <c r="G89" s="65" t="n">
        <v>46141.75611111111</v>
      </c>
    </row>
    <row r="90">
      <c r="A90" s="63" t="inlineStr">
        <is>
          <t>OP</t>
        </is>
      </c>
      <c r="B90" s="63" t="inlineStr">
        <is>
          <t>txtPgmPath4</t>
        </is>
      </c>
      <c r="C90" s="62" t="inlineStr">
        <is>
          <t>C:\Program Files\Autodesk\AutoCAD 2019\acad.exe</t>
        </is>
      </c>
      <c r="G90" s="65" t="n">
        <v>46141.75611111111</v>
      </c>
    </row>
    <row r="91">
      <c r="A91" s="63" t="inlineStr">
        <is>
          <t>OP</t>
        </is>
      </c>
      <c r="B91" s="63" t="inlineStr">
        <is>
          <t>txtPgmPath5</t>
        </is>
      </c>
      <c r="C91" s="62" t="inlineStr">
        <is>
          <t>C:\Program Files\Notepad++\notepad++.exe</t>
        </is>
      </c>
      <c r="G91" s="65" t="n">
        <v>46141.75611111111</v>
      </c>
    </row>
    <row r="92">
      <c r="A92" s="63" t="inlineStr">
        <is>
          <t>OP</t>
        </is>
      </c>
      <c r="B92" s="63" t="inlineStr">
        <is>
          <t>txtPgmPath6</t>
        </is>
      </c>
      <c r="C92" s="62" t="inlineStr">
        <is>
          <t>C:\WINDOWS\system32\notepad.exe</t>
        </is>
      </c>
      <c r="G92" s="65" t="n">
        <v>46141.75611111111</v>
      </c>
    </row>
    <row r="93">
      <c r="A93" s="63" t="inlineStr">
        <is>
          <t>OP</t>
        </is>
      </c>
      <c r="B93" s="63" t="inlineStr">
        <is>
          <t>txtPgmPath7</t>
        </is>
      </c>
      <c r="C93" s="62" t="inlineStr">
        <is>
          <t>C:\Program Files\Adobe\Acrobat DC\Acrobat\acrobat.exe</t>
        </is>
      </c>
      <c r="G93" s="65" t="n">
        <v>46141.75611111111</v>
      </c>
    </row>
    <row r="94">
      <c r="A94" s="63" t="inlineStr">
        <is>
          <t>OP</t>
        </is>
      </c>
      <c r="B94" s="63" t="inlineStr">
        <is>
          <t>txtPgmPath8</t>
        </is>
      </c>
      <c r="G94" s="65" t="n">
        <v>46141.75611111111</v>
      </c>
    </row>
    <row r="95">
      <c r="A95" s="63" t="inlineStr">
        <is>
          <t>FS</t>
        </is>
      </c>
      <c r="B95" s="63" t="inlineStr">
        <is>
          <t>optAll</t>
        </is>
      </c>
      <c r="C95" s="62" t="b">
        <v>1</v>
      </c>
      <c r="F95" s="65" t="n"/>
      <c r="G95" s="65" t="n">
        <v>46119.03714120371</v>
      </c>
    </row>
    <row r="96">
      <c r="A96" s="63" t="inlineStr">
        <is>
          <t>FS</t>
        </is>
      </c>
      <c r="B96" s="63" t="inlineStr">
        <is>
          <t>optAllPercentWorkComplete</t>
        </is>
      </c>
      <c r="C96" s="62" t="b">
        <v>1</v>
      </c>
      <c r="F96" s="65" t="n"/>
      <c r="G96" s="65" t="n">
        <v>46119.03714120371</v>
      </c>
    </row>
    <row r="97">
      <c r="A97" s="63" t="inlineStr">
        <is>
          <t>FS</t>
        </is>
      </c>
      <c r="B97" s="63" t="inlineStr">
        <is>
          <t>optCompleted</t>
        </is>
      </c>
      <c r="C97" s="62" t="b">
        <v>0</v>
      </c>
      <c r="F97" s="65" t="n"/>
      <c r="G97" s="65" t="n">
        <v>46119.03714120371</v>
      </c>
    </row>
    <row r="98">
      <c r="A98" s="63" t="inlineStr">
        <is>
          <t>FS</t>
        </is>
      </c>
      <c r="B98" s="63" t="inlineStr">
        <is>
          <t>optDefinedDuration</t>
        </is>
      </c>
      <c r="C98" s="62" t="b">
        <v>0</v>
      </c>
      <c r="F98" s="65" t="n"/>
      <c r="G98" s="65" t="n">
        <v>46119.03714120371</v>
      </c>
    </row>
    <row r="99">
      <c r="A99" s="63" t="inlineStr">
        <is>
          <t>FS</t>
        </is>
      </c>
      <c r="B99" s="63" t="inlineStr">
        <is>
          <t>optDefinedPercentValue</t>
        </is>
      </c>
      <c r="C99" s="62" t="b">
        <v>0</v>
      </c>
      <c r="F99" s="65" t="n"/>
      <c r="G99" s="65" t="n">
        <v>46119.03714120371</v>
      </c>
    </row>
    <row r="100">
      <c r="A100" s="63" t="inlineStr">
        <is>
          <t>FS</t>
        </is>
      </c>
      <c r="B100" s="63" t="inlineStr">
        <is>
          <t>optExactMatch</t>
        </is>
      </c>
      <c r="C100" s="62" t="b">
        <v>1</v>
      </c>
      <c r="F100" s="65" t="n"/>
      <c r="G100" s="65" t="n">
        <v>46119.03714120371</v>
      </c>
    </row>
    <row r="101">
      <c r="A101" s="63" t="inlineStr">
        <is>
          <t>FS</t>
        </is>
      </c>
      <c r="B101" s="63" t="inlineStr">
        <is>
          <t>optLike</t>
        </is>
      </c>
      <c r="C101" s="62" t="b">
        <v>0</v>
      </c>
      <c r="F101" s="65" t="n"/>
      <c r="G101" s="65" t="n">
        <v>46119.03714120371</v>
      </c>
    </row>
    <row r="102">
      <c r="A102" s="63" t="inlineStr">
        <is>
          <t>FS</t>
        </is>
      </c>
      <c r="B102" s="63" t="inlineStr">
        <is>
          <t>optNotCompleted</t>
        </is>
      </c>
      <c r="C102" s="62" t="b">
        <v>0</v>
      </c>
      <c r="F102" s="65" t="n"/>
      <c r="G102" s="65" t="n">
        <v>46119.03714120371</v>
      </c>
    </row>
    <row r="103">
      <c r="A103" s="63" t="inlineStr">
        <is>
          <t>FS</t>
        </is>
      </c>
      <c r="B103" s="63" t="inlineStr">
        <is>
          <t>optThisMonth</t>
        </is>
      </c>
      <c r="C103" s="62" t="b">
        <v>0</v>
      </c>
      <c r="F103" s="65" t="n"/>
      <c r="G103" s="65" t="n">
        <v>46119.03714120371</v>
      </c>
    </row>
    <row r="104">
      <c r="A104" s="63" t="inlineStr">
        <is>
          <t>FS</t>
        </is>
      </c>
      <c r="B104" s="63" t="inlineStr">
        <is>
          <t>optThisWeek</t>
        </is>
      </c>
      <c r="C104" s="62" t="b">
        <v>0</v>
      </c>
      <c r="F104" s="65" t="n"/>
      <c r="G104" s="65" t="n">
        <v>46119.03714120371</v>
      </c>
    </row>
    <row r="105">
      <c r="A105" s="63" t="inlineStr">
        <is>
          <t>FS</t>
        </is>
      </c>
      <c r="B105" s="63" t="inlineStr">
        <is>
          <t>optToday</t>
        </is>
      </c>
      <c r="C105" s="62" t="b">
        <v>0</v>
      </c>
      <c r="F105" s="65" t="n"/>
      <c r="G105" s="65" t="n">
        <v>46119.03714120371</v>
      </c>
    </row>
    <row r="106">
      <c r="A106" s="63" t="inlineStr">
        <is>
          <t>FS</t>
        </is>
      </c>
      <c r="B106" s="63" t="inlineStr">
        <is>
          <t>txtPercentFrom</t>
        </is>
      </c>
      <c r="C106" s="62" t="n">
        <v>0</v>
      </c>
      <c r="F106" s="65" t="n"/>
      <c r="G106" s="65" t="n">
        <v>46119.03714120371</v>
      </c>
    </row>
    <row r="107">
      <c r="A107" s="63" t="inlineStr">
        <is>
          <t>FS</t>
        </is>
      </c>
      <c r="B107" s="63" t="inlineStr">
        <is>
          <t>txtPercentTo</t>
        </is>
      </c>
      <c r="C107" s="62" t="n">
        <v>80</v>
      </c>
      <c r="F107" s="65" t="n"/>
      <c r="G107" s="65" t="n">
        <v>46119.03714120371</v>
      </c>
    </row>
    <row r="108">
      <c r="A108" s="63" t="inlineStr">
        <is>
          <t>FS</t>
        </is>
      </c>
      <c r="B108" s="63" t="inlineStr">
        <is>
          <t>txtResource</t>
        </is>
      </c>
      <c r="F108" s="65" t="n"/>
      <c r="G108" s="65" t="n">
        <v>46119.03714120371</v>
      </c>
    </row>
    <row r="109">
      <c r="A109" s="63" t="inlineStr">
        <is>
          <t>FS</t>
        </is>
      </c>
      <c r="B109" s="63" t="inlineStr">
        <is>
          <t>txtTaskEndDate</t>
        </is>
      </c>
      <c r="C109" s="64" t="n">
        <v>45930</v>
      </c>
      <c r="F109" s="65" t="n"/>
      <c r="G109" s="65" t="n">
        <v>46119.03714120371</v>
      </c>
    </row>
    <row r="110">
      <c r="A110" s="63" t="inlineStr">
        <is>
          <t>FS</t>
        </is>
      </c>
      <c r="B110" s="63" t="inlineStr">
        <is>
          <t>txtTaskStartDate</t>
        </is>
      </c>
      <c r="C110" s="64" t="n">
        <v>45910</v>
      </c>
      <c r="F110" s="65" t="n"/>
      <c r="G110" s="65" t="n">
        <v>46119.03714120371</v>
      </c>
    </row>
    <row r="111">
      <c r="A111" s="63" t="inlineStr">
        <is>
          <t>OW</t>
        </is>
      </c>
      <c r="B111" s="63" t="inlineStr">
        <is>
          <t>txtBehindSchedulePct1</t>
        </is>
      </c>
      <c r="C111" s="62" t="n">
        <v>10</v>
      </c>
      <c r="F111" s="65" t="n">
        <v>45811.50524305556</v>
      </c>
      <c r="G111" s="65" t="n">
        <v>46141.75611111111</v>
      </c>
    </row>
    <row r="112">
      <c r="A112" s="63" t="inlineStr">
        <is>
          <t>OW</t>
        </is>
      </c>
      <c r="B112" s="63" t="inlineStr">
        <is>
          <t>useDefaultTheme</t>
        </is>
      </c>
      <c r="C112" s="62" t="n">
        <v>1</v>
      </c>
      <c r="F112" s="65" t="n">
        <v>45811.53648148148</v>
      </c>
      <c r="G112" s="65" t="n">
        <v>46141.75611111111</v>
      </c>
    </row>
    <row r="113">
      <c r="A113" s="63" t="inlineStr">
        <is>
          <t>OW</t>
        </is>
      </c>
      <c r="B113" s="63" t="inlineStr">
        <is>
          <t>themeColorList1</t>
        </is>
      </c>
      <c r="C113" s="62" t="inlineStr">
        <is>
          <t>12611584;16750899;35071;35071;35071;49407;16745263;16737792;52224;16737792;255;52224;16777215;52479;255</t>
        </is>
      </c>
      <c r="F113" s="65" t="n">
        <v>45811.54414351852</v>
      </c>
      <c r="G113" s="65" t="n">
        <v>45837.80583333333</v>
      </c>
    </row>
    <row r="114">
      <c r="A114" s="63" t="inlineStr">
        <is>
          <t>OW</t>
        </is>
      </c>
      <c r="B114" s="63" t="inlineStr">
        <is>
          <t>themeColorList2</t>
        </is>
      </c>
      <c r="C114" s="62" t="inlineStr">
        <is>
          <t>16711782;16737945;35071;35071;35071;49407;16745263;16737792;52224;16737792;255;52224;16777215;39423;255</t>
        </is>
      </c>
      <c r="F114" s="65" t="n">
        <v>45811.54707175926</v>
      </c>
      <c r="G114" s="65" t="n">
        <v>45830.93446759259</v>
      </c>
    </row>
    <row r="115">
      <c r="A115" s="63" t="inlineStr">
        <is>
          <t>OW</t>
        </is>
      </c>
      <c r="B115" s="63" t="inlineStr">
        <is>
          <t>themeColorList5</t>
        </is>
      </c>
      <c r="C115" s="62" t="inlineStr">
        <is>
          <t>10066176;10066176;26367;8421504;26367;8421504;16764108;16737792;65280;16737792;13311;65280;14540253;65535;255</t>
        </is>
      </c>
      <c r="F115" s="65" t="n">
        <v>45811.55704861111</v>
      </c>
      <c r="G115" s="65" t="n">
        <v>45811.94899305556</v>
      </c>
    </row>
    <row r="116">
      <c r="A116" s="63" t="inlineStr">
        <is>
          <t>OW</t>
        </is>
      </c>
      <c r="B116" s="63" t="inlineStr">
        <is>
          <t>themeColorList3</t>
        </is>
      </c>
      <c r="C116" s="62" t="inlineStr">
        <is>
          <t>3394611;39168;35071;35071;35071;49407;16745263;16737792;52224;16737792;255;52224;16777215;52428;255</t>
        </is>
      </c>
      <c r="F116" s="65" t="n">
        <v>45811.71400462963</v>
      </c>
      <c r="G116" s="65" t="n">
        <v>45830.93488425926</v>
      </c>
    </row>
    <row r="117">
      <c r="A117" s="63" t="inlineStr">
        <is>
          <t>OW</t>
        </is>
      </c>
      <c r="B117" s="63" t="inlineStr">
        <is>
          <t>themeColorList4</t>
        </is>
      </c>
      <c r="C117" s="62" t="inlineStr">
        <is>
          <t>4210752;8421504;11711154;2500134;2500134;49407;16745263;16737792;52224;16737792;255;52224;16777215;65535;255</t>
        </is>
      </c>
      <c r="F117" s="65" t="n">
        <v>45811.74052083334</v>
      </c>
      <c r="G117" s="65" t="n">
        <v>45830.93564814814</v>
      </c>
    </row>
    <row r="118">
      <c r="A118" s="63" t="inlineStr">
        <is>
          <t>OW</t>
        </is>
      </c>
      <c r="B118" s="63" t="inlineStr">
        <is>
          <t>chkTaskDependencies</t>
        </is>
      </c>
      <c r="C118" s="62" t="n">
        <v>1</v>
      </c>
      <c r="F118" s="65" t="n">
        <v>46096.86792824074</v>
      </c>
      <c r="G118" s="65" t="n">
        <v>46141.75611111111</v>
      </c>
    </row>
    <row r="119">
      <c r="A119" s="63" t="inlineStr">
        <is>
          <t>OG</t>
        </is>
      </c>
      <c r="B119" s="63" t="inlineStr">
        <is>
          <t>holidayCalendar</t>
        </is>
      </c>
      <c r="C119" s="62" t="n">
        <v>1</v>
      </c>
      <c r="F119" s="65" t="n">
        <v>46103.78863425926</v>
      </c>
      <c r="G119" s="65" t="n">
        <v>46141.75611111111</v>
      </c>
    </row>
  </sheetData>
  <hyperlinks>
    <hyperlink xmlns:r="http://schemas.openxmlformats.org/officeDocument/2006/relationships" ref="C6" r:id="rId1"/>
  </hyperlinks>
  <pageMargins left="0.7" right="0.7" top="0.75" bottom="0.75" header="0.3" footer="0.3"/>
  <pageSetup orientation="portrait" paperSize="9"/>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2026-07-28T11:06:06Z</dcterms:modified>
  <cp:lastModifiedBy>ds</cp:lastModifiedBy>
  <cp:lastPrinted>2022-06-05T11:24:31Z</cp:lastPrinted>
</cp:coreProperties>
</file>