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'Schedule'!$D$1:$BM$56</definedName>
  </definedNames>
  <calcPr calcId="162913" fullCalcOnLoad="1"/>
</workbook>
</file>

<file path=xl/styles.xml><?xml version="1.0" encoding="utf-8"?>
<styleSheet xmlns="http://schemas.openxmlformats.org/spreadsheetml/2006/main">
  <numFmts count="5">
    <numFmt numFmtId="164" formatCode="0_);[Red]\(0\)"/>
    <numFmt numFmtId="165" formatCode="0.00_);[Red]\(0.00\)"/>
    <numFmt numFmtId="166" formatCode="0.0_);[Red]\(0.0\)"/>
    <numFmt numFmtId="167" formatCode="0.0"/>
    <numFmt numFmtId="168" formatCode="yyyy\-mm\-dd"/>
  </numFmts>
  <fonts count="68">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9"/>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Malgun Gothic"/>
      <charset val="129"/>
      <family val="3"/>
      <b val="1"/>
      <color theme="10"/>
      <sz val="10"/>
    </font>
    <font>
      <name val="돋움"/>
      <charset val="129"/>
      <family val="3"/>
      <b val="1"/>
      <color rgb="FFFF8800"/>
      <sz val="9"/>
    </font>
    <font>
      <name val="Calibri"/>
      <charset val="129"/>
      <family val="3"/>
      <sz val="11"/>
    </font>
    <font>
      <name val="맑은 고딕"/>
      <charset val="129"/>
      <family val="3"/>
      <color theme="1"/>
      <sz val="9"/>
      <scheme val="minor"/>
    </font>
    <font>
      <name val="맑은 고딕"/>
      <charset val="129"/>
      <family val="3"/>
      <color rgb="FFFF0000"/>
      <sz val="9"/>
      <scheme val="minor"/>
    </font>
  </fonts>
  <fills count="23">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s>
  <borders count="36">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s>
  <cellStyleXfs count="3">
    <xf numFmtId="0" fontId="30" fillId="0" borderId="0"/>
    <xf numFmtId="0" fontId="2" fillId="0" borderId="0"/>
    <xf numFmtId="9" fontId="30" fillId="0" borderId="0" applyAlignment="1">
      <alignment vertical="center"/>
    </xf>
  </cellStyleXfs>
  <cellXfs count="313">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6"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5" fillId="15" borderId="0" applyAlignment="1" pivotButton="0" quotePrefix="0" xfId="1">
      <alignment horizontal="left" vertical="center"/>
    </xf>
    <xf numFmtId="0" fontId="2" fillId="15" borderId="0" applyAlignment="1" pivotButton="0" quotePrefix="0" xfId="1">
      <alignment horizontal="left" vertical="center"/>
    </xf>
    <xf numFmtId="0" fontId="57"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7"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9" fillId="21" borderId="7" pivotButton="0" quotePrefix="0" xfId="0"/>
    <xf numFmtId="168" fontId="0" fillId="0" borderId="0" pivotButton="0" quotePrefix="0" xfId="0"/>
    <xf numFmtId="1" fontId="0" fillId="0" borderId="0" pivotButton="0" quotePrefix="0" xfId="0"/>
    <xf numFmtId="4" fontId="0" fillId="0" borderId="0" pivotButton="0" quotePrefix="0" xfId="0"/>
    <xf numFmtId="10" fontId="18" fillId="0" borderId="23" applyAlignment="1" applyProtection="1" pivotButton="0" quotePrefix="0" xfId="2">
      <alignment horizontal="right" vertical="top"/>
      <protection locked="0" hidden="0"/>
    </xf>
    <xf numFmtId="10" fontId="58" fillId="15" borderId="23" applyAlignment="1" applyProtection="1" pivotButton="0" quotePrefix="0" xfId="2">
      <alignment horizontal="right" vertical="top"/>
      <protection locked="0" hidden="0"/>
    </xf>
    <xf numFmtId="0" fontId="46" fillId="17" borderId="27" applyAlignment="1" pivotButton="0" quotePrefix="0" xfId="0">
      <alignment horizontal="left" vertical="center"/>
    </xf>
    <xf numFmtId="0" fontId="60" fillId="0" borderId="0" applyAlignment="1" pivotButton="0" quotePrefix="0" xfId="0">
      <alignment horizontal="left" vertical="center"/>
    </xf>
    <xf numFmtId="0" fontId="62" fillId="19" borderId="0" applyAlignment="1" pivotButton="0" quotePrefix="0" xfId="0">
      <alignment vertical="top"/>
    </xf>
    <xf numFmtId="0" fontId="62"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18" fillId="22" borderId="23" applyAlignment="1" applyProtection="1" pivotButton="0" quotePrefix="0" xfId="2">
      <alignment horizontal="right" vertical="top"/>
      <protection locked="0" hidden="0"/>
    </xf>
    <xf numFmtId="0" fontId="66" fillId="0" borderId="0" applyAlignment="1" pivotButton="0" quotePrefix="0" xfId="0">
      <alignment vertical="top"/>
    </xf>
    <xf numFmtId="0" fontId="67" fillId="0" borderId="0" applyAlignment="1" pivotButton="0" quotePrefix="0" xfId="0">
      <alignment vertical="top"/>
    </xf>
    <xf numFmtId="0" fontId="66"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8" fillId="22" borderId="23" applyAlignment="1" applyProtection="1" pivotButton="0" quotePrefix="0" xfId="2">
      <alignment horizontal="right" vertical="top"/>
      <protection locked="0" hidden="0"/>
    </xf>
    <xf numFmtId="10" fontId="58" fillId="19" borderId="23" applyAlignment="1" applyProtection="1" pivotButton="0" quotePrefix="0" xfId="2">
      <alignment horizontal="right" vertical="top"/>
      <protection locked="0" hidden="0"/>
    </xf>
    <xf numFmtId="0" fontId="45" fillId="15" borderId="0" applyAlignment="1" pivotButton="0" quotePrefix="0" xfId="0">
      <alignment horizontal="left" vertical="center"/>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0" fontId="7" fillId="0" borderId="18" applyAlignment="1" applyProtection="1" pivotButton="0" quotePrefix="0" xfId="0">
      <alignment horizontal="left" vertical="top" wrapText="1"/>
      <protection locked="0" hidden="0"/>
    </xf>
    <xf numFmtId="0" fontId="27" fillId="13" borderId="0" applyAlignment="1" pivotButton="0" quotePrefix="0" xfId="0">
      <alignment horizontal="left" vertical="top" wrapText="1"/>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7" fillId="0" borderId="18" applyAlignment="1" applyProtection="1" pivotButton="0" quotePrefix="0" xfId="0">
      <alignment horizontal="left" vertical="center" wrapText="1"/>
      <protection locked="0" hidden="0"/>
    </xf>
    <xf numFmtId="0" fontId="61" fillId="0" borderId="18" applyAlignment="1" applyProtection="1" pivotButton="0" quotePrefix="0" xfId="0">
      <alignment horizontal="left" vertical="center" wrapText="1"/>
      <protection locked="0" hidden="0"/>
    </xf>
    <xf numFmtId="0" fontId="45" fillId="15" borderId="0" applyAlignment="1" pivotButton="0" quotePrefix="0" xfId="0">
      <alignment horizontal="left" vertical="center"/>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31" fillId="17" borderId="27" applyAlignment="1" pivotButton="0" quotePrefix="0" xfId="0">
      <alignment horizontal="left" vertical="center"/>
    </xf>
    <xf numFmtId="14" fontId="17" fillId="7" borderId="2" applyAlignment="1" pivotButton="0" quotePrefix="0" xfId="0">
      <alignment horizontal="center" vertical="center"/>
    </xf>
    <xf numFmtId="14" fontId="17" fillId="16" borderId="2" applyAlignment="1" pivotButton="0" quotePrefix="0" xfId="0">
      <alignment horizontal="center" vertical="center"/>
    </xf>
    <xf numFmtId="14" fontId="17" fillId="7"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16"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17" fillId="7" borderId="2" applyAlignment="1" pivotButton="0" quotePrefix="0" xfId="0">
      <alignment horizontal="center" vertical="center"/>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31" fillId="17" borderId="25" applyAlignment="1" pivotButton="0" quotePrefix="0" xfId="0">
      <alignment horizontal="left" vertical="center" wrapText="1"/>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5"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10" fontId="58" fillId="22" borderId="23" applyAlignment="1" applyProtection="1" pivotButton="0" quotePrefix="0" xfId="2">
      <alignment horizontal="right" vertical="top" wrapText="1"/>
      <protection locked="0" hidden="0"/>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5" applyProtection="1" pivotButton="0" quotePrefix="0" xfId="0">
      <protection locked="0" hidden="0"/>
    </xf>
  </cellXfs>
  <cellStyles count="3">
    <cellStyle name="표준" xfId="0" builtinId="0"/>
    <cellStyle name="하이퍼링크" xfId="1" builtinId="8"/>
    <cellStyle name="백분율" xfId="2" builtinId="5"/>
  </cellStyles>
  <dxfs count="3">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AnalysisReport!$F$7:$F$29</f>
              <numCache>
                <formatCode>0.00%</formatCode>
                <ptCount val="23"/>
                <pt idx="0">
                  <v>0.01576665352778873</v>
                </pt>
                <pt idx="1">
                  <v>0.043358297201419</v>
                </pt>
                <pt idx="2">
                  <v>0.07489160425699645</v>
                </pt>
                <pt idx="3">
                  <v>0.1395348837209302</v>
                </pt>
                <pt idx="4">
                  <v>0.1824990145841545</v>
                </pt>
                <pt idx="5">
                  <v>0.2258573117855735</v>
                </pt>
                <pt idx="6">
                  <v>0.2495072920772566</v>
                </pt>
                <pt idx="7">
                  <v>0.2692156089869925</v>
                </pt>
                <pt idx="8">
                  <v>0.2818289318092235</v>
                </pt>
                <pt idx="9">
                  <v>0.3409538825384312</v>
                </pt>
                <pt idx="10">
                  <v>0.400078833267639</v>
                </pt>
                <pt idx="11">
                  <v>0.4710287741426882</v>
                </pt>
                <pt idx="12">
                  <v>0.5340953882538432</v>
                </pt>
                <pt idx="13">
                  <v>0.5979503350413874</v>
                </pt>
                <pt idx="14">
                  <v>0.6767836026803311</v>
                </pt>
                <pt idx="15">
                  <v>0.7635001970831691</v>
                </pt>
                <pt idx="16">
                  <v>0.8581001182499014</v>
                </pt>
                <pt idx="17">
                  <v>0.889633425305479</v>
                </pt>
                <pt idx="18">
                  <v>0.9172250689791092</v>
                </pt>
                <pt idx="19">
                  <v>0.9369333858888451</v>
                </pt>
                <pt idx="20">
                  <v>0.9645250295624753</v>
                </pt>
                <pt idx="21">
                  <v>0.9881750098541584</v>
                </pt>
                <pt idx="22">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AnalysisReport!$I$7:$I$29</f>
              <numCache>
                <formatCode>0.00%</formatCode>
                <ptCount val="23"/>
                <pt idx="0">
                  <v>0.01576665352778873</v>
                </pt>
                <pt idx="1">
                  <v>0.043358297201419</v>
                </pt>
                <pt idx="2">
                  <v>0.07489160425699645</v>
                </pt>
                <pt idx="3">
                  <v>0.1355143870713441</v>
                </pt>
                <pt idx="4">
                  <v>0.1843515963736697</v>
                </pt>
                <pt idx="5">
                  <v>0.2344107213243989</v>
                </pt>
                <pt idx="6">
                  <v>0.2344107213243989</v>
                </pt>
                <pt idx="7">
                  <v>0.2344107213243989</v>
                </pt>
                <pt idx="8">
                  <v>0.2344107213243989</v>
                </pt>
                <pt idx="9">
                  <v>0.2344107213243989</v>
                </pt>
                <pt idx="10">
                  <v>0.2344107213243989</v>
                </pt>
                <pt idx="11">
                  <v>0.2344107213243989</v>
                </pt>
                <pt idx="12">
                  <v>0.2344107213243989</v>
                </pt>
                <pt idx="13">
                  <v>0.2344107213243989</v>
                </pt>
                <pt idx="14">
                  <v>0.2344107213243989</v>
                </pt>
                <pt idx="15">
                  <v>0.2344107213243989</v>
                </pt>
                <pt idx="16">
                  <v>0.2344107213243989</v>
                </pt>
                <pt idx="17">
                  <v>0.2344107213243989</v>
                </pt>
                <pt idx="18">
                  <v>0.2344107213243989</v>
                </pt>
                <pt idx="19">
                  <v>0.2344107213243989</v>
                </pt>
                <pt idx="20">
                  <v>0.2344107213243989</v>
                </pt>
                <pt idx="21">
                  <v>0.2344107213243989</v>
                </pt>
                <pt idx="22">
                  <v>0.2344107213243989</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AnalysisReport!$L$7:$L$29</f>
              <numCache>
                <formatCode>0.00%</formatCode>
                <ptCount val="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numCache>
            </numRef>
          </val>
          <smooth val="0"/>
        </ser>
        <dLbls>
          <showLegendKey val="0"/>
          <showVal val="0"/>
          <showCatName val="0"/>
          <showSerName val="0"/>
          <showPercent val="0"/>
          <showBubbleSize val="0"/>
        </dLbls>
        <marker val="1"/>
        <smooth val="0"/>
        <axId val="2090335535"/>
        <axId val="2090336495"/>
      </lineChart>
      <dateAx>
        <axId val="2090335535"/>
        <scaling>
          <orientation val="minMax"/>
        </scaling>
        <delete val="0"/>
        <axPos val="b"/>
        <numFmt formatCode="m/d/yyyy" sourceLinked="1"/>
        <majorTickMark val="out"/>
        <minorTickMark val="none"/>
        <tickLblPos val="nextTo"/>
        <txPr>
          <a:bodyPr rot="-2700000" vert="horz"/>
          <a:lstStyle/>
          <a:p>
            <a:pPr>
              <a:defRPr/>
            </a:pPr>
            <a:r>
              <a:t/>
            </a:r>
            <a:endParaRPr lang="ko-KR"/>
          </a:p>
        </txPr>
        <crossAx val="2090336495"/>
        <crosses val="autoZero"/>
        <lblOffset val="100"/>
        <baseTimeUnit val="days"/>
      </dateAx>
      <valAx>
        <axId val="2090336495"/>
        <scaling>
          <orientation val="minMax"/>
          <max val="1"/>
          <min val="0"/>
        </scaling>
        <delete val="0"/>
        <axPos val="l"/>
        <majorGridlines/>
        <numFmt formatCode="0%" sourceLinked="0"/>
        <majorTickMark val="out"/>
        <minorTickMark val="none"/>
        <tickLblPos val="nextTo"/>
        <crossAx val="2090335535"/>
        <crosses val="autoZero"/>
        <crossBetween val="between"/>
      </valAx>
    </plotArea>
    <legend>
      <legendPos val="r"/>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2.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project-scheduler/" TargetMode="External" Id="rId3" /><Relationship Type="http://schemas.openxmlformats.org/officeDocument/2006/relationships/hyperlink" Target="https://xlworks.net/xlgantt-project-scheduler/" TargetMode="External" Id="rId4" /><Relationship Type="http://schemas.openxmlformats.org/officeDocument/2006/relationships/hyperlink" Target="https://xlworks.net/xlgantt-project-scheduler/" TargetMode="External" Id="rId5" /><Relationship Type="http://schemas.openxmlformats.org/officeDocument/2006/relationships/hyperlink" Target="https://xlworks.net/xlgantt-project-scheduler/" TargetMode="External" Id="rId6" /><Relationship Type="http://schemas.openxmlformats.org/officeDocument/2006/relationships/hyperlink" Target="https://xlworks.net/xlgantt-project-scheduler/" TargetMode="External" Id="rId7" /><Relationship Type="http://schemas.openxmlformats.org/officeDocument/2006/relationships/hyperlink" Target="https://xlworks.net/xlgantt-project-scheduler/" TargetMode="External" Id="rId8" /><Relationship Type="http://schemas.openxmlformats.org/officeDocument/2006/relationships/hyperlink" Target="https://xlworks.net/xlgantt-project-scheduler/" TargetMode="External" Id="rId9" /><Relationship Type="http://schemas.openxmlformats.org/officeDocument/2006/relationships/hyperlink" Target="https://xlworks.net/xlgantt-project-scheduler/" TargetMode="External" Id="rId10" /><Relationship Type="http://schemas.openxmlformats.org/officeDocument/2006/relationships/hyperlink" Target="https://xlworks.net/xlgantt-project-scheduler/" TargetMode="External" Id="rId11" /><Relationship Type="http://schemas.openxmlformats.org/officeDocument/2006/relationships/hyperlink" Target="https://xlworks.net/xlgantt-project-scheduler/" TargetMode="External" Id="rId12" /><Relationship Type="http://schemas.openxmlformats.org/officeDocument/2006/relationships/hyperlink" Target="https://xlworks.net/xlgantt-project-scheduler/" TargetMode="External" Id="rId13" /><Relationship Type="http://schemas.openxmlformats.org/officeDocument/2006/relationships/hyperlink" Target="https://xlworks.net/xlgantt-project-scheduler/" TargetMode="External" Id="rId14" /><Relationship Type="http://schemas.openxmlformats.org/officeDocument/2006/relationships/hyperlink" Target="https://xlworks.net/xlgantt-project-scheduler/" TargetMode="External" Id="rId15" /><Relationship Type="http://schemas.openxmlformats.org/officeDocument/2006/relationships/hyperlink" Target="https://xlworks.net/xlgantt-project-scheduler/" TargetMode="External" Id="rId16" /><Relationship Type="http://schemas.openxmlformats.org/officeDocument/2006/relationships/hyperlink" Target="https://xlworks.net/xlgantt-project-scheduler/" TargetMode="External" Id="rId17" /><Relationship Type="http://schemas.openxmlformats.org/officeDocument/2006/relationships/hyperlink" Target="https://xlworks.net/xlgantt-project-scheduler/" TargetMode="External" Id="rId18" /><Relationship Type="http://schemas.openxmlformats.org/officeDocument/2006/relationships/hyperlink" Target="https://xlworks.net/xlgantt-project-scheduler/" TargetMode="External" Id="rId19" /><Relationship Type="http://schemas.openxmlformats.org/officeDocument/2006/relationships/hyperlink" Target="https://xlworks.net/xlgantt-project-scheduler/" TargetMode="External" Id="rId20" /><Relationship Type="http://schemas.openxmlformats.org/officeDocument/2006/relationships/hyperlink" Target="https://xlworks.net/xlgantt-project-scheduler/" TargetMode="External" Id="rId21" /><Relationship Type="http://schemas.openxmlformats.org/officeDocument/2006/relationships/hyperlink" Target="https://xlworks.net/xlgantt-project-scheduler/" TargetMode="External" Id="rId22" /><Relationship Type="http://schemas.openxmlformats.org/officeDocument/2006/relationships/hyperlink" Target="https://xlworks.net/xlgantt-project-scheduler/" TargetMode="External" Id="rId23" /><Relationship Type="http://schemas.openxmlformats.org/officeDocument/2006/relationships/hyperlink" Target="https://xlworks.net/xlgantt-project-scheduler/" TargetMode="External" Id="rId24" /><Relationship Type="http://schemas.openxmlformats.org/officeDocument/2006/relationships/hyperlink" Target="https://xlworks.net/xlgantt-project-scheduler/" TargetMode="External" Id="rId25" /><Relationship Type="http://schemas.openxmlformats.org/officeDocument/2006/relationships/hyperlink" Target="https://xlworks.net/xlgantt-project-scheduler/" TargetMode="External" Id="rId26" /><Relationship Type="http://schemas.openxmlformats.org/officeDocument/2006/relationships/hyperlink" Target="https://xlworks.net/xlgantt-project-scheduler/" TargetMode="External" Id="rId27" /><Relationship Type="http://schemas.openxmlformats.org/officeDocument/2006/relationships/hyperlink" Target="https://xlworks.net/xlgantt-project-scheduler/" TargetMode="External" Id="rId28" /><Relationship Type="http://schemas.openxmlformats.org/officeDocument/2006/relationships/hyperlink" Target="https://xlworks.net/xlgantt-project-scheduler/" TargetMode="External" Id="rId29" /><Relationship Type="http://schemas.openxmlformats.org/officeDocument/2006/relationships/hyperlink" Target="https://xlworks.net/xlgantt-project-scheduler/" TargetMode="External" Id="rId30" /><Relationship Type="http://schemas.openxmlformats.org/officeDocument/2006/relationships/hyperlink" Target="https://xlworks.net/xlgantt-project-scheduler/" TargetMode="External" Id="rId31"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A1" sqref="A1"/>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style="76" min="22" max="22"/>
    <col width="9" customWidth="1" style="76" min="23" max="26"/>
    <col hidden="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36" t="inlineStr">
        <is>
          <t xml:space="preserve">XLGantt 6.1.0 ©XLWorks </t>
        </is>
      </c>
      <c r="K1" s="285" t="n"/>
      <c r="L1" s="285" t="n"/>
    </row>
    <row r="2" ht="18" customFormat="1" customHeight="1" s="32">
      <c r="A2" s="147" t="n"/>
      <c r="B2" s="148" t="n"/>
      <c r="C2" s="148" t="n"/>
      <c r="D2" s="148" t="n"/>
      <c r="E2" s="148" t="n"/>
      <c r="F2" s="148" t="n"/>
      <c r="G2" s="148" t="n"/>
      <c r="H2" s="234" t="inlineStr">
        <is>
          <t xml:space="preserve">도움말, 최신 버전 다운로드 - https://xlworks.net/xlgantt-project-scheduler/ </t>
        </is>
      </c>
      <c r="I2" s="286" t="n"/>
      <c r="J2" s="286" t="n"/>
      <c r="K2" s="286" t="n"/>
      <c r="L2" s="286" t="n"/>
    </row>
    <row r="4" ht="17.25" customHeight="1">
      <c r="B4" s="238"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40" t="inlineStr">
        <is>
          <t>작업과 일정을 입력하면 진척률이 계산되며 작업의 일정을 간트차트로 표시해 준다.</t>
        </is>
      </c>
      <c r="E9" s="287" t="n"/>
      <c r="F9" s="287" t="n"/>
      <c r="G9" s="287" t="n"/>
      <c r="H9" s="287" t="n"/>
      <c r="I9" s="287" t="n"/>
      <c r="J9" s="287" t="n"/>
      <c r="K9" s="287" t="n"/>
      <c r="L9" s="287" t="n"/>
    </row>
    <row r="10" ht="29.25" customFormat="1" customHeight="1" s="32" thickBot="1" thickTop="1">
      <c r="A10" s="80" t="n"/>
      <c r="B10" s="82" t="inlineStr">
        <is>
          <t>Progress</t>
        </is>
      </c>
      <c r="C10" s="80" t="n"/>
      <c r="D10" s="240" t="inlineStr">
        <is>
          <t>작업량, 진척률 등을 볼 수 있다.</t>
        </is>
      </c>
      <c r="E10" s="287" t="n"/>
      <c r="F10" s="287" t="n"/>
      <c r="G10" s="287" t="n"/>
      <c r="H10" s="287" t="n"/>
      <c r="I10" s="287" t="n"/>
      <c r="J10" s="287" t="n"/>
      <c r="K10" s="287" t="n"/>
      <c r="L10" s="287" t="n"/>
    </row>
    <row r="11" ht="29.25" customFormat="1" customHeight="1" s="32" thickBot="1" thickTop="1">
      <c r="A11" s="80" t="n"/>
      <c r="B11" s="83" t="inlineStr">
        <is>
          <t>AnalysisReport</t>
        </is>
      </c>
      <c r="C11" s="80" t="n"/>
      <c r="D11" s="240" t="inlineStr">
        <is>
          <t>담당별 진행률, Workload등 분석용 Report를 만들어서 보여준다.</t>
        </is>
      </c>
      <c r="E11" s="287" t="n"/>
      <c r="F11" s="287" t="n"/>
      <c r="G11" s="287" t="n"/>
      <c r="H11" s="287" t="n"/>
      <c r="I11" s="287" t="n"/>
      <c r="J11" s="287" t="n"/>
      <c r="K11" s="287" t="n"/>
      <c r="L11" s="287" t="n"/>
    </row>
    <row r="12" ht="29.25" customFormat="1" customHeight="1" s="32" thickBot="1" thickTop="1">
      <c r="A12" s="80" t="n"/>
      <c r="B12" s="84" t="inlineStr">
        <is>
          <t>Calendar</t>
        </is>
      </c>
      <c r="C12" s="80" t="n"/>
      <c r="D12" s="240" t="inlineStr">
        <is>
          <t>프로젝트의 휴무일을 설정한다.</t>
        </is>
      </c>
      <c r="E12" s="287" t="n"/>
      <c r="F12" s="287" t="n"/>
      <c r="G12" s="287" t="n"/>
      <c r="H12" s="287" t="n"/>
      <c r="I12" s="287" t="n"/>
      <c r="J12" s="287" t="n"/>
      <c r="K12" s="287" t="n"/>
      <c r="L12" s="287" t="n"/>
    </row>
    <row r="13" ht="29.25" customFormat="1" customHeight="1" s="32" thickBot="1" thickTop="1">
      <c r="A13" s="80" t="n"/>
      <c r="B13" s="85" t="inlineStr">
        <is>
          <t>Progress_Data</t>
        </is>
      </c>
      <c r="C13" s="80" t="n"/>
      <c r="D13" s="241" t="inlineStr">
        <is>
          <t>진척률 정보를 일단위 Raw data로 생성한다. 차트를 그리거나 사용자가 원하는대로 분석을 할 수 있다.</t>
        </is>
      </c>
      <c r="E13" s="287" t="n"/>
      <c r="F13" s="287" t="n"/>
      <c r="G13" s="287" t="n"/>
      <c r="H13" s="287" t="n"/>
      <c r="I13" s="287" t="n"/>
      <c r="J13" s="287" t="n"/>
      <c r="K13" s="287" t="n"/>
      <c r="L13" s="287" t="n"/>
    </row>
    <row r="14" ht="29.25" customFormat="1" customHeight="1" s="32" thickBot="1" thickTop="1">
      <c r="A14" s="80" t="n"/>
      <c r="B14" s="86" t="inlineStr">
        <is>
          <t>TranslatedLanguages</t>
        </is>
      </c>
      <c r="C14" s="80" t="n"/>
      <c r="D14" s="240" t="inlineStr">
        <is>
          <t>(숨겨진 시트) 언어별 번역이 들어 있다.</t>
        </is>
      </c>
      <c r="E14" s="287" t="n"/>
      <c r="F14" s="287" t="n"/>
      <c r="G14" s="287" t="n"/>
      <c r="H14" s="287" t="n"/>
      <c r="I14" s="287" t="n"/>
      <c r="J14" s="287" t="n"/>
      <c r="K14" s="287" t="n"/>
      <c r="L14" s="287"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32" t="inlineStr">
        <is>
          <t>기능을 간단히 빨리 익히고 싶으면 “간단 사용법”을 참고한다</t>
        </is>
      </c>
      <c r="E18" s="287" t="n"/>
      <c r="F18" s="287" t="n"/>
      <c r="G18" s="287" t="n"/>
      <c r="H18" s="287" t="n"/>
      <c r="I18" s="287" t="n"/>
      <c r="J18" s="287" t="n"/>
      <c r="K18" s="287" t="n"/>
      <c r="L18" s="98" t="inlineStr">
        <is>
          <t>도움말</t>
        </is>
      </c>
    </row>
    <row r="19" ht="37.5" customFormat="1" customHeight="1" s="32" thickBot="1" thickTop="1">
      <c r="B19" s="91" t="inlineStr">
        <is>
          <t>작업입력, 스케줄 업데이트</t>
        </is>
      </c>
      <c r="D19" s="232" t="inlineStr">
        <is>
          <t>작업명, 시작일, 완료일, 진척률을 입력하면 휴무일, 자원수를 고려하여 자동으로 작업기간, 계획진척률, 실적진척률 등이 계산된다.</t>
        </is>
      </c>
      <c r="E19" s="287" t="n"/>
      <c r="F19" s="287" t="n"/>
      <c r="G19" s="287" t="n"/>
      <c r="H19" s="287" t="n"/>
      <c r="I19" s="287" t="n"/>
      <c r="J19" s="287" t="n"/>
      <c r="K19" s="287" t="n"/>
      <c r="L19" s="98" t="inlineStr">
        <is>
          <t>도움말</t>
        </is>
      </c>
    </row>
    <row r="20" ht="26.25" customFormat="1" customHeight="1" s="32" thickBot="1" thickTop="1">
      <c r="B20" s="91" t="inlineStr">
        <is>
          <t>간트차트 표시방법 설정</t>
        </is>
      </c>
      <c r="D20" s="232" t="inlineStr">
        <is>
          <t>Bar chart형태로 간트차트를 보여주며 여러 가지 표시방법을 옵션에서 설정할 수 있다.</t>
        </is>
      </c>
      <c r="E20" s="287" t="n"/>
      <c r="F20" s="287" t="n"/>
      <c r="G20" s="287" t="n"/>
      <c r="H20" s="287" t="n"/>
      <c r="I20" s="287" t="n"/>
      <c r="J20" s="287" t="n"/>
      <c r="K20" s="287" t="n"/>
      <c r="L20" s="98" t="inlineStr">
        <is>
          <t>도움말</t>
        </is>
      </c>
    </row>
    <row r="21" ht="26.25" customFormat="1" customHeight="1" s="32" thickBot="1" thickTop="1">
      <c r="B21" s="91" t="inlineStr">
        <is>
          <t>프로젝트 전체 진행상황 파악하기</t>
        </is>
      </c>
      <c r="D21" s="232" t="inlineStr">
        <is>
          <t>진척률을 이용하여 프로젝트 전체 진행상황을 파악할 수 있다.</t>
        </is>
      </c>
      <c r="E21" s="287" t="n"/>
      <c r="F21" s="287" t="n"/>
      <c r="G21" s="287" t="n"/>
      <c r="H21" s="287" t="n"/>
      <c r="I21" s="287" t="n"/>
      <c r="J21" s="287" t="n"/>
      <c r="K21" s="287" t="n"/>
      <c r="L21" s="98" t="inlineStr">
        <is>
          <t>도움말</t>
        </is>
      </c>
    </row>
    <row r="22" ht="33.75" customFormat="1" customHeight="1" s="32" thickBot="1" thickTop="1">
      <c r="B22" s="91" t="inlineStr">
        <is>
          <t>분석 리포트</t>
        </is>
      </c>
      <c r="D22" s="232" t="inlineStr">
        <is>
          <t>프로젝트의 현황을 파악할 수 있는 진행률, Workload 등의 분석 리포트와 분석용 Workload data를 제공한다.</t>
        </is>
      </c>
      <c r="E22" s="287" t="n"/>
      <c r="F22" s="287" t="n"/>
      <c r="G22" s="287" t="n"/>
      <c r="H22" s="287" t="n"/>
      <c r="I22" s="287" t="n"/>
      <c r="J22" s="287" t="n"/>
      <c r="K22" s="287" t="n"/>
      <c r="L22" s="98" t="inlineStr">
        <is>
          <t>도움말</t>
        </is>
      </c>
    </row>
    <row r="23" ht="52.5" customFormat="1" customHeight="1" s="32" thickBot="1" thickTop="1">
      <c r="B23" s="91" t="inlineStr">
        <is>
          <t>일정계획 변경관리</t>
        </is>
      </c>
      <c r="D23" s="232"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87" t="n"/>
      <c r="F23" s="287" t="n"/>
      <c r="G23" s="287" t="n"/>
      <c r="H23" s="287" t="n"/>
      <c r="I23" s="287" t="n"/>
      <c r="J23" s="287" t="n"/>
      <c r="K23" s="287" t="n"/>
      <c r="L23" s="98" t="inlineStr">
        <is>
          <t>도움말</t>
        </is>
      </c>
    </row>
    <row r="24" ht="47.25" customFormat="1" customHeight="1" s="32" thickBot="1" thickTop="1">
      <c r="B24" s="91" t="inlineStr">
        <is>
          <t>산출물</t>
        </is>
      </c>
      <c r="D24" s="232"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87" t="n"/>
      <c r="F24" s="287" t="n"/>
      <c r="G24" s="287" t="n"/>
      <c r="H24" s="287" t="n"/>
      <c r="I24" s="287" t="n"/>
      <c r="J24" s="287" t="n"/>
      <c r="K24" s="287" t="n"/>
      <c r="L24" s="98" t="inlineStr">
        <is>
          <t>도움말</t>
        </is>
      </c>
    </row>
    <row r="25" ht="33.75" customFormat="1" customHeight="1" s="32" thickBot="1" thickTop="1">
      <c r="B25" s="91" t="inlineStr">
        <is>
          <t>Microsoft Outlook작업, 일정등록</t>
        </is>
      </c>
      <c r="D25" s="232" t="inlineStr">
        <is>
          <t>엑셀간트에서는 Schedule시트에 입력되어 있는 작업을 Microsoft Outlook에 작업이나 일정으로 등록할 수 있는 기능을 제공한다(단, PC에 Microsoft Outlook이 설치되어 있어야 한다).</t>
        </is>
      </c>
      <c r="E25" s="287" t="n"/>
      <c r="F25" s="287" t="n"/>
      <c r="G25" s="287" t="n"/>
      <c r="H25" s="287" t="n"/>
      <c r="I25" s="287" t="n"/>
      <c r="J25" s="287" t="n"/>
      <c r="K25" s="287" t="n"/>
      <c r="L25" s="98" t="inlineStr">
        <is>
          <t>도움말</t>
        </is>
      </c>
    </row>
    <row r="26" ht="53.25" customFormat="1" customHeight="1" s="32" thickBot="1" thickTop="1">
      <c r="B26" s="91" t="inlineStr">
        <is>
          <t>다국어 지원</t>
        </is>
      </c>
      <c r="D26" s="232" t="inlineStr">
        <is>
          <t>엑셀간트는 다국어를 지원하는데 프로그램을 수정하지 않고 여러 다국어를 추가할 수 있다. 현재는 한국어, 영어 2개 국어가 추가되어 있다.</t>
        </is>
      </c>
      <c r="E26" s="287" t="n"/>
      <c r="F26" s="287" t="n"/>
      <c r="G26" s="287" t="n"/>
      <c r="H26" s="287" t="n"/>
      <c r="I26" s="287" t="n"/>
      <c r="J26" s="287" t="n"/>
      <c r="K26" s="287" t="n"/>
      <c r="L26" s="98" t="inlineStr">
        <is>
          <t>도움말</t>
        </is>
      </c>
    </row>
    <row r="27" ht="35.25" customFormat="1" customHeight="1" s="32" thickBot="1" thickTop="1">
      <c r="B27" s="91" t="inlineStr">
        <is>
          <t>다른 파일에서 일정 가져오기</t>
        </is>
      </c>
      <c r="D27" s="232" t="inlineStr">
        <is>
          <t>엑셀간트에서는 엑셀간트(XLGantt) 또는 일반 엑셀파일로 만들어진 일정을 가져오는 기능을 제공한다.</t>
        </is>
      </c>
      <c r="E27" s="287" t="n"/>
      <c r="F27" s="287" t="n"/>
      <c r="G27" s="287" t="n"/>
      <c r="H27" s="287" t="n"/>
      <c r="I27" s="287" t="n"/>
      <c r="J27" s="287" t="n"/>
      <c r="K27" s="287" t="n"/>
      <c r="L27" s="98" t="inlineStr">
        <is>
          <t>도움말</t>
        </is>
      </c>
    </row>
    <row r="28" ht="43.5" customFormat="1" customHeight="1" s="32" thickBot="1" thickTop="1">
      <c r="B28" s="91" t="inlineStr">
        <is>
          <t>Calendar</t>
        </is>
      </c>
      <c r="D28" s="232" t="inlineStr">
        <is>
          <t>한주의 시작요일 지정, 휴무일 설정, 주차표시 기능을 제공한다.
리본메뉴 &gt; XLGantt – Project Scheduler &gt; 옵션 &gt; “Calendar” 탭에서 설정할 수 있다.</t>
        </is>
      </c>
      <c r="E28" s="287" t="n"/>
      <c r="F28" s="287" t="n"/>
      <c r="G28" s="287" t="n"/>
      <c r="H28" s="287" t="n"/>
      <c r="I28" s="287" t="n"/>
      <c r="J28" s="287" t="n"/>
      <c r="K28" s="287" t="n"/>
      <c r="L28" s="98" t="inlineStr">
        <is>
          <t>도움말</t>
        </is>
      </c>
    </row>
    <row r="29" ht="49.5" customFormat="1" customHeight="1" s="32" thickBot="1" thickTop="1">
      <c r="B29" s="91" t="inlineStr">
        <is>
          <t>Excel기능과 통합</t>
        </is>
      </c>
      <c r="D29" s="232"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87" t="n"/>
      <c r="F29" s="287" t="n"/>
      <c r="G29" s="287" t="n"/>
      <c r="H29" s="287" t="n"/>
      <c r="I29" s="287" t="n"/>
      <c r="J29" s="287" t="n"/>
      <c r="K29" s="287" t="n"/>
      <c r="L29" s="98" t="inlineStr">
        <is>
          <t>도움말</t>
        </is>
      </c>
    </row>
    <row r="30" ht="24.75" customFormat="1" customHeight="1" s="32" thickBot="1" thickTop="1">
      <c r="B30" s="137" t="inlineStr">
        <is>
          <t>작업량 계산</t>
        </is>
      </c>
      <c r="D30" s="232" t="inlineStr">
        <is>
          <t>작업량 계산 방식을 선택할 수 있다.</t>
        </is>
      </c>
      <c r="E30" s="287" t="n"/>
      <c r="F30" s="287" t="n"/>
      <c r="G30" s="287" t="n"/>
      <c r="H30" s="287" t="n"/>
      <c r="I30" s="287" t="n"/>
      <c r="J30" s="287" t="n"/>
      <c r="K30" s="287" t="n"/>
      <c r="L30" s="98" t="inlineStr">
        <is>
          <t>도움말</t>
        </is>
      </c>
    </row>
    <row r="31" ht="24.75" customFormat="1" customHeight="1" s="32" thickBot="1" thickTop="1">
      <c r="B31" s="91" t="inlineStr">
        <is>
          <t>WBS영역, 컬러테마 설정</t>
        </is>
      </c>
      <c r="D31" s="232" t="inlineStr">
        <is>
          <t>엑셀간트의 모양과 색상을 지정할 수 있다.</t>
        </is>
      </c>
      <c r="E31" s="287" t="n"/>
      <c r="F31" s="287" t="n"/>
      <c r="G31" s="287" t="n"/>
      <c r="H31" s="287" t="n"/>
      <c r="I31" s="287" t="n"/>
      <c r="J31" s="287" t="n"/>
      <c r="K31" s="287" t="n"/>
      <c r="L31" s="98" t="inlineStr">
        <is>
          <t>도움말</t>
        </is>
      </c>
    </row>
    <row r="32" ht="24.75" customFormat="1" customHeight="1" s="32" thickBot="1" thickTop="1">
      <c r="B32" s="91" t="inlineStr">
        <is>
          <t>작업 의존관계 설정</t>
        </is>
      </c>
      <c r="D32" s="232" t="inlineStr">
        <is>
          <t>작업 의존관계(FS,SS,FF,SF)를 설정할 수 있다.</t>
        </is>
      </c>
      <c r="E32" s="287" t="n"/>
      <c r="F32" s="287" t="n"/>
      <c r="G32" s="287" t="n"/>
      <c r="H32" s="287" t="n"/>
      <c r="I32" s="287" t="n"/>
      <c r="J32" s="287" t="n"/>
      <c r="K32" s="287"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33"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GJ5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baseColWidth="8" defaultColWidth="10" defaultRowHeight="12" customHeight="1" outlineLevelRow="5"/>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8" customWidth="1" style="110" min="15" max="15"/>
    <col width="10.375" bestFit="1" customWidth="1" style="111" min="16" max="16"/>
    <col width="10" bestFit="1" customWidth="1" style="111" min="17" max="17"/>
    <col width="7.625" customWidth="1" style="110" min="18" max="18"/>
    <col width="7.375" customWidth="1" style="288" min="19" max="19"/>
    <col width="7.25" bestFit="1" customWidth="1" style="288" min="20" max="20"/>
    <col width="6" customWidth="1" style="288" min="21" max="21"/>
    <col width="5.875" customWidth="1" style="288" min="22" max="22"/>
    <col hidden="1" width="9.75" customWidth="1" style="111" min="23" max="24"/>
    <col hidden="1" width="7.5" customWidth="1" style="289" min="25" max="25"/>
    <col hidden="1" width="6" customWidth="1" style="114" min="26" max="26"/>
    <col hidden="1" width="7.125" customWidth="1" style="288" min="27" max="27"/>
    <col width="12.875" customWidth="1" style="110" min="28" max="28"/>
    <col width="10.875" customWidth="1" style="110" min="29" max="29"/>
    <col width="7.625" bestFit="1" customWidth="1" style="115" min="30" max="30"/>
    <col width="8.375" bestFit="1" customWidth="1" style="116" min="31" max="31"/>
    <col width="1.875" customWidth="1" style="100" min="32" max="192"/>
    <col width="10" customWidth="1" style="100" min="193" max="16384"/>
  </cols>
  <sheetData>
    <row r="1" ht="24.95" customFormat="1" customHeight="1" s="101">
      <c r="A1" s="173" t="n"/>
      <c r="B1" s="196" t="n"/>
      <c r="C1" s="175" t="n"/>
      <c r="D1" s="180" t="n"/>
      <c r="E1" s="181" t="n"/>
      <c r="F1" s="181" t="n"/>
      <c r="G1" s="181" t="n"/>
      <c r="H1" s="181" t="n"/>
      <c r="I1" s="181" t="n"/>
      <c r="J1" s="181" t="n"/>
      <c r="K1" s="181" t="n"/>
      <c r="L1" s="181" t="n"/>
      <c r="M1" s="181" t="n"/>
      <c r="N1" s="181" t="n"/>
      <c r="O1" s="181" t="n"/>
      <c r="P1" s="181" t="n"/>
      <c r="Q1" s="182" t="n"/>
      <c r="R1" s="183" t="n"/>
      <c r="S1" s="290" t="n"/>
      <c r="T1" s="291" t="n"/>
      <c r="U1" s="292" t="n"/>
      <c r="V1" s="292" t="n"/>
      <c r="W1" s="187" t="n"/>
      <c r="X1" s="187" t="n"/>
      <c r="Y1" s="174" t="n"/>
      <c r="Z1" s="188" t="n"/>
      <c r="AA1" s="176" t="n"/>
      <c r="AB1" s="177" t="n"/>
      <c r="AC1" s="193">
        <f t="array" ref="AC1">xlgantt.ProjectProgress()</f>
        <v/>
      </c>
      <c r="AD1" s="179" t="n"/>
      <c r="AE1" s="193" t="n"/>
      <c r="AF1" s="189" t="inlineStr">
        <is>
          <t>XLGantt 6.1.0 ©XLWorks  주별보기, Zoom 100%, 계산 옵션 : 자동</t>
        </is>
      </c>
      <c r="AG1" s="190" t="inlineStr">
        <is>
          <t>https://xlworks.net/xlgantt-project-scheduler/</t>
        </is>
      </c>
      <c r="AH1" s="190" t="inlineStr">
        <is>
          <t>https://xlworks.net/xlgantt-project-scheduler/</t>
        </is>
      </c>
      <c r="AI1" s="190" t="inlineStr">
        <is>
          <t>https://xlworks.net/xlgantt-project-scheduler/</t>
        </is>
      </c>
      <c r="AJ1" s="190" t="inlineStr">
        <is>
          <t>https://xlworks.net/xlgantt-project-scheduler/</t>
        </is>
      </c>
      <c r="AK1" s="190" t="inlineStr">
        <is>
          <t>https://xlworks.net/xlgantt-project-scheduler/</t>
        </is>
      </c>
      <c r="AL1" s="190" t="inlineStr">
        <is>
          <t>https://xlworks.net/xlgantt-project-scheduler/</t>
        </is>
      </c>
      <c r="AM1" s="190" t="inlineStr">
        <is>
          <t>https://xlworks.net/xlgantt-project-scheduler/</t>
        </is>
      </c>
      <c r="AN1" s="190" t="inlineStr">
        <is>
          <t>https://xlworks.net/xlgantt-project-scheduler/</t>
        </is>
      </c>
      <c r="AO1" s="190" t="inlineStr">
        <is>
          <t>https://xlworks.net/xlgantt-project-scheduler/</t>
        </is>
      </c>
      <c r="AP1" s="190" t="inlineStr">
        <is>
          <t>https://xlworks.net/xlgantt-project-scheduler/</t>
        </is>
      </c>
      <c r="AQ1" s="190" t="inlineStr">
        <is>
          <t>https://xlworks.net/xlgantt-project-scheduler/</t>
        </is>
      </c>
      <c r="AR1" s="190" t="inlineStr">
        <is>
          <t>https://xlworks.net/xlgantt-project-scheduler/</t>
        </is>
      </c>
      <c r="AS1" s="190" t="inlineStr">
        <is>
          <t>https://xlworks.net/xlgantt-project-scheduler/</t>
        </is>
      </c>
      <c r="AT1" s="190" t="inlineStr">
        <is>
          <t>https://xlworks.net/xlgantt-project-scheduler/</t>
        </is>
      </c>
      <c r="AU1" s="190" t="inlineStr">
        <is>
          <t>https://xlworks.net/xlgantt-project-scheduler/</t>
        </is>
      </c>
      <c r="AV1" s="190" t="inlineStr">
        <is>
          <t>https://xlworks.net/xlgantt-project-scheduler/</t>
        </is>
      </c>
      <c r="AW1" s="190" t="inlineStr">
        <is>
          <t>https://xlworks.net/xlgantt-project-scheduler/</t>
        </is>
      </c>
      <c r="AX1" s="190" t="inlineStr">
        <is>
          <t>https://xlworks.net/xlgantt-project-scheduler/</t>
        </is>
      </c>
      <c r="AY1" s="190" t="inlineStr">
        <is>
          <t>https://xlworks.net/xlgantt-project-scheduler/</t>
        </is>
      </c>
      <c r="AZ1" s="190" t="inlineStr">
        <is>
          <t>https://xlworks.net/xlgantt-project-scheduler/</t>
        </is>
      </c>
      <c r="BA1" s="190" t="inlineStr">
        <is>
          <t>https://xlworks.net/xlgantt-project-scheduler/</t>
        </is>
      </c>
      <c r="BB1" s="190" t="inlineStr">
        <is>
          <t>https://xlworks.net/xlgantt-project-scheduler/</t>
        </is>
      </c>
      <c r="BC1" s="190" t="inlineStr">
        <is>
          <t>https://xlworks.net/xlgantt-project-scheduler/</t>
        </is>
      </c>
      <c r="BD1" s="190" t="inlineStr">
        <is>
          <t>https://xlworks.net/xlgantt-project-scheduler/</t>
        </is>
      </c>
      <c r="BE1" s="190" t="inlineStr">
        <is>
          <t>https://xlworks.net/xlgantt-project-scheduler/</t>
        </is>
      </c>
      <c r="BF1" s="190" t="inlineStr">
        <is>
          <t>https://xlworks.net/xlgantt-project-scheduler/</t>
        </is>
      </c>
      <c r="BG1" s="190" t="inlineStr">
        <is>
          <t>https://xlworks.net/xlgantt-project-scheduler/</t>
        </is>
      </c>
      <c r="BH1" s="190" t="inlineStr">
        <is>
          <t>https://xlworks.net/xlgantt-project-scheduler/</t>
        </is>
      </c>
      <c r="BI1" s="190" t="inlineStr">
        <is>
          <t>https://xlworks.net/xlgantt-project-scheduler/</t>
        </is>
      </c>
      <c r="BJ1" s="190" t="inlineStr">
        <is>
          <t>https://xlworks.net/xlgantt-project-scheduler/</t>
        </is>
      </c>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293" t="n"/>
      <c r="T2" s="293" t="n"/>
      <c r="U2" s="293" t="n"/>
      <c r="V2" s="293" t="n"/>
      <c r="W2" s="166" t="n"/>
      <c r="X2" s="166" t="n"/>
      <c r="Y2" s="166" t="n"/>
      <c r="Z2" s="166" t="n"/>
      <c r="AA2" s="166" t="n"/>
      <c r="AB2" s="166" t="n"/>
      <c r="AC2" s="169" t="n"/>
      <c r="AD2" s="170" t="n"/>
      <c r="AE2" s="166" t="n"/>
      <c r="AF2" s="242" t="inlineStr">
        <is>
          <t>W1</t>
        </is>
      </c>
      <c r="AJ2" s="242" t="inlineStr">
        <is>
          <t>W5</t>
        </is>
      </c>
      <c r="AN2" s="242" t="inlineStr">
        <is>
          <t>W9</t>
        </is>
      </c>
      <c r="AR2" s="242" t="inlineStr">
        <is>
          <t>W13</t>
        </is>
      </c>
      <c r="AV2" s="242" t="inlineStr">
        <is>
          <t>W17</t>
        </is>
      </c>
      <c r="AZ2" s="242" t="inlineStr">
        <is>
          <t>W21</t>
        </is>
      </c>
      <c r="BD2" s="242" t="n"/>
      <c r="BE2" s="242" t="n"/>
      <c r="BF2" s="242" t="n"/>
      <c r="BG2" s="242" t="n"/>
      <c r="BH2" s="242" t="n"/>
      <c r="BI2" s="242" t="n"/>
      <c r="BJ2" s="242" t="n"/>
      <c r="BK2" s="242" t="n"/>
      <c r="BL2" s="242" t="n"/>
      <c r="BM2" s="242" t="n"/>
      <c r="BN2" s="242" t="n"/>
      <c r="BO2" s="242" t="n"/>
      <c r="BP2" s="242" t="n"/>
      <c r="BQ2" s="242" t="n"/>
      <c r="BR2" s="242" t="n"/>
      <c r="BS2" s="242" t="n"/>
      <c r="BT2" s="242" t="n"/>
      <c r="BU2" s="242" t="n"/>
      <c r="BV2" s="242" t="n"/>
      <c r="BW2" s="242" t="n"/>
      <c r="BX2" s="242" t="n"/>
      <c r="BY2" s="242" t="n"/>
      <c r="BZ2" s="242" t="n"/>
      <c r="CA2" s="242" t="n"/>
      <c r="CB2" s="242" t="n"/>
      <c r="CC2" s="242" t="n"/>
      <c r="CD2" s="242" t="n"/>
      <c r="CE2" s="242" t="n"/>
      <c r="CF2" s="242" t="n"/>
      <c r="CG2" s="242" t="n"/>
      <c r="CH2" s="242" t="n"/>
      <c r="CI2" s="242" t="n"/>
      <c r="CJ2" s="242" t="n"/>
      <c r="CK2" s="242" t="n"/>
      <c r="CL2" s="242" t="n"/>
      <c r="CM2" s="242" t="n"/>
      <c r="CN2" s="242" t="n"/>
      <c r="CO2" s="242" t="n"/>
      <c r="CP2" s="242" t="n"/>
      <c r="CQ2" s="242" t="n"/>
      <c r="CR2" s="242" t="n"/>
      <c r="CS2" s="242" t="n"/>
      <c r="CT2" s="242" t="n"/>
      <c r="CU2" s="242" t="n"/>
      <c r="CV2" s="242" t="n"/>
      <c r="CW2" s="242" t="n"/>
      <c r="CX2" s="242" t="n"/>
      <c r="CY2" s="242" t="n"/>
      <c r="CZ2" s="242" t="n"/>
      <c r="DA2" s="242" t="n"/>
      <c r="DB2" s="242" t="n"/>
      <c r="DC2" s="242" t="n"/>
      <c r="DD2" s="242" t="n"/>
      <c r="DE2" s="242" t="n"/>
      <c r="DF2" s="242" t="n"/>
      <c r="DG2" s="242" t="n"/>
      <c r="DH2" s="242" t="n"/>
      <c r="DI2" s="242" t="n"/>
      <c r="DJ2" s="242" t="n"/>
      <c r="DK2" s="242" t="n"/>
      <c r="DL2" s="242" t="n"/>
      <c r="DM2" s="242" t="n"/>
      <c r="DN2" s="242" t="n"/>
      <c r="DO2" s="242" t="n"/>
      <c r="DP2" s="242" t="n"/>
      <c r="DQ2" s="242" t="n"/>
      <c r="DR2" s="242" t="n"/>
      <c r="DS2" s="242" t="n"/>
      <c r="DT2" s="242" t="n"/>
      <c r="DU2" s="242" t="n"/>
      <c r="DV2" s="242" t="n"/>
      <c r="DW2" s="242" t="n"/>
      <c r="DX2" s="242" t="n"/>
      <c r="DY2" s="242" t="n"/>
      <c r="DZ2" s="242" t="n"/>
      <c r="EA2" s="242" t="n"/>
      <c r="EB2" s="242" t="n"/>
      <c r="EC2" s="242" t="n"/>
      <c r="ED2" s="242" t="n"/>
      <c r="EE2" s="242" t="n"/>
      <c r="EF2" s="242" t="n"/>
      <c r="EG2" s="242" t="n"/>
      <c r="EH2" s="242" t="n"/>
      <c r="EI2" s="242" t="n"/>
      <c r="EJ2" s="242" t="n"/>
      <c r="EK2" s="242" t="n"/>
      <c r="EL2" s="242" t="n"/>
      <c r="EM2" s="242" t="n"/>
      <c r="EN2" s="242" t="n"/>
      <c r="EO2" s="242" t="n"/>
      <c r="EP2" s="242" t="n"/>
      <c r="EQ2" s="242" t="n"/>
      <c r="ER2" s="242" t="n"/>
      <c r="ES2" s="242" t="n"/>
      <c r="ET2" s="242" t="n"/>
      <c r="EU2" s="242" t="n"/>
      <c r="EV2" s="242" t="n"/>
      <c r="EW2" s="242" t="n"/>
      <c r="EX2" s="242" t="n"/>
      <c r="EY2" s="242" t="n"/>
      <c r="EZ2" s="242" t="n"/>
      <c r="FA2" s="242" t="n"/>
      <c r="FB2" s="242" t="n"/>
      <c r="FC2" s="242" t="n"/>
      <c r="FD2" s="242" t="n"/>
      <c r="FE2" s="242" t="n"/>
      <c r="FF2" s="242" t="n"/>
      <c r="FG2" s="242" t="n"/>
      <c r="FH2" s="242" t="n"/>
      <c r="FI2" s="242" t="n"/>
      <c r="FJ2" s="242" t="n"/>
      <c r="FK2" s="242" t="n"/>
      <c r="FL2" s="242" t="n"/>
      <c r="FM2" s="242" t="n"/>
      <c r="FN2" s="242" t="n"/>
      <c r="FO2" s="242" t="n"/>
      <c r="FP2" s="242" t="n"/>
      <c r="FQ2" s="242" t="n"/>
      <c r="FR2" s="242" t="n"/>
      <c r="FS2" s="242" t="n"/>
      <c r="FT2" s="242" t="n"/>
      <c r="FU2" s="242" t="n"/>
      <c r="FV2" s="242" t="n"/>
      <c r="FW2" s="242" t="n"/>
      <c r="FX2" s="242" t="n"/>
      <c r="FY2" s="242" t="n"/>
      <c r="FZ2" s="242" t="n"/>
      <c r="GA2" s="242" t="n"/>
      <c r="GB2" s="242" t="n"/>
      <c r="GC2" s="242" t="n"/>
      <c r="GD2" s="242" t="n"/>
      <c r="GE2" s="242" t="n"/>
      <c r="GF2" s="242" t="n"/>
      <c r="GG2" s="242" t="n"/>
      <c r="GH2" s="242" t="n"/>
      <c r="GI2" s="242" t="n"/>
      <c r="GJ2" s="242" t="n"/>
    </row>
    <row r="3" ht="18.95" customFormat="1" customHeight="1" s="99">
      <c r="A3" s="251" t="inlineStr">
        <is>
          <t>reserved</t>
        </is>
      </c>
      <c r="B3" s="253" t="inlineStr">
        <is>
          <t>task_group</t>
        </is>
      </c>
      <c r="C3" s="255" t="inlineStr">
        <is>
          <t>wbs_level</t>
        </is>
      </c>
      <c r="D3" s="256" t="inlineStr">
        <is>
          <t>WBS</t>
        </is>
      </c>
      <c r="E3" s="258" t="inlineStr">
        <is>
          <t>작업*</t>
        </is>
      </c>
      <c r="O3" s="246" t="inlineStr">
        <is>
          <t>비고</t>
        </is>
      </c>
      <c r="P3" s="246" t="inlineStr">
        <is>
          <t>시작일*</t>
        </is>
      </c>
      <c r="Q3" s="246" t="inlineStr">
        <is>
          <t>완료일*</t>
        </is>
      </c>
      <c r="R3" s="261" t="inlineStr">
        <is>
          <t>Calendar</t>
        </is>
      </c>
      <c r="S3" s="294" t="inlineStr">
        <is>
          <t>총_x000D_
작업량</t>
        </is>
      </c>
      <c r="T3" s="295" t="inlineStr">
        <is>
          <t>계획_x000D_
작업량</t>
        </is>
      </c>
      <c r="U3" s="294" t="inlineStr">
        <is>
          <t>총_x000D_
기간</t>
        </is>
      </c>
      <c r="V3" s="294" t="inlineStr">
        <is>
          <t>계획_x000D_
기간</t>
        </is>
      </c>
      <c r="W3" s="248" t="inlineStr">
        <is>
          <t>실제_x000D_
시작일</t>
        </is>
      </c>
      <c r="X3" s="248" t="inlineStr">
        <is>
          <t>실제_x000D_
완료일</t>
        </is>
      </c>
      <c r="Y3" s="296" t="inlineStr">
        <is>
          <t>실제_x000D_
총작업량</t>
        </is>
      </c>
      <c r="Z3" s="273" t="inlineStr">
        <is>
          <t>실제_x000D_
총기간</t>
        </is>
      </c>
      <c r="AA3" s="297" t="inlineStr">
        <is>
          <t>자원수</t>
        </is>
      </c>
      <c r="AB3" s="246" t="inlineStr">
        <is>
          <t>담당</t>
        </is>
      </c>
      <c r="AC3" s="261" t="inlineStr">
        <is>
          <t>산출물</t>
        </is>
      </c>
      <c r="AD3" s="267" t="inlineStr">
        <is>
          <t>계획</t>
        </is>
      </c>
      <c r="AE3" s="264" t="inlineStr">
        <is>
          <t>실적*</t>
        </is>
      </c>
      <c r="AF3" s="266" t="inlineStr">
        <is>
          <t>03/01
W10</t>
        </is>
      </c>
      <c r="AI3" s="298" t="n"/>
      <c r="AJ3" s="243" t="inlineStr">
        <is>
          <t>03/29
W14</t>
        </is>
      </c>
      <c r="AM3" s="298" t="n"/>
      <c r="AN3" s="243" t="inlineStr">
        <is>
          <t>04/26
W18</t>
        </is>
      </c>
      <c r="AQ3" s="298" t="n"/>
      <c r="AR3" s="243" t="inlineStr">
        <is>
          <t>05/24
W22</t>
        </is>
      </c>
      <c r="AU3" s="298" t="n"/>
      <c r="AV3" s="243" t="inlineStr">
        <is>
          <t>06/21
W26</t>
        </is>
      </c>
      <c r="AY3" s="298" t="n"/>
      <c r="AZ3" s="243" t="inlineStr">
        <is>
          <t>07/19
W30</t>
        </is>
      </c>
      <c r="BC3" s="298" t="n"/>
    </row>
    <row r="4" ht="6" customFormat="1" customHeight="1" s="99">
      <c r="A4" s="299" t="n"/>
      <c r="B4" s="300" t="n"/>
      <c r="C4" s="300" t="n"/>
      <c r="D4" s="300" t="n"/>
      <c r="E4" s="301" t="n"/>
      <c r="O4" s="300" t="n"/>
      <c r="P4" s="300" t="n"/>
      <c r="Q4" s="300" t="n"/>
      <c r="R4" s="300" t="n"/>
      <c r="S4" s="300" t="n"/>
      <c r="T4" s="300" t="n"/>
      <c r="U4" s="300" t="n"/>
      <c r="V4" s="300" t="n"/>
      <c r="W4" s="300" t="n"/>
      <c r="X4" s="300" t="n"/>
      <c r="Y4" s="300" t="n"/>
      <c r="Z4" s="300" t="n"/>
      <c r="AA4" s="300" t="n"/>
      <c r="AB4" s="300" t="n"/>
      <c r="AC4" s="300" t="n"/>
      <c r="AD4" s="300" t="n"/>
      <c r="AE4" s="301" t="n"/>
      <c r="AF4" s="162" t="n">
        <v>46082</v>
      </c>
      <c r="AG4" s="163" t="n">
        <v>46089</v>
      </c>
      <c r="AH4" s="163" t="n">
        <v>46096</v>
      </c>
      <c r="AI4" s="163" t="n">
        <v>46103</v>
      </c>
      <c r="AJ4" s="163" t="n">
        <v>46110</v>
      </c>
      <c r="AK4" s="163" t="n">
        <v>46117</v>
      </c>
      <c r="AL4" s="163" t="n">
        <v>46124</v>
      </c>
      <c r="AM4" s="163" t="n">
        <v>46131</v>
      </c>
      <c r="AN4" s="163" t="n">
        <v>46138</v>
      </c>
      <c r="AO4" s="163" t="n">
        <v>46145</v>
      </c>
      <c r="AP4" s="163" t="n">
        <v>46152</v>
      </c>
      <c r="AQ4" s="163" t="n">
        <v>46159</v>
      </c>
      <c r="AR4" s="163" t="n">
        <v>46166</v>
      </c>
      <c r="AS4" s="163" t="n">
        <v>46173</v>
      </c>
      <c r="AT4" s="163" t="n">
        <v>46180</v>
      </c>
      <c r="AU4" s="163" t="n">
        <v>46187</v>
      </c>
      <c r="AV4" s="163" t="n">
        <v>46194</v>
      </c>
      <c r="AW4" s="163" t="n">
        <v>46201</v>
      </c>
      <c r="AX4" s="163" t="n">
        <v>46208</v>
      </c>
      <c r="AY4" s="163" t="n">
        <v>46215</v>
      </c>
      <c r="AZ4" s="163" t="n">
        <v>46222</v>
      </c>
      <c r="BA4" s="163" t="n">
        <v>46229</v>
      </c>
      <c r="BB4" s="163" t="n">
        <v>46236</v>
      </c>
      <c r="BC4" s="208"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row>
    <row r="5" ht="12" customHeight="1">
      <c r="A5" s="102" t="n"/>
      <c r="B5" s="102" t="inlineStr">
        <is>
          <t>G</t>
        </is>
      </c>
      <c r="C5" s="102" t="n">
        <v>1</v>
      </c>
      <c r="D5" s="118" t="inlineStr">
        <is>
          <t>1</t>
        </is>
      </c>
      <c r="E5" s="103" t="inlineStr">
        <is>
          <t>대두유 구매 의사결정 AI 시스템 (Nexus) — 외부데이터 전용(D-021)</t>
        </is>
      </c>
      <c r="F5" s="103" t="n"/>
      <c r="G5" s="103" t="n"/>
      <c r="H5" s="103" t="n"/>
      <c r="I5" s="103" t="n"/>
      <c r="J5" s="103" t="n"/>
      <c r="K5" s="103" t="n"/>
      <c r="L5" s="103" t="n"/>
      <c r="M5" s="103" t="n"/>
      <c r="N5" s="103" t="n"/>
      <c r="O5" s="103" t="n"/>
      <c r="P5" s="104" t="n">
        <v>46086</v>
      </c>
      <c r="Q5" s="104" t="n">
        <v>46295</v>
      </c>
      <c r="R5" s="103" t="n"/>
      <c r="S5" s="302" t="n"/>
      <c r="T5" s="302" t="n"/>
      <c r="U5" s="302" t="n"/>
      <c r="V5" s="302" t="n">
        <v>150</v>
      </c>
      <c r="W5" s="104" t="n"/>
      <c r="X5" s="104" t="n"/>
      <c r="Y5" s="303" t="n"/>
      <c r="Z5" s="107" t="n"/>
      <c r="AA5" s="302" t="n"/>
      <c r="AB5" s="103" t="inlineStr">
        <is>
          <t>조영훈</t>
        </is>
      </c>
      <c r="AC5" s="103" t="n"/>
      <c r="AD5" s="117" t="n"/>
      <c r="AE5" s="220" t="n"/>
      <c r="AF5" s="120" t="n"/>
      <c r="AG5" s="121" t="n"/>
      <c r="AH5" s="121" t="n"/>
      <c r="AI5" s="121" t="n"/>
      <c r="AJ5" s="121" t="n"/>
      <c r="AK5" s="121" t="n"/>
      <c r="AL5" s="121" t="n"/>
      <c r="AM5" s="121" t="n"/>
      <c r="AN5" s="121">
        <f>"      " &amp; TEXT(AE5,"#0.00%") &amp; " "</f>
        <v/>
      </c>
      <c r="AO5" s="121" t="n"/>
      <c r="AP5" s="121" t="n"/>
      <c r="AQ5" s="121" t="n"/>
      <c r="AR5" s="121" t="n"/>
      <c r="AS5" s="121" t="n"/>
      <c r="AT5" s="121" t="n"/>
      <c r="AU5" s="121" t="n"/>
      <c r="AV5" s="121" t="n"/>
      <c r="AW5" s="121" t="n"/>
      <c r="AX5" s="121" t="n"/>
      <c r="AY5" s="121" t="n"/>
      <c r="AZ5" s="121" t="n"/>
      <c r="BA5" s="121" t="n"/>
      <c r="BB5" s="121">
        <f>"  " &amp; "프로젝트 관리" &amp; " " &amp; IF(P5="","",TEXT(P5,"M/D-")) &amp; IF(Q5="","",TEXT(Q5,"M/D")) &amp; " "</f>
        <v/>
      </c>
      <c r="BC5" s="121" t="n"/>
    </row>
    <row r="6" outlineLevel="1" ht="12" customHeight="1">
      <c r="A6" s="102" t="n"/>
      <c r="B6" s="102" t="inlineStr">
        <is>
          <t>G</t>
        </is>
      </c>
      <c r="C6" s="102" t="n">
        <v>2</v>
      </c>
      <c r="D6" s="118" t="inlineStr">
        <is>
          <t>1.1</t>
        </is>
      </c>
      <c r="E6" s="103" t="n"/>
      <c r="F6" s="103" t="inlineStr">
        <is>
          <t>Phase 1: 데이터 기반 정비 (2010~2026 · 15개년)</t>
        </is>
      </c>
      <c r="G6" s="103" t="n"/>
      <c r="H6" s="103" t="n"/>
      <c r="I6" s="103" t="n"/>
      <c r="J6" s="103" t="n"/>
      <c r="K6" s="103" t="n"/>
      <c r="L6" s="103" t="n"/>
      <c r="M6" s="103" t="n"/>
      <c r="N6" s="103" t="n"/>
      <c r="O6" s="103" t="n"/>
      <c r="P6" s="104" t="n">
        <v>46086</v>
      </c>
      <c r="Q6" s="104" t="n">
        <v>46246</v>
      </c>
      <c r="R6" s="103" t="n"/>
      <c r="S6" s="302" t="n"/>
      <c r="T6" s="302" t="n"/>
      <c r="U6" s="302" t="n"/>
      <c r="V6" s="302" t="n">
        <v>115</v>
      </c>
      <c r="W6" s="104" t="n"/>
      <c r="X6" s="104" t="n"/>
      <c r="Y6" s="303" t="n"/>
      <c r="Z6" s="107" t="n"/>
      <c r="AA6" s="302" t="n"/>
      <c r="AB6" s="103" t="inlineStr">
        <is>
          <t>조영훈</t>
        </is>
      </c>
      <c r="AC6" s="103" t="n"/>
      <c r="AD6" s="117" t="n"/>
      <c r="AE6" s="207" t="n"/>
      <c r="AF6" s="120" t="n"/>
      <c r="AG6" s="121" t="n"/>
      <c r="AH6" s="121" t="n"/>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row>
    <row r="7" outlineLevel="2" ht="12" customHeight="1">
      <c r="A7" s="102" t="n"/>
      <c r="B7" s="102" t="n"/>
      <c r="C7" s="102" t="n">
        <v>3</v>
      </c>
      <c r="D7" s="118" t="inlineStr">
        <is>
          <t>1.1.1</t>
        </is>
      </c>
      <c r="E7" s="103" t="n"/>
      <c r="F7" s="103" t="n"/>
      <c r="G7" s="103" t="inlineStr">
        <is>
          <t>[기획] 스코프 15개년·설계결정 17항목 확정</t>
        </is>
      </c>
      <c r="H7" s="212" t="n"/>
      <c r="I7" s="103" t="n"/>
      <c r="J7" s="103" t="n"/>
      <c r="K7" s="103" t="n"/>
      <c r="L7" s="103" t="n"/>
      <c r="M7" s="103" t="n"/>
      <c r="N7" s="103" t="n"/>
      <c r="O7" s="103" t="n"/>
      <c r="P7" s="104" t="n">
        <v>46230</v>
      </c>
      <c r="Q7" s="104" t="n">
        <v>46235</v>
      </c>
      <c r="R7" s="103" t="n"/>
      <c r="S7" s="302" t="n"/>
      <c r="T7" s="302" t="n"/>
      <c r="U7" s="302" t="n"/>
      <c r="V7" s="302" t="n">
        <v>6</v>
      </c>
      <c r="W7" s="104" t="n"/>
      <c r="X7" s="104" t="n"/>
      <c r="Y7" s="303" t="n"/>
      <c r="Z7" s="107" t="n"/>
      <c r="AA7" s="302" t="n"/>
      <c r="AB7" s="103" t="inlineStr">
        <is>
          <t>조영훈</t>
        </is>
      </c>
      <c r="AC7" s="103" t="n"/>
      <c r="AD7" s="117" t="n"/>
      <c r="AE7" s="199" t="n"/>
      <c r="AF7" s="120" t="n"/>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row>
    <row r="8" outlineLevel="2" ht="12" customHeight="1">
      <c r="A8" s="102" t="n"/>
      <c r="B8" s="102" t="n"/>
      <c r="C8" s="102" t="n">
        <v>3</v>
      </c>
      <c r="D8" s="118" t="inlineStr">
        <is>
          <t>1.1.2</t>
        </is>
      </c>
      <c r="E8" s="103" t="n"/>
      <c r="F8" s="103" t="n"/>
      <c r="G8" s="103" t="inlineStr">
        <is>
          <t>[데이터수집] 관세청 GW 확장 수집 (9품목×10개국, 8/3 재개)</t>
        </is>
      </c>
      <c r="H8" s="103" t="n"/>
      <c r="I8" s="103" t="n"/>
      <c r="J8" s="103" t="n"/>
      <c r="K8" s="103" t="n"/>
      <c r="L8" s="103" t="n"/>
      <c r="M8" s="103" t="n"/>
      <c r="N8" s="103" t="n"/>
      <c r="O8" s="103" t="n"/>
      <c r="P8" s="104" t="n">
        <v>46237</v>
      </c>
      <c r="Q8" s="104" t="n">
        <v>46241</v>
      </c>
      <c r="R8" s="103" t="n"/>
      <c r="S8" s="302" t="n"/>
      <c r="T8" s="302" t="n"/>
      <c r="U8" s="302" t="n"/>
      <c r="V8" s="302" t="n">
        <v>5</v>
      </c>
      <c r="W8" s="104" t="n"/>
      <c r="X8" s="104" t="n"/>
      <c r="Y8" s="303" t="n"/>
      <c r="Z8" s="107" t="n"/>
      <c r="AA8" s="302" t="n"/>
      <c r="AB8" s="103" t="inlineStr">
        <is>
          <t>조영훈</t>
        </is>
      </c>
      <c r="AC8" s="103" t="n"/>
      <c r="AD8" s="117" t="n"/>
      <c r="AE8" s="207" t="n"/>
      <c r="AF8" s="120" t="n"/>
      <c r="AG8" s="121" t="n"/>
      <c r="AH8" s="121" t="n"/>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row>
    <row r="9" outlineLevel="3" ht="12" customHeight="1">
      <c r="A9" s="102" t="n"/>
      <c r="B9" s="102" t="n"/>
      <c r="C9" s="102" t="n">
        <v>3</v>
      </c>
      <c r="D9" s="118" t="inlineStr">
        <is>
          <t>1.1.3</t>
        </is>
      </c>
      <c r="E9" s="103" t="n"/>
      <c r="F9" s="103" t="n"/>
      <c r="G9" s="103" t="inlineStr">
        <is>
          <t>[데이터수집] 수동 히스토리 최신월 정합 (2010.01 기준)</t>
        </is>
      </c>
      <c r="H9" s="103" t="n"/>
      <c r="I9" s="103" t="n"/>
      <c r="J9" s="103" t="n"/>
      <c r="K9" s="103" t="n"/>
      <c r="L9" s="103" t="n"/>
      <c r="M9" s="103" t="n"/>
      <c r="N9" s="103" t="n"/>
      <c r="O9" s="103" t="n"/>
      <c r="P9" s="104" t="n">
        <v>46237</v>
      </c>
      <c r="Q9" s="104" t="n">
        <v>46242</v>
      </c>
      <c r="R9" s="103" t="n"/>
      <c r="S9" s="302" t="n"/>
      <c r="T9" s="302" t="n"/>
      <c r="U9" s="302" t="n"/>
      <c r="V9" s="302" t="n">
        <v>6</v>
      </c>
      <c r="W9" s="104" t="n"/>
      <c r="X9" s="104" t="n"/>
      <c r="Y9" s="303" t="n"/>
      <c r="Z9" s="107" t="n"/>
      <c r="AA9" s="302" t="n"/>
      <c r="AB9" s="103" t="inlineStr">
        <is>
          <t>조영훈</t>
        </is>
      </c>
      <c r="AC9" s="103" t="n"/>
      <c r="AD9" s="117" t="n"/>
      <c r="AE9" s="199" t="n"/>
      <c r="AF9" s="120" t="n"/>
      <c r="AG9" s="121" t="n"/>
      <c r="AH9" s="121" t="n"/>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row>
    <row r="10" outlineLevel="3" ht="12" customHeight="1">
      <c r="A10" s="102" t="n"/>
      <c r="B10" s="102" t="n"/>
      <c r="C10" s="102" t="n">
        <v>3</v>
      </c>
      <c r="D10" s="118" t="inlineStr">
        <is>
          <t>1.1.4</t>
        </is>
      </c>
      <c r="E10" s="103" t="n"/>
      <c r="F10" s="103" t="n"/>
      <c r="G10" s="103" t="inlineStr">
        <is>
          <t>[처리·정제] 비정형 시계열화 (GAIN 1,234·FAO 137 PDF)</t>
        </is>
      </c>
      <c r="H10" s="103" t="n"/>
      <c r="I10" s="103" t="n"/>
      <c r="J10" s="103" t="n"/>
      <c r="K10" s="103" t="n"/>
      <c r="L10" s="103" t="n"/>
      <c r="M10" s="103" t="n"/>
      <c r="N10" s="103" t="n"/>
      <c r="O10" s="103" t="n"/>
      <c r="P10" s="104" t="n">
        <v>46238</v>
      </c>
      <c r="Q10" s="104" t="n">
        <v>46244</v>
      </c>
      <c r="R10" s="103" t="n"/>
      <c r="S10" s="302" t="n"/>
      <c r="T10" s="302" t="n"/>
      <c r="U10" s="302" t="n"/>
      <c r="V10" s="302" t="n">
        <v>5</v>
      </c>
      <c r="W10" s="104" t="n"/>
      <c r="X10" s="104" t="n"/>
      <c r="Y10" s="303" t="n"/>
      <c r="Z10" s="107" t="n"/>
      <c r="AA10" s="302" t="n"/>
      <c r="AB10" s="103" t="inlineStr">
        <is>
          <t>조영훈</t>
        </is>
      </c>
      <c r="AC10" s="103" t="n"/>
      <c r="AD10" s="117" t="n"/>
      <c r="AE10" s="213" t="n"/>
      <c r="AF10" s="120" t="n"/>
      <c r="AG10" s="121" t="n"/>
      <c r="AH10" s="121" t="n"/>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row>
    <row r="11" outlineLevel="1" ht="12" customHeight="1">
      <c r="A11" s="102" t="n"/>
      <c r="B11" s="102" t="n"/>
      <c r="C11" s="102" t="n">
        <v>3</v>
      </c>
      <c r="D11" s="118" t="inlineStr">
        <is>
          <t>1.1.5</t>
        </is>
      </c>
      <c r="E11" s="103" t="n"/>
      <c r="F11" s="103" t="n"/>
      <c r="G11" s="103" t="inlineStr">
        <is>
          <t>[전처리] 파생피처 (스프레드·크러시·기상스트레스·z-score·USD/MT)</t>
        </is>
      </c>
      <c r="H11" s="103" t="n"/>
      <c r="I11" s="103" t="n"/>
      <c r="J11" s="103" t="n"/>
      <c r="K11" s="103" t="n"/>
      <c r="L11" s="103" t="n"/>
      <c r="M11" s="103" t="n"/>
      <c r="N11" s="103" t="n"/>
      <c r="O11" s="103" t="n"/>
      <c r="P11" s="104" t="n">
        <v>46240</v>
      </c>
      <c r="Q11" s="104" t="n">
        <v>46246</v>
      </c>
      <c r="R11" s="103" t="n"/>
      <c r="S11" s="302" t="n"/>
      <c r="T11" s="302" t="n"/>
      <c r="U11" s="302" t="n"/>
      <c r="V11" s="302" t="n">
        <v>5</v>
      </c>
      <c r="W11" s="104" t="n"/>
      <c r="X11" s="104" t="n"/>
      <c r="Y11" s="303" t="n"/>
      <c r="Z11" s="107" t="n"/>
      <c r="AA11" s="302" t="n"/>
      <c r="AB11" s="103" t="inlineStr">
        <is>
          <t>조영훈</t>
        </is>
      </c>
      <c r="AC11" s="103" t="n"/>
      <c r="AD11" s="117" t="n"/>
      <c r="AE11" s="284" t="n"/>
      <c r="AF11" s="120" t="n"/>
      <c r="AG11" s="121" t="n"/>
      <c r="AH11" s="121" t="n"/>
      <c r="AI11" s="121" t="n"/>
      <c r="AJ11" s="121" t="n"/>
      <c r="AK11" s="121">
        <f>"     " &amp; TEXT(AE11,"#0.00%") &amp; " "</f>
        <v/>
      </c>
      <c r="AL11" s="121" t="n"/>
      <c r="AM11" s="121" t="n"/>
      <c r="AN11" s="121" t="n"/>
      <c r="AO11" s="121" t="n"/>
      <c r="AP11" s="121" t="n"/>
      <c r="AQ11" s="121" t="n"/>
      <c r="AR11" s="121" t="n"/>
      <c r="AS11" s="121">
        <f>"     " &amp; "프로젝트 수행 및 통제" &amp; " " &amp; IF(P11="","",TEXT(P11,"M/D-")) &amp; IF(Q11="","",TEXT(Q11,"M/D")) &amp; " "</f>
        <v/>
      </c>
      <c r="AT11" s="121" t="n"/>
      <c r="AU11" s="121" t="n"/>
      <c r="AV11" s="121" t="n"/>
      <c r="AW11" s="121" t="n"/>
      <c r="AX11" s="121" t="n"/>
      <c r="AY11" s="121" t="n"/>
      <c r="AZ11" s="121" t="n"/>
      <c r="BA11" s="121" t="n"/>
      <c r="BB11" s="121" t="n"/>
      <c r="BC11" s="121" t="n"/>
    </row>
    <row r="12" outlineLevel="2" ht="12" customHeight="1">
      <c r="A12" s="102" t="n"/>
      <c r="B12" s="102" t="inlineStr">
        <is>
          <t>G</t>
        </is>
      </c>
      <c r="C12" s="102" t="n">
        <v>2</v>
      </c>
      <c r="D12" s="118" t="inlineStr">
        <is>
          <t>1.2</t>
        </is>
      </c>
      <c r="E12" s="103" t="n"/>
      <c r="F12" s="103" t="inlineStr">
        <is>
          <t>Phase 2: G1 리포트 자동화 ★ 8/31 완료</t>
        </is>
      </c>
      <c r="G12" s="103" t="n"/>
      <c r="H12" s="103" t="n"/>
      <c r="I12" s="103" t="n"/>
      <c r="J12" s="103" t="n"/>
      <c r="K12" s="103" t="n"/>
      <c r="L12" s="103" t="n"/>
      <c r="M12" s="103" t="n"/>
      <c r="N12" s="103" t="n"/>
      <c r="O12" s="103" t="n"/>
      <c r="P12" s="104" t="n">
        <v>46235</v>
      </c>
      <c r="Q12" s="104" t="n">
        <v>46265</v>
      </c>
      <c r="R12" s="103" t="n"/>
      <c r="S12" s="302" t="n"/>
      <c r="T12" s="302" t="n"/>
      <c r="U12" s="302" t="n"/>
      <c r="V12" s="302" t="n">
        <v>21</v>
      </c>
      <c r="W12" s="104" t="n"/>
      <c r="X12" s="104" t="n"/>
      <c r="Y12" s="303" t="n"/>
      <c r="Z12" s="107" t="n"/>
      <c r="AA12" s="302" t="n"/>
      <c r="AB12" s="103" t="inlineStr">
        <is>
          <t>조영훈</t>
        </is>
      </c>
      <c r="AC12" s="103" t="n"/>
      <c r="AD12" s="117" t="n"/>
      <c r="AE12" s="199" t="n"/>
      <c r="AF12" s="120" t="n"/>
      <c r="AG12" s="121" t="n"/>
      <c r="AH12" s="121" t="n"/>
      <c r="AI12" s="121" t="n"/>
      <c r="AJ12" s="121">
        <f>"     " &amp; TEXT(AE12,"#0.00%") &amp; " " &amp; "월간보고1" &amp; "(박피엠[20%])" &amp; " " &amp; IF(P12="","",TEXT(P12,"M/D-")) &amp; IF(Q12="","",TEXT(Q12,"M/D")) &amp; " "</f>
        <v/>
      </c>
      <c r="AK12" s="121" t="n"/>
      <c r="AL12" s="121" t="n"/>
      <c r="AM12" s="121" t="n"/>
      <c r="AN12" s="121" t="n"/>
      <c r="AO12" s="121" t="n"/>
      <c r="AP12" s="121" t="n"/>
      <c r="AQ12" s="121" t="n"/>
      <c r="AR12" s="121" t="n"/>
      <c r="AS12" s="121" t="n"/>
      <c r="AT12" s="121" t="n"/>
      <c r="AU12" s="121" t="n"/>
      <c r="AV12" s="121" t="n"/>
      <c r="AW12" s="121" t="n"/>
      <c r="AX12" s="121" t="n"/>
      <c r="AY12" s="121" t="n"/>
      <c r="AZ12" s="121" t="n"/>
      <c r="BA12" s="121" t="n"/>
      <c r="BB12" s="121" t="n"/>
      <c r="BC12" s="121" t="n"/>
    </row>
    <row r="13" outlineLevel="2" ht="12" customHeight="1">
      <c r="A13" s="102" t="n"/>
      <c r="B13" s="102" t="n"/>
      <c r="C13" s="102" t="n">
        <v>3</v>
      </c>
      <c r="D13" s="118" t="inlineStr">
        <is>
          <t>1.2.1</t>
        </is>
      </c>
      <c r="E13" s="103" t="n"/>
      <c r="F13" s="103" t="n"/>
      <c r="G13" s="103" t="inlineStr">
        <is>
          <t>[분석] 통합 관계분석 (정형+비정형 상관·Granger·리드랙)</t>
        </is>
      </c>
      <c r="H13" s="103" t="n"/>
      <c r="I13" s="103" t="n"/>
      <c r="J13" s="103" t="n"/>
      <c r="K13" s="103" t="n"/>
      <c r="L13" s="103" t="n"/>
      <c r="M13" s="103" t="n"/>
      <c r="N13" s="103" t="n"/>
      <c r="O13" s="103" t="n"/>
      <c r="P13" s="104" t="n">
        <v>46245</v>
      </c>
      <c r="Q13" s="104" t="n">
        <v>46252</v>
      </c>
      <c r="R13" s="103" t="n"/>
      <c r="S13" s="302" t="n"/>
      <c r="T13" s="302" t="n"/>
      <c r="U13" s="302" t="n"/>
      <c r="V13" s="302" t="n">
        <v>6</v>
      </c>
      <c r="W13" s="104" t="n"/>
      <c r="X13" s="104" t="n"/>
      <c r="Y13" s="303" t="n"/>
      <c r="Z13" s="107" t="n"/>
      <c r="AA13" s="302" t="n"/>
      <c r="AB13" s="103" t="inlineStr">
        <is>
          <t>조영훈</t>
        </is>
      </c>
      <c r="AC13" s="103" t="n"/>
      <c r="AD13" s="117" t="n"/>
      <c r="AE13" s="214" t="n"/>
      <c r="AF13" s="120" t="n"/>
      <c r="AG13" s="121" t="n"/>
      <c r="AH13" s="121" t="n"/>
      <c r="AI13" s="121" t="n"/>
      <c r="AJ13" s="121" t="n"/>
      <c r="AK13" s="121" t="n"/>
      <c r="AL13" s="121" t="n"/>
      <c r="AM13" s="121" t="n"/>
      <c r="AN13" s="121">
        <f>"    " &amp; TEXT(AE13,"#0.00%") &amp; " " &amp; "월간보고2" &amp; "(박피엠[20%])" &amp; " " &amp; IF(P13="","",TEXT(P13,"M/D-")) &amp; IF(Q13="","",TEXT(Q13,"M/D")) &amp; " "</f>
        <v/>
      </c>
      <c r="AO13" s="121" t="n"/>
      <c r="AP13" s="121" t="n"/>
      <c r="AQ13" s="121" t="n"/>
      <c r="AR13" s="121" t="n"/>
      <c r="AS13" s="121" t="n"/>
      <c r="AT13" s="121" t="n"/>
      <c r="AU13" s="121" t="n"/>
      <c r="AV13" s="121" t="n"/>
      <c r="AW13" s="121" t="n"/>
      <c r="AX13" s="121" t="n"/>
      <c r="AY13" s="121" t="n"/>
      <c r="AZ13" s="121" t="n"/>
      <c r="BA13" s="121" t="n"/>
      <c r="BB13" s="121" t="n"/>
      <c r="BC13" s="121" t="n"/>
    </row>
    <row r="14" outlineLevel="2" ht="12" customHeight="1">
      <c r="A14" s="102" t="n"/>
      <c r="B14" s="102" t="n"/>
      <c r="C14" s="102" t="n">
        <v>3</v>
      </c>
      <c r="D14" s="118" t="inlineStr">
        <is>
          <t>1.2.2</t>
        </is>
      </c>
      <c r="E14" s="103" t="n"/>
      <c r="F14" s="103" t="n"/>
      <c r="G14" s="103" t="inlineStr">
        <is>
          <t>[분석] 변수 중요도 (ElasticNet·XGBoost+SHAP·5단계 게이트)</t>
        </is>
      </c>
      <c r="H14" s="103" t="n"/>
      <c r="I14" s="103" t="n"/>
      <c r="J14" s="103" t="n"/>
      <c r="K14" s="103" t="n"/>
      <c r="L14" s="103" t="n"/>
      <c r="M14" s="103" t="n"/>
      <c r="N14" s="103" t="n"/>
      <c r="O14" s="103" t="n"/>
      <c r="P14" s="104" t="n">
        <v>46252</v>
      </c>
      <c r="Q14" s="104" t="n">
        <v>46259</v>
      </c>
      <c r="R14" s="103" t="n"/>
      <c r="S14" s="302" t="n"/>
      <c r="T14" s="302" t="n"/>
      <c r="U14" s="302" t="n"/>
      <c r="V14" s="302" t="n">
        <v>6</v>
      </c>
      <c r="W14" s="104" t="n"/>
      <c r="X14" s="104" t="n"/>
      <c r="Y14" s="303" t="n"/>
      <c r="Z14" s="107" t="n"/>
      <c r="AA14" s="302" t="n"/>
      <c r="AB14" s="103" t="inlineStr">
        <is>
          <t>조영훈</t>
        </is>
      </c>
      <c r="AC14" s="103" t="n"/>
      <c r="AD14" s="117" t="n"/>
      <c r="AE14" s="214" t="n"/>
      <c r="AF14" s="120" t="n"/>
      <c r="AG14" s="121" t="n"/>
      <c r="AH14" s="121" t="n"/>
      <c r="AI14" s="121" t="n"/>
      <c r="AJ14" s="121" t="n"/>
      <c r="AK14" s="121" t="n"/>
      <c r="AL14" s="121" t="n"/>
      <c r="AM14" s="121" t="n"/>
      <c r="AN14" s="121" t="n"/>
      <c r="AO14" s="121" t="n"/>
      <c r="AP14" s="121" t="n"/>
      <c r="AQ14" s="121" t="n"/>
      <c r="AR14" s="121" t="n"/>
      <c r="AS14" s="121">
        <f>"    " &amp; TEXT(AE14,"#0.00%") &amp; " " &amp; "월간보고3" &amp; "(박피엠[20%])" &amp; " " &amp; IF(P14="","",TEXT(P14,"M/D-")) &amp; IF(Q14="","",TEXT(Q14,"M/D")) &amp; " "</f>
        <v/>
      </c>
      <c r="AT14" s="121" t="n"/>
      <c r="AU14" s="121" t="n"/>
      <c r="AV14" s="121" t="n"/>
      <c r="AW14" s="121" t="n"/>
      <c r="AX14" s="121" t="n"/>
      <c r="AY14" s="121" t="n"/>
      <c r="AZ14" s="121" t="n"/>
      <c r="BA14" s="121" t="n"/>
      <c r="BB14" s="121" t="n"/>
      <c r="BC14" s="121" t="n"/>
    </row>
    <row r="15" outlineLevel="2" ht="12" customHeight="1">
      <c r="A15" s="102" t="n"/>
      <c r="B15" s="102" t="n"/>
      <c r="C15" s="102" t="n">
        <v>3</v>
      </c>
      <c r="D15" s="118" t="inlineStr">
        <is>
          <t>1.2.3</t>
        </is>
      </c>
      <c r="E15" s="103" t="n"/>
      <c r="F15" s="103" t="n"/>
      <c r="G15" s="103" t="inlineStr">
        <is>
          <t>[분석] 알림 임계 재보정 (분포기반 P90·2σ·Bonferroni)</t>
        </is>
      </c>
      <c r="H15" s="103" t="n"/>
      <c r="I15" s="103" t="n"/>
      <c r="J15" s="103" t="n"/>
      <c r="K15" s="103" t="n"/>
      <c r="L15" s="103" t="n"/>
      <c r="M15" s="103" t="n"/>
      <c r="N15" s="103" t="n"/>
      <c r="O15" s="103" t="n"/>
      <c r="P15" s="104" t="n">
        <v>46254</v>
      </c>
      <c r="Q15" s="104" t="n">
        <v>46260</v>
      </c>
      <c r="R15" s="103" t="n"/>
      <c r="S15" s="302" t="n"/>
      <c r="T15" s="302" t="n"/>
      <c r="U15" s="302" t="n"/>
      <c r="V15" s="302" t="n">
        <v>5</v>
      </c>
      <c r="W15" s="104" t="n"/>
      <c r="X15" s="104" t="n"/>
      <c r="Y15" s="303" t="n"/>
      <c r="Z15" s="107" t="n"/>
      <c r="AA15" s="302" t="n"/>
      <c r="AB15" s="103" t="inlineStr">
        <is>
          <t>조영훈</t>
        </is>
      </c>
      <c r="AC15" s="103" t="n"/>
      <c r="AD15" s="117" t="n"/>
      <c r="AE15" s="214" t="n"/>
      <c r="AF15" s="120" t="n"/>
      <c r="AG15" s="121" t="n"/>
      <c r="AH15" s="121" t="n"/>
      <c r="AI15" s="121" t="n"/>
      <c r="AJ15" s="121" t="n"/>
      <c r="AK15" s="121" t="n"/>
      <c r="AL15" s="121" t="n"/>
      <c r="AM15" s="121" t="n"/>
      <c r="AN15" s="121" t="n"/>
      <c r="AO15" s="121">
        <f>"    " &amp; TEXT(AE15,"#0.00%") &amp; " " &amp; "중간보고" &amp; " " &amp; IF(P15="","",TEXT(P15,"M/D-")) &amp; IF(Q15="","",TEXT(Q15,"M/D")) &amp; " "</f>
        <v/>
      </c>
      <c r="AP15" s="121" t="n"/>
      <c r="AQ15" s="121" t="n"/>
      <c r="AR15" s="121" t="n"/>
      <c r="AS15" s="121" t="n"/>
      <c r="AT15" s="121" t="n"/>
      <c r="AU15" s="121" t="n"/>
      <c r="AV15" s="121" t="n"/>
      <c r="AW15" s="121" t="n"/>
      <c r="AX15" s="121" t="n"/>
      <c r="AY15" s="121" t="n"/>
      <c r="AZ15" s="121" t="n"/>
      <c r="BA15" s="121" t="n"/>
      <c r="BB15" s="121" t="n"/>
      <c r="BC15" s="121" t="n"/>
    </row>
    <row r="16" outlineLevel="1" ht="12" customHeight="1">
      <c r="A16" s="102" t="n"/>
      <c r="B16" s="102" t="n"/>
      <c r="C16" s="102" t="n">
        <v>3</v>
      </c>
      <c r="D16" s="118" t="inlineStr">
        <is>
          <t>1.2.4</t>
        </is>
      </c>
      <c r="E16" s="103" t="n"/>
      <c r="F16" s="103" t="n"/>
      <c r="G16" s="103" t="inlineStr">
        <is>
          <t>[시각화] G1 리포트 자동화 완성 (한/영·인과체인·경영진 요약)</t>
        </is>
      </c>
      <c r="H16" s="103" t="n"/>
      <c r="I16" s="103" t="n"/>
      <c r="J16" s="103" t="n"/>
      <c r="K16" s="103" t="n"/>
      <c r="L16" s="103" t="n"/>
      <c r="M16" s="103" t="n"/>
      <c r="N16" s="103" t="n"/>
      <c r="O16" s="103" t="n"/>
      <c r="P16" s="104" t="n">
        <v>46259</v>
      </c>
      <c r="Q16" s="104" t="n">
        <v>46265</v>
      </c>
      <c r="R16" s="103" t="n"/>
      <c r="S16" s="302" t="n"/>
      <c r="T16" s="302" t="n"/>
      <c r="U16" s="302" t="n"/>
      <c r="V16" s="302" t="n">
        <v>5</v>
      </c>
      <c r="W16" s="104" t="n"/>
      <c r="X16" s="104" t="n"/>
      <c r="Y16" s="303" t="n"/>
      <c r="Z16" s="107" t="n"/>
      <c r="AA16" s="302" t="n"/>
      <c r="AB16" s="103" t="inlineStr">
        <is>
          <t>조영훈</t>
        </is>
      </c>
      <c r="AC16" s="103" t="n"/>
      <c r="AD16" s="117" t="n"/>
      <c r="AE16" s="220" t="n"/>
      <c r="AF16" s="120" t="n"/>
      <c r="AG16" s="121" t="n"/>
      <c r="AH16" s="121" t="n"/>
      <c r="AI16" s="121" t="n"/>
      <c r="AJ16" s="121" t="n"/>
      <c r="AK16" s="121" t="n"/>
      <c r="AL16" s="121" t="n"/>
      <c r="AM16" s="121" t="n"/>
      <c r="AN16" s="121" t="n"/>
      <c r="AO16" s="121" t="n"/>
      <c r="AP16" s="121" t="n"/>
      <c r="AQ16" s="121" t="n"/>
      <c r="AR16" s="121" t="n"/>
      <c r="AS16" s="121" t="n"/>
      <c r="AT16" s="121" t="n"/>
      <c r="AU16" s="121" t="n"/>
      <c r="AV16" s="121" t="n"/>
      <c r="AW16" s="121" t="n"/>
      <c r="AX16" s="121">
        <f>"    " &amp; TEXT(AE16,"#0.00%") &amp; " "</f>
        <v/>
      </c>
      <c r="AY16" s="121" t="n"/>
      <c r="AZ16" s="121" t="n"/>
      <c r="BA16" s="121" t="n"/>
      <c r="BB16" s="121">
        <f>"  " &amp; "프로젝트 종료" &amp; " " &amp; IF(P16="","",TEXT(P16,"M/D-")) &amp; IF(Q16="","",TEXT(Q16,"M/D")) &amp; " "</f>
        <v/>
      </c>
      <c r="BC16" s="121" t="n"/>
    </row>
    <row r="17" outlineLevel="2" ht="12" customHeight="1">
      <c r="A17" s="102" t="n"/>
      <c r="B17" s="102" t="n"/>
      <c r="C17" s="102" t="n">
        <v>3</v>
      </c>
      <c r="D17" s="118" t="inlineStr">
        <is>
          <t>1.2.5</t>
        </is>
      </c>
      <c r="E17" s="103" t="n"/>
      <c r="F17" s="103" t="n"/>
      <c r="G17" s="103" t="inlineStr">
        <is>
          <t>[아키텍처] 리포트 자동생성 파이프라인 안정화 (Actions)</t>
        </is>
      </c>
      <c r="H17" s="103" t="n"/>
      <c r="I17" s="103" t="n"/>
      <c r="J17" s="103" t="n"/>
      <c r="K17" s="103" t="n"/>
      <c r="L17" s="103" t="n"/>
      <c r="M17" s="103" t="n"/>
      <c r="N17" s="103" t="n"/>
      <c r="O17" s="103" t="n"/>
      <c r="P17" s="104" t="n">
        <v>46259</v>
      </c>
      <c r="Q17" s="104" t="n">
        <v>46265</v>
      </c>
      <c r="R17" s="103" t="n"/>
      <c r="S17" s="302" t="n"/>
      <c r="T17" s="302" t="n"/>
      <c r="U17" s="302" t="n"/>
      <c r="V17" s="302" t="n">
        <v>5</v>
      </c>
      <c r="W17" s="104" t="n"/>
      <c r="X17" s="104" t="n"/>
      <c r="Y17" s="303" t="n"/>
      <c r="Z17" s="107" t="n"/>
      <c r="AA17" s="302" t="n"/>
      <c r="AB17" s="103" t="inlineStr">
        <is>
          <t>조영훈</t>
        </is>
      </c>
      <c r="AC17" s="103" t="n"/>
      <c r="AD17" s="117" t="n"/>
      <c r="AE17" s="214" t="n"/>
      <c r="AF17" s="120" t="n"/>
      <c r="AG17" s="121" t="n"/>
      <c r="AH17" s="121" t="n"/>
      <c r="AI17" s="121" t="n"/>
      <c r="AJ17" s="121" t="n"/>
      <c r="AK17" s="121" t="n"/>
      <c r="AL17" s="121" t="n"/>
      <c r="AM17" s="121" t="n"/>
      <c r="AN17" s="121" t="n"/>
      <c r="AO17" s="121" t="n"/>
      <c r="AP17" s="121" t="n"/>
      <c r="AQ17" s="121" t="n"/>
      <c r="AR17" s="121" t="n"/>
      <c r="AS17" s="121" t="n"/>
      <c r="AT17" s="121" t="n"/>
      <c r="AU17" s="121" t="n"/>
      <c r="AV17" s="121" t="n"/>
      <c r="AW17" s="121" t="n"/>
      <c r="AX17" s="121">
        <f>"    " &amp; TEXT(AE17,"#0.00%") &amp; " " &amp; "종료계획수립" &amp; "(김분석,이지은)" &amp; " " &amp; IF(P17="","",TEXT(P17,"M/D-")) &amp; IF(Q17="","",TEXT(Q17,"M/D")) &amp; " "</f>
        <v/>
      </c>
      <c r="AY17" s="121" t="n"/>
      <c r="AZ17" s="121" t="n"/>
      <c r="BA17" s="121" t="n"/>
      <c r="BB17" s="121" t="n"/>
      <c r="BC17" s="121" t="n"/>
    </row>
    <row r="18" outlineLevel="2" ht="12" customHeight="1">
      <c r="A18" s="102" t="n"/>
      <c r="B18" s="102" t="inlineStr">
        <is>
          <t>G</t>
        </is>
      </c>
      <c r="C18" s="102" t="n">
        <v>2</v>
      </c>
      <c r="D18" s="118" t="inlineStr">
        <is>
          <t>1.3</t>
        </is>
      </c>
      <c r="E18" s="103" t="n"/>
      <c r="F18" s="103" t="inlineStr">
        <is>
          <t>Phase 3: G2 가격밴드 Preview + 대시보드 ★ 9/10 완료</t>
        </is>
      </c>
      <c r="G18" s="103" t="n"/>
      <c r="H18" s="103" t="n"/>
      <c r="I18" s="103" t="n"/>
      <c r="J18" s="103" t="n"/>
      <c r="K18" s="103" t="n"/>
      <c r="L18" s="103" t="n"/>
      <c r="M18" s="103" t="n"/>
      <c r="N18" s="103" t="n"/>
      <c r="O18" s="103" t="n"/>
      <c r="P18" s="104" t="n">
        <v>46259</v>
      </c>
      <c r="Q18" s="104" t="n">
        <v>46275</v>
      </c>
      <c r="R18" s="103" t="n"/>
      <c r="S18" s="302" t="n"/>
      <c r="T18" s="302" t="n"/>
      <c r="U18" s="302" t="n"/>
      <c r="V18" s="302" t="n">
        <v>13</v>
      </c>
      <c r="W18" s="104" t="n"/>
      <c r="X18" s="104" t="n"/>
      <c r="Y18" s="303" t="n"/>
      <c r="Z18" s="107" t="n"/>
      <c r="AA18" s="302" t="n"/>
      <c r="AB18" s="103" t="inlineStr">
        <is>
          <t>조영훈</t>
        </is>
      </c>
      <c r="AC18" s="103" t="n"/>
      <c r="AD18" s="117" t="n"/>
      <c r="AE18" s="214" t="n"/>
      <c r="AF18" s="120" t="n"/>
      <c r="AG18" s="121" t="n"/>
      <c r="AH18" s="121" t="n"/>
      <c r="AI18" s="121" t="n"/>
      <c r="AJ18" s="121" t="n"/>
      <c r="AK18" s="121" t="n"/>
      <c r="AL18" s="121" t="n"/>
      <c r="AM18" s="121" t="n"/>
      <c r="AN18" s="121" t="n"/>
      <c r="AO18" s="121" t="n"/>
      <c r="AP18" s="121" t="n"/>
      <c r="AQ18" s="121" t="n"/>
      <c r="AR18" s="121" t="n"/>
      <c r="AS18" s="121" t="n"/>
      <c r="AT18" s="121" t="n"/>
      <c r="AU18" s="121" t="n"/>
      <c r="AV18" s="121" t="n"/>
      <c r="AW18" s="121" t="n"/>
      <c r="AX18" s="121" t="n"/>
      <c r="AY18" s="121">
        <f>"    " &amp; TEXT(AE18,"#0.00%") &amp; " " &amp; "시스템 인수인계" &amp; "(홍길동)" &amp; " " &amp; IF(P18="","",TEXT(P18,"M/D-")) &amp; IF(Q18="","",TEXT(Q18,"M/D")) &amp; " "</f>
        <v/>
      </c>
      <c r="AZ18" s="121" t="n"/>
      <c r="BA18" s="121" t="n"/>
      <c r="BB18" s="121" t="n"/>
      <c r="BC18" s="121" t="n"/>
    </row>
    <row r="19" outlineLevel="2" ht="12" customHeight="1">
      <c r="A19" s="102" t="n"/>
      <c r="B19" s="102" t="n"/>
      <c r="C19" s="102" t="n">
        <v>3</v>
      </c>
      <c r="D19" s="118" t="inlineStr">
        <is>
          <t>1.3.1</t>
        </is>
      </c>
      <c r="E19" s="103" t="n"/>
      <c r="F19" s="103" t="n"/>
      <c r="G19" s="103" t="inlineStr">
        <is>
          <t>[분석] Preview 모델 (VMD·GARCH 프로토타입, G1 변수 기반)</t>
        </is>
      </c>
      <c r="H19" s="103" t="n"/>
      <c r="I19" s="103" t="n"/>
      <c r="J19" s="103" t="n"/>
      <c r="K19" s="103" t="n"/>
      <c r="L19" s="103" t="n"/>
      <c r="M19" s="103" t="n"/>
      <c r="N19" s="103" t="n"/>
      <c r="O19" s="103" t="n"/>
      <c r="P19" s="104" t="n">
        <v>46259</v>
      </c>
      <c r="Q19" s="104" t="n">
        <v>46268</v>
      </c>
      <c r="R19" s="103" t="n"/>
      <c r="S19" s="302" t="n"/>
      <c r="T19" s="302" t="n"/>
      <c r="U19" s="302" t="n"/>
      <c r="V19" s="302" t="n">
        <v>8</v>
      </c>
      <c r="W19" s="104" t="n"/>
      <c r="X19" s="104" t="n"/>
      <c r="Y19" s="303" t="n"/>
      <c r="Z19" s="107" t="n"/>
      <c r="AA19" s="302" t="n"/>
      <c r="AB19" s="103" t="inlineStr">
        <is>
          <t>조영훈</t>
        </is>
      </c>
      <c r="AC19" s="103" t="n"/>
      <c r="AD19" s="117" t="n"/>
      <c r="AE19" s="199" t="n"/>
      <c r="AF19" s="120" t="n"/>
      <c r="AG19" s="121" t="n"/>
      <c r="AH19" s="121" t="n"/>
      <c r="AI19" s="121" t="n"/>
      <c r="AJ19" s="121" t="n"/>
      <c r="AK19" s="121" t="n"/>
      <c r="AL19" s="121" t="n"/>
      <c r="AM19" s="121" t="n"/>
      <c r="AN19" s="121" t="n"/>
      <c r="AO19" s="121" t="n"/>
      <c r="AP19" s="121" t="n"/>
      <c r="AQ19" s="121" t="n"/>
      <c r="AR19" s="121" t="n"/>
      <c r="AS19" s="121" t="n"/>
      <c r="AT19" s="121" t="n"/>
      <c r="AU19" s="121" t="n"/>
      <c r="AV19" s="121" t="n"/>
      <c r="AW19" s="121" t="n"/>
      <c r="AX19" s="121" t="n"/>
      <c r="AY19" s="121" t="n"/>
      <c r="AZ19" s="121" t="n"/>
      <c r="BA19" s="121" t="n"/>
      <c r="BB19" s="121">
        <f>" " &amp; TEXT(AE19,"#0.00%") &amp; " " &amp; "종료보고" &amp; "(나고객,이고객)" &amp; " " &amp; IF(P19="","",TEXT(P19,"M/D-")) &amp; IF(Q19="","",TEXT(Q19,"M/D")) &amp; " "</f>
        <v/>
      </c>
      <c r="BC19" s="121" t="n"/>
    </row>
    <row r="20" outlineLevel="2" ht="12" customHeight="1">
      <c r="A20" s="102" t="n"/>
      <c r="B20" s="102" t="n"/>
      <c r="C20" s="102" t="n">
        <v>3</v>
      </c>
      <c r="D20" s="118" t="inlineStr">
        <is>
          <t>1.3.2</t>
        </is>
      </c>
      <c r="E20" s="103" t="n"/>
      <c r="F20" s="103" t="n"/>
      <c r="G20" s="103" t="inlineStr">
        <is>
          <t>[분석] CQR 예측구간 Preview (상한·하한 밴드)</t>
        </is>
      </c>
      <c r="H20" s="103" t="n"/>
      <c r="I20" s="103" t="n"/>
      <c r="J20" s="103" t="n"/>
      <c r="K20" s="103" t="n"/>
      <c r="L20" s="103" t="n"/>
      <c r="M20" s="103" t="n"/>
      <c r="N20" s="103" t="n"/>
      <c r="O20" s="103" t="n"/>
      <c r="P20" s="104" t="n">
        <v>46266</v>
      </c>
      <c r="Q20" s="104" t="n">
        <v>46273</v>
      </c>
      <c r="R20" s="103" t="n"/>
      <c r="S20" s="302" t="n"/>
      <c r="T20" s="302" t="n"/>
      <c r="U20" s="302" t="n"/>
      <c r="V20" s="302" t="n">
        <v>6</v>
      </c>
      <c r="W20" s="104" t="n"/>
      <c r="X20" s="104" t="n"/>
      <c r="Y20" s="303" t="n"/>
      <c r="Z20" s="107" t="n"/>
      <c r="AA20" s="302" t="n"/>
      <c r="AB20" s="103" t="inlineStr">
        <is>
          <t>조영훈</t>
        </is>
      </c>
      <c r="AC20" s="103" t="n"/>
      <c r="AD20" s="117" t="n"/>
      <c r="AE20" s="199" t="n"/>
      <c r="AF20" s="120" t="n"/>
      <c r="AG20" s="121" t="n"/>
      <c r="AH20" s="121" t="n"/>
      <c r="AI20" s="121" t="n"/>
      <c r="AJ20" s="121" t="n"/>
      <c r="AK20" s="121" t="n"/>
      <c r="AL20" s="121" t="n"/>
      <c r="AM20" s="121" t="n"/>
      <c r="AN20" s="121" t="n"/>
      <c r="AO20" s="121" t="n"/>
      <c r="AP20" s="121" t="n"/>
      <c r="AQ20" s="121" t="n"/>
      <c r="AR20" s="121" t="n"/>
      <c r="AS20" s="121" t="n"/>
      <c r="AT20" s="121" t="n"/>
      <c r="AU20" s="121" t="n"/>
      <c r="AV20" s="121" t="n"/>
      <c r="AW20" s="121" t="n"/>
      <c r="AX20" s="121" t="n"/>
      <c r="AY20" s="121" t="n"/>
      <c r="AZ20" s="121" t="n"/>
      <c r="BA20" s="121" t="n"/>
      <c r="BB20" s="121">
        <f>"     " &amp; TEXT(AE20,"#0.00%") &amp; " " &amp; "검수 및 종료" &amp; " " &amp; IF(P20="","",TEXT(P20,"M/D-")) &amp; IF(Q20="","",TEXT(Q20,"M/D")) &amp; " "</f>
        <v/>
      </c>
      <c r="BC20" s="121" t="n"/>
    </row>
    <row r="21" outlineLevel="2" ht="12" customHeight="1">
      <c r="A21" s="102" t="n"/>
      <c r="B21" s="102" t="n"/>
      <c r="C21" s="102" t="n">
        <v>3</v>
      </c>
      <c r="D21" s="118" t="inlineStr">
        <is>
          <t>1.3.3</t>
        </is>
      </c>
      <c r="E21" s="103" t="n"/>
      <c r="F21" s="103" t="n"/>
      <c r="G21" s="103" t="inlineStr">
        <is>
          <t>[시각화] Preview 대시보드 (plotly — 밴드·핵심변수·알림)</t>
        </is>
      </c>
      <c r="H21" s="103" t="n"/>
      <c r="I21" s="103" t="n"/>
      <c r="J21" s="103" t="n"/>
      <c r="K21" s="103" t="n"/>
      <c r="L21" s="103" t="n"/>
      <c r="M21" s="103" t="n"/>
      <c r="N21" s="103" t="n"/>
      <c r="O21" s="103" t="n"/>
      <c r="P21" s="104" t="n">
        <v>46268</v>
      </c>
      <c r="Q21" s="104" t="n">
        <v>46275</v>
      </c>
      <c r="R21" s="103" t="n"/>
      <c r="S21" s="302" t="n"/>
      <c r="T21" s="302" t="n"/>
      <c r="U21" s="302" t="n"/>
      <c r="V21" s="302" t="n">
        <v>6</v>
      </c>
      <c r="W21" s="104" t="n"/>
      <c r="X21" s="104" t="n"/>
      <c r="Y21" s="303" t="n"/>
      <c r="Z21" s="107" t="n"/>
      <c r="AA21" s="302" t="n"/>
      <c r="AB21" s="103" t="inlineStr">
        <is>
          <t>조영훈</t>
        </is>
      </c>
      <c r="AC21" s="103" t="n"/>
      <c r="AD21" s="117" t="n"/>
      <c r="AE21" s="206" t="n"/>
      <c r="AF21" s="120" t="n"/>
      <c r="AG21" s="121" t="n"/>
      <c r="AH21" s="121" t="n"/>
      <c r="AI21" s="121" t="n"/>
      <c r="AJ21" s="121" t="n"/>
      <c r="AK21" s="121" t="n"/>
      <c r="AL21" s="121" t="n"/>
      <c r="AM21" s="121" t="n"/>
      <c r="AN21" s="121" t="n"/>
      <c r="AO21" s="121" t="n"/>
      <c r="AP21" s="121" t="n"/>
      <c r="AQ21" s="121" t="n"/>
      <c r="AR21" s="121" t="n"/>
      <c r="AS21" s="121" t="n"/>
      <c r="AT21" s="121" t="n"/>
      <c r="AU21" s="121" t="n"/>
      <c r="AV21" s="121" t="n"/>
      <c r="AW21" s="121" t="n"/>
      <c r="AX21" s="121" t="n"/>
      <c r="AY21" s="121" t="n"/>
      <c r="AZ21" s="121" t="n"/>
      <c r="BA21" s="121" t="n"/>
      <c r="BB21" s="121" t="n"/>
      <c r="BC21" s="121" t="n"/>
    </row>
    <row r="22" ht="12" customHeight="1">
      <c r="A22" s="102" t="n"/>
      <c r="B22" s="102" t="inlineStr">
        <is>
          <t>G</t>
        </is>
      </c>
      <c r="C22" s="102" t="n">
        <v>2</v>
      </c>
      <c r="D22" s="118" t="inlineStr">
        <is>
          <t>1.4</t>
        </is>
      </c>
      <c r="E22" s="103" t="n"/>
      <c r="F22" s="103" t="inlineStr">
        <is>
          <t>Phase 4: 아키텍처·후속 (Azure ML 이관 설계)</t>
        </is>
      </c>
      <c r="G22" s="103" t="n"/>
      <c r="H22" s="103" t="n"/>
      <c r="I22" s="103" t="n"/>
      <c r="J22" s="103" t="n"/>
      <c r="K22" s="103" t="n"/>
      <c r="L22" s="103" t="n"/>
      <c r="M22" s="103" t="n"/>
      <c r="N22" s="103" t="n"/>
      <c r="O22" s="103" t="n"/>
      <c r="P22" s="104" t="n">
        <v>46273</v>
      </c>
      <c r="Q22" s="104" t="n">
        <v>46295</v>
      </c>
      <c r="R22" s="103" t="n"/>
      <c r="S22" s="302" t="n"/>
      <c r="T22" s="302" t="n"/>
      <c r="U22" s="302" t="n"/>
      <c r="V22" s="302" t="n">
        <v>17</v>
      </c>
      <c r="W22" s="104" t="n"/>
      <c r="X22" s="104" t="n"/>
      <c r="Y22" s="303" t="n"/>
      <c r="Z22" s="107" t="n"/>
      <c r="AA22" s="302" t="n"/>
      <c r="AB22" s="103" t="inlineStr">
        <is>
          <t>조영훈</t>
        </is>
      </c>
      <c r="AC22" s="103" t="n"/>
      <c r="AD22" s="117" t="n"/>
      <c r="AE22" s="220" t="n"/>
      <c r="AF22" s="120" t="n"/>
      <c r="AG22" s="121" t="n"/>
      <c r="AH22" s="121" t="n"/>
      <c r="AI22" s="121" t="n"/>
      <c r="AJ22" s="121" t="n"/>
      <c r="AK22" s="121" t="n"/>
      <c r="AL22" s="121">
        <f>" " &amp; TEXT(AE22,"#0.00%") &amp; " "</f>
        <v/>
      </c>
      <c r="AM22" s="121" t="n"/>
      <c r="AN22" s="121" t="n"/>
      <c r="AO22" s="121" t="n"/>
      <c r="AP22" s="121" t="n"/>
      <c r="AQ22" s="121" t="n"/>
      <c r="AR22" s="121" t="n"/>
      <c r="AS22" s="121" t="n"/>
      <c r="AT22" s="121" t="n"/>
      <c r="AU22" s="121" t="n"/>
      <c r="AV22" s="121" t="n"/>
      <c r="AW22" s="121" t="n"/>
      <c r="AX22" s="121" t="n"/>
      <c r="AY22" s="121" t="n"/>
      <c r="AZ22" s="121" t="n"/>
      <c r="BA22" s="121" t="n"/>
      <c r="BB22" s="121">
        <f>"     " &amp; "시스템 개발" &amp; " " &amp; IF(P22="","",TEXT(P22,"M/D-")) &amp; IF(Q22="","",TEXT(Q22,"M/D")) &amp; " "</f>
        <v/>
      </c>
      <c r="BC22" s="121" t="n"/>
    </row>
    <row r="23" outlineLevel="1" ht="12" customHeight="1">
      <c r="A23" s="102" t="n"/>
      <c r="B23" s="102" t="n"/>
      <c r="C23" s="102" t="n">
        <v>3</v>
      </c>
      <c r="D23" s="118" t="inlineStr">
        <is>
          <t>1.4.1</t>
        </is>
      </c>
      <c r="E23" s="103" t="n"/>
      <c r="F23" s="103" t="n"/>
      <c r="G23" s="103" t="inlineStr">
        <is>
          <t>[아키텍처] Azure ML 이관 설계 (Blob·Data Asset·mlflow)</t>
        </is>
      </c>
      <c r="H23" s="103" t="n"/>
      <c r="I23" s="103" t="n"/>
      <c r="J23" s="103" t="n"/>
      <c r="K23" s="103" t="n"/>
      <c r="L23" s="103" t="n"/>
      <c r="M23" s="103" t="n"/>
      <c r="N23" s="103" t="n"/>
      <c r="O23" s="103" t="n"/>
      <c r="P23" s="104" t="n">
        <v>46273</v>
      </c>
      <c r="Q23" s="104" t="n">
        <v>46295</v>
      </c>
      <c r="R23" s="103" t="n"/>
      <c r="S23" s="302" t="n"/>
      <c r="T23" s="302" t="n"/>
      <c r="U23" s="302" t="n"/>
      <c r="V23" s="302" t="n">
        <v>17</v>
      </c>
      <c r="W23" s="104" t="n"/>
      <c r="X23" s="104" t="n"/>
      <c r="Y23" s="303" t="n"/>
      <c r="Z23" s="107" t="n"/>
      <c r="AA23" s="302" t="n"/>
      <c r="AB23" s="103" t="inlineStr">
        <is>
          <t>조영훈</t>
        </is>
      </c>
      <c r="AC23" s="103" t="n"/>
      <c r="AD23" s="117" t="n"/>
      <c r="AE23" s="221" t="n"/>
      <c r="AF23" s="120" t="n"/>
      <c r="AG23" s="121" t="n"/>
      <c r="AH23" s="121" t="n"/>
      <c r="AI23" s="121" t="n"/>
      <c r="AJ23" s="121">
        <f>" " &amp; TEXT(AE23,"#0.00%") &amp; " " &amp; "분석" &amp; " " &amp; IF(P23="","",TEXT(P23,"M/D-")) &amp; IF(Q23="","",TEXT(Q23,"M/D")) &amp; " "</f>
        <v/>
      </c>
      <c r="AK23" s="121" t="n"/>
      <c r="AL23" s="121" t="n"/>
      <c r="AM23" s="121" t="n"/>
      <c r="AN23" s="121" t="n"/>
      <c r="AO23" s="121" t="n"/>
      <c r="AP23" s="121" t="n"/>
      <c r="AQ23" s="121" t="n"/>
      <c r="AR23" s="121" t="n"/>
      <c r="AS23" s="121" t="n"/>
      <c r="AT23" s="121" t="n"/>
      <c r="AU23" s="121" t="n"/>
      <c r="AV23" s="121" t="n"/>
      <c r="AW23" s="121" t="n"/>
      <c r="AX23" s="121" t="n"/>
      <c r="AY23" s="121" t="n"/>
      <c r="AZ23" s="121" t="n"/>
      <c r="BA23" s="121" t="n"/>
      <c r="BB23" s="121" t="n"/>
      <c r="BC23" s="121" t="n"/>
    </row>
    <row r="24" outlineLevel="2" ht="12" customHeight="1">
      <c r="A24" s="102" t="n"/>
      <c r="B24" s="102" t="n"/>
      <c r="C24" s="102" t="n"/>
      <c r="D24" s="118" t="n"/>
      <c r="E24" s="103" t="n"/>
      <c r="F24" s="103" t="n"/>
      <c r="G24" s="103" t="n"/>
      <c r="H24" s="103" t="n"/>
      <c r="I24" s="103" t="n"/>
      <c r="J24" s="103" t="n"/>
      <c r="K24" s="103" t="n"/>
      <c r="L24" s="103" t="n"/>
      <c r="M24" s="103" t="n"/>
      <c r="N24" s="103" t="n"/>
      <c r="O24" s="103" t="n"/>
      <c r="P24" s="104" t="n"/>
      <c r="Q24" s="104" t="n"/>
      <c r="R24" s="103" t="n"/>
      <c r="S24" s="302" t="n"/>
      <c r="T24" s="302" t="n"/>
      <c r="U24" s="302" t="n"/>
      <c r="V24" s="302" t="n"/>
      <c r="W24" s="104" t="n"/>
      <c r="X24" s="104" t="n"/>
      <c r="Y24" s="303" t="n"/>
      <c r="Z24" s="107" t="n"/>
      <c r="AA24" s="302" t="n"/>
      <c r="AB24" s="103" t="n"/>
      <c r="AC24" s="103" t="n"/>
      <c r="AD24" s="117" t="n"/>
      <c r="AE24" s="199" t="n"/>
      <c r="AF24" s="120" t="n"/>
      <c r="AG24" s="121" t="n"/>
      <c r="AH24" s="121" t="n"/>
      <c r="AI24" s="121" t="n"/>
      <c r="AJ24" s="121">
        <f>"  " &amp; TEXT(AE24,"#0.00%") &amp; " " &amp; "요구사항정의" &amp; " " &amp; IF(P24="","",TEXT(P24,"M/D-")) &amp; IF(Q24="","",TEXT(Q24,"M/D")) &amp; " "</f>
        <v/>
      </c>
      <c r="AK24" s="121" t="n"/>
      <c r="AL24" s="121" t="n"/>
      <c r="AM24" s="121" t="n"/>
      <c r="AN24" s="121" t="n"/>
      <c r="AO24" s="121" t="n"/>
      <c r="AP24" s="121" t="n"/>
      <c r="AQ24" s="121" t="n"/>
      <c r="AR24" s="121" t="n"/>
      <c r="AS24" s="121" t="n"/>
      <c r="AT24" s="121" t="n"/>
      <c r="AU24" s="121" t="n"/>
      <c r="AV24" s="121" t="n"/>
      <c r="AW24" s="121" t="n"/>
      <c r="AX24" s="121" t="n"/>
      <c r="AY24" s="121" t="n"/>
      <c r="AZ24" s="121" t="n"/>
      <c r="BA24" s="121" t="n"/>
      <c r="BB24" s="121" t="n"/>
      <c r="BC24" s="121" t="n"/>
    </row>
    <row r="25" outlineLevel="2" ht="12" customHeight="1">
      <c r="A25" s="102" t="n"/>
      <c r="B25" s="102" t="n"/>
      <c r="C25" s="102" t="n"/>
      <c r="D25" s="118" t="n"/>
      <c r="E25" s="103" t="n"/>
      <c r="F25" s="103" t="n"/>
      <c r="G25" s="103" t="n"/>
      <c r="H25" s="103" t="n"/>
      <c r="I25" s="103" t="n"/>
      <c r="J25" s="103" t="n"/>
      <c r="K25" s="103" t="n"/>
      <c r="L25" s="103" t="n"/>
      <c r="M25" s="103" t="n"/>
      <c r="N25" s="103" t="n"/>
      <c r="O25" s="103" t="n"/>
      <c r="P25" s="104" t="n"/>
      <c r="Q25" s="104" t="n"/>
      <c r="R25" s="103" t="n"/>
      <c r="S25" s="302" t="n"/>
      <c r="T25" s="302" t="n"/>
      <c r="U25" s="302" t="n"/>
      <c r="V25" s="302" t="n"/>
      <c r="W25" s="104" t="n"/>
      <c r="X25" s="104" t="n"/>
      <c r="Y25" s="303" t="n"/>
      <c r="Z25" s="107" t="n"/>
      <c r="AA25" s="302" t="n"/>
      <c r="AB25" s="103" t="n"/>
      <c r="AC25" s="103" t="n"/>
      <c r="AD25" s="117" t="n"/>
      <c r="AE25" s="220" t="n"/>
      <c r="AF25" s="120" t="n"/>
      <c r="AG25" s="121" t="n"/>
      <c r="AH25" s="121" t="n"/>
      <c r="AI25" s="121" t="n"/>
      <c r="AJ25" s="121">
        <f>"" &amp; TEXT(AE25,"#0.00%") &amp; " " &amp; "논리모델구축" &amp; " " &amp; IF(P25="","",TEXT(P25,"M/D-")) &amp; IF(Q25="","",TEXT(Q25,"M/D")) &amp; " "</f>
        <v/>
      </c>
      <c r="AK25" s="121" t="n"/>
      <c r="AL25" s="121" t="n"/>
      <c r="AM25" s="121" t="n"/>
      <c r="AN25" s="121" t="n"/>
      <c r="AO25" s="121" t="n"/>
      <c r="AP25" s="121" t="n"/>
      <c r="AQ25" s="121" t="n"/>
      <c r="AR25" s="121" t="n"/>
      <c r="AS25" s="121" t="n"/>
      <c r="AT25" s="121" t="n"/>
      <c r="AU25" s="121" t="n"/>
      <c r="AV25" s="121" t="n"/>
      <c r="AW25" s="121" t="n"/>
      <c r="AX25" s="121" t="n"/>
      <c r="AY25" s="121" t="n"/>
      <c r="AZ25" s="121" t="n"/>
      <c r="BA25" s="121" t="n"/>
      <c r="BB25" s="121" t="n"/>
      <c r="BC25" s="121" t="n"/>
    </row>
    <row r="26" outlineLevel="3" ht="12" customHeight="1">
      <c r="A26" s="102" t="n"/>
      <c r="B26" s="102" t="n"/>
      <c r="C26" s="102" t="n"/>
      <c r="D26" s="118" t="n"/>
      <c r="E26" s="103" t="n"/>
      <c r="F26" s="103" t="n"/>
      <c r="G26" s="103" t="n"/>
      <c r="H26" s="103" t="n"/>
      <c r="I26" s="103" t="n"/>
      <c r="J26" s="103" t="n"/>
      <c r="K26" s="103" t="n"/>
      <c r="L26" s="103" t="n"/>
      <c r="M26" s="103" t="n"/>
      <c r="N26" s="103" t="n"/>
      <c r="O26" s="103" t="n"/>
      <c r="P26" s="104" t="n"/>
      <c r="Q26" s="104" t="n"/>
      <c r="R26" s="103" t="n"/>
      <c r="S26" s="302" t="n"/>
      <c r="T26" s="302" t="n"/>
      <c r="U26" s="302" t="n"/>
      <c r="V26" s="302" t="n"/>
      <c r="W26" s="104" t="n"/>
      <c r="X26" s="104" t="n"/>
      <c r="Y26" s="303" t="n"/>
      <c r="Z26" s="107" t="n"/>
      <c r="AA26" s="302" t="n"/>
      <c r="AB26" s="103" t="n"/>
      <c r="AC26" s="103" t="n"/>
      <c r="AD26" s="117" t="n"/>
      <c r="AE26" s="199" t="n"/>
      <c r="AF26" s="120" t="n"/>
      <c r="AG26" s="121" t="n"/>
      <c r="AH26" s="121" t="n"/>
      <c r="AI26" s="121" t="n"/>
      <c r="AJ26" s="121" t="n"/>
      <c r="AK26" s="121" t="n"/>
      <c r="AL26" s="121" t="n"/>
      <c r="AM26" s="121" t="n"/>
      <c r="AN26" s="121" t="n"/>
      <c r="AO26" s="121" t="n"/>
      <c r="AP26" s="121" t="n"/>
      <c r="AQ26" s="121" t="n"/>
      <c r="AR26" s="121" t="n"/>
      <c r="AS26" s="121" t="n"/>
      <c r="AT26" s="121" t="n"/>
      <c r="AU26" s="121" t="n"/>
      <c r="AV26" s="121" t="n"/>
      <c r="AW26" s="121" t="n"/>
      <c r="AX26" s="121" t="n"/>
      <c r="AY26" s="121" t="n"/>
      <c r="AZ26" s="121" t="n"/>
      <c r="BA26" s="121" t="n"/>
      <c r="BB26" s="121" t="n"/>
      <c r="BC26" s="121" t="n"/>
    </row>
    <row r="27" outlineLevel="3" ht="12" customHeight="1">
      <c r="A27" s="102" t="n"/>
      <c r="B27" s="102" t="n"/>
      <c r="C27" s="102" t="n"/>
      <c r="D27" s="118" t="n"/>
      <c r="E27" s="103" t="n"/>
      <c r="F27" s="103" t="n"/>
      <c r="G27" s="103" t="n"/>
      <c r="H27" s="103" t="n"/>
      <c r="I27" s="103" t="n"/>
      <c r="J27" s="103" t="n"/>
      <c r="K27" s="103" t="n"/>
      <c r="L27" s="103" t="n"/>
      <c r="M27" s="103" t="n"/>
      <c r="N27" s="103" t="n"/>
      <c r="O27" s="103" t="n"/>
      <c r="P27" s="104" t="n"/>
      <c r="Q27" s="104" t="n"/>
      <c r="R27" s="103" t="n"/>
      <c r="S27" s="302" t="n"/>
      <c r="T27" s="302" t="n"/>
      <c r="U27" s="302" t="n"/>
      <c r="V27" s="302" t="n"/>
      <c r="W27" s="104" t="n"/>
      <c r="X27" s="104" t="n"/>
      <c r="Y27" s="303" t="n"/>
      <c r="Z27" s="107" t="n"/>
      <c r="AA27" s="302" t="n"/>
      <c r="AB27" s="103" t="n"/>
      <c r="AC27" s="103" t="n"/>
      <c r="AD27" s="117" t="n"/>
      <c r="AE27" s="214" t="n"/>
      <c r="AF27" s="120" t="n"/>
      <c r="AG27" s="121" t="n"/>
      <c r="AH27" s="121" t="n"/>
      <c r="AI27" s="121" t="n"/>
      <c r="AJ27" s="121">
        <f>"" &amp; TEXT(AE27,"#0.00%") &amp; " " &amp; "데이터모델링" &amp; "(박설계[120%],이지은[50%])" &amp; " " &amp; IF(P27="","",TEXT(P27,"M/D-")) &amp; IF(Q27="","",TEXT(Q27,"M/D")) &amp; " "</f>
        <v/>
      </c>
      <c r="AK27" s="121" t="n"/>
      <c r="AL27" s="121" t="n"/>
      <c r="AM27" s="121" t="n"/>
      <c r="AN27" s="121" t="n"/>
      <c r="AO27" s="121" t="n"/>
      <c r="AP27" s="121" t="n"/>
      <c r="AQ27" s="121" t="n"/>
      <c r="AR27" s="121" t="n"/>
      <c r="AS27" s="121" t="n"/>
      <c r="AT27" s="121" t="n"/>
      <c r="AU27" s="121" t="n"/>
      <c r="AV27" s="121" t="n"/>
      <c r="AW27" s="121" t="n"/>
      <c r="AX27" s="121" t="n"/>
      <c r="AY27" s="121" t="n"/>
      <c r="AZ27" s="121" t="n"/>
      <c r="BA27" s="121" t="n"/>
      <c r="BB27" s="121" t="n"/>
      <c r="BC27" s="121" t="n"/>
    </row>
    <row r="28" outlineLevel="1" ht="12" customHeight="1">
      <c r="A28" s="102" t="n"/>
      <c r="B28" s="102" t="n"/>
      <c r="C28" s="102" t="n"/>
      <c r="D28" s="118" t="n"/>
      <c r="E28" s="103" t="n"/>
      <c r="F28" s="103" t="n"/>
      <c r="G28" s="103" t="n"/>
      <c r="H28" s="103" t="n"/>
      <c r="I28" s="103" t="n"/>
      <c r="J28" s="103" t="n"/>
      <c r="K28" s="103" t="n"/>
      <c r="L28" s="103" t="n"/>
      <c r="M28" s="103" t="n"/>
      <c r="N28" s="103" t="n"/>
      <c r="O28" s="103" t="n"/>
      <c r="P28" s="104" t="n"/>
      <c r="Q28" s="104" t="n"/>
      <c r="R28" s="103" t="n"/>
      <c r="S28" s="302" t="n"/>
      <c r="T28" s="302" t="n"/>
      <c r="U28" s="302" t="n"/>
      <c r="V28" s="302" t="n"/>
      <c r="W28" s="104" t="n"/>
      <c r="X28" s="104" t="n"/>
      <c r="Y28" s="303" t="n"/>
      <c r="Z28" s="107" t="n"/>
      <c r="AA28" s="302" t="n"/>
      <c r="AB28" s="103" t="n"/>
      <c r="AC28" s="103" t="n"/>
      <c r="AD28" s="117" t="n"/>
      <c r="AE28" s="220" t="n"/>
      <c r="AF28" s="120" t="n"/>
      <c r="AG28" s="121" t="n"/>
      <c r="AH28" s="121" t="n"/>
      <c r="AI28" s="121" t="n"/>
      <c r="AJ28" s="121" t="n"/>
      <c r="AK28" s="121" t="n"/>
      <c r="AL28" s="121">
        <f>"   " &amp; TEXT(AE28,"#0.00%") &amp; " "</f>
        <v/>
      </c>
      <c r="AM28" s="121" t="n"/>
      <c r="AN28" s="121" t="n"/>
      <c r="AO28" s="121">
        <f>" " &amp; "설계" &amp; " " &amp; IF(P28="","",TEXT(P28,"M/D-")) &amp; IF(Q28="","",TEXT(Q28,"M/D")) &amp; " "</f>
        <v/>
      </c>
      <c r="AP28" s="121" t="n"/>
      <c r="AQ28" s="121" t="n"/>
      <c r="AR28" s="121" t="n"/>
      <c r="AS28" s="121" t="n"/>
      <c r="AT28" s="121" t="n"/>
      <c r="AU28" s="121" t="n"/>
      <c r="AV28" s="121" t="n"/>
      <c r="AW28" s="121" t="n"/>
      <c r="AX28" s="121" t="n"/>
      <c r="AY28" s="121" t="n"/>
      <c r="AZ28" s="121" t="n"/>
      <c r="BA28" s="121" t="n"/>
      <c r="BB28" s="121" t="n"/>
      <c r="BC28" s="121" t="n"/>
    </row>
    <row r="29" outlineLevel="2" ht="12" customHeight="1">
      <c r="A29" s="102" t="n"/>
      <c r="B29" s="102" t="n"/>
      <c r="C29" s="102" t="n"/>
      <c r="D29" s="118" t="n"/>
      <c r="E29" s="103" t="n"/>
      <c r="F29" s="103" t="n"/>
      <c r="G29" s="103" t="n"/>
      <c r="H29" s="103" t="n"/>
      <c r="I29" s="103" t="n"/>
      <c r="J29" s="103" t="n"/>
      <c r="K29" s="103" t="n"/>
      <c r="L29" s="103" t="n"/>
      <c r="M29" s="103" t="n"/>
      <c r="N29" s="103" t="n"/>
      <c r="O29" s="103" t="n"/>
      <c r="P29" s="104" t="n"/>
      <c r="Q29" s="104" t="n"/>
      <c r="R29" s="103" t="n"/>
      <c r="S29" s="302" t="n"/>
      <c r="T29" s="302" t="n"/>
      <c r="U29" s="302" t="n"/>
      <c r="V29" s="302" t="n"/>
      <c r="W29" s="104" t="n"/>
      <c r="X29" s="104" t="n"/>
      <c r="Y29" s="303" t="n"/>
      <c r="Z29" s="107" t="n"/>
      <c r="AA29" s="302" t="n"/>
      <c r="AB29" s="103" t="n"/>
      <c r="AC29" s="103" t="n"/>
      <c r="AD29" s="117" t="n"/>
      <c r="AE29" s="199" t="n"/>
      <c r="AF29" s="120" t="n"/>
      <c r="AG29" s="121" t="n"/>
      <c r="AH29" s="121" t="n"/>
      <c r="AI29" s="121" t="n"/>
      <c r="AJ29" s="121" t="n"/>
      <c r="AK29" s="121">
        <f>"  " &amp; TEXT(AE29,"#0.00%") &amp; " " &amp; "UI 설계" &amp; " " &amp; IF(P29="","",TEXT(P29,"M/D-")) &amp; IF(Q29="","",TEXT(Q29,"M/D")) &amp; " "</f>
        <v/>
      </c>
      <c r="AL29" s="121" t="n"/>
      <c r="AM29" s="121" t="n"/>
      <c r="AN29" s="121" t="n"/>
      <c r="AO29" s="121" t="n"/>
      <c r="AP29" s="121" t="n"/>
      <c r="AQ29" s="121" t="n"/>
      <c r="AR29" s="121" t="n"/>
      <c r="AS29" s="121" t="n"/>
      <c r="AT29" s="121" t="n"/>
      <c r="AU29" s="121" t="n"/>
      <c r="AV29" s="121" t="n"/>
      <c r="AW29" s="121" t="n"/>
      <c r="AX29" s="121" t="n"/>
      <c r="AY29" s="121" t="n"/>
      <c r="AZ29" s="121" t="n"/>
      <c r="BA29" s="121" t="n"/>
      <c r="BB29" s="121" t="n"/>
      <c r="BC29" s="121" t="n"/>
    </row>
    <row r="30" outlineLevel="2" ht="12" customHeight="1">
      <c r="A30" s="102" t="n"/>
      <c r="B30" s="102" t="n"/>
      <c r="C30" s="102" t="n"/>
      <c r="D30" s="118" t="n"/>
      <c r="E30" s="103" t="n"/>
      <c r="F30" s="103" t="n"/>
      <c r="G30" s="103" t="n"/>
      <c r="H30" s="103" t="n"/>
      <c r="I30" s="103" t="n"/>
      <c r="J30" s="103" t="n"/>
      <c r="K30" s="103" t="n"/>
      <c r="L30" s="103" t="n"/>
      <c r="M30" s="103" t="n"/>
      <c r="N30" s="103" t="n"/>
      <c r="O30" s="103" t="n"/>
      <c r="P30" s="104" t="n"/>
      <c r="Q30" s="104" t="n"/>
      <c r="R30" s="103" t="n"/>
      <c r="S30" s="302" t="n"/>
      <c r="T30" s="302" t="n"/>
      <c r="U30" s="302" t="n"/>
      <c r="V30" s="302" t="n"/>
      <c r="W30" s="104" t="n"/>
      <c r="X30" s="104" t="n"/>
      <c r="Y30" s="303" t="n"/>
      <c r="Z30" s="107" t="n"/>
      <c r="AA30" s="302" t="n"/>
      <c r="AB30" s="103" t="n"/>
      <c r="AC30" s="103" t="n"/>
      <c r="AD30" s="117" t="n"/>
      <c r="AE30" s="220" t="n"/>
      <c r="AF30" s="120" t="n"/>
      <c r="AG30" s="121" t="n"/>
      <c r="AH30" s="121" t="n"/>
      <c r="AI30" s="121" t="n"/>
      <c r="AJ30" s="121" t="n"/>
      <c r="AK30" s="121">
        <f>"   " &amp; TEXT(AE30,"#0.00%") &amp; " "</f>
        <v/>
      </c>
      <c r="AL30" s="121" t="n"/>
      <c r="AM30" s="121" t="n"/>
      <c r="AN30" s="121">
        <f>"  " &amp; "시스템 설계" &amp; " " &amp; IF(P30="","",TEXT(P30,"M/D-")) &amp; IF(Q30="","",TEXT(Q30,"M/D")) &amp; " "</f>
        <v/>
      </c>
      <c r="AO30" s="121" t="n"/>
      <c r="AP30" s="121" t="n"/>
      <c r="AQ30" s="121" t="n"/>
      <c r="AR30" s="121" t="n"/>
      <c r="AS30" s="121" t="n"/>
      <c r="AT30" s="121" t="n"/>
      <c r="AU30" s="121" t="n"/>
      <c r="AV30" s="121" t="n"/>
      <c r="AW30" s="121" t="n"/>
      <c r="AX30" s="121" t="n"/>
      <c r="AY30" s="121" t="n"/>
      <c r="AZ30" s="121" t="n"/>
      <c r="BA30" s="121" t="n"/>
      <c r="BB30" s="121" t="n"/>
      <c r="BC30" s="121" t="n"/>
    </row>
    <row r="31" outlineLevel="3" ht="12" customHeight="1">
      <c r="A31" s="102" t="n"/>
      <c r="B31" s="102" t="n"/>
      <c r="C31" s="102" t="n"/>
      <c r="D31" s="118" t="n"/>
      <c r="E31" s="103" t="n"/>
      <c r="F31" s="103" t="n"/>
      <c r="G31" s="103" t="n"/>
      <c r="H31" s="103" t="n"/>
      <c r="I31" s="103" t="n"/>
      <c r="J31" s="103" t="n"/>
      <c r="K31" s="103" t="n"/>
      <c r="L31" s="103" t="n"/>
      <c r="M31" s="103" t="n"/>
      <c r="N31" s="103" t="n"/>
      <c r="O31" s="103" t="n"/>
      <c r="P31" s="104" t="n"/>
      <c r="Q31" s="104" t="n"/>
      <c r="R31" s="103" t="n"/>
      <c r="S31" s="302" t="n"/>
      <c r="T31" s="302" t="n"/>
      <c r="U31" s="302" t="n"/>
      <c r="V31" s="302" t="n"/>
      <c r="W31" s="104" t="n"/>
      <c r="X31" s="104" t="n"/>
      <c r="Y31" s="303" t="n"/>
      <c r="Z31" s="107" t="n"/>
      <c r="AA31" s="302" t="n"/>
      <c r="AB31" s="103" t="n"/>
      <c r="AC31" s="103" t="n"/>
      <c r="AD31" s="117" t="n"/>
      <c r="AE31" s="199" t="n"/>
      <c r="AF31" s="120" t="n"/>
      <c r="AG31" s="121" t="n"/>
      <c r="AH31" s="121" t="n"/>
      <c r="AI31" s="121" t="n"/>
      <c r="AJ31" s="121">
        <f>"  " &amp; TEXT(AE31,"#0.00%") &amp; " " &amp; "Architecture설계" &amp; " " &amp; IF(P31="","",TEXT(P31,"M/D-")) &amp; IF(Q31="","",TEXT(Q31,"M/D")) &amp; " "</f>
        <v/>
      </c>
      <c r="AK31" s="121" t="n"/>
      <c r="AL31" s="121" t="n"/>
      <c r="AM31" s="121" t="n"/>
      <c r="AN31" s="121" t="n"/>
      <c r="AO31" s="121" t="n"/>
      <c r="AP31" s="121" t="n"/>
      <c r="AQ31" s="121" t="n"/>
      <c r="AR31" s="121" t="n"/>
      <c r="AS31" s="121" t="n"/>
      <c r="AT31" s="121" t="n"/>
      <c r="AU31" s="121" t="n"/>
      <c r="AV31" s="121" t="n"/>
      <c r="AW31" s="121" t="n"/>
      <c r="AX31" s="121" t="n"/>
      <c r="AY31" s="121" t="n"/>
      <c r="AZ31" s="121" t="n"/>
      <c r="BA31" s="121" t="n"/>
      <c r="BB31" s="121" t="n"/>
      <c r="BC31" s="121" t="n"/>
    </row>
    <row r="32" outlineLevel="3" ht="12" customHeight="1">
      <c r="A32" s="102" t="n"/>
      <c r="B32" s="102" t="n"/>
      <c r="C32" s="102" t="n"/>
      <c r="D32" s="118" t="n"/>
      <c r="E32" s="103" t="n"/>
      <c r="F32" s="103" t="n"/>
      <c r="G32" s="103" t="n"/>
      <c r="H32" s="103" t="n"/>
      <c r="I32" s="103" t="n"/>
      <c r="J32" s="103" t="n"/>
      <c r="K32" s="103" t="n"/>
      <c r="L32" s="103" t="n"/>
      <c r="M32" s="103" t="n"/>
      <c r="N32" s="103" t="n"/>
      <c r="O32" s="103" t="n"/>
      <c r="P32" s="104" t="n"/>
      <c r="Q32" s="104" t="n"/>
      <c r="R32" s="103" t="n"/>
      <c r="S32" s="302" t="n"/>
      <c r="T32" s="302" t="n"/>
      <c r="U32" s="302" t="n"/>
      <c r="V32" s="302" t="n"/>
      <c r="W32" s="104" t="n"/>
      <c r="X32" s="104" t="n"/>
      <c r="Y32" s="303" t="n"/>
      <c r="Z32" s="107" t="n"/>
      <c r="AA32" s="302" t="n"/>
      <c r="AB32" s="103" t="n"/>
      <c r="AC32" s="103" t="n"/>
      <c r="AD32" s="117" t="n"/>
      <c r="AE32" s="199" t="n"/>
      <c r="AF32" s="120" t="n"/>
      <c r="AG32" s="121" t="n"/>
      <c r="AH32" s="121" t="n"/>
      <c r="AI32" s="121" t="n"/>
      <c r="AJ32" s="121" t="n"/>
      <c r="AK32" s="121" t="n"/>
      <c r="AL32" s="121">
        <f>"  " &amp; TEXT(AE32,"#0.00%") &amp; " " &amp; "데이터베이스설계" &amp; " " &amp; IF(P32="","",TEXT(P32,"M/D-")) &amp; IF(Q32="","",TEXT(Q32,"M/D")) &amp; " "</f>
        <v/>
      </c>
      <c r="AM32" s="121" t="n"/>
      <c r="AN32" s="121" t="n"/>
      <c r="AO32" s="121" t="n"/>
      <c r="AP32" s="121" t="n"/>
      <c r="AQ32" s="121" t="n"/>
      <c r="AR32" s="121" t="n"/>
      <c r="AS32" s="121" t="n"/>
      <c r="AT32" s="121" t="n"/>
      <c r="AU32" s="121" t="n"/>
      <c r="AV32" s="121" t="n"/>
      <c r="AW32" s="121" t="n"/>
      <c r="AX32" s="121" t="n"/>
      <c r="AY32" s="121" t="n"/>
      <c r="AZ32" s="121" t="n"/>
      <c r="BA32" s="121" t="n"/>
      <c r="BB32" s="121" t="n"/>
      <c r="BC32" s="121" t="n"/>
    </row>
    <row r="33" outlineLevel="3" ht="12" customHeight="1">
      <c r="A33" s="102" t="n"/>
      <c r="B33" s="102" t="n"/>
      <c r="C33" s="102" t="n"/>
      <c r="D33" s="118" t="n"/>
      <c r="E33" s="103" t="n"/>
      <c r="F33" s="103" t="n"/>
      <c r="G33" s="103" t="n"/>
      <c r="H33" s="103" t="n"/>
      <c r="I33" s="103" t="n"/>
      <c r="J33" s="103" t="n"/>
      <c r="K33" s="103" t="n"/>
      <c r="L33" s="103" t="n"/>
      <c r="M33" s="103" t="n"/>
      <c r="N33" s="103" t="n"/>
      <c r="O33" s="103" t="n"/>
      <c r="P33" s="104" t="n"/>
      <c r="Q33" s="104" t="n"/>
      <c r="R33" s="103" t="n"/>
      <c r="S33" s="302" t="n"/>
      <c r="T33" s="302" t="n"/>
      <c r="U33" s="302" t="n"/>
      <c r="V33" s="302" t="n"/>
      <c r="W33" s="104" t="n"/>
      <c r="X33" s="104" t="n"/>
      <c r="Y33" s="303" t="n"/>
      <c r="Z33" s="107" t="n"/>
      <c r="AA33" s="302" t="n"/>
      <c r="AB33" s="103" t="n"/>
      <c r="AC33" s="103" t="n"/>
      <c r="AD33" s="117" t="n"/>
      <c r="AE33" s="214" t="n"/>
      <c r="AF33" s="120" t="n"/>
      <c r="AG33" s="121" t="n"/>
      <c r="AH33" s="121" t="n"/>
      <c r="AI33" s="121" t="n"/>
      <c r="AJ33" s="121" t="n"/>
      <c r="AK33" s="121">
        <f>"" &amp; TEXT(AE33,"#0.00%") &amp; " "</f>
        <v/>
      </c>
      <c r="AL33" s="121" t="n"/>
      <c r="AM33" s="121" t="n"/>
      <c r="AN33" s="121">
        <f>"  " &amp; "프로그램설계" &amp; " " &amp; IF(P33="","",TEXT(P33,"M/D-")) &amp; IF(Q33="","",TEXT(Q33,"M/D")) &amp; " "</f>
        <v/>
      </c>
      <c r="AO33" s="121" t="n"/>
      <c r="AP33" s="121" t="n"/>
      <c r="AQ33" s="121" t="n"/>
      <c r="AR33" s="121" t="n"/>
      <c r="AS33" s="121" t="n"/>
      <c r="AT33" s="121" t="n"/>
      <c r="AU33" s="121" t="n"/>
      <c r="AV33" s="121" t="n"/>
      <c r="AW33" s="121" t="n"/>
      <c r="AX33" s="121" t="n"/>
      <c r="AY33" s="121" t="n"/>
      <c r="AZ33" s="121" t="n"/>
      <c r="BA33" s="121" t="n"/>
      <c r="BB33" s="121" t="n"/>
      <c r="BC33" s="121" t="n"/>
    </row>
    <row r="34" outlineLevel="2" ht="12" customHeight="1">
      <c r="A34" s="102" t="n"/>
      <c r="B34" s="102" t="n"/>
      <c r="C34" s="102" t="n"/>
      <c r="D34" s="118" t="n"/>
      <c r="E34" s="103" t="n"/>
      <c r="F34" s="103" t="n"/>
      <c r="G34" s="103" t="n"/>
      <c r="H34" s="103" t="n"/>
      <c r="I34" s="103" t="n"/>
      <c r="J34" s="103" t="n"/>
      <c r="K34" s="103" t="n"/>
      <c r="L34" s="103" t="n"/>
      <c r="M34" s="103" t="n"/>
      <c r="N34" s="103" t="n"/>
      <c r="O34" s="103" t="n"/>
      <c r="P34" s="104" t="n"/>
      <c r="Q34" s="104" t="n"/>
      <c r="R34" s="103" t="n"/>
      <c r="S34" s="302" t="n"/>
      <c r="T34" s="302" t="n"/>
      <c r="U34" s="302" t="n"/>
      <c r="V34" s="302" t="n"/>
      <c r="W34" s="104" t="n"/>
      <c r="X34" s="104" t="n"/>
      <c r="Y34" s="303" t="n"/>
      <c r="Z34" s="107" t="n"/>
      <c r="AA34" s="302" t="n"/>
      <c r="AB34" s="103" t="n"/>
      <c r="AC34" s="103" t="n"/>
      <c r="AD34" s="117" t="n"/>
      <c r="AE34" s="214" t="n"/>
      <c r="AF34" s="120" t="n"/>
      <c r="AG34" s="121" t="n"/>
      <c r="AH34" s="121" t="n"/>
      <c r="AI34" s="121" t="n"/>
      <c r="AJ34" s="121" t="n"/>
      <c r="AK34" s="121" t="n"/>
      <c r="AL34" s="121" t="n"/>
      <c r="AM34" s="121" t="n"/>
      <c r="AN34" s="121">
        <f>"    " &amp; TEXT(AE34,"#0.00%") &amp; " " &amp; "테스트 설계" &amp; " " &amp; IF(P34="","",TEXT(P34,"M/D-")) &amp; IF(Q34="","",TEXT(Q34,"M/D")) &amp; " "</f>
        <v/>
      </c>
      <c r="AO34" s="121" t="n"/>
      <c r="AP34" s="121" t="n"/>
      <c r="AQ34" s="121" t="n"/>
      <c r="AR34" s="121" t="n"/>
      <c r="AS34" s="121" t="n"/>
      <c r="AT34" s="121" t="n"/>
      <c r="AU34" s="121" t="n"/>
      <c r="AV34" s="121" t="n"/>
      <c r="AW34" s="121" t="n"/>
      <c r="AX34" s="121" t="n"/>
      <c r="AY34" s="121" t="n"/>
      <c r="AZ34" s="121" t="n"/>
      <c r="BA34" s="121" t="n"/>
      <c r="BB34" s="121" t="n"/>
      <c r="BC34" s="121" t="n"/>
    </row>
    <row r="35" outlineLevel="1" ht="12" customHeight="1">
      <c r="A35" s="102" t="n"/>
      <c r="B35" s="102" t="n"/>
      <c r="C35" s="102" t="n"/>
      <c r="D35" s="118" t="n"/>
      <c r="E35" s="103" t="n"/>
      <c r="F35" s="103" t="n"/>
      <c r="G35" s="103" t="n"/>
      <c r="H35" s="103" t="n"/>
      <c r="I35" s="103" t="n"/>
      <c r="J35" s="103" t="n"/>
      <c r="K35" s="103" t="n"/>
      <c r="L35" s="103" t="n"/>
      <c r="M35" s="103" t="n"/>
      <c r="N35" s="103" t="n"/>
      <c r="O35" s="103" t="n"/>
      <c r="P35" s="104" t="n"/>
      <c r="Q35" s="104" t="n"/>
      <c r="R35" s="103" t="n"/>
      <c r="S35" s="302" t="n"/>
      <c r="T35" s="302" t="n"/>
      <c r="U35" s="302" t="n"/>
      <c r="V35" s="302" t="n"/>
      <c r="W35" s="104" t="n"/>
      <c r="X35" s="104" t="n"/>
      <c r="Y35" s="303" t="n"/>
      <c r="Z35" s="107" t="n"/>
      <c r="AA35" s="302" t="n"/>
      <c r="AB35" s="103" t="n"/>
      <c r="AC35" s="103" t="n"/>
      <c r="AD35" s="117" t="n"/>
      <c r="AE35" s="220" t="n"/>
      <c r="AF35" s="120" t="n"/>
      <c r="AG35" s="121" t="n"/>
      <c r="AH35" s="121" t="n"/>
      <c r="AI35" s="121" t="n"/>
      <c r="AJ35" s="121" t="n"/>
      <c r="AK35" s="121" t="n"/>
      <c r="AL35" s="121" t="n"/>
      <c r="AM35" s="121" t="n"/>
      <c r="AN35" s="121" t="n"/>
      <c r="AO35" s="121">
        <f>"    " &amp; TEXT(AE35,"#0.00%") &amp; " "</f>
        <v/>
      </c>
      <c r="AP35" s="121" t="n"/>
      <c r="AQ35" s="121" t="n"/>
      <c r="AR35" s="121" t="n"/>
      <c r="AS35" s="121" t="n"/>
      <c r="AT35" s="121" t="n"/>
      <c r="AU35" s="121" t="n"/>
      <c r="AV35" s="121" t="n"/>
      <c r="AW35" s="121" t="n"/>
      <c r="AX35" s="121" t="n"/>
      <c r="AY35" s="121">
        <f>"  " &amp; "개발" &amp; " " &amp; IF(P35="","",TEXT(P35,"M/D-")) &amp; IF(Q35="","",TEXT(Q35,"M/D")) &amp; " "</f>
        <v/>
      </c>
      <c r="AZ35" s="121" t="n"/>
      <c r="BA35" s="121" t="n"/>
      <c r="BB35" s="121" t="n"/>
      <c r="BC35" s="121" t="n"/>
    </row>
    <row r="36" outlineLevel="2" ht="12" customHeight="1">
      <c r="A36" s="102" t="n"/>
      <c r="B36" s="102" t="n"/>
      <c r="C36" s="102" t="n"/>
      <c r="D36" s="118" t="n"/>
      <c r="E36" s="103" t="n"/>
      <c r="F36" s="103" t="n"/>
      <c r="G36" s="103" t="n"/>
      <c r="H36" s="103" t="n"/>
      <c r="I36" s="103" t="n"/>
      <c r="J36" s="103" t="n"/>
      <c r="K36" s="103" t="n"/>
      <c r="L36" s="103" t="n"/>
      <c r="M36" s="103" t="n"/>
      <c r="N36" s="103" t="n"/>
      <c r="O36" s="103" t="n"/>
      <c r="P36" s="104" t="n"/>
      <c r="Q36" s="104" t="n"/>
      <c r="R36" s="103" t="n"/>
      <c r="S36" s="302" t="n"/>
      <c r="T36" s="302" t="n"/>
      <c r="U36" s="302" t="n"/>
      <c r="V36" s="302" t="n"/>
      <c r="W36" s="104" t="n"/>
      <c r="X36" s="104" t="n"/>
      <c r="Y36" s="303" t="n"/>
      <c r="Z36" s="107" t="n"/>
      <c r="AA36" s="302" t="n"/>
      <c r="AB36" s="103" t="n"/>
      <c r="AC36" s="103" t="n"/>
      <c r="AD36" s="117" t="n"/>
      <c r="AE36" s="220" t="n"/>
      <c r="AF36" s="120" t="n"/>
      <c r="AG36" s="121" t="n"/>
      <c r="AH36" s="121" t="n"/>
      <c r="AI36" s="121" t="n"/>
      <c r="AJ36" s="121" t="n"/>
      <c r="AK36" s="121" t="n"/>
      <c r="AL36" s="121" t="n"/>
      <c r="AM36" s="121" t="n"/>
      <c r="AN36" s="121" t="n"/>
      <c r="AO36" s="121">
        <f>"    " &amp; TEXT(AE36,"#0.00%") &amp; " "</f>
        <v/>
      </c>
      <c r="AP36" s="121" t="n"/>
      <c r="AQ36" s="121" t="n"/>
      <c r="AR36" s="121" t="n"/>
      <c r="AS36" s="121" t="n"/>
      <c r="AT36" s="121" t="n"/>
      <c r="AU36" s="121" t="n"/>
      <c r="AV36" s="121" t="n"/>
      <c r="AW36" s="121">
        <f>"  " &amp; "프로그램 개발" &amp; " " &amp; IF(P36="","",TEXT(P36,"M/D-")) &amp; IF(Q36="","",TEXT(Q36,"M/D")) &amp; " "</f>
        <v/>
      </c>
      <c r="AX36" s="121" t="n"/>
      <c r="AY36" s="121" t="n"/>
      <c r="AZ36" s="121" t="n"/>
      <c r="BA36" s="121" t="n"/>
      <c r="BB36" s="121" t="n"/>
      <c r="BC36" s="121" t="n"/>
    </row>
    <row r="37" outlineLevel="3" ht="12" customHeight="1">
      <c r="A37" s="102" t="n"/>
      <c r="B37" s="102" t="n"/>
      <c r="C37" s="102" t="n"/>
      <c r="D37" s="118" t="n"/>
      <c r="E37" s="103" t="n"/>
      <c r="F37" s="103" t="n"/>
      <c r="G37" s="103" t="n"/>
      <c r="H37" s="103" t="n"/>
      <c r="I37" s="103" t="n"/>
      <c r="J37" s="103" t="n"/>
      <c r="K37" s="103" t="n"/>
      <c r="L37" s="103" t="n"/>
      <c r="M37" s="103" t="n"/>
      <c r="N37" s="103" t="n"/>
      <c r="O37" s="103" t="n"/>
      <c r="P37" s="104" t="n"/>
      <c r="Q37" s="104" t="n"/>
      <c r="R37" s="103" t="n"/>
      <c r="S37" s="302" t="n"/>
      <c r="T37" s="302" t="n"/>
      <c r="U37" s="302" t="n"/>
      <c r="V37" s="302" t="n"/>
      <c r="W37" s="104" t="n"/>
      <c r="X37" s="104" t="n"/>
      <c r="Y37" s="303" t="n"/>
      <c r="Z37" s="107" t="n"/>
      <c r="AA37" s="302" t="n"/>
      <c r="AB37" s="103" t="n"/>
      <c r="AC37" s="103" t="n"/>
      <c r="AD37" s="117" t="n"/>
      <c r="AE37" s="214" t="n"/>
      <c r="AF37" s="120" t="n"/>
      <c r="AG37" s="121" t="n"/>
      <c r="AH37" s="121" t="n"/>
      <c r="AI37" s="121" t="n"/>
      <c r="AJ37" s="121" t="n"/>
      <c r="AK37" s="121" t="n"/>
      <c r="AL37" s="121" t="n"/>
      <c r="AM37" s="121" t="n"/>
      <c r="AN37" s="121" t="n"/>
      <c r="AO37" s="121">
        <f>" " &amp; TEXT(AE37,"#0.00%") &amp; " " &amp; "단위테스트시나리오작성" &amp; " " &amp; IF(P37="","",TEXT(P37,"M/D-")) &amp; IF(Q37="","",TEXT(Q37,"M/D")) &amp; " "</f>
        <v/>
      </c>
      <c r="AP37" s="121" t="n"/>
      <c r="AQ37" s="121" t="n"/>
      <c r="AR37" s="121" t="n"/>
      <c r="AS37" s="121" t="n"/>
      <c r="AT37" s="121" t="n"/>
      <c r="AU37" s="121" t="n"/>
      <c r="AV37" s="121" t="n"/>
      <c r="AW37" s="121" t="n"/>
      <c r="AX37" s="121" t="n"/>
      <c r="AY37" s="121" t="n"/>
      <c r="AZ37" s="121" t="n"/>
      <c r="BA37" s="121" t="n"/>
      <c r="BB37" s="121" t="n"/>
      <c r="BC37" s="121" t="n"/>
    </row>
    <row r="38" outlineLevel="3" ht="12" customHeight="1">
      <c r="A38" s="102" t="n"/>
      <c r="B38" s="102" t="n"/>
      <c r="C38" s="102" t="n"/>
      <c r="D38" s="118" t="n"/>
      <c r="E38" s="103" t="n"/>
      <c r="F38" s="103" t="n"/>
      <c r="G38" s="103" t="n"/>
      <c r="H38" s="103" t="n"/>
      <c r="I38" s="103" t="n"/>
      <c r="J38" s="103" t="n"/>
      <c r="K38" s="103" t="n"/>
      <c r="L38" s="103" t="n"/>
      <c r="M38" s="103" t="n"/>
      <c r="N38" s="103" t="n"/>
      <c r="O38" s="103" t="n"/>
      <c r="P38" s="104" t="n"/>
      <c r="Q38" s="104" t="n"/>
      <c r="R38" s="103" t="n"/>
      <c r="S38" s="302" t="n"/>
      <c r="T38" s="302" t="n"/>
      <c r="U38" s="302" t="n"/>
      <c r="V38" s="302" t="n"/>
      <c r="W38" s="104" t="n"/>
      <c r="X38" s="104" t="n"/>
      <c r="Y38" s="303" t="n"/>
      <c r="Z38" s="107" t="n"/>
      <c r="AA38" s="302" t="n"/>
      <c r="AB38" s="103" t="n"/>
      <c r="AC38" s="103" t="n"/>
      <c r="AD38" s="117" t="n"/>
      <c r="AE38" s="220" t="n"/>
      <c r="AF38" s="120" t="n"/>
      <c r="AG38" s="121" t="n"/>
      <c r="AH38" s="121" t="n"/>
      <c r="AI38" s="121" t="n"/>
      <c r="AJ38" s="121" t="n"/>
      <c r="AK38" s="121" t="n"/>
      <c r="AL38" s="121" t="n"/>
      <c r="AM38" s="121" t="n"/>
      <c r="AN38" s="121" t="n"/>
      <c r="AO38" s="121">
        <f>"    " &amp; TEXT(AE38,"#0.00%") &amp; " "</f>
        <v/>
      </c>
      <c r="AP38" s="121" t="n"/>
      <c r="AQ38" s="121" t="n"/>
      <c r="AR38" s="121" t="n"/>
      <c r="AS38" s="121" t="n"/>
      <c r="AT38" s="121" t="n"/>
      <c r="AU38" s="121" t="n"/>
      <c r="AV38" s="121" t="n"/>
      <c r="AW38" s="121">
        <f>"  " &amp; "프로그램코딩 및 단위테스트" &amp; " " &amp; IF(P38="","",TEXT(P38,"M/D-")) &amp; IF(Q38="","",TEXT(Q38,"M/D")) &amp; " "</f>
        <v/>
      </c>
      <c r="AX38" s="121" t="n"/>
      <c r="AY38" s="121" t="n"/>
      <c r="AZ38" s="121" t="n"/>
      <c r="BA38" s="121" t="n"/>
      <c r="BB38" s="121" t="n"/>
      <c r="BC38" s="121" t="n"/>
    </row>
    <row r="39" outlineLevel="4" ht="12" customHeight="1">
      <c r="A39" s="102" t="n"/>
      <c r="B39" s="102" t="n"/>
      <c r="C39" s="102" t="n"/>
      <c r="D39" s="118" t="n"/>
      <c r="E39" s="103" t="n"/>
      <c r="F39" s="103" t="n"/>
      <c r="G39" s="103" t="n"/>
      <c r="H39" s="103" t="n"/>
      <c r="I39" s="103" t="n"/>
      <c r="J39" s="103" t="n"/>
      <c r="K39" s="103" t="n"/>
      <c r="L39" s="103" t="n"/>
      <c r="M39" s="103" t="n"/>
      <c r="N39" s="103" t="n"/>
      <c r="O39" s="103" t="n"/>
      <c r="P39" s="104" t="n"/>
      <c r="Q39" s="104" t="n"/>
      <c r="R39" s="103" t="n"/>
      <c r="S39" s="302" t="n"/>
      <c r="T39" s="302" t="n"/>
      <c r="U39" s="302" t="n"/>
      <c r="V39" s="302" t="n"/>
      <c r="W39" s="104" t="n"/>
      <c r="X39" s="104" t="n"/>
      <c r="Y39" s="303" t="n"/>
      <c r="Z39" s="107" t="n"/>
      <c r="AA39" s="302" t="n"/>
      <c r="AB39" s="103" t="n"/>
      <c r="AC39" s="103" t="n"/>
      <c r="AD39" s="117" t="n"/>
      <c r="AE39" s="220" t="n"/>
      <c r="AF39" s="120" t="n"/>
      <c r="AG39" s="121" t="n"/>
      <c r="AH39" s="121" t="n"/>
      <c r="AI39" s="121" t="n"/>
      <c r="AJ39" s="121" t="n"/>
      <c r="AK39" s="121" t="n"/>
      <c r="AL39" s="121" t="n"/>
      <c r="AM39" s="121" t="n"/>
      <c r="AN39" s="121" t="n"/>
      <c r="AO39" s="121" t="n"/>
      <c r="AP39" s="121" t="n"/>
      <c r="AQ39" s="121">
        <f>"  " &amp; TEXT(AE39,"#0.00%") &amp; " "</f>
        <v/>
      </c>
      <c r="AR39" s="121" t="n"/>
      <c r="AS39" s="121" t="n"/>
      <c r="AT39" s="121" t="n"/>
      <c r="AU39" s="121" t="n"/>
      <c r="AV39" s="121">
        <f>"     " &amp; "모듈A" &amp; " " &amp; IF(P39="","",TEXT(P39,"M/D-")) &amp; IF(Q39="","",TEXT(Q39,"M/D")) &amp; " "</f>
        <v/>
      </c>
      <c r="AW39" s="121" t="n"/>
      <c r="AX39" s="121" t="n"/>
      <c r="AY39" s="121" t="n"/>
      <c r="AZ39" s="121" t="n"/>
      <c r="BA39" s="121" t="n"/>
      <c r="BB39" s="121" t="n"/>
      <c r="BC39" s="121" t="n"/>
    </row>
    <row r="40" outlineLevel="5" ht="12" customHeight="1">
      <c r="A40" s="102" t="n"/>
      <c r="B40" s="102" t="n"/>
      <c r="C40" s="102" t="n"/>
      <c r="D40" s="118" t="n"/>
      <c r="E40" s="103" t="n"/>
      <c r="F40" s="103" t="n"/>
      <c r="G40" s="103" t="n"/>
      <c r="H40" s="103" t="n"/>
      <c r="I40" s="103" t="n"/>
      <c r="J40" s="103" t="n"/>
      <c r="K40" s="103" t="n"/>
      <c r="L40" s="103" t="n"/>
      <c r="M40" s="103" t="n"/>
      <c r="N40" s="103" t="n"/>
      <c r="O40" s="103" t="n"/>
      <c r="P40" s="104" t="n"/>
      <c r="Q40" s="104" t="n"/>
      <c r="R40" s="103" t="n"/>
      <c r="S40" s="302" t="n"/>
      <c r="T40" s="302" t="n"/>
      <c r="U40" s="302" t="n"/>
      <c r="V40" s="302" t="n"/>
      <c r="W40" s="104" t="n"/>
      <c r="X40" s="104" t="n"/>
      <c r="Y40" s="303" t="n"/>
      <c r="Z40" s="107" t="n"/>
      <c r="AA40" s="302" t="n"/>
      <c r="AB40" s="103" t="n"/>
      <c r="AC40" s="103" t="n"/>
      <c r="AD40" s="117" t="n"/>
      <c r="AE40" s="214" t="n"/>
      <c r="AF40" s="120" t="n"/>
      <c r="AG40" s="121" t="n"/>
      <c r="AH40" s="121" t="n"/>
      <c r="AI40" s="121" t="n"/>
      <c r="AJ40" s="121" t="n"/>
      <c r="AK40" s="121" t="n"/>
      <c r="AL40" s="121" t="n"/>
      <c r="AM40" s="121" t="n"/>
      <c r="AN40" s="121" t="n"/>
      <c r="AO40" s="121">
        <f>"    " &amp; TEXT(AE40,"#0.00%") &amp; " " &amp; "프로그램A" &amp; " " &amp; IF(P40="","",TEXT(P40,"M/D-")) &amp; IF(Q40="","",TEXT(Q40,"M/D")) &amp; " "</f>
        <v/>
      </c>
      <c r="AP40" s="121" t="n"/>
      <c r="AQ40" s="121" t="n"/>
      <c r="AR40" s="121" t="n"/>
      <c r="AS40" s="121" t="n"/>
      <c r="AT40" s="121" t="n"/>
      <c r="AU40" s="121" t="n"/>
      <c r="AV40" s="121" t="n"/>
      <c r="AW40" s="121" t="n"/>
      <c r="AX40" s="121" t="n"/>
      <c r="AY40" s="121" t="n"/>
      <c r="AZ40" s="121" t="n"/>
      <c r="BA40" s="121" t="n"/>
      <c r="BB40" s="121" t="n"/>
      <c r="BC40" s="121" t="n"/>
    </row>
    <row r="41" outlineLevel="5" ht="12" customHeight="1">
      <c r="A41" s="102" t="n"/>
      <c r="B41" s="102" t="n"/>
      <c r="C41" s="102" t="n"/>
      <c r="D41" s="118" t="n"/>
      <c r="E41" s="103" t="n"/>
      <c r="F41" s="103" t="n"/>
      <c r="G41" s="103" t="n"/>
      <c r="H41" s="103" t="n"/>
      <c r="I41" s="103" t="n"/>
      <c r="J41" s="103" t="n"/>
      <c r="K41" s="103" t="n"/>
      <c r="L41" s="103" t="n"/>
      <c r="M41" s="103" t="n"/>
      <c r="N41" s="103" t="n"/>
      <c r="O41" s="103" t="n"/>
      <c r="P41" s="104" t="n"/>
      <c r="Q41" s="104" t="n"/>
      <c r="R41" s="103" t="n"/>
      <c r="S41" s="302" t="n"/>
      <c r="T41" s="302" t="n"/>
      <c r="U41" s="302" t="n"/>
      <c r="V41" s="302" t="n"/>
      <c r="W41" s="104" t="n"/>
      <c r="X41" s="104" t="n"/>
      <c r="Y41" s="303" t="n"/>
      <c r="Z41" s="107" t="n"/>
      <c r="AA41" s="302" t="n"/>
      <c r="AB41" s="103" t="n"/>
      <c r="AC41" s="103" t="n"/>
      <c r="AD41" s="117" t="n"/>
      <c r="AE41" s="214" t="n"/>
      <c r="AF41" s="120" t="n"/>
      <c r="AG41" s="121" t="n"/>
      <c r="AH41" s="121" t="n"/>
      <c r="AI41" s="121" t="n"/>
      <c r="AJ41" s="121" t="n"/>
      <c r="AK41" s="121" t="n"/>
      <c r="AL41" s="121" t="n"/>
      <c r="AM41" s="121" t="n"/>
      <c r="AN41" s="121" t="n"/>
      <c r="AO41" s="121" t="n"/>
      <c r="AP41" s="121" t="n"/>
      <c r="AQ41" s="121" t="n"/>
      <c r="AR41" s="121" t="n"/>
      <c r="AS41" s="121">
        <f>"  " &amp; TEXT(AE41,"#0.00%") &amp; " " &amp; "프로그램B" &amp; " " &amp; IF(P41="","",TEXT(P41,"M/D-")) &amp; IF(Q41="","",TEXT(Q41,"M/D")) &amp; " "</f>
        <v/>
      </c>
      <c r="AT41" s="121" t="n"/>
      <c r="AU41" s="121" t="n"/>
      <c r="AV41" s="121" t="n"/>
      <c r="AW41" s="121" t="n"/>
      <c r="AX41" s="121" t="n"/>
      <c r="AY41" s="121" t="n"/>
      <c r="AZ41" s="121" t="n"/>
      <c r="BA41" s="121" t="n"/>
      <c r="BB41" s="121" t="n"/>
      <c r="BC41" s="121" t="n"/>
    </row>
    <row r="42" outlineLevel="5" ht="12" customHeight="1">
      <c r="A42" s="102" t="n"/>
      <c r="B42" s="102" t="n"/>
      <c r="C42" s="102" t="n"/>
      <c r="D42" s="118" t="n"/>
      <c r="E42" s="103" t="n"/>
      <c r="F42" s="103" t="n"/>
      <c r="G42" s="103" t="n"/>
      <c r="H42" s="103" t="n"/>
      <c r="I42" s="103" t="n"/>
      <c r="J42" s="103" t="n"/>
      <c r="K42" s="103" t="n"/>
      <c r="L42" s="103" t="n"/>
      <c r="M42" s="103" t="n"/>
      <c r="N42" s="103" t="n"/>
      <c r="O42" s="103" t="n"/>
      <c r="P42" s="104" t="n"/>
      <c r="Q42" s="104" t="n"/>
      <c r="R42" s="103" t="n"/>
      <c r="S42" s="302" t="n"/>
      <c r="T42" s="302" t="n"/>
      <c r="U42" s="302" t="n"/>
      <c r="V42" s="302" t="n"/>
      <c r="W42" s="104" t="n"/>
      <c r="X42" s="104" t="n"/>
      <c r="Y42" s="303" t="n"/>
      <c r="Z42" s="107" t="n"/>
      <c r="AA42" s="302" t="n"/>
      <c r="AB42" s="103" t="n"/>
      <c r="AC42" s="103" t="n"/>
      <c r="AD42" s="117" t="n"/>
      <c r="AE42" s="214" t="n"/>
      <c r="AF42" s="120" t="n"/>
      <c r="AG42" s="121" t="n"/>
      <c r="AH42" s="121" t="n"/>
      <c r="AI42" s="121" t="n"/>
      <c r="AJ42" s="121" t="n"/>
      <c r="AK42" s="121" t="n"/>
      <c r="AL42" s="121" t="n"/>
      <c r="AM42" s="121" t="n"/>
      <c r="AN42" s="121" t="n"/>
      <c r="AO42" s="121" t="n"/>
      <c r="AP42" s="121" t="n"/>
      <c r="AQ42" s="121" t="n"/>
      <c r="AR42" s="121" t="n"/>
      <c r="AS42" s="121" t="n"/>
      <c r="AT42" s="121">
        <f>"     " &amp; TEXT(AE42,"#0.00%") &amp; " " &amp; "프로그램C" &amp; " " &amp; IF(P42="","",TEXT(P42,"M/D-")) &amp; IF(Q42="","",TEXT(Q42,"M/D")) &amp; " "</f>
        <v/>
      </c>
      <c r="AU42" s="121" t="n"/>
      <c r="AV42" s="121" t="n"/>
      <c r="AW42" s="121" t="n"/>
      <c r="AX42" s="121" t="n"/>
      <c r="AY42" s="121" t="n"/>
      <c r="AZ42" s="121" t="n"/>
      <c r="BA42" s="121" t="n"/>
      <c r="BB42" s="121" t="n"/>
      <c r="BC42" s="121" t="n"/>
    </row>
    <row r="43" outlineLevel="4" ht="12" customHeight="1">
      <c r="A43" s="102" t="n"/>
      <c r="B43" s="102" t="n"/>
      <c r="C43" s="102" t="n"/>
      <c r="D43" s="118" t="n"/>
      <c r="E43" s="103" t="n"/>
      <c r="F43" s="103" t="n"/>
      <c r="G43" s="103" t="n"/>
      <c r="H43" s="103" t="n"/>
      <c r="I43" s="103" t="n"/>
      <c r="J43" s="103" t="n"/>
      <c r="K43" s="103" t="n"/>
      <c r="L43" s="103" t="n"/>
      <c r="M43" s="103" t="n"/>
      <c r="N43" s="103" t="n"/>
      <c r="O43" s="103" t="n"/>
      <c r="P43" s="104" t="n"/>
      <c r="Q43" s="104" t="n"/>
      <c r="R43" s="103" t="n"/>
      <c r="S43" s="302" t="n"/>
      <c r="T43" s="302" t="n"/>
      <c r="U43" s="302" t="n"/>
      <c r="V43" s="302" t="n"/>
      <c r="W43" s="104" t="n"/>
      <c r="X43" s="104" t="n"/>
      <c r="Y43" s="303" t="n"/>
      <c r="Z43" s="107" t="n"/>
      <c r="AA43" s="302" t="n"/>
      <c r="AB43" s="103" t="n"/>
      <c r="AC43" s="103" t="n"/>
      <c r="AD43" s="117" t="n"/>
      <c r="AE43" s="214" t="n"/>
      <c r="AF43" s="120" t="n"/>
      <c r="AG43" s="121" t="n"/>
      <c r="AH43" s="121" t="n"/>
      <c r="AI43" s="121" t="n"/>
      <c r="AJ43" s="121" t="n"/>
      <c r="AK43" s="121" t="n"/>
      <c r="AL43" s="121" t="n"/>
      <c r="AM43" s="121" t="n"/>
      <c r="AN43" s="121" t="n"/>
      <c r="AO43" s="121">
        <f>" " &amp; TEXT(AE43,"#0.00%") &amp; " "</f>
        <v/>
      </c>
      <c r="AP43" s="121" t="n"/>
      <c r="AQ43" s="121" t="n"/>
      <c r="AR43" s="121" t="n"/>
      <c r="AS43" s="121" t="n"/>
      <c r="AT43" s="121" t="n"/>
      <c r="AU43" s="121" t="n"/>
      <c r="AV43" s="121" t="n"/>
      <c r="AW43" s="121">
        <f>"  " &amp; "모듈B" &amp; " " &amp; IF(P43="","",TEXT(P43,"M/D-")) &amp; IF(Q43="","",TEXT(Q43,"M/D")) &amp; " "</f>
        <v/>
      </c>
      <c r="AX43" s="121" t="n"/>
      <c r="AY43" s="121" t="n"/>
      <c r="AZ43" s="121" t="n"/>
      <c r="BA43" s="121" t="n"/>
      <c r="BB43" s="121" t="n"/>
      <c r="BC43" s="121" t="n"/>
    </row>
    <row r="44" outlineLevel="4" ht="12" customHeight="1">
      <c r="A44" s="102" t="n"/>
      <c r="B44" s="102" t="n"/>
      <c r="C44" s="102" t="n"/>
      <c r="D44" s="118" t="n"/>
      <c r="E44" s="103" t="n"/>
      <c r="F44" s="103" t="n"/>
      <c r="G44" s="103" t="n"/>
      <c r="H44" s="103" t="n"/>
      <c r="I44" s="103" t="n"/>
      <c r="J44" s="103" t="n"/>
      <c r="K44" s="103" t="n"/>
      <c r="L44" s="103" t="n"/>
      <c r="M44" s="103" t="n"/>
      <c r="N44" s="103" t="n"/>
      <c r="O44" s="103" t="n"/>
      <c r="P44" s="104" t="n"/>
      <c r="Q44" s="104" t="n"/>
      <c r="R44" s="103" t="n"/>
      <c r="S44" s="302" t="n"/>
      <c r="T44" s="302" t="n"/>
      <c r="U44" s="302" t="n"/>
      <c r="V44" s="302" t="n"/>
      <c r="W44" s="104" t="n"/>
      <c r="X44" s="104" t="n"/>
      <c r="Y44" s="303" t="n"/>
      <c r="Z44" s="107" t="n"/>
      <c r="AA44" s="302" t="n"/>
      <c r="AB44" s="103" t="n"/>
      <c r="AC44" s="103" t="n"/>
      <c r="AD44" s="117" t="n"/>
      <c r="AE44" s="214" t="n"/>
      <c r="AF44" s="120" t="n"/>
      <c r="AG44" s="121" t="n"/>
      <c r="AH44" s="121" t="n"/>
      <c r="AI44" s="121" t="n"/>
      <c r="AJ44" s="121" t="n"/>
      <c r="AK44" s="121" t="n"/>
      <c r="AL44" s="121" t="n"/>
      <c r="AM44" s="121" t="n"/>
      <c r="AN44" s="121" t="n"/>
      <c r="AO44" s="121">
        <f>" " &amp; TEXT(AE44,"#0.00%") &amp; " "</f>
        <v/>
      </c>
      <c r="AP44" s="121" t="n"/>
      <c r="AQ44" s="121" t="n"/>
      <c r="AR44" s="121" t="n"/>
      <c r="AS44" s="121" t="n"/>
      <c r="AT44" s="121" t="n"/>
      <c r="AU44" s="121" t="n"/>
      <c r="AV44" s="121" t="n"/>
      <c r="AW44" s="121">
        <f>"  " &amp; "모듈C" &amp; " " &amp; IF(P44="","",TEXT(P44,"M/D-")) &amp; IF(Q44="","",TEXT(Q44,"M/D")) &amp; " "</f>
        <v/>
      </c>
      <c r="AX44" s="121" t="n"/>
      <c r="AY44" s="121" t="n"/>
      <c r="AZ44" s="121" t="n"/>
      <c r="BA44" s="121" t="n"/>
      <c r="BB44" s="121" t="n"/>
      <c r="BC44" s="121" t="n"/>
    </row>
    <row r="45" outlineLevel="4" ht="12" customHeight="1">
      <c r="A45" s="102" t="n"/>
      <c r="B45" s="102" t="n"/>
      <c r="C45" s="102" t="n"/>
      <c r="D45" s="118" t="n"/>
      <c r="E45" s="103" t="n"/>
      <c r="F45" s="103" t="n"/>
      <c r="G45" s="103" t="n"/>
      <c r="H45" s="103" t="n"/>
      <c r="I45" s="103" t="n"/>
      <c r="J45" s="103" t="n"/>
      <c r="K45" s="103" t="n"/>
      <c r="L45" s="103" t="n"/>
      <c r="M45" s="103" t="n"/>
      <c r="N45" s="103" t="n"/>
      <c r="O45" s="103" t="n"/>
      <c r="P45" s="104" t="n"/>
      <c r="Q45" s="104" t="n"/>
      <c r="R45" s="103" t="n"/>
      <c r="S45" s="302" t="n"/>
      <c r="T45" s="302" t="n"/>
      <c r="U45" s="302" t="n"/>
      <c r="V45" s="302" t="n"/>
      <c r="W45" s="104" t="n"/>
      <c r="X45" s="104" t="n"/>
      <c r="Y45" s="303" t="n"/>
      <c r="Z45" s="107" t="n"/>
      <c r="AA45" s="302" t="n"/>
      <c r="AB45" s="103" t="n"/>
      <c r="AC45" s="103" t="n"/>
      <c r="AD45" s="117" t="n"/>
      <c r="AE45" s="214" t="n"/>
      <c r="AF45" s="120" t="n"/>
      <c r="AG45" s="121" t="n"/>
      <c r="AH45" s="121" t="n"/>
      <c r="AI45" s="121" t="n"/>
      <c r="AJ45" s="121" t="n"/>
      <c r="AK45" s="121" t="n"/>
      <c r="AL45" s="121" t="n"/>
      <c r="AM45" s="121" t="n"/>
      <c r="AN45" s="121" t="n"/>
      <c r="AO45" s="121" t="n"/>
      <c r="AP45" s="121" t="n"/>
      <c r="AQ45" s="121">
        <f>" " &amp; TEXT(AE45,"#0.00%") &amp; " "</f>
        <v/>
      </c>
      <c r="AR45" s="121" t="n"/>
      <c r="AS45" s="121" t="n"/>
      <c r="AT45" s="121" t="n"/>
      <c r="AU45" s="121" t="n"/>
      <c r="AV45" s="121" t="n"/>
      <c r="AW45" s="121">
        <f>"  " &amp; "모듈D" &amp; " " &amp; IF(P45="","",TEXT(P45,"M/D-")) &amp; IF(Q45="","",TEXT(Q45,"M/D")) &amp; " "</f>
        <v/>
      </c>
      <c r="AX45" s="121" t="n"/>
      <c r="AY45" s="121" t="n"/>
      <c r="AZ45" s="121" t="n"/>
      <c r="BA45" s="121" t="n"/>
      <c r="BB45" s="121" t="n"/>
      <c r="BC45" s="121" t="n"/>
    </row>
    <row r="46" outlineLevel="2" ht="12" customHeight="1">
      <c r="A46" s="102" t="n"/>
      <c r="B46" s="102" t="n"/>
      <c r="C46" s="102" t="n"/>
      <c r="D46" s="118" t="n"/>
      <c r="E46" s="103" t="n"/>
      <c r="F46" s="103" t="n"/>
      <c r="G46" s="103" t="n"/>
      <c r="H46" s="103" t="n"/>
      <c r="I46" s="103" t="n"/>
      <c r="J46" s="103" t="n"/>
      <c r="K46" s="103" t="n"/>
      <c r="L46" s="103" t="n"/>
      <c r="M46" s="103" t="n"/>
      <c r="N46" s="103" t="n"/>
      <c r="O46" s="103" t="n"/>
      <c r="P46" s="104" t="n"/>
      <c r="Q46" s="104" t="n"/>
      <c r="R46" s="103" t="n"/>
      <c r="S46" s="302" t="n"/>
      <c r="T46" s="302" t="n"/>
      <c r="U46" s="302" t="n"/>
      <c r="V46" s="302" t="n"/>
      <c r="W46" s="104" t="n"/>
      <c r="X46" s="104" t="n"/>
      <c r="Y46" s="303" t="n"/>
      <c r="Z46" s="107" t="n"/>
      <c r="AA46" s="302" t="n"/>
      <c r="AB46" s="103" t="n"/>
      <c r="AC46" s="103" t="n"/>
      <c r="AD46" s="117" t="n"/>
      <c r="AE46" s="220" t="n"/>
      <c r="AF46" s="120" t="n"/>
      <c r="AG46" s="121" t="n"/>
      <c r="AH46" s="121" t="n"/>
      <c r="AI46" s="121" t="n"/>
      <c r="AJ46" s="121" t="n"/>
      <c r="AK46" s="121" t="n"/>
      <c r="AL46" s="121" t="n"/>
      <c r="AM46" s="121" t="n"/>
      <c r="AN46" s="121" t="n"/>
      <c r="AO46" s="121" t="n"/>
      <c r="AP46" s="121" t="n"/>
      <c r="AQ46" s="121" t="n"/>
      <c r="AR46" s="121" t="n"/>
      <c r="AS46" s="121" t="n"/>
      <c r="AT46" s="121" t="n"/>
      <c r="AU46" s="121">
        <f>"    " &amp; TEXT(AE46,"#0.00%") &amp; " "</f>
        <v/>
      </c>
      <c r="AV46" s="121" t="n"/>
      <c r="AW46" s="121" t="n"/>
      <c r="AX46" s="121" t="n"/>
      <c r="AY46" s="121">
        <f>"  " &amp; "테스트실시" &amp; " " &amp; IF(P46="","",TEXT(P46,"M/D-")) &amp; IF(Q46="","",TEXT(Q46,"M/D")) &amp; " "</f>
        <v/>
      </c>
      <c r="AZ46" s="121" t="n"/>
      <c r="BA46" s="121" t="n"/>
      <c r="BB46" s="121" t="n"/>
      <c r="BC46" s="121" t="n"/>
    </row>
    <row r="47" outlineLevel="3" ht="12" customHeight="1">
      <c r="A47" s="102" t="n"/>
      <c r="B47" s="102" t="n"/>
      <c r="C47" s="102" t="n"/>
      <c r="D47" s="118" t="n"/>
      <c r="E47" s="103" t="n"/>
      <c r="F47" s="103" t="n"/>
      <c r="G47" s="103" t="n"/>
      <c r="H47" s="103" t="n"/>
      <c r="I47" s="103" t="n"/>
      <c r="J47" s="103" t="n"/>
      <c r="K47" s="103" t="n"/>
      <c r="L47" s="103" t="n"/>
      <c r="M47" s="103" t="n"/>
      <c r="N47" s="103" t="n"/>
      <c r="O47" s="103" t="n"/>
      <c r="P47" s="104" t="n"/>
      <c r="Q47" s="104" t="n"/>
      <c r="R47" s="103" t="n"/>
      <c r="S47" s="302" t="n"/>
      <c r="T47" s="302" t="n"/>
      <c r="U47" s="302" t="n"/>
      <c r="V47" s="302" t="n"/>
      <c r="W47" s="104" t="n"/>
      <c r="X47" s="104" t="n"/>
      <c r="Y47" s="303" t="n"/>
      <c r="Z47" s="107" t="n"/>
      <c r="AA47" s="302" t="n"/>
      <c r="AB47" s="103" t="n"/>
      <c r="AC47" s="103" t="n"/>
      <c r="AD47" s="117" t="n"/>
      <c r="AE47" s="214" t="n"/>
      <c r="AF47" s="120" t="n"/>
      <c r="AG47" s="121" t="n"/>
      <c r="AH47" s="121" t="n"/>
      <c r="AI47" s="121" t="n"/>
      <c r="AJ47" s="121" t="n"/>
      <c r="AK47" s="121" t="n"/>
      <c r="AL47" s="121" t="n"/>
      <c r="AM47" s="121" t="n"/>
      <c r="AN47" s="121" t="n"/>
      <c r="AO47" s="121" t="n"/>
      <c r="AP47" s="121" t="n"/>
      <c r="AQ47" s="121" t="n"/>
      <c r="AR47" s="121" t="n"/>
      <c r="AS47" s="121" t="n"/>
      <c r="AT47" s="121" t="n"/>
      <c r="AU47" s="121">
        <f>"    " &amp; TEXT(AE47,"#0.00%") &amp; " " &amp; "통합테스트실시" &amp; " " &amp; IF(P47="","",TEXT(P47,"M/D-")) &amp; IF(Q47="","",TEXT(Q47,"M/D")) &amp; " "</f>
        <v/>
      </c>
      <c r="AV47" s="121" t="n"/>
      <c r="AW47" s="121" t="n"/>
      <c r="AX47" s="121" t="n"/>
      <c r="AY47" s="121" t="n"/>
      <c r="AZ47" s="121" t="n"/>
      <c r="BA47" s="121" t="n"/>
      <c r="BB47" s="121" t="n"/>
      <c r="BC47" s="121" t="n"/>
    </row>
    <row r="48" outlineLevel="3" ht="12" customHeight="1">
      <c r="A48" s="102" t="n"/>
      <c r="B48" s="102" t="n"/>
      <c r="C48" s="102" t="n"/>
      <c r="D48" s="118" t="n"/>
      <c r="E48" s="103" t="n"/>
      <c r="F48" s="103" t="n"/>
      <c r="G48" s="103" t="n"/>
      <c r="H48" s="103" t="n"/>
      <c r="I48" s="103" t="n"/>
      <c r="J48" s="103" t="n"/>
      <c r="K48" s="103" t="n"/>
      <c r="L48" s="103" t="n"/>
      <c r="M48" s="103" t="n"/>
      <c r="N48" s="103" t="n"/>
      <c r="O48" s="103" t="n"/>
      <c r="P48" s="104" t="n"/>
      <c r="Q48" s="104" t="n"/>
      <c r="R48" s="103" t="n"/>
      <c r="S48" s="302" t="n"/>
      <c r="T48" s="302" t="n"/>
      <c r="U48" s="302" t="n"/>
      <c r="V48" s="302" t="n"/>
      <c r="W48" s="104" t="n"/>
      <c r="X48" s="104" t="n"/>
      <c r="Y48" s="303" t="n"/>
      <c r="Z48" s="107" t="n"/>
      <c r="AA48" s="302" t="n"/>
      <c r="AB48" s="103" t="n"/>
      <c r="AC48" s="103" t="n"/>
      <c r="AD48" s="117" t="n"/>
      <c r="AE48" s="214" t="n"/>
      <c r="AF48" s="120" t="n"/>
      <c r="AG48" s="121" t="n"/>
      <c r="AH48" s="121" t="n"/>
      <c r="AI48" s="121" t="n"/>
      <c r="AJ48" s="121" t="n"/>
      <c r="AK48" s="121" t="n"/>
      <c r="AL48" s="121" t="n"/>
      <c r="AM48" s="121" t="n"/>
      <c r="AN48" s="121" t="n"/>
      <c r="AO48" s="121" t="n"/>
      <c r="AP48" s="121" t="n"/>
      <c r="AQ48" s="121" t="n"/>
      <c r="AR48" s="121" t="n"/>
      <c r="AS48" s="121" t="n"/>
      <c r="AT48" s="121" t="n"/>
      <c r="AU48" s="121" t="n"/>
      <c r="AV48" s="121" t="n"/>
      <c r="AW48" s="121" t="n"/>
      <c r="AX48" s="121">
        <f>"    " &amp; TEXT(AE48,"#0.00%") &amp; " " &amp; "시스템테스트실시" &amp; " " &amp; IF(P48="","",TEXT(P48,"M/D-")) &amp; IF(Q48="","",TEXT(Q48,"M/D")) &amp; " "</f>
        <v/>
      </c>
      <c r="AY48" s="121" t="n"/>
      <c r="AZ48" s="121" t="n"/>
      <c r="BA48" s="121" t="n"/>
      <c r="BB48" s="121" t="n"/>
      <c r="BC48" s="121" t="n"/>
    </row>
    <row r="49" outlineLevel="1" ht="12" customHeight="1">
      <c r="A49" s="102" t="n"/>
      <c r="B49" s="102" t="n"/>
      <c r="C49" s="102" t="n"/>
      <c r="D49" s="118" t="n"/>
      <c r="E49" s="103" t="n"/>
      <c r="F49" s="103" t="n"/>
      <c r="G49" s="103" t="n"/>
      <c r="H49" s="103" t="n"/>
      <c r="I49" s="103" t="n"/>
      <c r="J49" s="103" t="n"/>
      <c r="K49" s="103" t="n"/>
      <c r="L49" s="103" t="n"/>
      <c r="M49" s="103" t="n"/>
      <c r="N49" s="103" t="n"/>
      <c r="O49" s="103" t="n"/>
      <c r="P49" s="104" t="n"/>
      <c r="Q49" s="104" t="n"/>
      <c r="R49" s="103" t="n"/>
      <c r="S49" s="302" t="n"/>
      <c r="T49" s="302" t="n"/>
      <c r="U49" s="302" t="n"/>
      <c r="V49" s="302" t="n"/>
      <c r="W49" s="104" t="n"/>
      <c r="X49" s="104" t="n"/>
      <c r="Y49" s="303" t="n"/>
      <c r="Z49" s="107" t="n"/>
      <c r="AA49" s="302" t="n"/>
      <c r="AB49" s="103" t="n"/>
      <c r="AC49" s="103" t="n"/>
      <c r="AD49" s="117" t="n"/>
      <c r="AE49" s="220" t="n"/>
      <c r="AF49" s="120" t="n"/>
      <c r="AG49" s="121" t="n"/>
      <c r="AH49" s="121" t="n"/>
      <c r="AI49" s="121" t="n"/>
      <c r="AJ49" s="121" t="n"/>
      <c r="AK49" s="121" t="n"/>
      <c r="AL49" s="121" t="n"/>
      <c r="AM49" s="121" t="n"/>
      <c r="AN49" s="121" t="n"/>
      <c r="AO49" s="121" t="n"/>
      <c r="AP49" s="121" t="n"/>
      <c r="AQ49" s="121" t="n"/>
      <c r="AR49" s="121" t="n"/>
      <c r="AS49" s="121" t="n"/>
      <c r="AT49" s="121" t="n"/>
      <c r="AU49" s="121" t="n"/>
      <c r="AV49" s="121" t="n"/>
      <c r="AW49" s="121" t="n"/>
      <c r="AX49" s="121" t="n"/>
      <c r="AY49" s="121">
        <f>"    " &amp; TEXT(AE49,"#0.00%") &amp; " " &amp; "구현" &amp; " " &amp; IF(P49="","",TEXT(P49,"M/D-")) &amp; IF(Q49="","",TEXT(Q49,"M/D")) &amp; " "</f>
        <v/>
      </c>
      <c r="AZ49" s="121" t="n"/>
      <c r="BA49" s="121" t="n"/>
      <c r="BB49" s="121" t="n"/>
      <c r="BC49" s="121" t="n"/>
    </row>
    <row r="50" outlineLevel="2" ht="12" customHeight="1">
      <c r="A50" s="102" t="n"/>
      <c r="B50" s="102" t="n"/>
      <c r="C50" s="102" t="n"/>
      <c r="D50" s="118" t="n"/>
      <c r="E50" s="103" t="n"/>
      <c r="F50" s="103" t="n"/>
      <c r="G50" s="103" t="n"/>
      <c r="H50" s="103" t="n"/>
      <c r="I50" s="103" t="n"/>
      <c r="J50" s="103" t="n"/>
      <c r="K50" s="103" t="n"/>
      <c r="L50" s="103" t="n"/>
      <c r="M50" s="103" t="n"/>
      <c r="N50" s="103" t="n"/>
      <c r="O50" s="103" t="n"/>
      <c r="P50" s="104" t="n"/>
      <c r="Q50" s="104" t="n"/>
      <c r="R50" s="103" t="n"/>
      <c r="S50" s="302" t="n"/>
      <c r="T50" s="302" t="n"/>
      <c r="U50" s="302" t="n"/>
      <c r="V50" s="302" t="n"/>
      <c r="W50" s="104" t="n"/>
      <c r="X50" s="104" t="n"/>
      <c r="Y50" s="303" t="n"/>
      <c r="Z50" s="107" t="n"/>
      <c r="AA50" s="302" t="n"/>
      <c r="AB50" s="103" t="n"/>
      <c r="AC50" s="103" t="n"/>
      <c r="AD50" s="117" t="n"/>
      <c r="AE50" s="220" t="n"/>
      <c r="AF50" s="120" t="n"/>
      <c r="AG50" s="121" t="n"/>
      <c r="AH50" s="121" t="n"/>
      <c r="AI50" s="121" t="n"/>
      <c r="AJ50" s="121" t="n"/>
      <c r="AK50" s="121" t="n"/>
      <c r="AL50" s="121" t="n"/>
      <c r="AM50" s="121" t="n"/>
      <c r="AN50" s="121" t="n"/>
      <c r="AO50" s="121" t="n"/>
      <c r="AP50" s="121" t="n"/>
      <c r="AQ50" s="121" t="n"/>
      <c r="AR50" s="121" t="n"/>
      <c r="AS50" s="121" t="n"/>
      <c r="AT50" s="121" t="n"/>
      <c r="AU50" s="121" t="n"/>
      <c r="AV50" s="121" t="n"/>
      <c r="AW50" s="121" t="n"/>
      <c r="AX50" s="121" t="n"/>
      <c r="AY50" s="121">
        <f>"    " &amp; TEXT(AE50,"#0.00%") &amp; " " &amp; "구현준비" &amp; " " &amp; IF(P50="","",TEXT(P50,"M/D-")) &amp; IF(Q50="","",TEXT(Q50,"M/D")) &amp; " "</f>
        <v/>
      </c>
      <c r="AZ50" s="121" t="n"/>
      <c r="BA50" s="121" t="n"/>
      <c r="BB50" s="121" t="n"/>
      <c r="BC50" s="121" t="n"/>
    </row>
    <row r="51" outlineLevel="3" ht="12" customHeight="1">
      <c r="A51" s="102" t="n"/>
      <c r="B51" s="102" t="n"/>
      <c r="C51" s="102" t="n"/>
      <c r="D51" s="118" t="n"/>
      <c r="E51" s="103" t="n"/>
      <c r="F51" s="103" t="n"/>
      <c r="G51" s="103" t="n"/>
      <c r="H51" s="103" t="n"/>
      <c r="I51" s="103" t="n"/>
      <c r="J51" s="103" t="n"/>
      <c r="K51" s="103" t="n"/>
      <c r="L51" s="103" t="n"/>
      <c r="M51" s="103" t="n"/>
      <c r="N51" s="103" t="n"/>
      <c r="O51" s="103" t="n"/>
      <c r="P51" s="104" t="n"/>
      <c r="Q51" s="104" t="n"/>
      <c r="R51" s="103" t="n"/>
      <c r="S51" s="302" t="n"/>
      <c r="T51" s="302" t="n"/>
      <c r="U51" s="302" t="n"/>
      <c r="V51" s="302" t="n"/>
      <c r="W51" s="104" t="n"/>
      <c r="X51" s="104" t="n"/>
      <c r="Y51" s="303" t="n"/>
      <c r="Z51" s="107" t="n"/>
      <c r="AA51" s="302" t="n"/>
      <c r="AB51" s="103" t="n"/>
      <c r="AC51" s="103" t="n"/>
      <c r="AD51" s="117" t="n"/>
      <c r="AE51" s="214" t="n"/>
      <c r="AF51" s="120" t="n"/>
      <c r="AG51" s="121" t="n"/>
      <c r="AH51" s="121" t="n"/>
      <c r="AI51" s="121" t="n"/>
      <c r="AJ51" s="121" t="n"/>
      <c r="AK51" s="121" t="n"/>
      <c r="AL51" s="121" t="n"/>
      <c r="AM51" s="121" t="n"/>
      <c r="AN51" s="121" t="n"/>
      <c r="AO51" s="121" t="n"/>
      <c r="AP51" s="121" t="n"/>
      <c r="AQ51" s="121" t="n"/>
      <c r="AR51" s="121" t="n"/>
      <c r="AS51" s="121" t="n"/>
      <c r="AT51" s="121" t="n"/>
      <c r="AU51" s="121" t="n"/>
      <c r="AV51" s="121" t="n"/>
      <c r="AW51" s="121" t="n"/>
      <c r="AX51" s="121" t="n"/>
      <c r="AY51" s="121">
        <f>"    " &amp; TEXT(AE51,"#0.00%") &amp; " " &amp; "Release 및 Contingency plan수립" &amp; " " &amp; IF(P51="","",TEXT(P51,"M/D-")) &amp; IF(Q51="","",TEXT(Q51,"M/D")) &amp; " "</f>
        <v/>
      </c>
      <c r="AZ51" s="121" t="n"/>
      <c r="BA51" s="121" t="n"/>
      <c r="BB51" s="121" t="n"/>
      <c r="BC51" s="121" t="n"/>
    </row>
    <row r="52" outlineLevel="2" ht="12" customHeight="1">
      <c r="A52" s="102" t="n"/>
      <c r="B52" s="102" t="n"/>
      <c r="C52" s="102" t="n"/>
      <c r="D52" s="118" t="n"/>
      <c r="E52" s="103" t="n"/>
      <c r="F52" s="103" t="n"/>
      <c r="G52" s="103" t="n"/>
      <c r="H52" s="103" t="n"/>
      <c r="I52" s="103" t="n"/>
      <c r="J52" s="103" t="n"/>
      <c r="K52" s="103" t="n"/>
      <c r="L52" s="103" t="n"/>
      <c r="M52" s="103" t="n"/>
      <c r="N52" s="103" t="n"/>
      <c r="O52" s="103" t="n"/>
      <c r="P52" s="104" t="n"/>
      <c r="Q52" s="104" t="n"/>
      <c r="R52" s="103" t="n"/>
      <c r="S52" s="302" t="n"/>
      <c r="T52" s="302" t="n"/>
      <c r="U52" s="302" t="n"/>
      <c r="V52" s="302" t="n"/>
      <c r="W52" s="104" t="n"/>
      <c r="X52" s="104" t="n"/>
      <c r="Y52" s="303" t="n"/>
      <c r="Z52" s="107" t="n"/>
      <c r="AA52" s="302" t="n"/>
      <c r="AB52" s="103" t="n"/>
      <c r="AC52" s="103" t="n"/>
      <c r="AD52" s="117" t="n"/>
      <c r="AE52" s="220" t="n"/>
      <c r="AF52" s="120" t="n"/>
      <c r="AG52" s="121" t="n"/>
      <c r="AH52" s="121" t="n"/>
      <c r="AI52" s="121" t="n"/>
      <c r="AJ52" s="121" t="n"/>
      <c r="AK52" s="121" t="n"/>
      <c r="AL52" s="121" t="n"/>
      <c r="AM52" s="121" t="n"/>
      <c r="AN52" s="121" t="n"/>
      <c r="AO52" s="121" t="n"/>
      <c r="AP52" s="121" t="n"/>
      <c r="AQ52" s="121" t="n"/>
      <c r="AR52" s="121" t="n"/>
      <c r="AS52" s="121" t="n"/>
      <c r="AT52" s="121" t="n"/>
      <c r="AU52" s="121" t="n"/>
      <c r="AV52" s="121" t="n"/>
      <c r="AW52" s="121" t="n"/>
      <c r="AX52" s="121" t="n"/>
      <c r="AY52" s="121">
        <f>"      " &amp; TEXT(AE52,"#0.00%") &amp; " " &amp; "Conversion 및 Release" &amp; " " &amp; IF(P52="","",TEXT(P52,"M/D-")) &amp; IF(Q52="","",TEXT(Q52,"M/D")) &amp; " "</f>
        <v/>
      </c>
      <c r="AZ52" s="121" t="n"/>
      <c r="BA52" s="121" t="n"/>
      <c r="BB52" s="121" t="n"/>
      <c r="BC52" s="121" t="n"/>
    </row>
    <row r="53" outlineLevel="3" ht="12" customHeight="1">
      <c r="A53" s="102" t="n"/>
      <c r="B53" s="102" t="n"/>
      <c r="C53" s="102" t="n"/>
      <c r="D53" s="118" t="n"/>
      <c r="E53" s="103" t="n"/>
      <c r="F53" s="103" t="n"/>
      <c r="G53" s="103" t="n"/>
      <c r="H53" s="103" t="n"/>
      <c r="I53" s="103" t="n"/>
      <c r="J53" s="103" t="n"/>
      <c r="K53" s="103" t="n"/>
      <c r="L53" s="103" t="n"/>
      <c r="M53" s="103" t="n"/>
      <c r="N53" s="103" t="n"/>
      <c r="O53" s="103" t="n"/>
      <c r="P53" s="104" t="n"/>
      <c r="Q53" s="104" t="n"/>
      <c r="R53" s="103" t="n"/>
      <c r="S53" s="302" t="n"/>
      <c r="T53" s="302" t="n"/>
      <c r="U53" s="302" t="n"/>
      <c r="V53" s="302" t="n"/>
      <c r="W53" s="104" t="n"/>
      <c r="X53" s="104" t="n"/>
      <c r="Y53" s="303" t="n"/>
      <c r="Z53" s="107" t="n"/>
      <c r="AA53" s="302" t="n"/>
      <c r="AB53" s="103" t="n"/>
      <c r="AC53" s="103" t="n"/>
      <c r="AD53" s="117" t="n"/>
      <c r="AE53" s="199" t="n"/>
      <c r="AF53" s="120" t="n"/>
      <c r="AG53" s="121" t="n"/>
      <c r="AH53" s="121" t="n"/>
      <c r="AI53" s="121" t="n"/>
      <c r="AJ53" s="121" t="n"/>
      <c r="AK53" s="121" t="n"/>
      <c r="AL53" s="121" t="n"/>
      <c r="AM53" s="121" t="n"/>
      <c r="AN53" s="121" t="n"/>
      <c r="AO53" s="121" t="n"/>
      <c r="AP53" s="121" t="n"/>
      <c r="AQ53" s="121" t="n"/>
      <c r="AR53" s="121" t="n"/>
      <c r="AS53" s="121" t="n"/>
      <c r="AT53" s="121" t="n"/>
      <c r="AU53" s="121" t="n"/>
      <c r="AV53" s="121" t="n"/>
      <c r="AW53" s="121" t="n"/>
      <c r="AX53" s="121" t="n"/>
      <c r="AY53" s="121">
        <f>"      " &amp; TEXT(AE53,"#0.00%") &amp; " " &amp; "데이터베이스구축" &amp; " " &amp; IF(P53="","",TEXT(P53,"M/D-")) &amp; IF(Q53="","",TEXT(Q53,"M/D")) &amp; " "</f>
        <v/>
      </c>
      <c r="AZ53" s="121" t="n"/>
      <c r="BA53" s="121" t="n"/>
      <c r="BB53" s="121" t="n"/>
      <c r="BC53" s="121" t="n"/>
    </row>
    <row r="54" outlineLevel="3" ht="12" customHeight="1">
      <c r="A54" s="102" t="n"/>
      <c r="B54" s="102" t="n"/>
      <c r="C54" s="102" t="n"/>
      <c r="D54" s="118" t="n"/>
      <c r="E54" s="103" t="n"/>
      <c r="F54" s="103" t="n"/>
      <c r="G54" s="103" t="n"/>
      <c r="H54" s="103" t="n"/>
      <c r="I54" s="103" t="n"/>
      <c r="J54" s="103" t="n"/>
      <c r="K54" s="103" t="n"/>
      <c r="L54" s="103" t="n"/>
      <c r="M54" s="103" t="n"/>
      <c r="N54" s="103" t="n"/>
      <c r="O54" s="103" t="n"/>
      <c r="P54" s="104" t="n"/>
      <c r="Q54" s="104" t="n"/>
      <c r="R54" s="103" t="n"/>
      <c r="S54" s="302" t="n"/>
      <c r="T54" s="302" t="n"/>
      <c r="U54" s="302" t="n"/>
      <c r="V54" s="302" t="n"/>
      <c r="W54" s="104" t="n"/>
      <c r="X54" s="104" t="n"/>
      <c r="Y54" s="303" t="n"/>
      <c r="Z54" s="107" t="n"/>
      <c r="AA54" s="302" t="n"/>
      <c r="AB54" s="103" t="n"/>
      <c r="AC54" s="103" t="n"/>
      <c r="AD54" s="117" t="n"/>
      <c r="AE54" s="214" t="n"/>
      <c r="AF54" s="120" t="n"/>
      <c r="AG54" s="121" t="n"/>
      <c r="AH54" s="121" t="n"/>
      <c r="AI54" s="121" t="n"/>
      <c r="AJ54" s="121" t="n"/>
      <c r="AK54" s="121" t="n"/>
      <c r="AL54" s="121" t="n"/>
      <c r="AM54" s="121" t="n"/>
      <c r="AN54" s="121" t="n"/>
      <c r="AO54" s="121" t="n"/>
      <c r="AP54" s="121" t="n"/>
      <c r="AQ54" s="121" t="n"/>
      <c r="AR54" s="121" t="n"/>
      <c r="AS54" s="121" t="n"/>
      <c r="AT54" s="121" t="n"/>
      <c r="AU54" s="121" t="n"/>
      <c r="AV54" s="121" t="n"/>
      <c r="AW54" s="121" t="n"/>
      <c r="AX54" s="121" t="n"/>
      <c r="AY54" s="121" t="n"/>
      <c r="AZ54" s="121">
        <f>"    " &amp; TEXT(AE54,"#0.00%") &amp; " " &amp; "소프트웨어설치" &amp; " " &amp; IF(P54="","",TEXT(P54,"M/D-")) &amp; IF(Q54="","",TEXT(Q54,"M/D")) &amp; " "</f>
        <v/>
      </c>
      <c r="BA54" s="121" t="n"/>
      <c r="BB54" s="121" t="n"/>
      <c r="BC54" s="121" t="n"/>
    </row>
    <row r="55" outlineLevel="3" ht="12" customHeight="1">
      <c r="A55" s="102" t="n"/>
      <c r="B55" s="102" t="n"/>
      <c r="C55" s="102" t="n"/>
      <c r="D55" s="118" t="n"/>
      <c r="E55" s="103" t="n"/>
      <c r="F55" s="103" t="n"/>
      <c r="G55" s="103" t="n"/>
      <c r="H55" s="103" t="n"/>
      <c r="I55" s="103" t="n"/>
      <c r="J55" s="103" t="n"/>
      <c r="K55" s="103" t="n"/>
      <c r="L55" s="103" t="n"/>
      <c r="M55" s="103" t="n"/>
      <c r="N55" s="103" t="n"/>
      <c r="O55" s="103" t="n"/>
      <c r="P55" s="104" t="n"/>
      <c r="Q55" s="104" t="n"/>
      <c r="R55" s="103" t="n"/>
      <c r="S55" s="302" t="n"/>
      <c r="T55" s="302" t="n"/>
      <c r="U55" s="302" t="n"/>
      <c r="V55" s="302" t="n"/>
      <c r="W55" s="104" t="n"/>
      <c r="X55" s="104" t="n"/>
      <c r="Y55" s="303" t="n"/>
      <c r="Z55" s="107" t="n"/>
      <c r="AA55" s="302" t="n"/>
      <c r="AB55" s="103" t="n"/>
      <c r="AC55" s="103" t="n"/>
      <c r="AD55" s="117" t="n"/>
      <c r="AE55" s="199" t="n"/>
      <c r="AF55" s="120" t="n"/>
      <c r="AG55" s="121" t="n"/>
      <c r="AH55" s="121" t="n"/>
      <c r="AI55" s="121" t="n"/>
      <c r="AJ55" s="121" t="n"/>
      <c r="AK55" s="121" t="n"/>
      <c r="AL55" s="121" t="n"/>
      <c r="AM55" s="121" t="n"/>
      <c r="AN55" s="121" t="n"/>
      <c r="AO55" s="121" t="n"/>
      <c r="AP55" s="121" t="n"/>
      <c r="AQ55" s="121" t="n"/>
      <c r="AR55" s="121" t="n"/>
      <c r="AS55" s="121" t="n"/>
      <c r="AT55" s="121" t="n"/>
      <c r="AU55" s="121" t="n"/>
      <c r="AV55" s="121" t="n"/>
      <c r="AW55" s="121" t="n"/>
      <c r="AX55" s="121" t="n"/>
      <c r="AY55" s="121" t="n"/>
      <c r="AZ55" s="121" t="n"/>
      <c r="BA55" s="121">
        <f>"     " &amp; TEXT(AE55,"#0.00%") &amp; " " &amp; "인수테스트실시" &amp; " " &amp; IF(P55="","",TEXT(P55,"M/D-")) &amp; IF(Q55="","",TEXT(Q55,"M/D")) &amp; " "</f>
        <v/>
      </c>
      <c r="BB55" s="121" t="n"/>
      <c r="BC55" s="121" t="n"/>
    </row>
    <row r="56" outlineLevel="3" ht="12" customHeight="1">
      <c r="A56" s="102" t="n"/>
      <c r="B56" s="102" t="n"/>
      <c r="C56" s="102" t="n"/>
      <c r="D56" s="118" t="n"/>
      <c r="E56" s="103" t="n"/>
      <c r="F56" s="103" t="n"/>
      <c r="G56" s="103" t="n"/>
      <c r="H56" s="103" t="n"/>
      <c r="I56" s="103" t="n"/>
      <c r="J56" s="103" t="n"/>
      <c r="K56" s="103" t="n"/>
      <c r="L56" s="103" t="n"/>
      <c r="M56" s="103" t="n"/>
      <c r="N56" s="103" t="n"/>
      <c r="O56" s="103" t="n"/>
      <c r="P56" s="104" t="n"/>
      <c r="Q56" s="104" t="n"/>
      <c r="R56" s="103" t="n"/>
      <c r="S56" s="302" t="n"/>
      <c r="T56" s="302" t="n"/>
      <c r="U56" s="302" t="n"/>
      <c r="V56" s="302" t="n"/>
      <c r="W56" s="104" t="n"/>
      <c r="X56" s="104" t="n"/>
      <c r="Y56" s="303" t="n"/>
      <c r="Z56" s="107" t="n"/>
      <c r="AA56" s="302" t="n"/>
      <c r="AB56" s="103" t="n"/>
      <c r="AC56" s="103" t="n"/>
      <c r="AD56" s="117" t="n"/>
      <c r="AE56" s="199" t="n"/>
      <c r="AF56" s="120" t="n"/>
      <c r="AG56" s="121" t="n"/>
      <c r="AH56" s="121" t="n"/>
      <c r="AI56" s="121" t="n"/>
      <c r="AJ56" s="121" t="n"/>
      <c r="AK56" s="121" t="n"/>
      <c r="AL56" s="121" t="n"/>
      <c r="AM56" s="121" t="n"/>
      <c r="AN56" s="121" t="n"/>
      <c r="AO56" s="121" t="n"/>
      <c r="AP56" s="121" t="n"/>
      <c r="AQ56" s="121" t="n"/>
      <c r="AR56" s="121" t="n"/>
      <c r="AS56" s="121" t="n"/>
      <c r="AT56" s="121" t="n"/>
      <c r="AU56" s="121" t="n"/>
      <c r="AV56" s="121" t="n"/>
      <c r="AW56" s="121" t="n"/>
      <c r="AX56" s="121" t="n"/>
      <c r="AY56" s="121" t="n"/>
      <c r="AZ56" s="121" t="n"/>
      <c r="BA56" s="121" t="n"/>
      <c r="BB56" s="121">
        <f>"        " &amp; TEXT(AE56,"#0.00%") &amp; " " &amp; "시스템오픈" &amp; " " &amp; IF(P56="","",TEXT(P56,"M/D-")) &amp; IF(Q56="","",TEXT(Q56,"M/D")) &amp; " "</f>
        <v/>
      </c>
      <c r="BC56" s="121" t="n"/>
    </row>
    <row r="57" ht="12" customHeight="1">
      <c r="A57" s="152" t="n"/>
      <c r="B57" s="152" t="n"/>
      <c r="C57" s="152" t="n"/>
      <c r="D57" s="153" t="n"/>
      <c r="E57" s="154" t="n"/>
      <c r="F57" s="154" t="n"/>
      <c r="G57" s="154" t="n"/>
      <c r="H57" s="154" t="n"/>
      <c r="I57" s="154" t="n"/>
      <c r="J57" s="154" t="n"/>
      <c r="K57" s="154" t="n"/>
      <c r="L57" s="154" t="n"/>
      <c r="M57" s="154" t="n"/>
      <c r="N57" s="154" t="n"/>
      <c r="O57" s="154" t="n"/>
      <c r="P57" s="155" t="n"/>
      <c r="Q57" s="155" t="n"/>
      <c r="R57" s="154" t="n"/>
      <c r="S57" s="304" t="n"/>
      <c r="T57" s="304" t="n"/>
      <c r="U57" s="304" t="n"/>
      <c r="V57" s="304" t="n"/>
      <c r="W57" s="155" t="n"/>
      <c r="X57" s="155" t="n"/>
      <c r="Y57" s="305" t="n"/>
      <c r="Z57" s="158" t="n"/>
      <c r="AA57" s="304" t="n"/>
      <c r="AB57" s="154" t="n"/>
      <c r="AC57" s="154" t="n"/>
      <c r="AD57" s="159" t="n"/>
      <c r="AE57" s="160" t="n"/>
      <c r="AF57" s="119" t="n"/>
      <c r="AG57" s="119" t="n"/>
      <c r="AH57" s="119" t="n"/>
      <c r="AI57" s="119" t="n"/>
      <c r="AJ57" s="119" t="n"/>
      <c r="AK57" s="119" t="n"/>
      <c r="AL57" s="119" t="n"/>
      <c r="AM57" s="119" t="n"/>
      <c r="AN57" s="119" t="n"/>
      <c r="AO57" s="119" t="n"/>
      <c r="AP57" s="119" t="n"/>
      <c r="AQ57" s="119" t="n"/>
      <c r="AR57" s="119" t="n"/>
      <c r="AS57" s="119" t="n"/>
      <c r="AT57" s="119" t="n"/>
      <c r="AU57" s="119" t="n"/>
      <c r="AV57" s="119" t="n"/>
      <c r="AW57" s="119" t="n"/>
      <c r="AX57" s="119" t="n"/>
      <c r="AY57" s="119" t="n"/>
      <c r="AZ57" s="119" t="n"/>
      <c r="BA57" s="119" t="n"/>
      <c r="BB57" s="119" t="n"/>
      <c r="BC57" s="119" t="n"/>
    </row>
  </sheetData>
  <mergeCells count="34">
    <mergeCell ref="AC3:AC4"/>
    <mergeCell ref="B3:B4"/>
    <mergeCell ref="AE3:AE4"/>
    <mergeCell ref="AZ3:BC3"/>
    <mergeCell ref="X3:X4"/>
    <mergeCell ref="AR2:AU2"/>
    <mergeCell ref="Z3:Z4"/>
    <mergeCell ref="AZ2:BC2"/>
    <mergeCell ref="AR3:AU3"/>
    <mergeCell ref="A3:A4"/>
    <mergeCell ref="AF3:AI3"/>
    <mergeCell ref="AN3:AQ3"/>
    <mergeCell ref="U3:U4"/>
    <mergeCell ref="D3:D4"/>
    <mergeCell ref="W3:W4"/>
    <mergeCell ref="AJ2:AM2"/>
    <mergeCell ref="AA3:AA4"/>
    <mergeCell ref="P3:P4"/>
    <mergeCell ref="AV3:AY3"/>
    <mergeCell ref="R3:R4"/>
    <mergeCell ref="T3:T4"/>
    <mergeCell ref="AB3:AB4"/>
    <mergeCell ref="AV2:AY2"/>
    <mergeCell ref="AD3:AD4"/>
    <mergeCell ref="C3:C4"/>
    <mergeCell ref="O3:O4"/>
    <mergeCell ref="V3:V4"/>
    <mergeCell ref="AJ3:AM3"/>
    <mergeCell ref="Q3:Q4"/>
    <mergeCell ref="E3:N4"/>
    <mergeCell ref="Y3:Y4"/>
    <mergeCell ref="S3:S4"/>
    <mergeCell ref="AF2:AI2"/>
    <mergeCell ref="AN2:AQ2"/>
  </mergeCells>
  <conditionalFormatting sqref="D5:AD56">
    <cfRule type="expression" priority="1" dxfId="0">
      <formula>($B5="G")</formula>
    </cfRule>
  </conditionalFormatting>
  <hyperlinks>
    <hyperlink xmlns:r="http://schemas.openxmlformats.org/officeDocument/2006/relationships" ref="AF1" display="https://xlworks.net/xlgantt-project-scheduler/" r:id="rId1"/>
    <hyperlink xmlns:r="http://schemas.openxmlformats.org/officeDocument/2006/relationships" ref="AG1" display="https://xlworks.net/xlgantt-project-scheduler/" r:id="rId2"/>
    <hyperlink xmlns:r="http://schemas.openxmlformats.org/officeDocument/2006/relationships" ref="AH1" display="https://xlworks.net/xlgantt-project-scheduler/" r:id="rId3"/>
    <hyperlink xmlns:r="http://schemas.openxmlformats.org/officeDocument/2006/relationships" ref="AI1" display="https://xlworks.net/xlgantt-project-scheduler/" r:id="rId4"/>
    <hyperlink xmlns:r="http://schemas.openxmlformats.org/officeDocument/2006/relationships" ref="AJ1" display="https://xlworks.net/xlgantt-project-scheduler/" r:id="rId5"/>
    <hyperlink xmlns:r="http://schemas.openxmlformats.org/officeDocument/2006/relationships" ref="AK1" display="https://xlworks.net/xlgantt-project-scheduler/" r:id="rId6"/>
    <hyperlink xmlns:r="http://schemas.openxmlformats.org/officeDocument/2006/relationships" ref="AL1" display="https://xlworks.net/xlgantt-project-scheduler/" r:id="rId7"/>
    <hyperlink xmlns:r="http://schemas.openxmlformats.org/officeDocument/2006/relationships" ref="AM1" display="https://xlworks.net/xlgantt-project-scheduler/" r:id="rId8"/>
    <hyperlink xmlns:r="http://schemas.openxmlformats.org/officeDocument/2006/relationships" ref="AN1" display="https://xlworks.net/xlgantt-project-scheduler/" r:id="rId9"/>
    <hyperlink xmlns:r="http://schemas.openxmlformats.org/officeDocument/2006/relationships" ref="AO1" display="https://xlworks.net/xlgantt-project-scheduler/" r:id="rId10"/>
    <hyperlink xmlns:r="http://schemas.openxmlformats.org/officeDocument/2006/relationships" ref="AP1" display="https://xlworks.net/xlgantt-project-scheduler/" r:id="rId11"/>
    <hyperlink xmlns:r="http://schemas.openxmlformats.org/officeDocument/2006/relationships" ref="AQ1" display="https://xlworks.net/xlgantt-project-scheduler/" r:id="rId12"/>
    <hyperlink xmlns:r="http://schemas.openxmlformats.org/officeDocument/2006/relationships" ref="AR1" display="https://xlworks.net/xlgantt-project-scheduler/" r:id="rId13"/>
    <hyperlink xmlns:r="http://schemas.openxmlformats.org/officeDocument/2006/relationships" ref="AS1" display="https://xlworks.net/xlgantt-project-scheduler/" r:id="rId14"/>
    <hyperlink xmlns:r="http://schemas.openxmlformats.org/officeDocument/2006/relationships" ref="AT1" display="https://xlworks.net/xlgantt-project-scheduler/" r:id="rId15"/>
    <hyperlink xmlns:r="http://schemas.openxmlformats.org/officeDocument/2006/relationships" ref="AU1" display="https://xlworks.net/xlgantt-project-scheduler/" r:id="rId16"/>
    <hyperlink xmlns:r="http://schemas.openxmlformats.org/officeDocument/2006/relationships" ref="AV1" display="https://xlworks.net/xlgantt-project-scheduler/" r:id="rId17"/>
    <hyperlink xmlns:r="http://schemas.openxmlformats.org/officeDocument/2006/relationships" ref="AW1" display="https://xlworks.net/xlgantt-project-scheduler/" r:id="rId18"/>
    <hyperlink xmlns:r="http://schemas.openxmlformats.org/officeDocument/2006/relationships" ref="AX1" display="https://xlworks.net/xlgantt-project-scheduler/" r:id="rId19"/>
    <hyperlink xmlns:r="http://schemas.openxmlformats.org/officeDocument/2006/relationships" ref="AY1" display="https://xlworks.net/xlgantt-project-scheduler/" r:id="rId20"/>
    <hyperlink xmlns:r="http://schemas.openxmlformats.org/officeDocument/2006/relationships" ref="AZ1" display="https://xlworks.net/xlgantt-project-scheduler/" r:id="rId21"/>
    <hyperlink xmlns:r="http://schemas.openxmlformats.org/officeDocument/2006/relationships" ref="BA1" display="https://xlworks.net/xlgantt-project-scheduler/" r:id="rId22"/>
    <hyperlink xmlns:r="http://schemas.openxmlformats.org/officeDocument/2006/relationships" ref="BB1" display="https://xlworks.net/xlgantt-project-scheduler/" r:id="rId23"/>
    <hyperlink xmlns:r="http://schemas.openxmlformats.org/officeDocument/2006/relationships" ref="BC1" display="https://xlworks.net/xlgantt-project-scheduler/" r:id="rId24"/>
    <hyperlink xmlns:r="http://schemas.openxmlformats.org/officeDocument/2006/relationships" ref="BD1" display="https://xlworks.net/xlgantt-project-scheduler/" r:id="rId25"/>
    <hyperlink xmlns:r="http://schemas.openxmlformats.org/officeDocument/2006/relationships" ref="BE1" display="https://xlworks.net/xlgantt-project-scheduler/" r:id="rId26"/>
    <hyperlink xmlns:r="http://schemas.openxmlformats.org/officeDocument/2006/relationships" ref="BF1" display="https://xlworks.net/xlgantt-project-scheduler/" r:id="rId27"/>
    <hyperlink xmlns:r="http://schemas.openxmlformats.org/officeDocument/2006/relationships" ref="BG1" display="https://xlworks.net/xlgantt-project-scheduler/" r:id="rId28"/>
    <hyperlink xmlns:r="http://schemas.openxmlformats.org/officeDocument/2006/relationships" ref="BH1" display="https://xlworks.net/xlgantt-project-scheduler/" r:id="rId29"/>
    <hyperlink xmlns:r="http://schemas.openxmlformats.org/officeDocument/2006/relationships" ref="BI1" display="https://xlworks.net/xlgantt-project-scheduler/" r:id="rId30"/>
    <hyperlink xmlns:r="http://schemas.openxmlformats.org/officeDocument/2006/relationships" ref="BJ1" display="https://xlworks.net/xlgantt-project-scheduler/" r:id="rId31"/>
  </hyperlinks>
  <pageMargins left="0.1968503937007874" right="0.2362204724409449" top="0.4330708661417323" bottom="0.2362204724409449" header="0.2362204724409449" footer="0.1968503937007874"/>
  <pageSetup orientation="landscape" paperSize="9" scale="65"/>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style="59" min="27" max="27"/>
    <col width="10" customWidth="1" style="59" min="28" max="16384"/>
  </cols>
  <sheetData>
    <row r="1" ht="36.95" customFormat="1" customHeight="1" s="4">
      <c r="A1" s="225" t="inlineStr">
        <is>
          <t>프로젝트 진척률 - 일정변경 관리하지 않을때</t>
        </is>
      </c>
      <c r="B1" s="2" t="n"/>
      <c r="C1" s="2" t="n"/>
      <c r="D1" s="2" t="n"/>
      <c r="E1" s="2" t="n"/>
      <c r="F1" s="2" t="n"/>
      <c r="G1" s="2" t="n"/>
      <c r="H1" s="2" t="n"/>
      <c r="I1" s="2" t="n"/>
      <c r="J1" s="2" t="n"/>
      <c r="K1" s="2" t="n"/>
      <c r="L1" s="277"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279" t="n"/>
      <c r="C4" s="306"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07" t="n">
        <v>253.7</v>
      </c>
      <c r="C6" s="15" t="inlineStr">
        <is>
          <t>Man/Day</t>
        </is>
      </c>
      <c r="D6" s="276" t="inlineStr">
        <is>
          <t>프로젝트 전체의 작업량을 Man/Day로 표시, 자원수를 적용한 값</t>
        </is>
      </c>
      <c r="E6" s="308" t="n"/>
      <c r="F6" s="308" t="n"/>
      <c r="G6" s="308"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07" t="n">
        <v>249.7</v>
      </c>
      <c r="C9" s="15" t="inlineStr">
        <is>
          <t>Man/Day</t>
        </is>
      </c>
      <c r="D9" s="280" t="inlineStr">
        <is>
          <t>프로젝트 시작일부터 현재일까지의 작업량(현재 날짜까지 진행되었어야 할 작업량) (PV)</t>
        </is>
      </c>
      <c r="E9" s="308" t="n"/>
      <c r="F9" s="308" t="n"/>
      <c r="G9" s="308"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07" t="n">
        <v>59.47</v>
      </c>
      <c r="C12" s="15" t="inlineStr">
        <is>
          <t>Man/Day</t>
        </is>
      </c>
      <c r="D12" s="280" t="inlineStr">
        <is>
          <t>실적기성(프로젝트 전체 작업량 x 실적 진척률) (EV)</t>
        </is>
      </c>
      <c r="E12" s="308" t="n"/>
      <c r="F12" s="308" t="n"/>
      <c r="G12" s="308"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07" t="n"/>
      <c r="C15" s="15" t="inlineStr">
        <is>
          <t>Man/Day</t>
        </is>
      </c>
      <c r="D15" s="275" t="inlineStr">
        <is>
          <t>일정변경 관리할 때 현재까지 실제로 투입된 작업량을 표시함 (AC)</t>
        </is>
      </c>
      <c r="E15" s="308" t="n"/>
      <c r="F15" s="308" t="n"/>
      <c r="G15" s="308"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0.9842333464722113</v>
      </c>
      <c r="D18" s="275" t="inlineStr">
        <is>
          <t>현재날짜까지 계획된 진척률, WBS의 "계획진척률"의 전체 합계 진척률을 표시</t>
        </is>
      </c>
      <c r="E18" s="308" t="n"/>
      <c r="F18" s="308" t="n"/>
      <c r="G18" s="308"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0.2344107213243989</v>
      </c>
      <c r="D21" s="275" t="inlineStr">
        <is>
          <t>현재날짜까지 실제로 진행된 진척률, WBS의 "실적진척률"의 전체 합계 진척률을 표시</t>
        </is>
      </c>
      <c r="E21" s="308" t="n"/>
      <c r="F21" s="308" t="n"/>
      <c r="G21" s="308"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276" t="inlineStr">
        <is>
          <t>양수이면 계획보다 빨리 진행, 음수이면 지연</t>
        </is>
      </c>
      <c r="E24" s="308" t="n"/>
      <c r="F24" s="308" t="n"/>
      <c r="G24" s="308" t="n"/>
    </row>
    <row r="25" ht="12.75" customFormat="1" customHeight="1" s="15">
      <c r="A25" s="50" t="n"/>
      <c r="B25" s="51" t="n"/>
      <c r="C25" s="52" t="n"/>
      <c r="D25" s="53" t="n"/>
      <c r="E25" s="53" t="n"/>
      <c r="F25" s="53" t="n"/>
      <c r="G25" s="53" t="n"/>
    </row>
    <row r="26" customFormat="1" s="56">
      <c r="A26" s="54" t="n"/>
      <c r="B26" s="55" t="n"/>
    </row>
    <row r="27">
      <c r="B27" s="309" t="n"/>
      <c r="G27" s="57" t="n"/>
    </row>
    <row r="28">
      <c r="B28" s="195" t="n"/>
    </row>
    <row r="29">
      <c r="B29" s="60" t="n"/>
    </row>
    <row r="30">
      <c r="B30" s="310"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1">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3" min="1" max="1"/>
    <col width="10" bestFit="1" customWidth="1" style="223" min="2" max="3"/>
    <col width="9.125" customWidth="1" style="223" min="4" max="4"/>
    <col width="9" bestFit="1" customWidth="1" style="223" min="5" max="5"/>
    <col width="9" bestFit="1" customWidth="1" style="224" min="6" max="6"/>
    <col width="9" bestFit="1" customWidth="1" style="223" min="7" max="10"/>
    <col width="9.375" bestFit="1" customWidth="1" style="223" min="11" max="11"/>
    <col width="9" bestFit="1" customWidth="1" style="223" min="12" max="12"/>
    <col width="9.125" customWidth="1" style="223" min="13" max="16384"/>
  </cols>
  <sheetData>
    <row r="1" ht="36.95" customHeight="1">
      <c r="B1" s="225" t="inlineStr">
        <is>
          <t>프로젝트 진척률(주별)</t>
        </is>
      </c>
    </row>
    <row r="2">
      <c r="B2" s="223" t="inlineStr">
        <is>
          <t>* 주별로 프로젝트 진척률을 보여줍니다.</t>
        </is>
      </c>
    </row>
    <row r="3">
      <c r="B3" s="223" t="inlineStr">
        <is>
          <t>* "진척률(주별)" 메뉴를 클릭해야 갱신됨</t>
        </is>
      </c>
    </row>
    <row r="6" ht="60" customHeight="1">
      <c r="B6" s="200" t="inlineStr">
        <is>
          <t>시작일</t>
        </is>
      </c>
      <c r="C6" s="201" t="inlineStr">
        <is>
          <t>완료일</t>
        </is>
      </c>
      <c r="D6" s="201" t="inlineStr">
        <is>
          <t>계획작업량(Man-Day)</t>
        </is>
      </c>
      <c r="E6" s="201" t="inlineStr">
        <is>
          <t>계획작업량 누적(Man-Day)</t>
        </is>
      </c>
      <c r="F6" s="218"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19" t="inlineStr">
        <is>
          <t>실제투입작업량 진척률</t>
        </is>
      </c>
    </row>
    <row r="7">
      <c r="B7" s="226" t="n">
        <v>46086</v>
      </c>
      <c r="C7" s="226" t="n">
        <v>46088</v>
      </c>
      <c r="D7" s="227" t="n">
        <v>4</v>
      </c>
      <c r="E7" s="227" t="n">
        <v>4</v>
      </c>
      <c r="F7" s="230" t="n">
        <v>0.01576665352778873</v>
      </c>
      <c r="G7" s="227" t="n">
        <v>4</v>
      </c>
      <c r="H7" s="227" t="n">
        <v>4</v>
      </c>
      <c r="I7" s="230" t="n">
        <v>0.01576665352778873</v>
      </c>
      <c r="J7" s="227" t="n">
        <v>0</v>
      </c>
      <c r="K7" s="227" t="n">
        <v>0</v>
      </c>
      <c r="L7" s="230" t="n">
        <v>0</v>
      </c>
    </row>
    <row r="8">
      <c r="B8" s="228" t="n">
        <v>46089</v>
      </c>
      <c r="C8" s="228" t="n">
        <v>46095</v>
      </c>
      <c r="D8" s="229" t="n">
        <v>7</v>
      </c>
      <c r="E8" s="229" t="n">
        <v>11</v>
      </c>
      <c r="F8" s="231" t="n">
        <v>0.043358297201419</v>
      </c>
      <c r="G8" s="229" t="n">
        <v>7</v>
      </c>
      <c r="H8" s="229" t="n">
        <v>11</v>
      </c>
      <c r="I8" s="231" t="n">
        <v>0.043358297201419</v>
      </c>
      <c r="J8" s="229" t="n">
        <v>0</v>
      </c>
      <c r="K8" s="229" t="n">
        <v>0</v>
      </c>
      <c r="L8" s="231" t="n">
        <v>0</v>
      </c>
    </row>
    <row r="9">
      <c r="B9" s="228" t="n">
        <v>46096</v>
      </c>
      <c r="C9" s="228" t="n">
        <v>46102</v>
      </c>
      <c r="D9" s="229" t="n">
        <v>8</v>
      </c>
      <c r="E9" s="229" t="n">
        <v>19</v>
      </c>
      <c r="F9" s="231" t="n">
        <v>0.07489160425699645</v>
      </c>
      <c r="G9" s="229" t="n">
        <v>8</v>
      </c>
      <c r="H9" s="229" t="n">
        <v>19</v>
      </c>
      <c r="I9" s="231" t="n">
        <v>0.07489160425699645</v>
      </c>
      <c r="J9" s="229" t="n">
        <v>0</v>
      </c>
      <c r="K9" s="229" t="n">
        <v>0</v>
      </c>
      <c r="L9" s="231" t="n">
        <v>0</v>
      </c>
    </row>
    <row r="10">
      <c r="B10" s="228" t="n">
        <v>46103</v>
      </c>
      <c r="C10" s="228" t="n">
        <v>46109</v>
      </c>
      <c r="D10" s="229" t="n">
        <v>16.4</v>
      </c>
      <c r="E10" s="229" t="n">
        <v>35.4</v>
      </c>
      <c r="F10" s="231" t="n">
        <v>0.1395348837209302</v>
      </c>
      <c r="G10" s="229" t="n">
        <v>15.38</v>
      </c>
      <c r="H10" s="229" t="n">
        <v>34.38</v>
      </c>
      <c r="I10" s="231" t="n">
        <v>0.1355143870713441</v>
      </c>
      <c r="J10" s="229" t="n">
        <v>0</v>
      </c>
      <c r="K10" s="229" t="n">
        <v>0</v>
      </c>
      <c r="L10" s="231" t="n">
        <v>0</v>
      </c>
    </row>
    <row r="11">
      <c r="B11" s="228" t="n">
        <v>46110</v>
      </c>
      <c r="C11" s="228" t="n">
        <v>46116</v>
      </c>
      <c r="D11" s="229" t="n">
        <v>10.9</v>
      </c>
      <c r="E11" s="229" t="n">
        <v>46.3</v>
      </c>
      <c r="F11" s="231" t="n">
        <v>0.1824990145841545</v>
      </c>
      <c r="G11" s="229" t="n">
        <v>12.39</v>
      </c>
      <c r="H11" s="229" t="n">
        <v>46.77</v>
      </c>
      <c r="I11" s="231" t="n">
        <v>0.1843515963736697</v>
      </c>
      <c r="J11" s="229" t="n">
        <v>0</v>
      </c>
      <c r="K11" s="229" t="n">
        <v>0</v>
      </c>
      <c r="L11" s="231" t="n">
        <v>0</v>
      </c>
    </row>
    <row r="12">
      <c r="B12" s="228" t="n">
        <v>46117</v>
      </c>
      <c r="C12" s="228" t="n">
        <v>46123</v>
      </c>
      <c r="D12" s="229" t="n">
        <v>11</v>
      </c>
      <c r="E12" s="229" t="n">
        <v>57.3</v>
      </c>
      <c r="F12" s="231" t="n">
        <v>0.2258573117855735</v>
      </c>
      <c r="G12" s="229" t="n">
        <v>12.7</v>
      </c>
      <c r="H12" s="229" t="n">
        <v>59.47</v>
      </c>
      <c r="I12" s="231" t="n">
        <v>0.2344107213243989</v>
      </c>
      <c r="J12" s="229" t="n">
        <v>0</v>
      </c>
      <c r="K12" s="229" t="n">
        <v>0</v>
      </c>
      <c r="L12" s="231" t="n">
        <v>0</v>
      </c>
    </row>
    <row r="13">
      <c r="B13" s="228" t="n">
        <v>46124</v>
      </c>
      <c r="C13" s="228" t="n">
        <v>46130</v>
      </c>
      <c r="D13" s="229" t="n">
        <v>6</v>
      </c>
      <c r="E13" s="229" t="n">
        <v>63.3</v>
      </c>
      <c r="F13" s="231" t="n">
        <v>0.2495072920772566</v>
      </c>
      <c r="G13" s="229" t="n">
        <v>0</v>
      </c>
      <c r="H13" s="229" t="n">
        <v>59.47</v>
      </c>
      <c r="I13" s="231" t="n">
        <v>0.2344107213243989</v>
      </c>
      <c r="J13" s="229" t="n">
        <v>0</v>
      </c>
      <c r="K13" s="229" t="n">
        <v>0</v>
      </c>
      <c r="L13" s="231" t="n">
        <v>0</v>
      </c>
    </row>
    <row r="14">
      <c r="B14" s="228" t="n">
        <v>46131</v>
      </c>
      <c r="C14" s="228" t="n">
        <v>46137</v>
      </c>
      <c r="D14" s="229" t="n">
        <v>5</v>
      </c>
      <c r="E14" s="229" t="n">
        <v>68.3</v>
      </c>
      <c r="F14" s="231" t="n">
        <v>0.2692156089869925</v>
      </c>
      <c r="G14" s="229" t="n">
        <v>0</v>
      </c>
      <c r="H14" s="229" t="n">
        <v>59.47</v>
      </c>
      <c r="I14" s="231" t="n">
        <v>0.2344107213243989</v>
      </c>
      <c r="J14" s="229" t="n">
        <v>0</v>
      </c>
      <c r="K14" s="229" t="n">
        <v>0</v>
      </c>
      <c r="L14" s="231" t="n">
        <v>0</v>
      </c>
    </row>
    <row r="15">
      <c r="B15" s="228" t="n">
        <v>46138</v>
      </c>
      <c r="C15" s="228" t="n">
        <v>46144</v>
      </c>
      <c r="D15" s="229" t="n">
        <v>3.2</v>
      </c>
      <c r="E15" s="229" t="n">
        <v>71.5</v>
      </c>
      <c r="F15" s="231" t="n">
        <v>0.2818289318092235</v>
      </c>
      <c r="G15" s="229" t="n">
        <v>0</v>
      </c>
      <c r="H15" s="229" t="n">
        <v>59.47</v>
      </c>
      <c r="I15" s="231" t="n">
        <v>0.2344107213243989</v>
      </c>
      <c r="J15" s="229" t="n">
        <v>0</v>
      </c>
      <c r="K15" s="229" t="n">
        <v>0</v>
      </c>
      <c r="L15" s="231" t="n">
        <v>0</v>
      </c>
    </row>
    <row r="16">
      <c r="B16" s="228" t="n">
        <v>46145</v>
      </c>
      <c r="C16" s="228" t="n">
        <v>46151</v>
      </c>
      <c r="D16" s="229" t="n">
        <v>15</v>
      </c>
      <c r="E16" s="229" t="n">
        <v>86.5</v>
      </c>
      <c r="F16" s="231" t="n">
        <v>0.3409538825384312</v>
      </c>
      <c r="G16" s="229" t="n">
        <v>0</v>
      </c>
      <c r="H16" s="229" t="n">
        <v>59.47</v>
      </c>
      <c r="I16" s="231" t="n">
        <v>0.2344107213243989</v>
      </c>
      <c r="J16" s="229" t="n">
        <v>0</v>
      </c>
      <c r="K16" s="229" t="n">
        <v>0</v>
      </c>
      <c r="L16" s="231" t="n">
        <v>0</v>
      </c>
    </row>
    <row r="17">
      <c r="B17" s="228" t="n">
        <v>46152</v>
      </c>
      <c r="C17" s="228" t="n">
        <v>46158</v>
      </c>
      <c r="D17" s="229" t="n">
        <v>15</v>
      </c>
      <c r="E17" s="229" t="n">
        <v>101.5</v>
      </c>
      <c r="F17" s="231" t="n">
        <v>0.400078833267639</v>
      </c>
      <c r="G17" s="229" t="n">
        <v>0</v>
      </c>
      <c r="H17" s="229" t="n">
        <v>59.47</v>
      </c>
      <c r="I17" s="231" t="n">
        <v>0.2344107213243989</v>
      </c>
      <c r="J17" s="229" t="n">
        <v>0</v>
      </c>
      <c r="K17" s="229" t="n">
        <v>0</v>
      </c>
      <c r="L17" s="231" t="n">
        <v>0</v>
      </c>
    </row>
    <row r="18">
      <c r="B18" s="228" t="n">
        <v>46159</v>
      </c>
      <c r="C18" s="228" t="n">
        <v>46165</v>
      </c>
      <c r="D18" s="229" t="n">
        <v>18</v>
      </c>
      <c r="E18" s="229" t="n">
        <v>119.5</v>
      </c>
      <c r="F18" s="231" t="n">
        <v>0.4710287741426882</v>
      </c>
      <c r="G18" s="229" t="n">
        <v>0</v>
      </c>
      <c r="H18" s="229" t="n">
        <v>59.47</v>
      </c>
      <c r="I18" s="231" t="n">
        <v>0.2344107213243989</v>
      </c>
      <c r="J18" s="229" t="n">
        <v>0</v>
      </c>
      <c r="K18" s="229" t="n">
        <v>0</v>
      </c>
      <c r="L18" s="231" t="n">
        <v>0</v>
      </c>
    </row>
    <row r="19">
      <c r="B19" s="228" t="n">
        <v>46166</v>
      </c>
      <c r="C19" s="228" t="n">
        <v>46172</v>
      </c>
      <c r="D19" s="229" t="n">
        <v>16</v>
      </c>
      <c r="E19" s="229" t="n">
        <v>135.5</v>
      </c>
      <c r="F19" s="231" t="n">
        <v>0.5340953882538432</v>
      </c>
      <c r="G19" s="229" t="n">
        <v>0</v>
      </c>
      <c r="H19" s="229" t="n">
        <v>59.47</v>
      </c>
      <c r="I19" s="231" t="n">
        <v>0.2344107213243989</v>
      </c>
      <c r="J19" s="229" t="n">
        <v>0</v>
      </c>
      <c r="K19" s="229" t="n">
        <v>0</v>
      </c>
      <c r="L19" s="231" t="n">
        <v>0</v>
      </c>
    </row>
    <row r="20">
      <c r="B20" s="228" t="n">
        <v>46173</v>
      </c>
      <c r="C20" s="228" t="n">
        <v>46179</v>
      </c>
      <c r="D20" s="229" t="n">
        <v>16.2</v>
      </c>
      <c r="E20" s="229" t="n">
        <v>151.7</v>
      </c>
      <c r="F20" s="231" t="n">
        <v>0.5979503350413874</v>
      </c>
      <c r="G20" s="229" t="n">
        <v>0</v>
      </c>
      <c r="H20" s="229" t="n">
        <v>59.47</v>
      </c>
      <c r="I20" s="231" t="n">
        <v>0.2344107213243989</v>
      </c>
      <c r="J20" s="229" t="n">
        <v>0</v>
      </c>
      <c r="K20" s="229" t="n">
        <v>0</v>
      </c>
      <c r="L20" s="231" t="n">
        <v>0</v>
      </c>
    </row>
    <row r="21">
      <c r="B21" s="228" t="n">
        <v>46180</v>
      </c>
      <c r="C21" s="228" t="n">
        <v>46186</v>
      </c>
      <c r="D21" s="229" t="n">
        <v>20</v>
      </c>
      <c r="E21" s="229" t="n">
        <v>171.7</v>
      </c>
      <c r="F21" s="231" t="n">
        <v>0.6767836026803311</v>
      </c>
      <c r="G21" s="229" t="n">
        <v>0</v>
      </c>
      <c r="H21" s="229" t="n">
        <v>59.47</v>
      </c>
      <c r="I21" s="231" t="n">
        <v>0.2344107213243989</v>
      </c>
      <c r="J21" s="229" t="n">
        <v>0</v>
      </c>
      <c r="K21" s="229" t="n">
        <v>0</v>
      </c>
      <c r="L21" s="231" t="n">
        <v>0</v>
      </c>
    </row>
    <row r="22">
      <c r="B22" s="228" t="n">
        <v>46187</v>
      </c>
      <c r="C22" s="228" t="n">
        <v>46193</v>
      </c>
      <c r="D22" s="229" t="n">
        <v>22</v>
      </c>
      <c r="E22" s="229" t="n">
        <v>193.7</v>
      </c>
      <c r="F22" s="231" t="n">
        <v>0.7635001970831691</v>
      </c>
      <c r="G22" s="229" t="n">
        <v>0</v>
      </c>
      <c r="H22" s="229" t="n">
        <v>59.47</v>
      </c>
      <c r="I22" s="231" t="n">
        <v>0.2344107213243989</v>
      </c>
      <c r="J22" s="229" t="n">
        <v>0</v>
      </c>
      <c r="K22" s="229" t="n">
        <v>0</v>
      </c>
      <c r="L22" s="231" t="n">
        <v>0</v>
      </c>
    </row>
    <row r="23">
      <c r="B23" s="228" t="n">
        <v>46194</v>
      </c>
      <c r="C23" s="228" t="n">
        <v>46200</v>
      </c>
      <c r="D23" s="229" t="n">
        <v>24</v>
      </c>
      <c r="E23" s="229" t="n">
        <v>217.7</v>
      </c>
      <c r="F23" s="231" t="n">
        <v>0.8581001182499014</v>
      </c>
      <c r="G23" s="229" t="n">
        <v>0</v>
      </c>
      <c r="H23" s="229" t="n">
        <v>59.47</v>
      </c>
      <c r="I23" s="231" t="n">
        <v>0.2344107213243989</v>
      </c>
      <c r="J23" s="229" t="n">
        <v>0</v>
      </c>
      <c r="K23" s="229" t="n">
        <v>0</v>
      </c>
      <c r="L23" s="231" t="n">
        <v>0</v>
      </c>
    </row>
    <row r="24">
      <c r="B24" s="228" t="n">
        <v>46201</v>
      </c>
      <c r="C24" s="228" t="n">
        <v>46207</v>
      </c>
      <c r="D24" s="229" t="n">
        <v>8</v>
      </c>
      <c r="E24" s="229" t="n">
        <v>225.7</v>
      </c>
      <c r="F24" s="231" t="n">
        <v>0.889633425305479</v>
      </c>
      <c r="G24" s="229" t="n">
        <v>0</v>
      </c>
      <c r="H24" s="229" t="n">
        <v>59.47</v>
      </c>
      <c r="I24" s="231" t="n">
        <v>0.2344107213243989</v>
      </c>
      <c r="J24" s="229" t="n">
        <v>0</v>
      </c>
      <c r="K24" s="229" t="n">
        <v>0</v>
      </c>
      <c r="L24" s="231" t="n">
        <v>0</v>
      </c>
    </row>
    <row r="25">
      <c r="B25" s="228" t="n">
        <v>46208</v>
      </c>
      <c r="C25" s="228" t="n">
        <v>46214</v>
      </c>
      <c r="D25" s="229" t="n">
        <v>7</v>
      </c>
      <c r="E25" s="229" t="n">
        <v>232.7</v>
      </c>
      <c r="F25" s="231" t="n">
        <v>0.9172250689791092</v>
      </c>
      <c r="G25" s="229" t="n">
        <v>0</v>
      </c>
      <c r="H25" s="229" t="n">
        <v>59.47</v>
      </c>
      <c r="I25" s="231" t="n">
        <v>0.2344107213243989</v>
      </c>
      <c r="J25" s="229" t="n">
        <v>0</v>
      </c>
      <c r="K25" s="229" t="n">
        <v>0</v>
      </c>
      <c r="L25" s="231" t="n">
        <v>0</v>
      </c>
    </row>
    <row r="26">
      <c r="B26" s="228" t="n">
        <v>46215</v>
      </c>
      <c r="C26" s="228" t="n">
        <v>46221</v>
      </c>
      <c r="D26" s="229" t="n">
        <v>5</v>
      </c>
      <c r="E26" s="229" t="n">
        <v>237.7</v>
      </c>
      <c r="F26" s="231" t="n">
        <v>0.9369333858888451</v>
      </c>
      <c r="G26" s="229" t="n">
        <v>0</v>
      </c>
      <c r="H26" s="229" t="n">
        <v>59.47</v>
      </c>
      <c r="I26" s="231" t="n">
        <v>0.2344107213243989</v>
      </c>
      <c r="J26" s="229" t="n">
        <v>0</v>
      </c>
      <c r="K26" s="229" t="n">
        <v>0</v>
      </c>
      <c r="L26" s="231" t="n">
        <v>0</v>
      </c>
    </row>
    <row r="27">
      <c r="B27" s="228" t="n">
        <v>46222</v>
      </c>
      <c r="C27" s="228" t="n">
        <v>46228</v>
      </c>
      <c r="D27" s="229" t="n">
        <v>7</v>
      </c>
      <c r="E27" s="229" t="n">
        <v>244.7</v>
      </c>
      <c r="F27" s="231" t="n">
        <v>0.9645250295624753</v>
      </c>
      <c r="G27" s="229" t="n">
        <v>0</v>
      </c>
      <c r="H27" s="229" t="n">
        <v>59.47</v>
      </c>
      <c r="I27" s="231" t="n">
        <v>0.2344107213243989</v>
      </c>
      <c r="J27" s="229" t="n">
        <v>0</v>
      </c>
      <c r="K27" s="229" t="n">
        <v>0</v>
      </c>
      <c r="L27" s="231" t="n">
        <v>0</v>
      </c>
    </row>
    <row r="28">
      <c r="B28" s="228" t="n">
        <v>46229</v>
      </c>
      <c r="C28" s="228" t="n">
        <v>46235</v>
      </c>
      <c r="D28" s="229" t="n">
        <v>6</v>
      </c>
      <c r="E28" s="229" t="n">
        <v>250.7</v>
      </c>
      <c r="F28" s="231" t="n">
        <v>0.9881750098541584</v>
      </c>
      <c r="G28" s="229" t="n">
        <v>0</v>
      </c>
      <c r="H28" s="229" t="n">
        <v>59.47</v>
      </c>
      <c r="I28" s="231" t="n">
        <v>0.2344107213243989</v>
      </c>
      <c r="J28" s="229" t="n">
        <v>0</v>
      </c>
      <c r="K28" s="229" t="n">
        <v>0</v>
      </c>
      <c r="L28" s="231" t="n">
        <v>0</v>
      </c>
    </row>
    <row r="29">
      <c r="B29" s="228" t="n">
        <v>46236</v>
      </c>
      <c r="C29" s="228" t="n">
        <v>46240</v>
      </c>
      <c r="D29" s="229" t="n">
        <v>3</v>
      </c>
      <c r="E29" s="229" t="n">
        <v>253.7</v>
      </c>
      <c r="F29" s="231" t="n">
        <v>1</v>
      </c>
      <c r="G29" s="229" t="n">
        <v>0</v>
      </c>
      <c r="H29" s="229" t="n">
        <v>59.47</v>
      </c>
      <c r="I29" s="231" t="n">
        <v>0.2344107213243989</v>
      </c>
      <c r="J29" s="229" t="n">
        <v>0</v>
      </c>
      <c r="K29" s="229" t="n">
        <v>0</v>
      </c>
      <c r="L29" s="231"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11" t="n">
        <v>46086</v>
      </c>
      <c r="B2" s="204" t="n">
        <v>10</v>
      </c>
      <c r="C2" s="205" t="n">
        <v>3</v>
      </c>
      <c r="D2" s="205" t="n">
        <v>3</v>
      </c>
      <c r="E2" s="194" t="n">
        <v>0.01182499014584155</v>
      </c>
      <c r="F2" s="205" t="n">
        <v>3</v>
      </c>
      <c r="G2" s="205" t="n">
        <v>3</v>
      </c>
      <c r="H2" s="194" t="n">
        <v>0.01182499014584155</v>
      </c>
      <c r="I2" s="205" t="n">
        <v>0</v>
      </c>
      <c r="J2" s="205" t="n">
        <v>0</v>
      </c>
      <c r="K2" s="194" t="n">
        <v>0</v>
      </c>
    </row>
    <row r="3">
      <c r="A3" s="311" t="n">
        <v>46087</v>
      </c>
      <c r="B3" s="204" t="n">
        <v>10</v>
      </c>
      <c r="C3" s="205" t="n">
        <v>1</v>
      </c>
      <c r="D3" s="205" t="n">
        <v>4</v>
      </c>
      <c r="E3" s="194" t="n">
        <v>0.01576665352778873</v>
      </c>
      <c r="F3" s="205" t="n">
        <v>1</v>
      </c>
      <c r="G3" s="205" t="n">
        <v>4</v>
      </c>
      <c r="H3" s="194" t="n">
        <v>0.01576665352778873</v>
      </c>
      <c r="I3" s="205" t="n">
        <v>0</v>
      </c>
      <c r="J3" s="205" t="n">
        <v>0</v>
      </c>
      <c r="K3" s="194" t="n">
        <v>0</v>
      </c>
    </row>
    <row r="4">
      <c r="A4" s="311" t="n">
        <v>46088</v>
      </c>
      <c r="B4" s="204" t="n">
        <v>10</v>
      </c>
      <c r="C4" s="205" t="n">
        <v>0</v>
      </c>
      <c r="D4" s="205" t="n">
        <v>4</v>
      </c>
      <c r="E4" s="194" t="n">
        <v>0.01576665352778873</v>
      </c>
      <c r="F4" s="205" t="n">
        <v>0</v>
      </c>
      <c r="G4" s="205" t="n">
        <v>4</v>
      </c>
      <c r="H4" s="194" t="n">
        <v>0.01576665352778873</v>
      </c>
      <c r="I4" s="205" t="n">
        <v>0</v>
      </c>
      <c r="J4" s="205" t="n">
        <v>0</v>
      </c>
      <c r="K4" s="194" t="n">
        <v>0</v>
      </c>
    </row>
    <row r="5">
      <c r="A5" s="311" t="n">
        <v>46089</v>
      </c>
      <c r="B5" s="204" t="n">
        <v>11</v>
      </c>
      <c r="C5" s="205" t="n">
        <v>0</v>
      </c>
      <c r="D5" s="205" t="n">
        <v>4</v>
      </c>
      <c r="E5" s="194" t="n">
        <v>0.01576665352778873</v>
      </c>
      <c r="F5" s="205" t="n">
        <v>0</v>
      </c>
      <c r="G5" s="205" t="n">
        <v>4</v>
      </c>
      <c r="H5" s="194" t="n">
        <v>0.01576665352778873</v>
      </c>
      <c r="I5" s="205" t="n">
        <v>0</v>
      </c>
      <c r="J5" s="205" t="n">
        <v>0</v>
      </c>
      <c r="K5" s="194" t="n">
        <v>0</v>
      </c>
    </row>
    <row r="6">
      <c r="A6" s="311" t="n">
        <v>46090</v>
      </c>
      <c r="B6" s="204" t="n">
        <v>11</v>
      </c>
      <c r="C6" s="205" t="n">
        <v>1</v>
      </c>
      <c r="D6" s="205" t="n">
        <v>5</v>
      </c>
      <c r="E6" s="194" t="n">
        <v>0.01970831690973591</v>
      </c>
      <c r="F6" s="205" t="n">
        <v>1</v>
      </c>
      <c r="G6" s="205" t="n">
        <v>5</v>
      </c>
      <c r="H6" s="194" t="n">
        <v>0.01970831690973591</v>
      </c>
      <c r="I6" s="205" t="n">
        <v>0</v>
      </c>
      <c r="J6" s="205" t="n">
        <v>0</v>
      </c>
      <c r="K6" s="194" t="n">
        <v>0</v>
      </c>
    </row>
    <row r="7">
      <c r="A7" s="311" t="n">
        <v>46091</v>
      </c>
      <c r="B7" s="204" t="n">
        <v>11</v>
      </c>
      <c r="C7" s="205" t="n">
        <v>1</v>
      </c>
      <c r="D7" s="205" t="n">
        <v>6</v>
      </c>
      <c r="E7" s="194" t="n">
        <v>0.02364998029168309</v>
      </c>
      <c r="F7" s="205" t="n">
        <v>1</v>
      </c>
      <c r="G7" s="205" t="n">
        <v>6</v>
      </c>
      <c r="H7" s="194" t="n">
        <v>0.02364998029168309</v>
      </c>
      <c r="I7" s="205" t="n">
        <v>0</v>
      </c>
      <c r="J7" s="205" t="n">
        <v>0</v>
      </c>
      <c r="K7" s="194" t="n">
        <v>0</v>
      </c>
    </row>
    <row r="8">
      <c r="A8" s="311" t="n">
        <v>46092</v>
      </c>
      <c r="B8" s="204" t="n">
        <v>11</v>
      </c>
      <c r="C8" s="205" t="n">
        <v>1</v>
      </c>
      <c r="D8" s="205" t="n">
        <v>7</v>
      </c>
      <c r="E8" s="194" t="n">
        <v>0.02759164367363027</v>
      </c>
      <c r="F8" s="205" t="n">
        <v>1</v>
      </c>
      <c r="G8" s="205" t="n">
        <v>7</v>
      </c>
      <c r="H8" s="194" t="n">
        <v>0.02759164367363027</v>
      </c>
      <c r="I8" s="205" t="n">
        <v>0</v>
      </c>
      <c r="J8" s="205" t="n">
        <v>0</v>
      </c>
      <c r="K8" s="194" t="n">
        <v>0</v>
      </c>
    </row>
    <row r="9">
      <c r="A9" s="311" t="n">
        <v>46093</v>
      </c>
      <c r="B9" s="204" t="n">
        <v>11</v>
      </c>
      <c r="C9" s="205" t="n">
        <v>2</v>
      </c>
      <c r="D9" s="205" t="n">
        <v>9</v>
      </c>
      <c r="E9" s="194" t="n">
        <v>0.03547497043752464</v>
      </c>
      <c r="F9" s="205" t="n">
        <v>2</v>
      </c>
      <c r="G9" s="205" t="n">
        <v>9</v>
      </c>
      <c r="H9" s="194" t="n">
        <v>0.03547497043752464</v>
      </c>
      <c r="I9" s="205" t="n">
        <v>0</v>
      </c>
      <c r="J9" s="205" t="n">
        <v>0</v>
      </c>
      <c r="K9" s="194" t="n">
        <v>0</v>
      </c>
    </row>
    <row r="10">
      <c r="A10" s="311" t="n">
        <v>46094</v>
      </c>
      <c r="B10" s="204" t="n">
        <v>11</v>
      </c>
      <c r="C10" s="205" t="n">
        <v>2</v>
      </c>
      <c r="D10" s="205" t="n">
        <v>11</v>
      </c>
      <c r="E10" s="194" t="n">
        <v>0.043358297201419</v>
      </c>
      <c r="F10" s="205" t="n">
        <v>2</v>
      </c>
      <c r="G10" s="205" t="n">
        <v>11</v>
      </c>
      <c r="H10" s="194" t="n">
        <v>0.043358297201419</v>
      </c>
      <c r="I10" s="205" t="n">
        <v>0</v>
      </c>
      <c r="J10" s="205" t="n">
        <v>0</v>
      </c>
      <c r="K10" s="194" t="n">
        <v>0</v>
      </c>
    </row>
    <row r="11">
      <c r="A11" s="311" t="n">
        <v>46095</v>
      </c>
      <c r="B11" s="204" t="n">
        <v>11</v>
      </c>
      <c r="C11" s="205" t="n">
        <v>0</v>
      </c>
      <c r="D11" s="205" t="n">
        <v>11</v>
      </c>
      <c r="E11" s="194" t="n">
        <v>0.043358297201419</v>
      </c>
      <c r="F11" s="205" t="n">
        <v>0</v>
      </c>
      <c r="G11" s="205" t="n">
        <v>11</v>
      </c>
      <c r="H11" s="194" t="n">
        <v>0.043358297201419</v>
      </c>
      <c r="I11" s="205" t="n">
        <v>0</v>
      </c>
      <c r="J11" s="205" t="n">
        <v>0</v>
      </c>
      <c r="K11" s="194" t="n">
        <v>0</v>
      </c>
    </row>
    <row r="12">
      <c r="A12" s="311" t="n">
        <v>46096</v>
      </c>
      <c r="B12" s="204" t="n">
        <v>12</v>
      </c>
      <c r="C12" s="205" t="n">
        <v>0</v>
      </c>
      <c r="D12" s="205" t="n">
        <v>11</v>
      </c>
      <c r="E12" s="194" t="n">
        <v>0.043358297201419</v>
      </c>
      <c r="F12" s="205" t="n">
        <v>0</v>
      </c>
      <c r="G12" s="205" t="n">
        <v>11</v>
      </c>
      <c r="H12" s="194" t="n">
        <v>0.043358297201419</v>
      </c>
      <c r="I12" s="205" t="n">
        <v>0</v>
      </c>
      <c r="J12" s="205" t="n">
        <v>0</v>
      </c>
      <c r="K12" s="194" t="n">
        <v>0</v>
      </c>
    </row>
    <row r="13">
      <c r="A13" s="311" t="n">
        <v>46097</v>
      </c>
      <c r="B13" s="204" t="n">
        <v>12</v>
      </c>
      <c r="C13" s="205" t="n">
        <v>2</v>
      </c>
      <c r="D13" s="205" t="n">
        <v>13</v>
      </c>
      <c r="E13" s="194" t="n">
        <v>0.05124162396531336</v>
      </c>
      <c r="F13" s="205" t="n">
        <v>2</v>
      </c>
      <c r="G13" s="205" t="n">
        <v>13</v>
      </c>
      <c r="H13" s="194" t="n">
        <v>0.05124162396531336</v>
      </c>
      <c r="I13" s="205" t="n">
        <v>0</v>
      </c>
      <c r="J13" s="205" t="n">
        <v>0</v>
      </c>
      <c r="K13" s="194" t="n">
        <v>0</v>
      </c>
    </row>
    <row r="14">
      <c r="A14" s="311" t="n">
        <v>46098</v>
      </c>
      <c r="B14" s="204" t="n">
        <v>12</v>
      </c>
      <c r="C14" s="205" t="n">
        <v>1</v>
      </c>
      <c r="D14" s="205" t="n">
        <v>14</v>
      </c>
      <c r="E14" s="194" t="n">
        <v>0.05518328734726054</v>
      </c>
      <c r="F14" s="205" t="n">
        <v>1</v>
      </c>
      <c r="G14" s="205" t="n">
        <v>14</v>
      </c>
      <c r="H14" s="194" t="n">
        <v>0.05518328734726054</v>
      </c>
      <c r="I14" s="205" t="n">
        <v>0</v>
      </c>
      <c r="J14" s="205" t="n">
        <v>0</v>
      </c>
      <c r="K14" s="194" t="n">
        <v>0</v>
      </c>
    </row>
    <row r="15">
      <c r="A15" s="311" t="n">
        <v>46099</v>
      </c>
      <c r="B15" s="204" t="n">
        <v>12</v>
      </c>
      <c r="C15" s="205" t="n">
        <v>1</v>
      </c>
      <c r="D15" s="205" t="n">
        <v>15</v>
      </c>
      <c r="E15" s="194" t="n">
        <v>0.05912495072920773</v>
      </c>
      <c r="F15" s="205" t="n">
        <v>1</v>
      </c>
      <c r="G15" s="205" t="n">
        <v>15</v>
      </c>
      <c r="H15" s="194" t="n">
        <v>0.05912495072920773</v>
      </c>
      <c r="I15" s="205" t="n">
        <v>0</v>
      </c>
      <c r="J15" s="205" t="n">
        <v>0</v>
      </c>
      <c r="K15" s="194" t="n">
        <v>0</v>
      </c>
    </row>
    <row r="16">
      <c r="A16" s="311" t="n">
        <v>46100</v>
      </c>
      <c r="B16" s="204" t="n">
        <v>12</v>
      </c>
      <c r="C16" s="205" t="n">
        <v>2</v>
      </c>
      <c r="D16" s="205" t="n">
        <v>17</v>
      </c>
      <c r="E16" s="194" t="n">
        <v>0.06700827749310209</v>
      </c>
      <c r="F16" s="205" t="n">
        <v>2</v>
      </c>
      <c r="G16" s="205" t="n">
        <v>17</v>
      </c>
      <c r="H16" s="194" t="n">
        <v>0.06700827749310209</v>
      </c>
      <c r="I16" s="205" t="n">
        <v>0</v>
      </c>
      <c r="J16" s="205" t="n">
        <v>0</v>
      </c>
      <c r="K16" s="194" t="n">
        <v>0</v>
      </c>
    </row>
    <row r="17">
      <c r="A17" s="311" t="n">
        <v>46101</v>
      </c>
      <c r="B17" s="204" t="n">
        <v>12</v>
      </c>
      <c r="C17" s="205" t="n">
        <v>2</v>
      </c>
      <c r="D17" s="205" t="n">
        <v>19</v>
      </c>
      <c r="E17" s="194" t="n">
        <v>0.07489160425699645</v>
      </c>
      <c r="F17" s="205" t="n">
        <v>2</v>
      </c>
      <c r="G17" s="205" t="n">
        <v>19</v>
      </c>
      <c r="H17" s="194" t="n">
        <v>0.07489160425699645</v>
      </c>
      <c r="I17" s="205" t="n">
        <v>0</v>
      </c>
      <c r="J17" s="205" t="n">
        <v>0</v>
      </c>
      <c r="K17" s="194" t="n">
        <v>0</v>
      </c>
    </row>
    <row r="18">
      <c r="A18" s="311" t="n">
        <v>46102</v>
      </c>
      <c r="B18" s="204" t="n">
        <v>12</v>
      </c>
      <c r="C18" s="205" t="n">
        <v>0</v>
      </c>
      <c r="D18" s="205" t="n">
        <v>19</v>
      </c>
      <c r="E18" s="194" t="n">
        <v>0.07489160425699645</v>
      </c>
      <c r="F18" s="205" t="n">
        <v>0</v>
      </c>
      <c r="G18" s="205" t="n">
        <v>19</v>
      </c>
      <c r="H18" s="194" t="n">
        <v>0.07489160425699645</v>
      </c>
      <c r="I18" s="205" t="n">
        <v>0</v>
      </c>
      <c r="J18" s="205" t="n">
        <v>0</v>
      </c>
      <c r="K18" s="194" t="n">
        <v>0</v>
      </c>
    </row>
    <row r="19">
      <c r="A19" s="311" t="n">
        <v>46103</v>
      </c>
      <c r="B19" s="204" t="n">
        <v>13</v>
      </c>
      <c r="C19" s="205" t="n">
        <v>0</v>
      </c>
      <c r="D19" s="205" t="n">
        <v>19</v>
      </c>
      <c r="E19" s="194" t="n">
        <v>0.07489160425699645</v>
      </c>
      <c r="F19" s="205" t="n">
        <v>0</v>
      </c>
      <c r="G19" s="205" t="n">
        <v>19</v>
      </c>
      <c r="H19" s="194" t="n">
        <v>0.07489160425699645</v>
      </c>
      <c r="I19" s="205" t="n">
        <v>0</v>
      </c>
      <c r="J19" s="205" t="n">
        <v>0</v>
      </c>
      <c r="K19" s="194" t="n">
        <v>0</v>
      </c>
    </row>
    <row r="20">
      <c r="A20" s="311" t="n">
        <v>46104</v>
      </c>
      <c r="B20" s="204" t="n">
        <v>13</v>
      </c>
      <c r="C20" s="205" t="n">
        <v>2</v>
      </c>
      <c r="D20" s="205" t="n">
        <v>21</v>
      </c>
      <c r="E20" s="194" t="n">
        <v>0.08277493102089081</v>
      </c>
      <c r="F20" s="205" t="n">
        <v>2</v>
      </c>
      <c r="G20" s="205" t="n">
        <v>21</v>
      </c>
      <c r="H20" s="194" t="n">
        <v>0.08277493102089081</v>
      </c>
      <c r="I20" s="205" t="n">
        <v>0</v>
      </c>
      <c r="J20" s="205" t="n">
        <v>0</v>
      </c>
      <c r="K20" s="194" t="n">
        <v>0</v>
      </c>
    </row>
    <row r="21">
      <c r="A21" s="311" t="n">
        <v>46105</v>
      </c>
      <c r="B21" s="204" t="n">
        <v>13</v>
      </c>
      <c r="C21" s="205" t="n">
        <v>2</v>
      </c>
      <c r="D21" s="205" t="n">
        <v>23</v>
      </c>
      <c r="E21" s="194" t="n">
        <v>0.09065825778478519</v>
      </c>
      <c r="F21" s="205" t="n">
        <v>2</v>
      </c>
      <c r="G21" s="205" t="n">
        <v>23</v>
      </c>
      <c r="H21" s="194" t="n">
        <v>0.09065825778478519</v>
      </c>
      <c r="I21" s="205" t="n">
        <v>0</v>
      </c>
      <c r="J21" s="205" t="n">
        <v>0</v>
      </c>
      <c r="K21" s="194" t="n">
        <v>0</v>
      </c>
    </row>
    <row r="22">
      <c r="A22" s="311" t="n">
        <v>46106</v>
      </c>
      <c r="B22" s="204" t="n">
        <v>13</v>
      </c>
      <c r="C22" s="205" t="n">
        <v>2</v>
      </c>
      <c r="D22" s="205" t="n">
        <v>25</v>
      </c>
      <c r="E22" s="194" t="n">
        <v>0.09854158454867955</v>
      </c>
      <c r="F22" s="205" t="n">
        <v>2</v>
      </c>
      <c r="G22" s="205" t="n">
        <v>25</v>
      </c>
      <c r="H22" s="194" t="n">
        <v>0.09854158454867955</v>
      </c>
      <c r="I22" s="205" t="n">
        <v>0</v>
      </c>
      <c r="J22" s="205" t="n">
        <v>0</v>
      </c>
      <c r="K22" s="194" t="n">
        <v>0</v>
      </c>
    </row>
    <row r="23">
      <c r="A23" s="311" t="n">
        <v>46107</v>
      </c>
      <c r="B23" s="204" t="n">
        <v>13</v>
      </c>
      <c r="C23" s="205" t="n">
        <v>5.7</v>
      </c>
      <c r="D23" s="205" t="n">
        <v>30.7</v>
      </c>
      <c r="E23" s="194" t="n">
        <v>0.1210090658257785</v>
      </c>
      <c r="F23" s="205" t="n">
        <v>5.19</v>
      </c>
      <c r="G23" s="205" t="n">
        <v>30.19</v>
      </c>
      <c r="H23" s="194" t="n">
        <v>0.1189988175009854</v>
      </c>
      <c r="I23" s="205" t="n">
        <v>0</v>
      </c>
      <c r="J23" s="205" t="n">
        <v>0</v>
      </c>
      <c r="K23" s="194" t="n">
        <v>0</v>
      </c>
    </row>
    <row r="24">
      <c r="A24" s="311" t="n">
        <v>46108</v>
      </c>
      <c r="B24" s="204" t="n">
        <v>13</v>
      </c>
      <c r="C24" s="205" t="n">
        <v>4.7</v>
      </c>
      <c r="D24" s="205" t="n">
        <v>35.4</v>
      </c>
      <c r="E24" s="194" t="n">
        <v>0.1395348837209302</v>
      </c>
      <c r="F24" s="205" t="n">
        <v>4.19</v>
      </c>
      <c r="G24" s="205" t="n">
        <v>34.38</v>
      </c>
      <c r="H24" s="194" t="n">
        <v>0.1355143870713441</v>
      </c>
      <c r="I24" s="205" t="n">
        <v>0</v>
      </c>
      <c r="J24" s="205" t="n">
        <v>0</v>
      </c>
      <c r="K24" s="194" t="n">
        <v>0</v>
      </c>
    </row>
    <row r="25">
      <c r="A25" s="311" t="n">
        <v>46109</v>
      </c>
      <c r="B25" s="204" t="n">
        <v>13</v>
      </c>
      <c r="C25" s="205" t="n">
        <v>0</v>
      </c>
      <c r="D25" s="205" t="n">
        <v>35.4</v>
      </c>
      <c r="E25" s="194" t="n">
        <v>0.1395348837209302</v>
      </c>
      <c r="F25" s="205" t="n">
        <v>0</v>
      </c>
      <c r="G25" s="205" t="n">
        <v>34.38</v>
      </c>
      <c r="H25" s="194" t="n">
        <v>0.1355143870713441</v>
      </c>
      <c r="I25" s="205" t="n">
        <v>0</v>
      </c>
      <c r="J25" s="205" t="n">
        <v>0</v>
      </c>
      <c r="K25" s="194" t="n">
        <v>0</v>
      </c>
    </row>
    <row r="26">
      <c r="A26" s="311" t="n">
        <v>46110</v>
      </c>
      <c r="B26" s="204" t="n">
        <v>14</v>
      </c>
      <c r="C26" s="205" t="n">
        <v>0</v>
      </c>
      <c r="D26" s="205" t="n">
        <v>35.4</v>
      </c>
      <c r="E26" s="194" t="n">
        <v>0.1395348837209302</v>
      </c>
      <c r="F26" s="205" t="n">
        <v>0</v>
      </c>
      <c r="G26" s="205" t="n">
        <v>34.38</v>
      </c>
      <c r="H26" s="194" t="n">
        <v>0.1355143870713441</v>
      </c>
      <c r="I26" s="205" t="n">
        <v>0</v>
      </c>
      <c r="J26" s="205" t="n">
        <v>0</v>
      </c>
      <c r="K26" s="194" t="n">
        <v>0</v>
      </c>
    </row>
    <row r="27">
      <c r="A27" s="311" t="n">
        <v>46111</v>
      </c>
      <c r="B27" s="204" t="n">
        <v>14</v>
      </c>
      <c r="C27" s="205" t="n">
        <v>4.7</v>
      </c>
      <c r="D27" s="205" t="n">
        <v>40.1</v>
      </c>
      <c r="E27" s="194" t="n">
        <v>0.158060701616082</v>
      </c>
      <c r="F27" s="205" t="n">
        <v>4.19</v>
      </c>
      <c r="G27" s="205" t="n">
        <v>38.57</v>
      </c>
      <c r="H27" s="194" t="n">
        <v>0.1520299566417028</v>
      </c>
      <c r="I27" s="205" t="n">
        <v>0</v>
      </c>
      <c r="J27" s="205" t="n">
        <v>0</v>
      </c>
      <c r="K27" s="194" t="n">
        <v>0</v>
      </c>
    </row>
    <row r="28">
      <c r="A28" s="311" t="n">
        <v>46112</v>
      </c>
      <c r="B28" s="204" t="n">
        <v>14</v>
      </c>
      <c r="C28" s="205" t="n">
        <v>1</v>
      </c>
      <c r="D28" s="205" t="n">
        <v>41.1</v>
      </c>
      <c r="E28" s="194" t="n">
        <v>0.1620023649980292</v>
      </c>
      <c r="F28" s="205" t="n">
        <v>1</v>
      </c>
      <c r="G28" s="205" t="n">
        <v>39.57</v>
      </c>
      <c r="H28" s="194" t="n">
        <v>0.1559716200236499</v>
      </c>
      <c r="I28" s="205" t="n">
        <v>0</v>
      </c>
      <c r="J28" s="205" t="n">
        <v>0</v>
      </c>
      <c r="K28" s="194" t="n">
        <v>0</v>
      </c>
    </row>
    <row r="29">
      <c r="A29" s="311" t="n">
        <v>46113</v>
      </c>
      <c r="B29" s="204" t="n">
        <v>14</v>
      </c>
      <c r="C29" s="205" t="n">
        <v>1</v>
      </c>
      <c r="D29" s="205" t="n">
        <v>42.1</v>
      </c>
      <c r="E29" s="194" t="n">
        <v>0.1659440283799763</v>
      </c>
      <c r="F29" s="205" t="n">
        <v>1</v>
      </c>
      <c r="G29" s="205" t="n">
        <v>40.57</v>
      </c>
      <c r="H29" s="194" t="n">
        <v>0.1599132834055971</v>
      </c>
      <c r="I29" s="205" t="n">
        <v>0</v>
      </c>
      <c r="J29" s="205" t="n">
        <v>0</v>
      </c>
      <c r="K29" s="194" t="n">
        <v>0</v>
      </c>
    </row>
    <row r="30">
      <c r="A30" s="311" t="n">
        <v>46114</v>
      </c>
      <c r="B30" s="204" t="n">
        <v>14</v>
      </c>
      <c r="C30" s="205" t="n">
        <v>2.2</v>
      </c>
      <c r="D30" s="205" t="n">
        <v>44.3</v>
      </c>
      <c r="E30" s="194" t="n">
        <v>0.1746156878202602</v>
      </c>
      <c r="F30" s="205" t="n">
        <v>3.2</v>
      </c>
      <c r="G30" s="205" t="n">
        <v>43.77</v>
      </c>
      <c r="H30" s="194" t="n">
        <v>0.1725266062278281</v>
      </c>
      <c r="I30" s="205" t="n">
        <v>0</v>
      </c>
      <c r="J30" s="205" t="n">
        <v>0</v>
      </c>
      <c r="K30" s="194" t="n">
        <v>0</v>
      </c>
    </row>
    <row r="31">
      <c r="A31" s="311" t="n">
        <v>46115</v>
      </c>
      <c r="B31" s="204" t="n">
        <v>14</v>
      </c>
      <c r="C31" s="205" t="n">
        <v>2</v>
      </c>
      <c r="D31" s="205" t="n">
        <v>46.3</v>
      </c>
      <c r="E31" s="194" t="n">
        <v>0.1824990145841545</v>
      </c>
      <c r="F31" s="205" t="n">
        <v>3</v>
      </c>
      <c r="G31" s="205" t="n">
        <v>46.77</v>
      </c>
      <c r="H31" s="194" t="n">
        <v>0.1843515963736697</v>
      </c>
      <c r="I31" s="205" t="n">
        <v>0</v>
      </c>
      <c r="J31" s="205" t="n">
        <v>0</v>
      </c>
      <c r="K31" s="194" t="n">
        <v>0</v>
      </c>
    </row>
    <row r="32">
      <c r="A32" s="311" t="n">
        <v>46116</v>
      </c>
      <c r="B32" s="204" t="n">
        <v>14</v>
      </c>
      <c r="C32" s="205" t="n">
        <v>0</v>
      </c>
      <c r="D32" s="205" t="n">
        <v>46.3</v>
      </c>
      <c r="E32" s="194" t="n">
        <v>0.1824990145841545</v>
      </c>
      <c r="F32" s="205" t="n">
        <v>0</v>
      </c>
      <c r="G32" s="205" t="n">
        <v>46.77</v>
      </c>
      <c r="H32" s="194" t="n">
        <v>0.1843515963736697</v>
      </c>
      <c r="I32" s="205" t="n">
        <v>0</v>
      </c>
      <c r="J32" s="205" t="n">
        <v>0</v>
      </c>
      <c r="K32" s="194" t="n">
        <v>0</v>
      </c>
    </row>
    <row r="33">
      <c r="A33" s="311" t="n">
        <v>46117</v>
      </c>
      <c r="B33" s="204" t="n">
        <v>15</v>
      </c>
      <c r="C33" s="205" t="n">
        <v>0</v>
      </c>
      <c r="D33" s="205" t="n">
        <v>46.3</v>
      </c>
      <c r="E33" s="194" t="n">
        <v>0.1824990145841545</v>
      </c>
      <c r="F33" s="205" t="n">
        <v>0</v>
      </c>
      <c r="G33" s="205" t="n">
        <v>46.77</v>
      </c>
      <c r="H33" s="194" t="n">
        <v>0.1843515963736697</v>
      </c>
      <c r="I33" s="205" t="n">
        <v>0</v>
      </c>
      <c r="J33" s="205" t="n">
        <v>0</v>
      </c>
      <c r="K33" s="194" t="n">
        <v>0</v>
      </c>
    </row>
    <row r="34">
      <c r="A34" s="311" t="n">
        <v>46118</v>
      </c>
      <c r="B34" s="204" t="n">
        <v>15</v>
      </c>
      <c r="C34" s="205" t="n">
        <v>3</v>
      </c>
      <c r="D34" s="205" t="n">
        <v>49.3</v>
      </c>
      <c r="E34" s="194" t="n">
        <v>0.1943240047299961</v>
      </c>
      <c r="F34" s="205" t="n">
        <v>3</v>
      </c>
      <c r="G34" s="205" t="n">
        <v>49.77</v>
      </c>
      <c r="H34" s="194" t="n">
        <v>0.1961765865195112</v>
      </c>
      <c r="I34" s="205" t="n">
        <v>0</v>
      </c>
      <c r="J34" s="205" t="n">
        <v>0</v>
      </c>
      <c r="K34" s="194" t="n">
        <v>0</v>
      </c>
    </row>
    <row r="35">
      <c r="A35" s="311" t="n">
        <v>46119</v>
      </c>
      <c r="B35" s="204" t="n">
        <v>15</v>
      </c>
      <c r="C35" s="205" t="n">
        <v>2</v>
      </c>
      <c r="D35" s="205" t="n">
        <v>51.3</v>
      </c>
      <c r="E35" s="194" t="n">
        <v>0.2022073314938904</v>
      </c>
      <c r="F35" s="205" t="n">
        <v>9.699999999999999</v>
      </c>
      <c r="G35" s="205" t="n">
        <v>59.47</v>
      </c>
      <c r="H35" s="194" t="n">
        <v>0.2344107213243989</v>
      </c>
      <c r="I35" s="205" t="n">
        <v>0</v>
      </c>
      <c r="J35" s="205" t="n">
        <v>0</v>
      </c>
      <c r="K35" s="194" t="n">
        <v>0</v>
      </c>
    </row>
    <row r="36">
      <c r="A36" s="311" t="n">
        <v>46120</v>
      </c>
      <c r="B36" s="204" t="n">
        <v>15</v>
      </c>
      <c r="C36" s="205" t="n">
        <v>2</v>
      </c>
      <c r="D36" s="205" t="n">
        <v>53.3</v>
      </c>
      <c r="E36" s="194" t="n">
        <v>0.2100906582577848</v>
      </c>
      <c r="F36" s="205" t="n">
        <v>0</v>
      </c>
      <c r="G36" s="205" t="n">
        <v>59.47</v>
      </c>
      <c r="H36" s="194" t="n">
        <v>0.2344107213243989</v>
      </c>
      <c r="I36" s="205" t="n">
        <v>0</v>
      </c>
      <c r="J36" s="205" t="n">
        <v>0</v>
      </c>
      <c r="K36" s="194" t="n">
        <v>0</v>
      </c>
    </row>
    <row r="37">
      <c r="A37" s="311" t="n">
        <v>46121</v>
      </c>
      <c r="B37" s="204" t="n">
        <v>15</v>
      </c>
      <c r="C37" s="205" t="n">
        <v>2</v>
      </c>
      <c r="D37" s="205" t="n">
        <v>55.3</v>
      </c>
      <c r="E37" s="194" t="n">
        <v>0.2179739850216792</v>
      </c>
      <c r="F37" s="205" t="n">
        <v>0</v>
      </c>
      <c r="G37" s="205" t="n">
        <v>59.47</v>
      </c>
      <c r="H37" s="194" t="n">
        <v>0.2344107213243989</v>
      </c>
      <c r="I37" s="205" t="n">
        <v>0</v>
      </c>
      <c r="J37" s="205" t="n">
        <v>0</v>
      </c>
      <c r="K37" s="194" t="n">
        <v>0</v>
      </c>
    </row>
    <row r="38">
      <c r="A38" s="311" t="n">
        <v>46122</v>
      </c>
      <c r="B38" s="204" t="n">
        <v>15</v>
      </c>
      <c r="C38" s="205" t="n">
        <v>2</v>
      </c>
      <c r="D38" s="205" t="n">
        <v>57.3</v>
      </c>
      <c r="E38" s="194" t="n">
        <v>0.2258573117855735</v>
      </c>
      <c r="F38" s="205" t="n">
        <v>0</v>
      </c>
      <c r="G38" s="205" t="n">
        <v>59.47</v>
      </c>
      <c r="H38" s="194" t="n">
        <v>0.2344107213243989</v>
      </c>
      <c r="I38" s="205" t="n">
        <v>0</v>
      </c>
      <c r="J38" s="205" t="n">
        <v>0</v>
      </c>
      <c r="K38" s="194" t="n">
        <v>0</v>
      </c>
    </row>
    <row r="39">
      <c r="A39" s="311" t="n">
        <v>46123</v>
      </c>
      <c r="B39" s="204" t="n">
        <v>15</v>
      </c>
      <c r="C39" s="205" t="n">
        <v>0</v>
      </c>
      <c r="D39" s="205" t="n">
        <v>57.3</v>
      </c>
      <c r="E39" s="194" t="n">
        <v>0.2258573117855735</v>
      </c>
      <c r="F39" s="205" t="n">
        <v>0</v>
      </c>
      <c r="G39" s="205" t="n">
        <v>59.47</v>
      </c>
      <c r="H39" s="194" t="n">
        <v>0.2344107213243989</v>
      </c>
      <c r="I39" s="205" t="n">
        <v>0</v>
      </c>
      <c r="J39" s="205" t="n">
        <v>0</v>
      </c>
      <c r="K39" s="194" t="n">
        <v>0</v>
      </c>
    </row>
    <row r="40">
      <c r="A40" s="311" t="n">
        <v>46124</v>
      </c>
      <c r="B40" s="204" t="n">
        <v>16</v>
      </c>
      <c r="C40" s="205" t="n">
        <v>0</v>
      </c>
      <c r="D40" s="205" t="n">
        <v>57.3</v>
      </c>
      <c r="E40" s="194" t="n">
        <v>0.2258573117855735</v>
      </c>
      <c r="F40" s="205" t="n">
        <v>0</v>
      </c>
      <c r="G40" s="205" t="n">
        <v>59.47</v>
      </c>
      <c r="H40" s="194" t="n">
        <v>0.2344107213243989</v>
      </c>
      <c r="I40" s="205" t="n">
        <v>0</v>
      </c>
      <c r="J40" s="205" t="n">
        <v>0</v>
      </c>
      <c r="K40" s="194" t="n">
        <v>0</v>
      </c>
    </row>
    <row r="41">
      <c r="A41" s="311" t="n">
        <v>46125</v>
      </c>
      <c r="B41" s="204" t="n">
        <v>16</v>
      </c>
      <c r="C41" s="205" t="n">
        <v>2</v>
      </c>
      <c r="D41" s="205" t="n">
        <v>59.3</v>
      </c>
      <c r="E41" s="194" t="n">
        <v>0.2337406385494679</v>
      </c>
      <c r="F41" s="205" t="n">
        <v>0</v>
      </c>
      <c r="G41" s="205" t="n">
        <v>59.47</v>
      </c>
      <c r="H41" s="194" t="n">
        <v>0.2344107213243989</v>
      </c>
      <c r="I41" s="205" t="n">
        <v>0</v>
      </c>
      <c r="J41" s="205" t="n">
        <v>0</v>
      </c>
      <c r="K41" s="194" t="n">
        <v>0</v>
      </c>
    </row>
    <row r="42">
      <c r="A42" s="311" t="n">
        <v>46126</v>
      </c>
      <c r="B42" s="204" t="n">
        <v>16</v>
      </c>
      <c r="C42" s="205" t="n">
        <v>1</v>
      </c>
      <c r="D42" s="205" t="n">
        <v>60.3</v>
      </c>
      <c r="E42" s="194" t="n">
        <v>0.2376823019314151</v>
      </c>
      <c r="F42" s="205" t="n">
        <v>0</v>
      </c>
      <c r="G42" s="205" t="n">
        <v>59.47</v>
      </c>
      <c r="H42" s="194" t="n">
        <v>0.2344107213243989</v>
      </c>
      <c r="I42" s="205" t="n">
        <v>0</v>
      </c>
      <c r="J42" s="205" t="n">
        <v>0</v>
      </c>
      <c r="K42" s="194" t="n">
        <v>0</v>
      </c>
    </row>
    <row r="43">
      <c r="A43" s="311" t="n">
        <v>46127</v>
      </c>
      <c r="B43" s="204" t="n">
        <v>16</v>
      </c>
      <c r="C43" s="205" t="n">
        <v>1</v>
      </c>
      <c r="D43" s="205" t="n">
        <v>61.3</v>
      </c>
      <c r="E43" s="194" t="n">
        <v>0.2416239653133623</v>
      </c>
      <c r="F43" s="205" t="n">
        <v>0</v>
      </c>
      <c r="G43" s="205" t="n">
        <v>59.47</v>
      </c>
      <c r="H43" s="194" t="n">
        <v>0.2344107213243989</v>
      </c>
      <c r="I43" s="205" t="n">
        <v>0</v>
      </c>
      <c r="J43" s="205" t="n">
        <v>0</v>
      </c>
      <c r="K43" s="194" t="n">
        <v>0</v>
      </c>
    </row>
    <row r="44">
      <c r="A44" s="311" t="n">
        <v>46128</v>
      </c>
      <c r="B44" s="204" t="n">
        <v>16</v>
      </c>
      <c r="C44" s="205" t="n">
        <v>1</v>
      </c>
      <c r="D44" s="205" t="n">
        <v>62.3</v>
      </c>
      <c r="E44" s="194" t="n">
        <v>0.2455656286953095</v>
      </c>
      <c r="F44" s="205" t="n">
        <v>0</v>
      </c>
      <c r="G44" s="205" t="n">
        <v>59.47</v>
      </c>
      <c r="H44" s="194" t="n">
        <v>0.2344107213243989</v>
      </c>
      <c r="I44" s="205" t="n">
        <v>0</v>
      </c>
      <c r="J44" s="205" t="n">
        <v>0</v>
      </c>
      <c r="K44" s="194" t="n">
        <v>0</v>
      </c>
    </row>
    <row r="45">
      <c r="A45" s="311" t="n">
        <v>46129</v>
      </c>
      <c r="B45" s="204" t="n">
        <v>16</v>
      </c>
      <c r="C45" s="205" t="n">
        <v>1</v>
      </c>
      <c r="D45" s="205" t="n">
        <v>63.3</v>
      </c>
      <c r="E45" s="194" t="n">
        <v>0.2495072920772566</v>
      </c>
      <c r="F45" s="205" t="n">
        <v>0</v>
      </c>
      <c r="G45" s="205" t="n">
        <v>59.47</v>
      </c>
      <c r="H45" s="194" t="n">
        <v>0.2344107213243989</v>
      </c>
      <c r="I45" s="205" t="n">
        <v>0</v>
      </c>
      <c r="J45" s="205" t="n">
        <v>0</v>
      </c>
      <c r="K45" s="194" t="n">
        <v>0</v>
      </c>
    </row>
    <row r="46">
      <c r="A46" s="311" t="n">
        <v>46130</v>
      </c>
      <c r="B46" s="204" t="n">
        <v>16</v>
      </c>
      <c r="C46" s="205" t="n">
        <v>0</v>
      </c>
      <c r="D46" s="205" t="n">
        <v>63.3</v>
      </c>
      <c r="E46" s="194" t="n">
        <v>0.2495072920772566</v>
      </c>
      <c r="F46" s="205" t="n">
        <v>0</v>
      </c>
      <c r="G46" s="205" t="n">
        <v>59.47</v>
      </c>
      <c r="H46" s="194" t="n">
        <v>0.2344107213243989</v>
      </c>
      <c r="I46" s="205" t="n">
        <v>0</v>
      </c>
      <c r="J46" s="205" t="n">
        <v>0</v>
      </c>
      <c r="K46" s="194" t="n">
        <v>0</v>
      </c>
    </row>
    <row r="47">
      <c r="A47" s="311" t="n">
        <v>46131</v>
      </c>
      <c r="B47" s="204" t="n">
        <v>17</v>
      </c>
      <c r="C47" s="205" t="n">
        <v>0</v>
      </c>
      <c r="D47" s="205" t="n">
        <v>63.3</v>
      </c>
      <c r="E47" s="194" t="n">
        <v>0.2495072920772566</v>
      </c>
      <c r="F47" s="205" t="n">
        <v>0</v>
      </c>
      <c r="G47" s="205" t="n">
        <v>59.47</v>
      </c>
      <c r="H47" s="194" t="n">
        <v>0.2344107213243989</v>
      </c>
      <c r="I47" s="205" t="n">
        <v>0</v>
      </c>
      <c r="J47" s="205" t="n">
        <v>0</v>
      </c>
      <c r="K47" s="194" t="n">
        <v>0</v>
      </c>
    </row>
    <row r="48">
      <c r="A48" s="311" t="n">
        <v>46132</v>
      </c>
      <c r="B48" s="204" t="n">
        <v>17</v>
      </c>
      <c r="C48" s="205" t="n">
        <v>1</v>
      </c>
      <c r="D48" s="205" t="n">
        <v>64.3</v>
      </c>
      <c r="E48" s="194" t="n">
        <v>0.2534489554592038</v>
      </c>
      <c r="F48" s="205" t="n">
        <v>0</v>
      </c>
      <c r="G48" s="205" t="n">
        <v>59.47</v>
      </c>
      <c r="H48" s="194" t="n">
        <v>0.2344107213243989</v>
      </c>
      <c r="I48" s="205" t="n">
        <v>0</v>
      </c>
      <c r="J48" s="205" t="n">
        <v>0</v>
      </c>
      <c r="K48" s="194" t="n">
        <v>0</v>
      </c>
    </row>
    <row r="49">
      <c r="A49" s="311" t="n">
        <v>46133</v>
      </c>
      <c r="B49" s="204" t="n">
        <v>17</v>
      </c>
      <c r="C49" s="205" t="n">
        <v>1</v>
      </c>
      <c r="D49" s="205" t="n">
        <v>65.3</v>
      </c>
      <c r="E49" s="194" t="n">
        <v>0.257390618841151</v>
      </c>
      <c r="F49" s="205" t="n">
        <v>0</v>
      </c>
      <c r="G49" s="205" t="n">
        <v>59.47</v>
      </c>
      <c r="H49" s="194" t="n">
        <v>0.2344107213243989</v>
      </c>
      <c r="I49" s="205" t="n">
        <v>0</v>
      </c>
      <c r="J49" s="205" t="n">
        <v>0</v>
      </c>
      <c r="K49" s="194" t="n">
        <v>0</v>
      </c>
    </row>
    <row r="50">
      <c r="A50" s="311" t="n">
        <v>46134</v>
      </c>
      <c r="B50" s="204" t="n">
        <v>17</v>
      </c>
      <c r="C50" s="205" t="n">
        <v>1</v>
      </c>
      <c r="D50" s="205" t="n">
        <v>66.3</v>
      </c>
      <c r="E50" s="194" t="n">
        <v>0.2613322822230982</v>
      </c>
      <c r="F50" s="205" t="n">
        <v>0</v>
      </c>
      <c r="G50" s="205" t="n">
        <v>59.47</v>
      </c>
      <c r="H50" s="194" t="n">
        <v>0.2344107213243989</v>
      </c>
      <c r="I50" s="205" t="n">
        <v>0</v>
      </c>
      <c r="J50" s="205" t="n">
        <v>0</v>
      </c>
      <c r="K50" s="194" t="n">
        <v>0</v>
      </c>
    </row>
    <row r="51">
      <c r="A51" s="311" t="n">
        <v>46135</v>
      </c>
      <c r="B51" s="204" t="n">
        <v>17</v>
      </c>
      <c r="C51" s="205" t="n">
        <v>1</v>
      </c>
      <c r="D51" s="205" t="n">
        <v>67.3</v>
      </c>
      <c r="E51" s="194" t="n">
        <v>0.2652739456050454</v>
      </c>
      <c r="F51" s="205" t="n">
        <v>0</v>
      </c>
      <c r="G51" s="205" t="n">
        <v>59.47</v>
      </c>
      <c r="H51" s="194" t="n">
        <v>0.2344107213243989</v>
      </c>
      <c r="I51" s="205" t="n">
        <v>0</v>
      </c>
      <c r="J51" s="205" t="n">
        <v>0</v>
      </c>
      <c r="K51" s="194" t="n">
        <v>0</v>
      </c>
    </row>
    <row r="52">
      <c r="A52" s="311" t="n">
        <v>46136</v>
      </c>
      <c r="B52" s="204" t="n">
        <v>17</v>
      </c>
      <c r="C52" s="205" t="n">
        <v>1</v>
      </c>
      <c r="D52" s="205" t="n">
        <v>68.3</v>
      </c>
      <c r="E52" s="194" t="n">
        <v>0.2692156089869926</v>
      </c>
      <c r="F52" s="205" t="n">
        <v>0</v>
      </c>
      <c r="G52" s="205" t="n">
        <v>59.47</v>
      </c>
      <c r="H52" s="194" t="n">
        <v>0.2344107213243989</v>
      </c>
      <c r="I52" s="205" t="n">
        <v>0</v>
      </c>
      <c r="J52" s="205" t="n">
        <v>0</v>
      </c>
      <c r="K52" s="194" t="n">
        <v>0</v>
      </c>
    </row>
    <row r="53">
      <c r="A53" s="311" t="n">
        <v>46137</v>
      </c>
      <c r="B53" s="204" t="n">
        <v>17</v>
      </c>
      <c r="C53" s="205" t="n">
        <v>0</v>
      </c>
      <c r="D53" s="205" t="n">
        <v>68.3</v>
      </c>
      <c r="E53" s="194" t="n">
        <v>0.2692156089869926</v>
      </c>
      <c r="F53" s="205" t="n">
        <v>0</v>
      </c>
      <c r="G53" s="205" t="n">
        <v>59.47</v>
      </c>
      <c r="H53" s="194" t="n">
        <v>0.2344107213243989</v>
      </c>
      <c r="I53" s="205" t="n">
        <v>0</v>
      </c>
      <c r="J53" s="205" t="n">
        <v>0</v>
      </c>
      <c r="K53" s="194" t="n">
        <v>0</v>
      </c>
    </row>
    <row r="54">
      <c r="A54" s="311" t="n">
        <v>46138</v>
      </c>
      <c r="B54" s="204" t="n">
        <v>18</v>
      </c>
      <c r="C54" s="205" t="n">
        <v>0</v>
      </c>
      <c r="D54" s="205" t="n">
        <v>68.3</v>
      </c>
      <c r="E54" s="194" t="n">
        <v>0.2692156089869926</v>
      </c>
      <c r="F54" s="205" t="n">
        <v>0</v>
      </c>
      <c r="G54" s="205" t="n">
        <v>59.47</v>
      </c>
      <c r="H54" s="194" t="n">
        <v>0.2344107213243989</v>
      </c>
      <c r="I54" s="205" t="n">
        <v>0</v>
      </c>
      <c r="J54" s="205" t="n">
        <v>0</v>
      </c>
      <c r="K54" s="194" t="n">
        <v>0</v>
      </c>
    </row>
    <row r="55">
      <c r="A55" s="311" t="n">
        <v>46139</v>
      </c>
      <c r="B55" s="204" t="n">
        <v>18</v>
      </c>
      <c r="C55" s="205" t="n">
        <v>1</v>
      </c>
      <c r="D55" s="205" t="n">
        <v>69.3</v>
      </c>
      <c r="E55" s="194" t="n">
        <v>0.2731572723689398</v>
      </c>
      <c r="F55" s="205" t="n">
        <v>0</v>
      </c>
      <c r="G55" s="205" t="n">
        <v>59.47</v>
      </c>
      <c r="H55" s="194" t="n">
        <v>0.2344107213243989</v>
      </c>
      <c r="I55" s="205" t="n">
        <v>0</v>
      </c>
      <c r="J55" s="205" t="n">
        <v>0</v>
      </c>
      <c r="K55" s="194" t="n">
        <v>0</v>
      </c>
    </row>
    <row r="56">
      <c r="A56" s="311" t="n">
        <v>46140</v>
      </c>
      <c r="B56" s="204" t="n">
        <v>18</v>
      </c>
      <c r="C56" s="205" t="n">
        <v>0</v>
      </c>
      <c r="D56" s="205" t="n">
        <v>69.3</v>
      </c>
      <c r="E56" s="194" t="n">
        <v>0.2731572723689398</v>
      </c>
      <c r="F56" s="205" t="n">
        <v>0</v>
      </c>
      <c r="G56" s="205" t="n">
        <v>59.47</v>
      </c>
      <c r="H56" s="194" t="n">
        <v>0.2344107213243989</v>
      </c>
      <c r="I56" s="205" t="n">
        <v>0</v>
      </c>
      <c r="J56" s="205" t="n">
        <v>0</v>
      </c>
      <c r="K56" s="194" t="n">
        <v>0</v>
      </c>
    </row>
    <row r="57">
      <c r="A57" s="311" t="n">
        <v>46141</v>
      </c>
      <c r="B57" s="204" t="n">
        <v>18</v>
      </c>
      <c r="C57" s="205" t="n">
        <v>0</v>
      </c>
      <c r="D57" s="205" t="n">
        <v>69.3</v>
      </c>
      <c r="E57" s="194" t="n">
        <v>0.2731572723689398</v>
      </c>
      <c r="F57" s="205" t="n">
        <v>0</v>
      </c>
      <c r="G57" s="205" t="n">
        <v>59.47</v>
      </c>
      <c r="H57" s="194" t="n">
        <v>0.2344107213243989</v>
      </c>
      <c r="I57" s="205" t="n">
        <v>0</v>
      </c>
      <c r="J57" s="205" t="n">
        <v>0</v>
      </c>
      <c r="K57" s="194" t="n">
        <v>0</v>
      </c>
    </row>
    <row r="58">
      <c r="A58" s="311" t="n">
        <v>46142</v>
      </c>
      <c r="B58" s="204" t="n">
        <v>18</v>
      </c>
      <c r="C58" s="205" t="n">
        <v>1.2</v>
      </c>
      <c r="D58" s="205" t="n">
        <v>70.5</v>
      </c>
      <c r="E58" s="194" t="n">
        <v>0.2778872684272764</v>
      </c>
      <c r="F58" s="205" t="n">
        <v>0</v>
      </c>
      <c r="G58" s="205" t="n">
        <v>59.47</v>
      </c>
      <c r="H58" s="194" t="n">
        <v>0.2344107213243989</v>
      </c>
      <c r="I58" s="205" t="n">
        <v>0</v>
      </c>
      <c r="J58" s="205" t="n">
        <v>0</v>
      </c>
      <c r="K58" s="194" t="n">
        <v>0</v>
      </c>
    </row>
    <row r="59">
      <c r="A59" s="311" t="n">
        <v>46143</v>
      </c>
      <c r="B59" s="204" t="n">
        <v>18</v>
      </c>
      <c r="C59" s="205" t="n">
        <v>1</v>
      </c>
      <c r="D59" s="205" t="n">
        <v>71.5</v>
      </c>
      <c r="E59" s="194" t="n">
        <v>0.2818289318092236</v>
      </c>
      <c r="F59" s="205" t="n">
        <v>0</v>
      </c>
      <c r="G59" s="205" t="n">
        <v>59.47</v>
      </c>
      <c r="H59" s="194" t="n">
        <v>0.2344107213243989</v>
      </c>
      <c r="I59" s="205" t="n">
        <v>0</v>
      </c>
      <c r="J59" s="205" t="n">
        <v>0</v>
      </c>
      <c r="K59" s="194" t="n">
        <v>0</v>
      </c>
    </row>
    <row r="60">
      <c r="A60" s="311" t="n">
        <v>46144</v>
      </c>
      <c r="B60" s="204" t="n">
        <v>18</v>
      </c>
      <c r="C60" s="205" t="n">
        <v>0</v>
      </c>
      <c r="D60" s="205" t="n">
        <v>71.5</v>
      </c>
      <c r="E60" s="194" t="n">
        <v>0.2818289318092236</v>
      </c>
      <c r="F60" s="205" t="n">
        <v>0</v>
      </c>
      <c r="G60" s="205" t="n">
        <v>59.47</v>
      </c>
      <c r="H60" s="194" t="n">
        <v>0.2344107213243989</v>
      </c>
      <c r="I60" s="205" t="n">
        <v>0</v>
      </c>
      <c r="J60" s="205" t="n">
        <v>0</v>
      </c>
      <c r="K60" s="194" t="n">
        <v>0</v>
      </c>
    </row>
    <row r="61">
      <c r="A61" s="311" t="n">
        <v>46145</v>
      </c>
      <c r="B61" s="204" t="n">
        <v>19</v>
      </c>
      <c r="C61" s="205" t="n">
        <v>0</v>
      </c>
      <c r="D61" s="205" t="n">
        <v>71.5</v>
      </c>
      <c r="E61" s="194" t="n">
        <v>0.2818289318092236</v>
      </c>
      <c r="F61" s="205" t="n">
        <v>0</v>
      </c>
      <c r="G61" s="205" t="n">
        <v>59.47</v>
      </c>
      <c r="H61" s="194" t="n">
        <v>0.2344107213243989</v>
      </c>
      <c r="I61" s="205" t="n">
        <v>0</v>
      </c>
      <c r="J61" s="205" t="n">
        <v>0</v>
      </c>
      <c r="K61" s="194" t="n">
        <v>0</v>
      </c>
    </row>
    <row r="62">
      <c r="A62" s="311" t="n">
        <v>46146</v>
      </c>
      <c r="B62" s="204" t="n">
        <v>19</v>
      </c>
      <c r="C62" s="205" t="n">
        <v>3</v>
      </c>
      <c r="D62" s="205" t="n">
        <v>74.5</v>
      </c>
      <c r="E62" s="194" t="n">
        <v>0.2936539219550651</v>
      </c>
      <c r="F62" s="205" t="n">
        <v>0</v>
      </c>
      <c r="G62" s="205" t="n">
        <v>59.47</v>
      </c>
      <c r="H62" s="194" t="n">
        <v>0.2344107213243989</v>
      </c>
      <c r="I62" s="205" t="n">
        <v>0</v>
      </c>
      <c r="J62" s="205" t="n">
        <v>0</v>
      </c>
      <c r="K62" s="194" t="n">
        <v>0</v>
      </c>
    </row>
    <row r="63">
      <c r="A63" s="311" t="n">
        <v>46147</v>
      </c>
      <c r="B63" s="204" t="n">
        <v>19</v>
      </c>
      <c r="C63" s="205" t="n">
        <v>0</v>
      </c>
      <c r="D63" s="205" t="n">
        <v>74.5</v>
      </c>
      <c r="E63" s="194" t="n">
        <v>0.2936539219550651</v>
      </c>
      <c r="F63" s="205" t="n">
        <v>0</v>
      </c>
      <c r="G63" s="205" t="n">
        <v>59.47</v>
      </c>
      <c r="H63" s="194" t="n">
        <v>0.2344107213243989</v>
      </c>
      <c r="I63" s="205" t="n">
        <v>0</v>
      </c>
      <c r="J63" s="205" t="n">
        <v>0</v>
      </c>
      <c r="K63" s="194" t="n">
        <v>0</v>
      </c>
    </row>
    <row r="64">
      <c r="A64" s="311" t="n">
        <v>46148</v>
      </c>
      <c r="B64" s="204" t="n">
        <v>19</v>
      </c>
      <c r="C64" s="205" t="n">
        <v>3</v>
      </c>
      <c r="D64" s="205" t="n">
        <v>77.5</v>
      </c>
      <c r="E64" s="194" t="n">
        <v>0.3054789121009067</v>
      </c>
      <c r="F64" s="205" t="n">
        <v>0</v>
      </c>
      <c r="G64" s="205" t="n">
        <v>59.47</v>
      </c>
      <c r="H64" s="194" t="n">
        <v>0.2344107213243989</v>
      </c>
      <c r="I64" s="205" t="n">
        <v>0</v>
      </c>
      <c r="J64" s="205" t="n">
        <v>0</v>
      </c>
      <c r="K64" s="194" t="n">
        <v>0</v>
      </c>
    </row>
    <row r="65">
      <c r="A65" s="311" t="n">
        <v>46149</v>
      </c>
      <c r="B65" s="204" t="n">
        <v>19</v>
      </c>
      <c r="C65" s="205" t="n">
        <v>5</v>
      </c>
      <c r="D65" s="205" t="n">
        <v>82.5</v>
      </c>
      <c r="E65" s="194" t="n">
        <v>0.3251872290106426</v>
      </c>
      <c r="F65" s="205" t="n">
        <v>0</v>
      </c>
      <c r="G65" s="205" t="n">
        <v>59.47</v>
      </c>
      <c r="H65" s="194" t="n">
        <v>0.2344107213243989</v>
      </c>
      <c r="I65" s="205" t="n">
        <v>0</v>
      </c>
      <c r="J65" s="205" t="n">
        <v>0</v>
      </c>
      <c r="K65" s="194" t="n">
        <v>0</v>
      </c>
    </row>
    <row r="66">
      <c r="A66" s="311" t="n">
        <v>46150</v>
      </c>
      <c r="B66" s="204" t="n">
        <v>19</v>
      </c>
      <c r="C66" s="205" t="n">
        <v>4</v>
      </c>
      <c r="D66" s="205" t="n">
        <v>86.5</v>
      </c>
      <c r="E66" s="194" t="n">
        <v>0.3409538825384313</v>
      </c>
      <c r="F66" s="205" t="n">
        <v>0</v>
      </c>
      <c r="G66" s="205" t="n">
        <v>59.47</v>
      </c>
      <c r="H66" s="194" t="n">
        <v>0.2344107213243989</v>
      </c>
      <c r="I66" s="205" t="n">
        <v>0</v>
      </c>
      <c r="J66" s="205" t="n">
        <v>0</v>
      </c>
      <c r="K66" s="194" t="n">
        <v>0</v>
      </c>
    </row>
    <row r="67">
      <c r="A67" s="311" t="n">
        <v>46151</v>
      </c>
      <c r="B67" s="204" t="n">
        <v>19</v>
      </c>
      <c r="C67" s="205" t="n">
        <v>0</v>
      </c>
      <c r="D67" s="205" t="n">
        <v>86.5</v>
      </c>
      <c r="E67" s="194" t="n">
        <v>0.3409538825384313</v>
      </c>
      <c r="F67" s="205" t="n">
        <v>0</v>
      </c>
      <c r="G67" s="205" t="n">
        <v>59.47</v>
      </c>
      <c r="H67" s="194" t="n">
        <v>0.2344107213243989</v>
      </c>
      <c r="I67" s="205" t="n">
        <v>0</v>
      </c>
      <c r="J67" s="205" t="n">
        <v>0</v>
      </c>
      <c r="K67" s="194" t="n">
        <v>0</v>
      </c>
    </row>
    <row r="68">
      <c r="A68" s="311" t="n">
        <v>46152</v>
      </c>
      <c r="B68" s="204" t="n">
        <v>20</v>
      </c>
      <c r="C68" s="205" t="n">
        <v>0</v>
      </c>
      <c r="D68" s="205" t="n">
        <v>86.5</v>
      </c>
      <c r="E68" s="194" t="n">
        <v>0.3409538825384313</v>
      </c>
      <c r="F68" s="205" t="n">
        <v>0</v>
      </c>
      <c r="G68" s="205" t="n">
        <v>59.47</v>
      </c>
      <c r="H68" s="194" t="n">
        <v>0.2344107213243989</v>
      </c>
      <c r="I68" s="205" t="n">
        <v>0</v>
      </c>
      <c r="J68" s="205" t="n">
        <v>0</v>
      </c>
      <c r="K68" s="194" t="n">
        <v>0</v>
      </c>
    </row>
    <row r="69">
      <c r="A69" s="311" t="n">
        <v>46153</v>
      </c>
      <c r="B69" s="204" t="n">
        <v>20</v>
      </c>
      <c r="C69" s="205" t="n">
        <v>3</v>
      </c>
      <c r="D69" s="205" t="n">
        <v>89.5</v>
      </c>
      <c r="E69" s="194" t="n">
        <v>0.3527788726842728</v>
      </c>
      <c r="F69" s="205" t="n">
        <v>0</v>
      </c>
      <c r="G69" s="205" t="n">
        <v>59.47</v>
      </c>
      <c r="H69" s="194" t="n">
        <v>0.2344107213243989</v>
      </c>
      <c r="I69" s="205" t="n">
        <v>0</v>
      </c>
      <c r="J69" s="205" t="n">
        <v>0</v>
      </c>
      <c r="K69" s="194" t="n">
        <v>0</v>
      </c>
    </row>
    <row r="70">
      <c r="A70" s="311" t="n">
        <v>46154</v>
      </c>
      <c r="B70" s="204" t="n">
        <v>20</v>
      </c>
      <c r="C70" s="205" t="n">
        <v>3</v>
      </c>
      <c r="D70" s="205" t="n">
        <v>92.5</v>
      </c>
      <c r="E70" s="194" t="n">
        <v>0.3646038628301144</v>
      </c>
      <c r="F70" s="205" t="n">
        <v>0</v>
      </c>
      <c r="G70" s="205" t="n">
        <v>59.47</v>
      </c>
      <c r="H70" s="194" t="n">
        <v>0.2344107213243989</v>
      </c>
      <c r="I70" s="205" t="n">
        <v>0</v>
      </c>
      <c r="J70" s="205" t="n">
        <v>0</v>
      </c>
      <c r="K70" s="194" t="n">
        <v>0</v>
      </c>
    </row>
    <row r="71">
      <c r="A71" s="311" t="n">
        <v>46155</v>
      </c>
      <c r="B71" s="204" t="n">
        <v>20</v>
      </c>
      <c r="C71" s="205" t="n">
        <v>3</v>
      </c>
      <c r="D71" s="205" t="n">
        <v>95.5</v>
      </c>
      <c r="E71" s="194" t="n">
        <v>0.3764288529759559</v>
      </c>
      <c r="F71" s="205" t="n">
        <v>0</v>
      </c>
      <c r="G71" s="205" t="n">
        <v>59.47</v>
      </c>
      <c r="H71" s="194" t="n">
        <v>0.2344107213243989</v>
      </c>
      <c r="I71" s="205" t="n">
        <v>0</v>
      </c>
      <c r="J71" s="205" t="n">
        <v>0</v>
      </c>
      <c r="K71" s="194" t="n">
        <v>0</v>
      </c>
    </row>
    <row r="72">
      <c r="A72" s="311" t="n">
        <v>46156</v>
      </c>
      <c r="B72" s="204" t="n">
        <v>20</v>
      </c>
      <c r="C72" s="205" t="n">
        <v>3</v>
      </c>
      <c r="D72" s="205" t="n">
        <v>98.5</v>
      </c>
      <c r="E72" s="194" t="n">
        <v>0.3882538431217974</v>
      </c>
      <c r="F72" s="205" t="n">
        <v>0</v>
      </c>
      <c r="G72" s="205" t="n">
        <v>59.47</v>
      </c>
      <c r="H72" s="194" t="n">
        <v>0.2344107213243989</v>
      </c>
      <c r="I72" s="205" t="n">
        <v>0</v>
      </c>
      <c r="J72" s="205" t="n">
        <v>0</v>
      </c>
      <c r="K72" s="194" t="n">
        <v>0</v>
      </c>
    </row>
    <row r="73">
      <c r="A73" s="311" t="n">
        <v>46157</v>
      </c>
      <c r="B73" s="204" t="n">
        <v>20</v>
      </c>
      <c r="C73" s="205" t="n">
        <v>3</v>
      </c>
      <c r="D73" s="205" t="n">
        <v>101.5</v>
      </c>
      <c r="E73" s="194" t="n">
        <v>0.400078833267639</v>
      </c>
      <c r="F73" s="205" t="n">
        <v>0</v>
      </c>
      <c r="G73" s="205" t="n">
        <v>59.47</v>
      </c>
      <c r="H73" s="194" t="n">
        <v>0.2344107213243989</v>
      </c>
      <c r="I73" s="205" t="n">
        <v>0</v>
      </c>
      <c r="J73" s="205" t="n">
        <v>0</v>
      </c>
      <c r="K73" s="194" t="n">
        <v>0</v>
      </c>
    </row>
    <row r="74">
      <c r="A74" s="311" t="n">
        <v>46158</v>
      </c>
      <c r="B74" s="204" t="n">
        <v>20</v>
      </c>
      <c r="C74" s="205" t="n">
        <v>0</v>
      </c>
      <c r="D74" s="205" t="n">
        <v>101.5</v>
      </c>
      <c r="E74" s="194" t="n">
        <v>0.400078833267639</v>
      </c>
      <c r="F74" s="205" t="n">
        <v>0</v>
      </c>
      <c r="G74" s="205" t="n">
        <v>59.47</v>
      </c>
      <c r="H74" s="194" t="n">
        <v>0.2344107213243989</v>
      </c>
      <c r="I74" s="205" t="n">
        <v>0</v>
      </c>
      <c r="J74" s="205" t="n">
        <v>0</v>
      </c>
      <c r="K74" s="194" t="n">
        <v>0</v>
      </c>
    </row>
    <row r="75">
      <c r="A75" s="311" t="n">
        <v>46159</v>
      </c>
      <c r="B75" s="204" t="n">
        <v>21</v>
      </c>
      <c r="C75" s="205" t="n">
        <v>0</v>
      </c>
      <c r="D75" s="205" t="n">
        <v>101.5</v>
      </c>
      <c r="E75" s="194" t="n">
        <v>0.400078833267639</v>
      </c>
      <c r="F75" s="205" t="n">
        <v>0</v>
      </c>
      <c r="G75" s="205" t="n">
        <v>59.47</v>
      </c>
      <c r="H75" s="194" t="n">
        <v>0.2344107213243989</v>
      </c>
      <c r="I75" s="205" t="n">
        <v>0</v>
      </c>
      <c r="J75" s="205" t="n">
        <v>0</v>
      </c>
      <c r="K75" s="194" t="n">
        <v>0</v>
      </c>
    </row>
    <row r="76">
      <c r="A76" s="311" t="n">
        <v>46160</v>
      </c>
      <c r="B76" s="204" t="n">
        <v>21</v>
      </c>
      <c r="C76" s="205" t="n">
        <v>4</v>
      </c>
      <c r="D76" s="205" t="n">
        <v>105.5</v>
      </c>
      <c r="E76" s="194" t="n">
        <v>0.4158454867954278</v>
      </c>
      <c r="F76" s="205" t="n">
        <v>0</v>
      </c>
      <c r="G76" s="205" t="n">
        <v>59.47</v>
      </c>
      <c r="H76" s="194" t="n">
        <v>0.2344107213243989</v>
      </c>
      <c r="I76" s="205" t="n">
        <v>0</v>
      </c>
      <c r="J76" s="205" t="n">
        <v>0</v>
      </c>
      <c r="K76" s="194" t="n">
        <v>0</v>
      </c>
    </row>
    <row r="77">
      <c r="A77" s="311" t="n">
        <v>46161</v>
      </c>
      <c r="B77" s="204" t="n">
        <v>21</v>
      </c>
      <c r="C77" s="205" t="n">
        <v>3</v>
      </c>
      <c r="D77" s="205" t="n">
        <v>108.5</v>
      </c>
      <c r="E77" s="194" t="n">
        <v>0.4276704769412693</v>
      </c>
      <c r="F77" s="205" t="n">
        <v>0</v>
      </c>
      <c r="G77" s="205" t="n">
        <v>59.47</v>
      </c>
      <c r="H77" s="194" t="n">
        <v>0.2344107213243989</v>
      </c>
      <c r="I77" s="205" t="n">
        <v>0</v>
      </c>
      <c r="J77" s="205" t="n">
        <v>0</v>
      </c>
      <c r="K77" s="194" t="n">
        <v>0</v>
      </c>
    </row>
    <row r="78">
      <c r="A78" s="311" t="n">
        <v>46162</v>
      </c>
      <c r="B78" s="204" t="n">
        <v>21</v>
      </c>
      <c r="C78" s="205" t="n">
        <v>3</v>
      </c>
      <c r="D78" s="205" t="n">
        <v>111.5</v>
      </c>
      <c r="E78" s="194" t="n">
        <v>0.4394954670871108</v>
      </c>
      <c r="F78" s="205" t="n">
        <v>0</v>
      </c>
      <c r="G78" s="205" t="n">
        <v>59.47</v>
      </c>
      <c r="H78" s="194" t="n">
        <v>0.2344107213243989</v>
      </c>
      <c r="I78" s="205" t="n">
        <v>0</v>
      </c>
      <c r="J78" s="205" t="n">
        <v>0</v>
      </c>
      <c r="K78" s="194" t="n">
        <v>0</v>
      </c>
    </row>
    <row r="79">
      <c r="A79" s="311" t="n">
        <v>46163</v>
      </c>
      <c r="B79" s="204" t="n">
        <v>21</v>
      </c>
      <c r="C79" s="205" t="n">
        <v>4</v>
      </c>
      <c r="D79" s="205" t="n">
        <v>115.5</v>
      </c>
      <c r="E79" s="194" t="n">
        <v>0.4552621206148996</v>
      </c>
      <c r="F79" s="205" t="n">
        <v>0</v>
      </c>
      <c r="G79" s="205" t="n">
        <v>59.47</v>
      </c>
      <c r="H79" s="194" t="n">
        <v>0.2344107213243989</v>
      </c>
      <c r="I79" s="205" t="n">
        <v>0</v>
      </c>
      <c r="J79" s="205" t="n">
        <v>0</v>
      </c>
      <c r="K79" s="194" t="n">
        <v>0</v>
      </c>
    </row>
    <row r="80">
      <c r="A80" s="311" t="n">
        <v>46164</v>
      </c>
      <c r="B80" s="204" t="n">
        <v>21</v>
      </c>
      <c r="C80" s="205" t="n">
        <v>4</v>
      </c>
      <c r="D80" s="205" t="n">
        <v>119.5</v>
      </c>
      <c r="E80" s="194" t="n">
        <v>0.4710287741426883</v>
      </c>
      <c r="F80" s="205" t="n">
        <v>0</v>
      </c>
      <c r="G80" s="205" t="n">
        <v>59.47</v>
      </c>
      <c r="H80" s="194" t="n">
        <v>0.2344107213243989</v>
      </c>
      <c r="I80" s="205" t="n">
        <v>0</v>
      </c>
      <c r="J80" s="205" t="n">
        <v>0</v>
      </c>
      <c r="K80" s="194" t="n">
        <v>0</v>
      </c>
    </row>
    <row r="81">
      <c r="A81" s="311" t="n">
        <v>46165</v>
      </c>
      <c r="B81" s="204" t="n">
        <v>21</v>
      </c>
      <c r="C81" s="205" t="n">
        <v>0</v>
      </c>
      <c r="D81" s="205" t="n">
        <v>119.5</v>
      </c>
      <c r="E81" s="194" t="n">
        <v>0.4710287741426883</v>
      </c>
      <c r="F81" s="205" t="n">
        <v>0</v>
      </c>
      <c r="G81" s="205" t="n">
        <v>59.47</v>
      </c>
      <c r="H81" s="194" t="n">
        <v>0.2344107213243989</v>
      </c>
      <c r="I81" s="205" t="n">
        <v>0</v>
      </c>
      <c r="J81" s="205" t="n">
        <v>0</v>
      </c>
      <c r="K81" s="194" t="n">
        <v>0</v>
      </c>
    </row>
    <row r="82">
      <c r="A82" s="311" t="n">
        <v>46166</v>
      </c>
      <c r="B82" s="204" t="n">
        <v>22</v>
      </c>
      <c r="C82" s="205" t="n">
        <v>0</v>
      </c>
      <c r="D82" s="205" t="n">
        <v>119.5</v>
      </c>
      <c r="E82" s="194" t="n">
        <v>0.4710287741426883</v>
      </c>
      <c r="F82" s="205" t="n">
        <v>0</v>
      </c>
      <c r="G82" s="205" t="n">
        <v>59.47</v>
      </c>
      <c r="H82" s="194" t="n">
        <v>0.2344107213243989</v>
      </c>
      <c r="I82" s="205" t="n">
        <v>0</v>
      </c>
      <c r="J82" s="205" t="n">
        <v>0</v>
      </c>
      <c r="K82" s="194" t="n">
        <v>0</v>
      </c>
    </row>
    <row r="83">
      <c r="A83" s="311" t="n">
        <v>46167</v>
      </c>
      <c r="B83" s="204" t="n">
        <v>22</v>
      </c>
      <c r="C83" s="205" t="n">
        <v>0</v>
      </c>
      <c r="D83" s="205" t="n">
        <v>119.5</v>
      </c>
      <c r="E83" s="194" t="n">
        <v>0.4710287741426883</v>
      </c>
      <c r="F83" s="205" t="n">
        <v>0</v>
      </c>
      <c r="G83" s="205" t="n">
        <v>59.47</v>
      </c>
      <c r="H83" s="194" t="n">
        <v>0.2344107213243989</v>
      </c>
      <c r="I83" s="205" t="n">
        <v>0</v>
      </c>
      <c r="J83" s="205" t="n">
        <v>0</v>
      </c>
      <c r="K83" s="194" t="n">
        <v>0</v>
      </c>
    </row>
    <row r="84">
      <c r="A84" s="311" t="n">
        <v>46168</v>
      </c>
      <c r="B84" s="204" t="n">
        <v>22</v>
      </c>
      <c r="C84" s="205" t="n">
        <v>4</v>
      </c>
      <c r="D84" s="205" t="n">
        <v>123.5</v>
      </c>
      <c r="E84" s="194" t="n">
        <v>0.486795427670477</v>
      </c>
      <c r="F84" s="205" t="n">
        <v>0</v>
      </c>
      <c r="G84" s="205" t="n">
        <v>59.47</v>
      </c>
      <c r="H84" s="194" t="n">
        <v>0.2344107213243989</v>
      </c>
      <c r="I84" s="205" t="n">
        <v>0</v>
      </c>
      <c r="J84" s="205" t="n">
        <v>0</v>
      </c>
      <c r="K84" s="194" t="n">
        <v>0</v>
      </c>
    </row>
    <row r="85">
      <c r="A85" s="311" t="n">
        <v>46169</v>
      </c>
      <c r="B85" s="204" t="n">
        <v>22</v>
      </c>
      <c r="C85" s="205" t="n">
        <v>4</v>
      </c>
      <c r="D85" s="205" t="n">
        <v>127.5</v>
      </c>
      <c r="E85" s="194" t="n">
        <v>0.5025620811982657</v>
      </c>
      <c r="F85" s="205" t="n">
        <v>0</v>
      </c>
      <c r="G85" s="205" t="n">
        <v>59.47</v>
      </c>
      <c r="H85" s="194" t="n">
        <v>0.2344107213243989</v>
      </c>
      <c r="I85" s="205" t="n">
        <v>0</v>
      </c>
      <c r="J85" s="205" t="n">
        <v>0</v>
      </c>
      <c r="K85" s="194" t="n">
        <v>0</v>
      </c>
    </row>
    <row r="86">
      <c r="A86" s="311" t="n">
        <v>46170</v>
      </c>
      <c r="B86" s="204" t="n">
        <v>22</v>
      </c>
      <c r="C86" s="205" t="n">
        <v>4</v>
      </c>
      <c r="D86" s="205" t="n">
        <v>131.5</v>
      </c>
      <c r="E86" s="194" t="n">
        <v>0.5183287347260545</v>
      </c>
      <c r="F86" s="205" t="n">
        <v>0</v>
      </c>
      <c r="G86" s="205" t="n">
        <v>59.47</v>
      </c>
      <c r="H86" s="194" t="n">
        <v>0.2344107213243989</v>
      </c>
      <c r="I86" s="205" t="n">
        <v>0</v>
      </c>
      <c r="J86" s="205" t="n">
        <v>0</v>
      </c>
      <c r="K86" s="194" t="n">
        <v>0</v>
      </c>
    </row>
    <row r="87">
      <c r="A87" s="311" t="n">
        <v>46171</v>
      </c>
      <c r="B87" s="204" t="n">
        <v>22</v>
      </c>
      <c r="C87" s="205" t="n">
        <v>4</v>
      </c>
      <c r="D87" s="205" t="n">
        <v>135.5</v>
      </c>
      <c r="E87" s="194" t="n">
        <v>0.5340953882538432</v>
      </c>
      <c r="F87" s="205" t="n">
        <v>0</v>
      </c>
      <c r="G87" s="205" t="n">
        <v>59.47</v>
      </c>
      <c r="H87" s="194" t="n">
        <v>0.2344107213243989</v>
      </c>
      <c r="I87" s="205" t="n">
        <v>0</v>
      </c>
      <c r="J87" s="205" t="n">
        <v>0</v>
      </c>
      <c r="K87" s="194" t="n">
        <v>0</v>
      </c>
    </row>
    <row r="88">
      <c r="A88" s="311" t="n">
        <v>46172</v>
      </c>
      <c r="B88" s="204" t="n">
        <v>22</v>
      </c>
      <c r="C88" s="205" t="n">
        <v>0</v>
      </c>
      <c r="D88" s="205" t="n">
        <v>135.5</v>
      </c>
      <c r="E88" s="194" t="n">
        <v>0.5340953882538432</v>
      </c>
      <c r="F88" s="205" t="n">
        <v>0</v>
      </c>
      <c r="G88" s="205" t="n">
        <v>59.47</v>
      </c>
      <c r="H88" s="194" t="n">
        <v>0.2344107213243989</v>
      </c>
      <c r="I88" s="205" t="n">
        <v>0</v>
      </c>
      <c r="J88" s="205" t="n">
        <v>0</v>
      </c>
      <c r="K88" s="194" t="n">
        <v>0</v>
      </c>
    </row>
    <row r="89">
      <c r="A89" s="311" t="n">
        <v>46173</v>
      </c>
      <c r="B89" s="204" t="n">
        <v>23</v>
      </c>
      <c r="C89" s="205" t="n">
        <v>0</v>
      </c>
      <c r="D89" s="205" t="n">
        <v>135.5</v>
      </c>
      <c r="E89" s="194" t="n">
        <v>0.5340953882538432</v>
      </c>
      <c r="F89" s="205" t="n">
        <v>0</v>
      </c>
      <c r="G89" s="205" t="n">
        <v>59.47</v>
      </c>
      <c r="H89" s="194" t="n">
        <v>0.2344107213243989</v>
      </c>
      <c r="I89" s="205" t="n">
        <v>0</v>
      </c>
      <c r="J89" s="205" t="n">
        <v>0</v>
      </c>
      <c r="K89" s="194" t="n">
        <v>0</v>
      </c>
    </row>
    <row r="90">
      <c r="A90" s="311" t="n">
        <v>46174</v>
      </c>
      <c r="B90" s="204" t="n">
        <v>23</v>
      </c>
      <c r="C90" s="205" t="n">
        <v>4</v>
      </c>
      <c r="D90" s="205" t="n">
        <v>139.5</v>
      </c>
      <c r="E90" s="194" t="n">
        <v>0.5498620417816319</v>
      </c>
      <c r="F90" s="205" t="n">
        <v>0</v>
      </c>
      <c r="G90" s="205" t="n">
        <v>59.47</v>
      </c>
      <c r="H90" s="194" t="n">
        <v>0.2344107213243989</v>
      </c>
      <c r="I90" s="205" t="n">
        <v>0</v>
      </c>
      <c r="J90" s="205" t="n">
        <v>0</v>
      </c>
      <c r="K90" s="194" t="n">
        <v>0</v>
      </c>
    </row>
    <row r="91">
      <c r="A91" s="311" t="n">
        <v>46175</v>
      </c>
      <c r="B91" s="204" t="n">
        <v>23</v>
      </c>
      <c r="C91" s="205" t="n">
        <v>4</v>
      </c>
      <c r="D91" s="205" t="n">
        <v>143.5</v>
      </c>
      <c r="E91" s="194" t="n">
        <v>0.5656286953094206</v>
      </c>
      <c r="F91" s="205" t="n">
        <v>0</v>
      </c>
      <c r="G91" s="205" t="n">
        <v>59.47</v>
      </c>
      <c r="H91" s="194" t="n">
        <v>0.2344107213243989</v>
      </c>
      <c r="I91" s="205" t="n">
        <v>0</v>
      </c>
      <c r="J91" s="205" t="n">
        <v>0</v>
      </c>
      <c r="K91" s="194" t="n">
        <v>0</v>
      </c>
    </row>
    <row r="92">
      <c r="A92" s="311" t="n">
        <v>46176</v>
      </c>
      <c r="B92" s="204" t="n">
        <v>23</v>
      </c>
      <c r="C92" s="205" t="n">
        <v>0</v>
      </c>
      <c r="D92" s="205" t="n">
        <v>143.5</v>
      </c>
      <c r="E92" s="194" t="n">
        <v>0.5656286953094206</v>
      </c>
      <c r="F92" s="205" t="n">
        <v>0</v>
      </c>
      <c r="G92" s="205" t="n">
        <v>59.47</v>
      </c>
      <c r="H92" s="194" t="n">
        <v>0.2344107213243989</v>
      </c>
      <c r="I92" s="205" t="n">
        <v>0</v>
      </c>
      <c r="J92" s="205" t="n">
        <v>0</v>
      </c>
      <c r="K92" s="194" t="n">
        <v>0</v>
      </c>
    </row>
    <row r="93">
      <c r="A93" s="311" t="n">
        <v>46177</v>
      </c>
      <c r="B93" s="204" t="n">
        <v>23</v>
      </c>
      <c r="C93" s="205" t="n">
        <v>4.2</v>
      </c>
      <c r="D93" s="205" t="n">
        <v>147.7</v>
      </c>
      <c r="E93" s="194" t="n">
        <v>0.5821836815135987</v>
      </c>
      <c r="F93" s="205" t="n">
        <v>0</v>
      </c>
      <c r="G93" s="205" t="n">
        <v>59.47</v>
      </c>
      <c r="H93" s="194" t="n">
        <v>0.2344107213243989</v>
      </c>
      <c r="I93" s="205" t="n">
        <v>0</v>
      </c>
      <c r="J93" s="205" t="n">
        <v>0</v>
      </c>
      <c r="K93" s="194" t="n">
        <v>0</v>
      </c>
    </row>
    <row r="94">
      <c r="A94" s="311" t="n">
        <v>46178</v>
      </c>
      <c r="B94" s="204" t="n">
        <v>23</v>
      </c>
      <c r="C94" s="205" t="n">
        <v>4</v>
      </c>
      <c r="D94" s="205" t="n">
        <v>151.7</v>
      </c>
      <c r="E94" s="194" t="n">
        <v>0.5979503350413874</v>
      </c>
      <c r="F94" s="205" t="n">
        <v>0</v>
      </c>
      <c r="G94" s="205" t="n">
        <v>59.47</v>
      </c>
      <c r="H94" s="194" t="n">
        <v>0.2344107213243989</v>
      </c>
      <c r="I94" s="205" t="n">
        <v>0</v>
      </c>
      <c r="J94" s="205" t="n">
        <v>0</v>
      </c>
      <c r="K94" s="194" t="n">
        <v>0</v>
      </c>
    </row>
    <row r="95">
      <c r="A95" s="311" t="n">
        <v>46179</v>
      </c>
      <c r="B95" s="204" t="n">
        <v>23</v>
      </c>
      <c r="C95" s="205" t="n">
        <v>0</v>
      </c>
      <c r="D95" s="205" t="n">
        <v>151.7</v>
      </c>
      <c r="E95" s="194" t="n">
        <v>0.5979503350413874</v>
      </c>
      <c r="F95" s="205" t="n">
        <v>0</v>
      </c>
      <c r="G95" s="205" t="n">
        <v>59.47</v>
      </c>
      <c r="H95" s="194" t="n">
        <v>0.2344107213243989</v>
      </c>
      <c r="I95" s="205" t="n">
        <v>0</v>
      </c>
      <c r="J95" s="205" t="n">
        <v>0</v>
      </c>
      <c r="K95" s="194" t="n">
        <v>0</v>
      </c>
    </row>
    <row r="96">
      <c r="A96" s="311" t="n">
        <v>46180</v>
      </c>
      <c r="B96" s="204" t="n">
        <v>24</v>
      </c>
      <c r="C96" s="205" t="n">
        <v>0</v>
      </c>
      <c r="D96" s="205" t="n">
        <v>151.7</v>
      </c>
      <c r="E96" s="194" t="n">
        <v>0.5979503350413874</v>
      </c>
      <c r="F96" s="205" t="n">
        <v>0</v>
      </c>
      <c r="G96" s="205" t="n">
        <v>59.47</v>
      </c>
      <c r="H96" s="194" t="n">
        <v>0.2344107213243989</v>
      </c>
      <c r="I96" s="205" t="n">
        <v>0</v>
      </c>
      <c r="J96" s="205" t="n">
        <v>0</v>
      </c>
      <c r="K96" s="194" t="n">
        <v>0</v>
      </c>
    </row>
    <row r="97">
      <c r="A97" s="311" t="n">
        <v>46181</v>
      </c>
      <c r="B97" s="204" t="n">
        <v>24</v>
      </c>
      <c r="C97" s="205" t="n">
        <v>4</v>
      </c>
      <c r="D97" s="205" t="n">
        <v>155.7</v>
      </c>
      <c r="E97" s="194" t="n">
        <v>0.6137169885691762</v>
      </c>
      <c r="F97" s="205" t="n">
        <v>0</v>
      </c>
      <c r="G97" s="205" t="n">
        <v>59.47</v>
      </c>
      <c r="H97" s="194" t="n">
        <v>0.2344107213243989</v>
      </c>
      <c r="I97" s="205" t="n">
        <v>0</v>
      </c>
      <c r="J97" s="205" t="n">
        <v>0</v>
      </c>
      <c r="K97" s="194" t="n">
        <v>0</v>
      </c>
    </row>
    <row r="98">
      <c r="A98" s="311" t="n">
        <v>46182</v>
      </c>
      <c r="B98" s="204" t="n">
        <v>24</v>
      </c>
      <c r="C98" s="205" t="n">
        <v>4</v>
      </c>
      <c r="D98" s="205" t="n">
        <v>159.7</v>
      </c>
      <c r="E98" s="194" t="n">
        <v>0.6294836420969649</v>
      </c>
      <c r="F98" s="205" t="n">
        <v>0</v>
      </c>
      <c r="G98" s="205" t="n">
        <v>59.47</v>
      </c>
      <c r="H98" s="194" t="n">
        <v>0.2344107213243989</v>
      </c>
      <c r="I98" s="205" t="n">
        <v>0</v>
      </c>
      <c r="J98" s="205" t="n">
        <v>0</v>
      </c>
      <c r="K98" s="194" t="n">
        <v>0</v>
      </c>
    </row>
    <row r="99">
      <c r="A99" s="311" t="n">
        <v>46183</v>
      </c>
      <c r="B99" s="204" t="n">
        <v>24</v>
      </c>
      <c r="C99" s="205" t="n">
        <v>4</v>
      </c>
      <c r="D99" s="205" t="n">
        <v>163.7</v>
      </c>
      <c r="E99" s="194" t="n">
        <v>0.6452502956247537</v>
      </c>
      <c r="F99" s="205" t="n">
        <v>0</v>
      </c>
      <c r="G99" s="205" t="n">
        <v>59.47</v>
      </c>
      <c r="H99" s="194" t="n">
        <v>0.2344107213243989</v>
      </c>
      <c r="I99" s="205" t="n">
        <v>0</v>
      </c>
      <c r="J99" s="205" t="n">
        <v>0</v>
      </c>
      <c r="K99" s="194" t="n">
        <v>0</v>
      </c>
    </row>
    <row r="100">
      <c r="A100" s="311" t="n">
        <v>46184</v>
      </c>
      <c r="B100" s="204" t="n">
        <v>24</v>
      </c>
      <c r="C100" s="205" t="n">
        <v>4</v>
      </c>
      <c r="D100" s="205" t="n">
        <v>167.7</v>
      </c>
      <c r="E100" s="194" t="n">
        <v>0.6610169491525424</v>
      </c>
      <c r="F100" s="205" t="n">
        <v>0</v>
      </c>
      <c r="G100" s="205" t="n">
        <v>59.47</v>
      </c>
      <c r="H100" s="194" t="n">
        <v>0.2344107213243989</v>
      </c>
      <c r="I100" s="205" t="n">
        <v>0</v>
      </c>
      <c r="J100" s="205" t="n">
        <v>0</v>
      </c>
      <c r="K100" s="194" t="n">
        <v>0</v>
      </c>
    </row>
    <row r="101">
      <c r="A101" s="311" t="n">
        <v>46185</v>
      </c>
      <c r="B101" s="204" t="n">
        <v>24</v>
      </c>
      <c r="C101" s="205" t="n">
        <v>4</v>
      </c>
      <c r="D101" s="205" t="n">
        <v>171.7</v>
      </c>
      <c r="E101" s="194" t="n">
        <v>0.6767836026803311</v>
      </c>
      <c r="F101" s="205" t="n">
        <v>0</v>
      </c>
      <c r="G101" s="205" t="n">
        <v>59.47</v>
      </c>
      <c r="H101" s="194" t="n">
        <v>0.2344107213243989</v>
      </c>
      <c r="I101" s="205" t="n">
        <v>0</v>
      </c>
      <c r="J101" s="205" t="n">
        <v>0</v>
      </c>
      <c r="K101" s="194" t="n">
        <v>0</v>
      </c>
    </row>
    <row r="102">
      <c r="A102" s="311" t="n">
        <v>46186</v>
      </c>
      <c r="B102" s="204" t="n">
        <v>24</v>
      </c>
      <c r="C102" s="205" t="n">
        <v>0</v>
      </c>
      <c r="D102" s="205" t="n">
        <v>171.7</v>
      </c>
      <c r="E102" s="194" t="n">
        <v>0.6767836026803311</v>
      </c>
      <c r="F102" s="205" t="n">
        <v>0</v>
      </c>
      <c r="G102" s="205" t="n">
        <v>59.47</v>
      </c>
      <c r="H102" s="194" t="n">
        <v>0.2344107213243989</v>
      </c>
      <c r="I102" s="205" t="n">
        <v>0</v>
      </c>
      <c r="J102" s="205" t="n">
        <v>0</v>
      </c>
      <c r="K102" s="194" t="n">
        <v>0</v>
      </c>
    </row>
    <row r="103">
      <c r="A103" s="311" t="n">
        <v>46187</v>
      </c>
      <c r="B103" s="204" t="n">
        <v>25</v>
      </c>
      <c r="C103" s="205" t="n">
        <v>0</v>
      </c>
      <c r="D103" s="205" t="n">
        <v>171.7</v>
      </c>
      <c r="E103" s="194" t="n">
        <v>0.6767836026803311</v>
      </c>
      <c r="F103" s="205" t="n">
        <v>0</v>
      </c>
      <c r="G103" s="205" t="n">
        <v>59.47</v>
      </c>
      <c r="H103" s="194" t="n">
        <v>0.2344107213243989</v>
      </c>
      <c r="I103" s="205" t="n">
        <v>0</v>
      </c>
      <c r="J103" s="205" t="n">
        <v>0</v>
      </c>
      <c r="K103" s="194" t="n">
        <v>0</v>
      </c>
    </row>
    <row r="104">
      <c r="A104" s="311" t="n">
        <v>46188</v>
      </c>
      <c r="B104" s="204" t="n">
        <v>25</v>
      </c>
      <c r="C104" s="205" t="n">
        <v>4</v>
      </c>
      <c r="D104" s="205" t="n">
        <v>175.7</v>
      </c>
      <c r="E104" s="194" t="n">
        <v>0.6925502562081198</v>
      </c>
      <c r="F104" s="205" t="n">
        <v>0</v>
      </c>
      <c r="G104" s="205" t="n">
        <v>59.47</v>
      </c>
      <c r="H104" s="194" t="n">
        <v>0.2344107213243989</v>
      </c>
      <c r="I104" s="205" t="n">
        <v>0</v>
      </c>
      <c r="J104" s="205" t="n">
        <v>0</v>
      </c>
      <c r="K104" s="194" t="n">
        <v>0</v>
      </c>
    </row>
    <row r="105">
      <c r="A105" s="311" t="n">
        <v>46189</v>
      </c>
      <c r="B105" s="204" t="n">
        <v>25</v>
      </c>
      <c r="C105" s="205" t="n">
        <v>4</v>
      </c>
      <c r="D105" s="205" t="n">
        <v>179.7</v>
      </c>
      <c r="E105" s="194" t="n">
        <v>0.7083169097359086</v>
      </c>
      <c r="F105" s="205" t="n">
        <v>0</v>
      </c>
      <c r="G105" s="205" t="n">
        <v>59.47</v>
      </c>
      <c r="H105" s="194" t="n">
        <v>0.2344107213243989</v>
      </c>
      <c r="I105" s="205" t="n">
        <v>0</v>
      </c>
      <c r="J105" s="205" t="n">
        <v>0</v>
      </c>
      <c r="K105" s="194" t="n">
        <v>0</v>
      </c>
    </row>
    <row r="106">
      <c r="A106" s="311" t="n">
        <v>46190</v>
      </c>
      <c r="B106" s="204" t="n">
        <v>25</v>
      </c>
      <c r="C106" s="205" t="n">
        <v>4</v>
      </c>
      <c r="D106" s="205" t="n">
        <v>183.7</v>
      </c>
      <c r="E106" s="194" t="n">
        <v>0.7240835632636973</v>
      </c>
      <c r="F106" s="205" t="n">
        <v>0</v>
      </c>
      <c r="G106" s="205" t="n">
        <v>59.47</v>
      </c>
      <c r="H106" s="194" t="n">
        <v>0.2344107213243989</v>
      </c>
      <c r="I106" s="205" t="n">
        <v>0</v>
      </c>
      <c r="J106" s="205" t="n">
        <v>0</v>
      </c>
      <c r="K106" s="194" t="n">
        <v>0</v>
      </c>
    </row>
    <row r="107">
      <c r="A107" s="311" t="n">
        <v>46191</v>
      </c>
      <c r="B107" s="204" t="n">
        <v>25</v>
      </c>
      <c r="C107" s="205" t="n">
        <v>5</v>
      </c>
      <c r="D107" s="205" t="n">
        <v>188.7</v>
      </c>
      <c r="E107" s="194" t="n">
        <v>0.7437918801734332</v>
      </c>
      <c r="F107" s="205" t="n">
        <v>0</v>
      </c>
      <c r="G107" s="205" t="n">
        <v>59.47</v>
      </c>
      <c r="H107" s="194" t="n">
        <v>0.2344107213243989</v>
      </c>
      <c r="I107" s="205" t="n">
        <v>0</v>
      </c>
      <c r="J107" s="205" t="n">
        <v>0</v>
      </c>
      <c r="K107" s="194" t="n">
        <v>0</v>
      </c>
    </row>
    <row r="108">
      <c r="A108" s="311" t="n">
        <v>46192</v>
      </c>
      <c r="B108" s="204" t="n">
        <v>25</v>
      </c>
      <c r="C108" s="205" t="n">
        <v>5</v>
      </c>
      <c r="D108" s="205" t="n">
        <v>193.7</v>
      </c>
      <c r="E108" s="194" t="n">
        <v>0.7635001970831691</v>
      </c>
      <c r="F108" s="205" t="n">
        <v>0</v>
      </c>
      <c r="G108" s="205" t="n">
        <v>59.47</v>
      </c>
      <c r="H108" s="194" t="n">
        <v>0.2344107213243989</v>
      </c>
      <c r="I108" s="205" t="n">
        <v>0</v>
      </c>
      <c r="J108" s="205" t="n">
        <v>0</v>
      </c>
      <c r="K108" s="194" t="n">
        <v>0</v>
      </c>
    </row>
    <row r="109">
      <c r="A109" s="311" t="n">
        <v>46193</v>
      </c>
      <c r="B109" s="204" t="n">
        <v>25</v>
      </c>
      <c r="C109" s="205" t="n">
        <v>0</v>
      </c>
      <c r="D109" s="205" t="n">
        <v>193.7</v>
      </c>
      <c r="E109" s="194" t="n">
        <v>0.7635001970831691</v>
      </c>
      <c r="F109" s="205" t="n">
        <v>0</v>
      </c>
      <c r="G109" s="205" t="n">
        <v>59.47</v>
      </c>
      <c r="H109" s="194" t="n">
        <v>0.2344107213243989</v>
      </c>
      <c r="I109" s="205" t="n">
        <v>0</v>
      </c>
      <c r="J109" s="205" t="n">
        <v>0</v>
      </c>
      <c r="K109" s="194" t="n">
        <v>0</v>
      </c>
    </row>
    <row r="110">
      <c r="A110" s="311" t="n">
        <v>46194</v>
      </c>
      <c r="B110" s="204" t="n">
        <v>26</v>
      </c>
      <c r="C110" s="205" t="n">
        <v>0</v>
      </c>
      <c r="D110" s="205" t="n">
        <v>193.7</v>
      </c>
      <c r="E110" s="194" t="n">
        <v>0.7635001970831691</v>
      </c>
      <c r="F110" s="205" t="n">
        <v>0</v>
      </c>
      <c r="G110" s="205" t="n">
        <v>59.47</v>
      </c>
      <c r="H110" s="194" t="n">
        <v>0.2344107213243989</v>
      </c>
      <c r="I110" s="205" t="n">
        <v>0</v>
      </c>
      <c r="J110" s="205" t="n">
        <v>0</v>
      </c>
      <c r="K110" s="194" t="n">
        <v>0</v>
      </c>
    </row>
    <row r="111">
      <c r="A111" s="311" t="n">
        <v>46195</v>
      </c>
      <c r="B111" s="204" t="n">
        <v>26</v>
      </c>
      <c r="C111" s="205" t="n">
        <v>5</v>
      </c>
      <c r="D111" s="205" t="n">
        <v>198.7</v>
      </c>
      <c r="E111" s="194" t="n">
        <v>0.783208513992905</v>
      </c>
      <c r="F111" s="205" t="n">
        <v>0</v>
      </c>
      <c r="G111" s="205" t="n">
        <v>59.47</v>
      </c>
      <c r="H111" s="194" t="n">
        <v>0.2344107213243989</v>
      </c>
      <c r="I111" s="205" t="n">
        <v>0</v>
      </c>
      <c r="J111" s="205" t="n">
        <v>0</v>
      </c>
      <c r="K111" s="194" t="n">
        <v>0</v>
      </c>
    </row>
    <row r="112">
      <c r="A112" s="311" t="n">
        <v>46196</v>
      </c>
      <c r="B112" s="204" t="n">
        <v>26</v>
      </c>
      <c r="C112" s="205" t="n">
        <v>5</v>
      </c>
      <c r="D112" s="205" t="n">
        <v>203.7</v>
      </c>
      <c r="E112" s="194" t="n">
        <v>0.8029168309026409</v>
      </c>
      <c r="F112" s="205" t="n">
        <v>0</v>
      </c>
      <c r="G112" s="205" t="n">
        <v>59.47</v>
      </c>
      <c r="H112" s="194" t="n">
        <v>0.2344107213243989</v>
      </c>
      <c r="I112" s="205" t="n">
        <v>0</v>
      </c>
      <c r="J112" s="205" t="n">
        <v>0</v>
      </c>
      <c r="K112" s="194" t="n">
        <v>0</v>
      </c>
    </row>
    <row r="113">
      <c r="A113" s="311" t="n">
        <v>46197</v>
      </c>
      <c r="B113" s="204" t="n">
        <v>26</v>
      </c>
      <c r="C113" s="205" t="n">
        <v>5</v>
      </c>
      <c r="D113" s="205" t="n">
        <v>208.7</v>
      </c>
      <c r="E113" s="194" t="n">
        <v>0.8226251478123768</v>
      </c>
      <c r="F113" s="205" t="n">
        <v>0</v>
      </c>
      <c r="G113" s="205" t="n">
        <v>59.47</v>
      </c>
      <c r="H113" s="194" t="n">
        <v>0.2344107213243989</v>
      </c>
      <c r="I113" s="205" t="n">
        <v>0</v>
      </c>
      <c r="J113" s="205" t="n">
        <v>0</v>
      </c>
      <c r="K113" s="194" t="n">
        <v>0</v>
      </c>
    </row>
    <row r="114">
      <c r="A114" s="311" t="n">
        <v>46198</v>
      </c>
      <c r="B114" s="204" t="n">
        <v>26</v>
      </c>
      <c r="C114" s="205" t="n">
        <v>5</v>
      </c>
      <c r="D114" s="205" t="n">
        <v>213.7</v>
      </c>
      <c r="E114" s="194" t="n">
        <v>0.8423334647221127</v>
      </c>
      <c r="F114" s="205" t="n">
        <v>0</v>
      </c>
      <c r="G114" s="205" t="n">
        <v>59.47</v>
      </c>
      <c r="H114" s="194" t="n">
        <v>0.2344107213243989</v>
      </c>
      <c r="I114" s="205" t="n">
        <v>0</v>
      </c>
      <c r="J114" s="205" t="n">
        <v>0</v>
      </c>
      <c r="K114" s="194" t="n">
        <v>0</v>
      </c>
    </row>
    <row r="115">
      <c r="A115" s="311" t="n">
        <v>46199</v>
      </c>
      <c r="B115" s="204" t="n">
        <v>26</v>
      </c>
      <c r="C115" s="205" t="n">
        <v>4</v>
      </c>
      <c r="D115" s="205" t="n">
        <v>217.7</v>
      </c>
      <c r="E115" s="194" t="n">
        <v>0.8581001182499014</v>
      </c>
      <c r="F115" s="205" t="n">
        <v>0</v>
      </c>
      <c r="G115" s="205" t="n">
        <v>59.47</v>
      </c>
      <c r="H115" s="194" t="n">
        <v>0.2344107213243989</v>
      </c>
      <c r="I115" s="205" t="n">
        <v>0</v>
      </c>
      <c r="J115" s="205" t="n">
        <v>0</v>
      </c>
      <c r="K115" s="194" t="n">
        <v>0</v>
      </c>
    </row>
    <row r="116">
      <c r="A116" s="311" t="n">
        <v>46200</v>
      </c>
      <c r="B116" s="204" t="n">
        <v>26</v>
      </c>
      <c r="C116" s="205" t="n">
        <v>0</v>
      </c>
      <c r="D116" s="205" t="n">
        <v>217.7</v>
      </c>
      <c r="E116" s="194" t="n">
        <v>0.8581001182499014</v>
      </c>
      <c r="F116" s="205" t="n">
        <v>0</v>
      </c>
      <c r="G116" s="205" t="n">
        <v>59.47</v>
      </c>
      <c r="H116" s="194" t="n">
        <v>0.2344107213243989</v>
      </c>
      <c r="I116" s="205" t="n">
        <v>0</v>
      </c>
      <c r="J116" s="205" t="n">
        <v>0</v>
      </c>
      <c r="K116" s="194" t="n">
        <v>0</v>
      </c>
    </row>
    <row r="117">
      <c r="A117" s="311" t="n">
        <v>46201</v>
      </c>
      <c r="B117" s="204" t="n">
        <v>27</v>
      </c>
      <c r="C117" s="205" t="n">
        <v>0</v>
      </c>
      <c r="D117" s="205" t="n">
        <v>217.7</v>
      </c>
      <c r="E117" s="194" t="n">
        <v>0.8581001182499014</v>
      </c>
      <c r="F117" s="205" t="n">
        <v>0</v>
      </c>
      <c r="G117" s="205" t="n">
        <v>59.47</v>
      </c>
      <c r="H117" s="194" t="n">
        <v>0.2344107213243989</v>
      </c>
      <c r="I117" s="205" t="n">
        <v>0</v>
      </c>
      <c r="J117" s="205" t="n">
        <v>0</v>
      </c>
      <c r="K117" s="194" t="n">
        <v>0</v>
      </c>
    </row>
    <row r="118">
      <c r="A118" s="311" t="n">
        <v>46202</v>
      </c>
      <c r="B118" s="204" t="n">
        <v>27</v>
      </c>
      <c r="C118" s="205" t="n">
        <v>4</v>
      </c>
      <c r="D118" s="205" t="n">
        <v>221.7</v>
      </c>
      <c r="E118" s="194" t="n">
        <v>0.8738667717776902</v>
      </c>
      <c r="F118" s="205" t="n">
        <v>0</v>
      </c>
      <c r="G118" s="205" t="n">
        <v>59.47</v>
      </c>
      <c r="H118" s="194" t="n">
        <v>0.2344107213243989</v>
      </c>
      <c r="I118" s="205" t="n">
        <v>0</v>
      </c>
      <c r="J118" s="205" t="n">
        <v>0</v>
      </c>
      <c r="K118" s="194" t="n">
        <v>0</v>
      </c>
    </row>
    <row r="119">
      <c r="A119" s="311" t="n">
        <v>46203</v>
      </c>
      <c r="B119" s="204" t="n">
        <v>27</v>
      </c>
      <c r="C119" s="205" t="n">
        <v>1</v>
      </c>
      <c r="D119" s="205" t="n">
        <v>222.7</v>
      </c>
      <c r="E119" s="194" t="n">
        <v>0.8778084351596374</v>
      </c>
      <c r="F119" s="205" t="n">
        <v>0</v>
      </c>
      <c r="G119" s="205" t="n">
        <v>59.47</v>
      </c>
      <c r="H119" s="194" t="n">
        <v>0.2344107213243989</v>
      </c>
      <c r="I119" s="205" t="n">
        <v>0</v>
      </c>
      <c r="J119" s="205" t="n">
        <v>0</v>
      </c>
      <c r="K119" s="194" t="n">
        <v>0</v>
      </c>
    </row>
    <row r="120">
      <c r="A120" s="311" t="n">
        <v>46204</v>
      </c>
      <c r="B120" s="204" t="n">
        <v>27</v>
      </c>
      <c r="C120" s="205" t="n">
        <v>1</v>
      </c>
      <c r="D120" s="205" t="n">
        <v>223.7</v>
      </c>
      <c r="E120" s="194" t="n">
        <v>0.8817500985415846</v>
      </c>
      <c r="F120" s="205" t="n">
        <v>0</v>
      </c>
      <c r="G120" s="205" t="n">
        <v>59.47</v>
      </c>
      <c r="H120" s="194" t="n">
        <v>0.2344107213243989</v>
      </c>
      <c r="I120" s="205" t="n">
        <v>0</v>
      </c>
      <c r="J120" s="205" t="n">
        <v>0</v>
      </c>
      <c r="K120" s="194" t="n">
        <v>0</v>
      </c>
    </row>
    <row r="121">
      <c r="A121" s="311" t="n">
        <v>46205</v>
      </c>
      <c r="B121" s="204" t="n">
        <v>27</v>
      </c>
      <c r="C121" s="205" t="n">
        <v>1</v>
      </c>
      <c r="D121" s="205" t="n">
        <v>224.7</v>
      </c>
      <c r="E121" s="194" t="n">
        <v>0.8856917619235317</v>
      </c>
      <c r="F121" s="205" t="n">
        <v>0</v>
      </c>
      <c r="G121" s="205" t="n">
        <v>59.47</v>
      </c>
      <c r="H121" s="194" t="n">
        <v>0.2344107213243989</v>
      </c>
      <c r="I121" s="205" t="n">
        <v>0</v>
      </c>
      <c r="J121" s="205" t="n">
        <v>0</v>
      </c>
      <c r="K121" s="194" t="n">
        <v>0</v>
      </c>
    </row>
    <row r="122">
      <c r="A122" s="311" t="n">
        <v>46206</v>
      </c>
      <c r="B122" s="204" t="n">
        <v>27</v>
      </c>
      <c r="C122" s="205" t="n">
        <v>1</v>
      </c>
      <c r="D122" s="205" t="n">
        <v>225.7</v>
      </c>
      <c r="E122" s="194" t="n">
        <v>0.889633425305479</v>
      </c>
      <c r="F122" s="205" t="n">
        <v>0</v>
      </c>
      <c r="G122" s="205" t="n">
        <v>59.47</v>
      </c>
      <c r="H122" s="194" t="n">
        <v>0.2344107213243989</v>
      </c>
      <c r="I122" s="205" t="n">
        <v>0</v>
      </c>
      <c r="J122" s="205" t="n">
        <v>0</v>
      </c>
      <c r="K122" s="194" t="n">
        <v>0</v>
      </c>
    </row>
    <row r="123">
      <c r="A123" s="311" t="n">
        <v>46207</v>
      </c>
      <c r="B123" s="204" t="n">
        <v>27</v>
      </c>
      <c r="C123" s="205" t="n">
        <v>0</v>
      </c>
      <c r="D123" s="205" t="n">
        <v>225.7</v>
      </c>
      <c r="E123" s="194" t="n">
        <v>0.889633425305479</v>
      </c>
      <c r="F123" s="205" t="n">
        <v>0</v>
      </c>
      <c r="G123" s="205" t="n">
        <v>59.47</v>
      </c>
      <c r="H123" s="194" t="n">
        <v>0.2344107213243989</v>
      </c>
      <c r="I123" s="205" t="n">
        <v>0</v>
      </c>
      <c r="J123" s="205" t="n">
        <v>0</v>
      </c>
      <c r="K123" s="194" t="n">
        <v>0</v>
      </c>
    </row>
    <row r="124">
      <c r="A124" s="311" t="n">
        <v>46208</v>
      </c>
      <c r="B124" s="204" t="n">
        <v>28</v>
      </c>
      <c r="C124" s="205" t="n">
        <v>0</v>
      </c>
      <c r="D124" s="205" t="n">
        <v>225.7</v>
      </c>
      <c r="E124" s="194" t="n">
        <v>0.889633425305479</v>
      </c>
      <c r="F124" s="205" t="n">
        <v>0</v>
      </c>
      <c r="G124" s="205" t="n">
        <v>59.47</v>
      </c>
      <c r="H124" s="194" t="n">
        <v>0.2344107213243989</v>
      </c>
      <c r="I124" s="205" t="n">
        <v>0</v>
      </c>
      <c r="J124" s="205" t="n">
        <v>0</v>
      </c>
      <c r="K124" s="194" t="n">
        <v>0</v>
      </c>
    </row>
    <row r="125">
      <c r="A125" s="311" t="n">
        <v>46209</v>
      </c>
      <c r="B125" s="204" t="n">
        <v>28</v>
      </c>
      <c r="C125" s="205" t="n">
        <v>1</v>
      </c>
      <c r="D125" s="205" t="n">
        <v>226.7</v>
      </c>
      <c r="E125" s="194" t="n">
        <v>0.8935750886874261</v>
      </c>
      <c r="F125" s="205" t="n">
        <v>0</v>
      </c>
      <c r="G125" s="205" t="n">
        <v>59.47</v>
      </c>
      <c r="H125" s="194" t="n">
        <v>0.2344107213243989</v>
      </c>
      <c r="I125" s="205" t="n">
        <v>0</v>
      </c>
      <c r="J125" s="205" t="n">
        <v>0</v>
      </c>
      <c r="K125" s="194" t="n">
        <v>0</v>
      </c>
    </row>
    <row r="126">
      <c r="A126" s="311" t="n">
        <v>46210</v>
      </c>
      <c r="B126" s="204" t="n">
        <v>28</v>
      </c>
      <c r="C126" s="205" t="n">
        <v>0</v>
      </c>
      <c r="D126" s="205" t="n">
        <v>226.7</v>
      </c>
      <c r="E126" s="194" t="n">
        <v>0.8935750886874261</v>
      </c>
      <c r="F126" s="205" t="n">
        <v>0</v>
      </c>
      <c r="G126" s="205" t="n">
        <v>59.47</v>
      </c>
      <c r="H126" s="194" t="n">
        <v>0.2344107213243989</v>
      </c>
      <c r="I126" s="205" t="n">
        <v>0</v>
      </c>
      <c r="J126" s="205" t="n">
        <v>0</v>
      </c>
      <c r="K126" s="194" t="n">
        <v>0</v>
      </c>
    </row>
    <row r="127">
      <c r="A127" s="311" t="n">
        <v>46211</v>
      </c>
      <c r="B127" s="204" t="n">
        <v>28</v>
      </c>
      <c r="C127" s="205" t="n">
        <v>0</v>
      </c>
      <c r="D127" s="205" t="n">
        <v>226.7</v>
      </c>
      <c r="E127" s="194" t="n">
        <v>0.8935750886874261</v>
      </c>
      <c r="F127" s="205" t="n">
        <v>0</v>
      </c>
      <c r="G127" s="205" t="n">
        <v>59.47</v>
      </c>
      <c r="H127" s="194" t="n">
        <v>0.2344107213243989</v>
      </c>
      <c r="I127" s="205" t="n">
        <v>0</v>
      </c>
      <c r="J127" s="205" t="n">
        <v>0</v>
      </c>
      <c r="K127" s="194" t="n">
        <v>0</v>
      </c>
    </row>
    <row r="128">
      <c r="A128" s="311" t="n">
        <v>46212</v>
      </c>
      <c r="B128" s="204" t="n">
        <v>28</v>
      </c>
      <c r="C128" s="205" t="n">
        <v>3</v>
      </c>
      <c r="D128" s="205" t="n">
        <v>229.7</v>
      </c>
      <c r="E128" s="194" t="n">
        <v>0.9054000788332677</v>
      </c>
      <c r="F128" s="205" t="n">
        <v>0</v>
      </c>
      <c r="G128" s="205" t="n">
        <v>59.47</v>
      </c>
      <c r="H128" s="194" t="n">
        <v>0.2344107213243989</v>
      </c>
      <c r="I128" s="205" t="n">
        <v>0</v>
      </c>
      <c r="J128" s="205" t="n">
        <v>0</v>
      </c>
      <c r="K128" s="194" t="n">
        <v>0</v>
      </c>
    </row>
    <row r="129">
      <c r="A129" s="311" t="n">
        <v>46213</v>
      </c>
      <c r="B129" s="204" t="n">
        <v>28</v>
      </c>
      <c r="C129" s="205" t="n">
        <v>3</v>
      </c>
      <c r="D129" s="205" t="n">
        <v>232.7</v>
      </c>
      <c r="E129" s="194" t="n">
        <v>0.9172250689791092</v>
      </c>
      <c r="F129" s="205" t="n">
        <v>0</v>
      </c>
      <c r="G129" s="205" t="n">
        <v>59.47</v>
      </c>
      <c r="H129" s="194" t="n">
        <v>0.2344107213243989</v>
      </c>
      <c r="I129" s="205" t="n">
        <v>0</v>
      </c>
      <c r="J129" s="205" t="n">
        <v>0</v>
      </c>
      <c r="K129" s="194" t="n">
        <v>0</v>
      </c>
    </row>
    <row r="130">
      <c r="A130" s="311" t="n">
        <v>46214</v>
      </c>
      <c r="B130" s="204" t="n">
        <v>28</v>
      </c>
      <c r="C130" s="205" t="n">
        <v>0</v>
      </c>
      <c r="D130" s="205" t="n">
        <v>232.7</v>
      </c>
      <c r="E130" s="194" t="n">
        <v>0.9172250689791092</v>
      </c>
      <c r="F130" s="205" t="n">
        <v>0</v>
      </c>
      <c r="G130" s="205" t="n">
        <v>59.47</v>
      </c>
      <c r="H130" s="194" t="n">
        <v>0.2344107213243989</v>
      </c>
      <c r="I130" s="205" t="n">
        <v>0</v>
      </c>
      <c r="J130" s="205" t="n">
        <v>0</v>
      </c>
      <c r="K130" s="194" t="n">
        <v>0</v>
      </c>
    </row>
    <row r="131">
      <c r="A131" s="311" t="n">
        <v>46215</v>
      </c>
      <c r="B131" s="204" t="n">
        <v>29</v>
      </c>
      <c r="C131" s="205" t="n">
        <v>0</v>
      </c>
      <c r="D131" s="205" t="n">
        <v>232.7</v>
      </c>
      <c r="E131" s="194" t="n">
        <v>0.9172250689791092</v>
      </c>
      <c r="F131" s="205" t="n">
        <v>0</v>
      </c>
      <c r="G131" s="205" t="n">
        <v>59.47</v>
      </c>
      <c r="H131" s="194" t="n">
        <v>0.2344107213243989</v>
      </c>
      <c r="I131" s="205" t="n">
        <v>0</v>
      </c>
      <c r="J131" s="205" t="n">
        <v>0</v>
      </c>
      <c r="K131" s="194" t="n">
        <v>0</v>
      </c>
    </row>
    <row r="132">
      <c r="A132" s="311" t="n">
        <v>46216</v>
      </c>
      <c r="B132" s="204" t="n">
        <v>29</v>
      </c>
      <c r="C132" s="205" t="n">
        <v>3</v>
      </c>
      <c r="D132" s="205" t="n">
        <v>235.7</v>
      </c>
      <c r="E132" s="194" t="n">
        <v>0.9290500591249508</v>
      </c>
      <c r="F132" s="205" t="n">
        <v>0</v>
      </c>
      <c r="G132" s="205" t="n">
        <v>59.47</v>
      </c>
      <c r="H132" s="194" t="n">
        <v>0.2344107213243989</v>
      </c>
      <c r="I132" s="205" t="n">
        <v>0</v>
      </c>
      <c r="J132" s="205" t="n">
        <v>0</v>
      </c>
      <c r="K132" s="194" t="n">
        <v>0</v>
      </c>
    </row>
    <row r="133">
      <c r="A133" s="311" t="n">
        <v>46217</v>
      </c>
      <c r="B133" s="204" t="n">
        <v>29</v>
      </c>
      <c r="C133" s="205" t="n">
        <v>0</v>
      </c>
      <c r="D133" s="205" t="n">
        <v>235.7</v>
      </c>
      <c r="E133" s="194" t="n">
        <v>0.9290500591249508</v>
      </c>
      <c r="F133" s="205" t="n">
        <v>0</v>
      </c>
      <c r="G133" s="205" t="n">
        <v>59.47</v>
      </c>
      <c r="H133" s="194" t="n">
        <v>0.2344107213243989</v>
      </c>
      <c r="I133" s="205" t="n">
        <v>0</v>
      </c>
      <c r="J133" s="205" t="n">
        <v>0</v>
      </c>
      <c r="K133" s="194" t="n">
        <v>0</v>
      </c>
    </row>
    <row r="134">
      <c r="A134" s="311" t="n">
        <v>46218</v>
      </c>
      <c r="B134" s="204" t="n">
        <v>29</v>
      </c>
      <c r="C134" s="205" t="n">
        <v>0</v>
      </c>
      <c r="D134" s="205" t="n">
        <v>235.7</v>
      </c>
      <c r="E134" s="194" t="n">
        <v>0.9290500591249508</v>
      </c>
      <c r="F134" s="205" t="n">
        <v>0</v>
      </c>
      <c r="G134" s="205" t="n">
        <v>59.47</v>
      </c>
      <c r="H134" s="194" t="n">
        <v>0.2344107213243989</v>
      </c>
      <c r="I134" s="205" t="n">
        <v>0</v>
      </c>
      <c r="J134" s="205" t="n">
        <v>0</v>
      </c>
      <c r="K134" s="194" t="n">
        <v>0</v>
      </c>
    </row>
    <row r="135">
      <c r="A135" s="311" t="n">
        <v>46219</v>
      </c>
      <c r="B135" s="204" t="n">
        <v>29</v>
      </c>
      <c r="C135" s="205" t="n">
        <v>2</v>
      </c>
      <c r="D135" s="205" t="n">
        <v>237.7</v>
      </c>
      <c r="E135" s="194" t="n">
        <v>0.9369333858888451</v>
      </c>
      <c r="F135" s="205" t="n">
        <v>0</v>
      </c>
      <c r="G135" s="205" t="n">
        <v>59.47</v>
      </c>
      <c r="H135" s="194" t="n">
        <v>0.2344107213243989</v>
      </c>
      <c r="I135" s="205" t="n">
        <v>0</v>
      </c>
      <c r="J135" s="205" t="n">
        <v>0</v>
      </c>
      <c r="K135" s="194" t="n">
        <v>0</v>
      </c>
    </row>
    <row r="136">
      <c r="A136" s="311" t="n">
        <v>46220</v>
      </c>
      <c r="B136" s="204" t="n">
        <v>29</v>
      </c>
      <c r="C136" s="205" t="n">
        <v>0</v>
      </c>
      <c r="D136" s="205" t="n">
        <v>237.7</v>
      </c>
      <c r="E136" s="194" t="n">
        <v>0.9369333858888451</v>
      </c>
      <c r="F136" s="205" t="n">
        <v>0</v>
      </c>
      <c r="G136" s="205" t="n">
        <v>59.47</v>
      </c>
      <c r="H136" s="194" t="n">
        <v>0.2344107213243989</v>
      </c>
      <c r="I136" s="205" t="n">
        <v>0</v>
      </c>
      <c r="J136" s="205" t="n">
        <v>0</v>
      </c>
      <c r="K136" s="194" t="n">
        <v>0</v>
      </c>
    </row>
    <row r="137">
      <c r="A137" s="311" t="n">
        <v>46221</v>
      </c>
      <c r="B137" s="204" t="n">
        <v>29</v>
      </c>
      <c r="C137" s="205" t="n">
        <v>0</v>
      </c>
      <c r="D137" s="205" t="n">
        <v>237.7</v>
      </c>
      <c r="E137" s="194" t="n">
        <v>0.9369333858888451</v>
      </c>
      <c r="F137" s="205" t="n">
        <v>0</v>
      </c>
      <c r="G137" s="205" t="n">
        <v>59.47</v>
      </c>
      <c r="H137" s="194" t="n">
        <v>0.2344107213243989</v>
      </c>
      <c r="I137" s="205" t="n">
        <v>0</v>
      </c>
      <c r="J137" s="205" t="n">
        <v>0</v>
      </c>
      <c r="K137" s="194" t="n">
        <v>0</v>
      </c>
    </row>
    <row r="138">
      <c r="A138" s="311" t="n">
        <v>46222</v>
      </c>
      <c r="B138" s="204" t="n">
        <v>30</v>
      </c>
      <c r="C138" s="205" t="n">
        <v>0</v>
      </c>
      <c r="D138" s="205" t="n">
        <v>237.7</v>
      </c>
      <c r="E138" s="194" t="n">
        <v>0.9369333858888451</v>
      </c>
      <c r="F138" s="205" t="n">
        <v>0</v>
      </c>
      <c r="G138" s="205" t="n">
        <v>59.47</v>
      </c>
      <c r="H138" s="194" t="n">
        <v>0.2344107213243989</v>
      </c>
      <c r="I138" s="205" t="n">
        <v>0</v>
      </c>
      <c r="J138" s="205" t="n">
        <v>0</v>
      </c>
      <c r="K138" s="194" t="n">
        <v>0</v>
      </c>
    </row>
    <row r="139">
      <c r="A139" s="311" t="n">
        <v>46223</v>
      </c>
      <c r="B139" s="204" t="n">
        <v>30</v>
      </c>
      <c r="C139" s="205" t="n">
        <v>1</v>
      </c>
      <c r="D139" s="205" t="n">
        <v>238.7</v>
      </c>
      <c r="E139" s="194" t="n">
        <v>0.9408750492707922</v>
      </c>
      <c r="F139" s="205" t="n">
        <v>0</v>
      </c>
      <c r="G139" s="205" t="n">
        <v>59.47</v>
      </c>
      <c r="H139" s="194" t="n">
        <v>0.2344107213243989</v>
      </c>
      <c r="I139" s="205" t="n">
        <v>0</v>
      </c>
      <c r="J139" s="205" t="n">
        <v>0</v>
      </c>
      <c r="K139" s="194" t="n">
        <v>0</v>
      </c>
    </row>
    <row r="140">
      <c r="A140" s="311" t="n">
        <v>46224</v>
      </c>
      <c r="B140" s="204" t="n">
        <v>30</v>
      </c>
      <c r="C140" s="205" t="n">
        <v>1</v>
      </c>
      <c r="D140" s="205" t="n">
        <v>239.7</v>
      </c>
      <c r="E140" s="194" t="n">
        <v>0.9448167126527395</v>
      </c>
      <c r="F140" s="205" t="n">
        <v>0</v>
      </c>
      <c r="G140" s="205" t="n">
        <v>59.47</v>
      </c>
      <c r="H140" s="194" t="n">
        <v>0.2344107213243989</v>
      </c>
      <c r="I140" s="205" t="n">
        <v>0</v>
      </c>
      <c r="J140" s="205" t="n">
        <v>0</v>
      </c>
      <c r="K140" s="194" t="n">
        <v>0</v>
      </c>
    </row>
    <row r="141">
      <c r="A141" s="311" t="n">
        <v>46225</v>
      </c>
      <c r="B141" s="204" t="n">
        <v>30</v>
      </c>
      <c r="C141" s="205" t="n">
        <v>1</v>
      </c>
      <c r="D141" s="205" t="n">
        <v>240.7</v>
      </c>
      <c r="E141" s="194" t="n">
        <v>0.9487583760346866</v>
      </c>
      <c r="F141" s="205" t="n">
        <v>0</v>
      </c>
      <c r="G141" s="205" t="n">
        <v>59.47</v>
      </c>
      <c r="H141" s="194" t="n">
        <v>0.2344107213243989</v>
      </c>
      <c r="I141" s="205" t="n">
        <v>0</v>
      </c>
      <c r="J141" s="205" t="n">
        <v>0</v>
      </c>
      <c r="K141" s="194" t="n">
        <v>0</v>
      </c>
    </row>
    <row r="142">
      <c r="A142" s="311" t="n">
        <v>46226</v>
      </c>
      <c r="B142" s="204" t="n">
        <v>30</v>
      </c>
      <c r="C142" s="205" t="n">
        <v>2</v>
      </c>
      <c r="D142" s="205" t="n">
        <v>242.7</v>
      </c>
      <c r="E142" s="194" t="n">
        <v>0.956641702798581</v>
      </c>
      <c r="F142" s="205" t="n">
        <v>0</v>
      </c>
      <c r="G142" s="205" t="n">
        <v>59.47</v>
      </c>
      <c r="H142" s="194" t="n">
        <v>0.2344107213243989</v>
      </c>
      <c r="I142" s="205" t="n">
        <v>0</v>
      </c>
      <c r="J142" s="205" t="n">
        <v>0</v>
      </c>
      <c r="K142" s="194" t="n">
        <v>0</v>
      </c>
    </row>
    <row r="143">
      <c r="A143" s="311" t="n">
        <v>46227</v>
      </c>
      <c r="B143" s="204" t="n">
        <v>30</v>
      </c>
      <c r="C143" s="205" t="n">
        <v>2</v>
      </c>
      <c r="D143" s="205" t="n">
        <v>244.7</v>
      </c>
      <c r="E143" s="194" t="n">
        <v>0.9645250295624753</v>
      </c>
      <c r="F143" s="205" t="n">
        <v>0</v>
      </c>
      <c r="G143" s="205" t="n">
        <v>59.47</v>
      </c>
      <c r="H143" s="194" t="n">
        <v>0.2344107213243989</v>
      </c>
      <c r="I143" s="205" t="n">
        <v>0</v>
      </c>
      <c r="J143" s="205" t="n">
        <v>0</v>
      </c>
      <c r="K143" s="194" t="n">
        <v>0</v>
      </c>
    </row>
    <row r="144">
      <c r="A144" s="311" t="n">
        <v>46228</v>
      </c>
      <c r="B144" s="204" t="n">
        <v>30</v>
      </c>
      <c r="C144" s="205" t="n">
        <v>0</v>
      </c>
      <c r="D144" s="205" t="n">
        <v>244.7</v>
      </c>
      <c r="E144" s="194" t="n">
        <v>0.9645250295624753</v>
      </c>
      <c r="F144" s="205" t="n">
        <v>0</v>
      </c>
      <c r="G144" s="205" t="n">
        <v>59.47</v>
      </c>
      <c r="H144" s="194" t="n">
        <v>0.2344107213243989</v>
      </c>
      <c r="I144" s="205" t="n">
        <v>0</v>
      </c>
      <c r="J144" s="205" t="n">
        <v>0</v>
      </c>
      <c r="K144" s="194" t="n">
        <v>0</v>
      </c>
    </row>
    <row r="145">
      <c r="A145" s="311" t="n">
        <v>46229</v>
      </c>
      <c r="B145" s="204" t="n">
        <v>31</v>
      </c>
      <c r="C145" s="205" t="n">
        <v>0</v>
      </c>
      <c r="D145" s="205" t="n">
        <v>244.7</v>
      </c>
      <c r="E145" s="194" t="n">
        <v>0.9645250295624753</v>
      </c>
      <c r="F145" s="205" t="n">
        <v>0</v>
      </c>
      <c r="G145" s="205" t="n">
        <v>59.47</v>
      </c>
      <c r="H145" s="194" t="n">
        <v>0.2344107213243989</v>
      </c>
      <c r="I145" s="205" t="n">
        <v>0</v>
      </c>
      <c r="J145" s="205" t="n">
        <v>0</v>
      </c>
      <c r="K145" s="194" t="n">
        <v>0</v>
      </c>
    </row>
    <row r="146">
      <c r="A146" s="311" t="n">
        <v>46230</v>
      </c>
      <c r="B146" s="204" t="n">
        <v>31</v>
      </c>
      <c r="C146" s="205" t="n">
        <v>2</v>
      </c>
      <c r="D146" s="205" t="n">
        <v>246.7</v>
      </c>
      <c r="E146" s="194" t="n">
        <v>0.9724083563263697</v>
      </c>
      <c r="F146" s="205" t="n">
        <v>0</v>
      </c>
      <c r="G146" s="205" t="n">
        <v>59.47</v>
      </c>
      <c r="H146" s="194" t="n">
        <v>0.2344107213243989</v>
      </c>
      <c r="I146" s="205" t="n">
        <v>0</v>
      </c>
      <c r="J146" s="205" t="n">
        <v>0</v>
      </c>
      <c r="K146" s="194" t="n">
        <v>0</v>
      </c>
    </row>
    <row r="147">
      <c r="A147" s="311" t="n">
        <v>46231</v>
      </c>
      <c r="B147" s="204" t="n">
        <v>31</v>
      </c>
      <c r="C147" s="205" t="n">
        <v>1</v>
      </c>
      <c r="D147" s="205" t="n">
        <v>247.7</v>
      </c>
      <c r="E147" s="194" t="n">
        <v>0.9763500197083169</v>
      </c>
      <c r="F147" s="205" t="n">
        <v>0</v>
      </c>
      <c r="G147" s="205" t="n">
        <v>59.47</v>
      </c>
      <c r="H147" s="194" t="n">
        <v>0.2344107213243989</v>
      </c>
      <c r="I147" s="205" t="n">
        <v>0</v>
      </c>
      <c r="J147" s="205" t="n">
        <v>0</v>
      </c>
      <c r="K147" s="194" t="n">
        <v>0</v>
      </c>
    </row>
    <row r="148">
      <c r="A148" s="311" t="n">
        <v>46232</v>
      </c>
      <c r="B148" s="204" t="n">
        <v>31</v>
      </c>
      <c r="C148" s="205" t="n">
        <v>1</v>
      </c>
      <c r="D148" s="205" t="n">
        <v>248.7</v>
      </c>
      <c r="E148" s="194" t="n">
        <v>0.980291683090264</v>
      </c>
      <c r="F148" s="205" t="n">
        <v>0</v>
      </c>
      <c r="G148" s="205" t="n">
        <v>59.47</v>
      </c>
      <c r="H148" s="194" t="n">
        <v>0.2344107213243989</v>
      </c>
      <c r="I148" s="205" t="n">
        <v>0</v>
      </c>
      <c r="J148" s="205" t="n">
        <v>0</v>
      </c>
      <c r="K148" s="194" t="n">
        <v>0</v>
      </c>
    </row>
    <row r="149">
      <c r="A149" s="311" t="n">
        <v>46233</v>
      </c>
      <c r="B149" s="204" t="n">
        <v>31</v>
      </c>
      <c r="C149" s="205" t="n">
        <v>1</v>
      </c>
      <c r="D149" s="205" t="n">
        <v>249.7</v>
      </c>
      <c r="E149" s="194" t="n">
        <v>0.9842333464722113</v>
      </c>
      <c r="F149" s="205" t="n">
        <v>0</v>
      </c>
      <c r="G149" s="205" t="n">
        <v>59.47</v>
      </c>
      <c r="H149" s="194" t="n">
        <v>0.2344107213243989</v>
      </c>
      <c r="I149" s="205" t="n">
        <v>0</v>
      </c>
      <c r="J149" s="205" t="n">
        <v>0</v>
      </c>
      <c r="K149" s="194" t="n">
        <v>0</v>
      </c>
    </row>
    <row r="150">
      <c r="A150" s="311" t="n">
        <v>46234</v>
      </c>
      <c r="B150" s="204" t="n">
        <v>31</v>
      </c>
      <c r="C150" s="205" t="n">
        <v>1</v>
      </c>
      <c r="D150" s="205" t="n">
        <v>250.7</v>
      </c>
      <c r="E150" s="194" t="n">
        <v>0.9881750098541584</v>
      </c>
      <c r="F150" s="205" t="n">
        <v>0</v>
      </c>
      <c r="G150" s="205" t="n">
        <v>59.47</v>
      </c>
      <c r="H150" s="194" t="n">
        <v>0.2344107213243989</v>
      </c>
      <c r="I150" s="205" t="n">
        <v>0</v>
      </c>
      <c r="J150" s="205" t="n">
        <v>0</v>
      </c>
      <c r="K150" s="194" t="n">
        <v>0</v>
      </c>
    </row>
    <row r="151">
      <c r="A151" s="311" t="n">
        <v>46235</v>
      </c>
      <c r="B151" s="204" t="n">
        <v>31</v>
      </c>
      <c r="C151" s="205" t="n">
        <v>0</v>
      </c>
      <c r="D151" s="205" t="n">
        <v>250.7</v>
      </c>
      <c r="E151" s="194" t="n">
        <v>0.9881750098541584</v>
      </c>
      <c r="F151" s="205" t="n">
        <v>0</v>
      </c>
      <c r="G151" s="205" t="n">
        <v>59.47</v>
      </c>
      <c r="H151" s="194" t="n">
        <v>0.2344107213243989</v>
      </c>
      <c r="I151" s="205" t="n">
        <v>0</v>
      </c>
      <c r="J151" s="205" t="n">
        <v>0</v>
      </c>
      <c r="K151" s="194" t="n">
        <v>0</v>
      </c>
    </row>
    <row r="152">
      <c r="A152" s="311" t="n">
        <v>46236</v>
      </c>
      <c r="B152" s="204" t="n">
        <v>32</v>
      </c>
      <c r="C152" s="205" t="n">
        <v>0</v>
      </c>
      <c r="D152" s="205" t="n">
        <v>250.7</v>
      </c>
      <c r="E152" s="194" t="n">
        <v>0.9881750098541584</v>
      </c>
      <c r="F152" s="205" t="n">
        <v>0</v>
      </c>
      <c r="G152" s="205" t="n">
        <v>59.47</v>
      </c>
      <c r="H152" s="194" t="n">
        <v>0.2344107213243989</v>
      </c>
      <c r="I152" s="205" t="n">
        <v>0</v>
      </c>
      <c r="J152" s="205" t="n">
        <v>0</v>
      </c>
      <c r="K152" s="194" t="n">
        <v>0</v>
      </c>
    </row>
    <row r="153">
      <c r="A153" s="311" t="n">
        <v>46237</v>
      </c>
      <c r="B153" s="204" t="n">
        <v>32</v>
      </c>
      <c r="C153" s="205" t="n">
        <v>3</v>
      </c>
      <c r="D153" s="205" t="n">
        <v>253.7</v>
      </c>
      <c r="E153" s="194" t="n">
        <v>1</v>
      </c>
      <c r="F153" s="205" t="n">
        <v>0</v>
      </c>
      <c r="G153" s="205" t="n">
        <v>59.47</v>
      </c>
      <c r="H153" s="194" t="n">
        <v>0.2344107213243989</v>
      </c>
      <c r="I153" s="205" t="n">
        <v>0</v>
      </c>
      <c r="J153" s="205" t="n">
        <v>0</v>
      </c>
      <c r="K153" s="194" t="n">
        <v>0</v>
      </c>
    </row>
    <row r="154">
      <c r="A154" s="311" t="n">
        <v>46238</v>
      </c>
      <c r="B154" s="204" t="n">
        <v>32</v>
      </c>
      <c r="C154" s="205" t="n">
        <v>0</v>
      </c>
      <c r="D154" s="205" t="n">
        <v>253.7</v>
      </c>
      <c r="E154" s="194" t="n">
        <v>1</v>
      </c>
      <c r="F154" s="205" t="n">
        <v>0</v>
      </c>
      <c r="G154" s="205" t="n">
        <v>59.47</v>
      </c>
      <c r="H154" s="194" t="n">
        <v>0.2344107213243989</v>
      </c>
      <c r="I154" s="205" t="n">
        <v>0</v>
      </c>
      <c r="J154" s="205" t="n">
        <v>0</v>
      </c>
      <c r="K154" s="194" t="n">
        <v>0</v>
      </c>
    </row>
    <row r="155">
      <c r="A155" s="311" t="n">
        <v>46239</v>
      </c>
      <c r="B155" s="204" t="n">
        <v>32</v>
      </c>
      <c r="C155" s="205" t="n">
        <v>0</v>
      </c>
      <c r="D155" s="205" t="n">
        <v>253.7</v>
      </c>
      <c r="E155" s="194" t="n">
        <v>1</v>
      </c>
      <c r="F155" s="205" t="n">
        <v>0</v>
      </c>
      <c r="G155" s="205" t="n">
        <v>59.47</v>
      </c>
      <c r="H155" s="194" t="n">
        <v>0.2344107213243989</v>
      </c>
      <c r="I155" s="205" t="n">
        <v>0</v>
      </c>
      <c r="J155" s="205" t="n">
        <v>0</v>
      </c>
      <c r="K155" s="194" t="n">
        <v>0</v>
      </c>
    </row>
    <row r="156">
      <c r="A156" s="311" t="n">
        <v>46240</v>
      </c>
      <c r="B156" s="204" t="n">
        <v>32</v>
      </c>
      <c r="C156" s="205" t="n">
        <v>0</v>
      </c>
      <c r="D156" s="205" t="n">
        <v>253.7</v>
      </c>
      <c r="E156" s="194" t="n">
        <v>1</v>
      </c>
      <c r="F156" s="205" t="n">
        <v>0</v>
      </c>
      <c r="G156" s="205" t="n">
        <v>59.47</v>
      </c>
      <c r="H156" s="194" t="n">
        <v>0.2344107213243989</v>
      </c>
      <c r="I156" s="205" t="n">
        <v>0</v>
      </c>
      <c r="J156" s="205" t="n">
        <v>0</v>
      </c>
      <c r="K156"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 sqref="A1"/>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style="62" min="27" max="27"/>
    <col width="10" customWidth="1" style="62" min="28" max="16384"/>
  </cols>
  <sheetData>
    <row r="1" ht="36.95" customHeight="1">
      <c r="A1" s="225" t="inlineStr">
        <is>
          <t xml:space="preserve"> 프로젝트 휴무일 Calendar 설정</t>
        </is>
      </c>
      <c r="B1" s="225" t="n"/>
      <c r="C1" s="225" t="n"/>
      <c r="D1" s="225" t="n"/>
      <c r="E1" s="225" t="n"/>
      <c r="F1" s="225" t="n"/>
      <c r="G1" s="225" t="n"/>
      <c r="H1" s="225" t="n"/>
    </row>
    <row r="2" ht="78.75" customFormat="1" customHeight="1" s="63">
      <c r="A2" s="281"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283" t="inlineStr">
        <is>
          <t>표준캘린더</t>
        </is>
      </c>
      <c r="B3" s="312" t="n"/>
      <c r="D3" s="283" t="inlineStr">
        <is>
          <t>사용자정의 캘린더1</t>
        </is>
      </c>
      <c r="E3" s="312" t="n"/>
      <c r="G3" s="283" t="inlineStr">
        <is>
          <t>사용자정의 캘린더2</t>
        </is>
      </c>
      <c r="H3" s="312"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10"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11"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5">
      <c r="B628" s="127" t="n">
        <v>712</v>
      </c>
      <c r="C628" s="216" t="inlineStr">
        <is>
          <t>for help sheet</t>
        </is>
      </c>
      <c r="D628" s="217" t="inlineStr">
        <is>
          <t>Task input, schedule update</t>
        </is>
      </c>
      <c r="E628" s="217" t="inlineStr">
        <is>
          <t>작업입력, 스케줄 업데이트</t>
        </is>
      </c>
      <c r="F628" s="217"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46119.03782407408</v>
      </c>
    </row>
    <row r="12">
      <c r="A12" s="68" t="inlineStr">
        <is>
          <t>OG</t>
        </is>
      </c>
      <c r="B12" s="68" t="inlineStr">
        <is>
          <t>chkAutoAdjustHeightRow1_5</t>
        </is>
      </c>
      <c r="C12" s="67" t="n">
        <v>1</v>
      </c>
    </row>
    <row r="13">
      <c r="A13" s="68" t="inlineStr">
        <is>
          <t>OG</t>
        </is>
      </c>
      <c r="B13" s="68" t="inlineStr">
        <is>
          <t>chkCheckForUpdatesOnStartup</t>
        </is>
      </c>
      <c r="C13" s="67" t="n">
        <v>1</v>
      </c>
      <c r="G13" s="70" t="n">
        <v>46119.03782407408</v>
      </c>
    </row>
    <row r="14">
      <c r="A14" s="68" t="inlineStr">
        <is>
          <t>OG</t>
        </is>
      </c>
      <c r="B14" s="68" t="inlineStr">
        <is>
          <t>chkImportDataOnStartup</t>
        </is>
      </c>
      <c r="C14" s="67" t="n">
        <v>0</v>
      </c>
      <c r="G14" s="70" t="n">
        <v>46119.03782407408</v>
      </c>
    </row>
    <row r="15">
      <c r="A15" s="68" t="inlineStr">
        <is>
          <t>OG</t>
        </is>
      </c>
      <c r="B15" s="68" t="inlineStr">
        <is>
          <t>chkWBSUpdateExecuteYN</t>
        </is>
      </c>
      <c r="C15" s="67" t="n">
        <v>1</v>
      </c>
      <c r="G15" s="70" t="n">
        <v>46119.03782407408</v>
      </c>
    </row>
    <row r="16">
      <c r="A16" s="68" t="inlineStr">
        <is>
          <t>OG</t>
        </is>
      </c>
      <c r="B16" s="68" t="inlineStr">
        <is>
          <t>isConfirmedProjectBasicInfo</t>
        </is>
      </c>
      <c r="C16" s="67" t="n">
        <v>1</v>
      </c>
      <c r="G16" s="70" t="n">
        <v>46119.03782407408</v>
      </c>
    </row>
    <row r="17">
      <c r="A17" s="68" t="inlineStr">
        <is>
          <t>OG</t>
        </is>
      </c>
      <c r="B17" s="68" t="inlineStr">
        <is>
          <t>optFirstDayOfWeek</t>
        </is>
      </c>
      <c r="C17" s="67" t="n">
        <v>1</v>
      </c>
      <c r="G17" s="70" t="n">
        <v>46119.03782407408</v>
      </c>
    </row>
    <row r="18">
      <c r="A18" s="68" t="inlineStr">
        <is>
          <t>OG</t>
        </is>
      </c>
      <c r="B18" s="68" t="inlineStr">
        <is>
          <t>optNonWorkingDays</t>
        </is>
      </c>
      <c r="C18" s="67" t="n">
        <v>1</v>
      </c>
      <c r="G18" s="70" t="n">
        <v>46119.03782407408</v>
      </c>
    </row>
    <row r="19">
      <c r="A19" s="68" t="inlineStr">
        <is>
          <t>OG</t>
        </is>
      </c>
      <c r="B19" s="68" t="inlineStr">
        <is>
          <t>optPlanRateCriteriaDate</t>
        </is>
      </c>
      <c r="C19" s="69" t="inlineStr">
        <is>
          <t>TODAY</t>
        </is>
      </c>
      <c r="G19" s="70" t="n">
        <v>46119.03782407408</v>
      </c>
    </row>
    <row r="20">
      <c r="A20" s="68" t="inlineStr">
        <is>
          <t>OG</t>
        </is>
      </c>
      <c r="B20" s="68" t="inlineStr">
        <is>
          <t>optRecalcWBSArea</t>
        </is>
      </c>
      <c r="C20" s="67" t="n">
        <v>0</v>
      </c>
      <c r="G20" s="70" t="n">
        <v>46119.03782407408</v>
      </c>
    </row>
    <row r="21">
      <c r="A21" s="68" t="inlineStr">
        <is>
          <t>OG</t>
        </is>
      </c>
      <c r="B21" s="68" t="inlineStr">
        <is>
          <t>optScheduleChangeMgt</t>
        </is>
      </c>
      <c r="C21" s="67" t="n">
        <v>0</v>
      </c>
      <c r="G21" s="70" t="n">
        <v>46119.03782407408</v>
      </c>
    </row>
    <row r="22">
      <c r="A22" s="68" t="inlineStr">
        <is>
          <t>OG</t>
        </is>
      </c>
      <c r="B22" s="68" t="inlineStr">
        <is>
          <t>optWeekNum</t>
        </is>
      </c>
      <c r="C22" s="67" t="n">
        <v>1</v>
      </c>
      <c r="G22" s="70" t="n">
        <v>46119.03782407408</v>
      </c>
    </row>
    <row r="23">
      <c r="A23" s="68" t="inlineStr">
        <is>
          <t>OG</t>
        </is>
      </c>
      <c r="B23" s="68" t="inlineStr">
        <is>
          <t>optWorkloadCalcByResourceAssignRate</t>
        </is>
      </c>
      <c r="C23" s="67" t="n">
        <v>1</v>
      </c>
      <c r="G23" s="70" t="n">
        <v>46119.03782407408</v>
      </c>
    </row>
    <row r="24">
      <c r="A24" s="68" t="inlineStr">
        <is>
          <t>OG</t>
        </is>
      </c>
      <c r="B24" s="68" t="inlineStr">
        <is>
          <t>projectEndDate</t>
        </is>
      </c>
      <c r="C24" s="69" t="n">
        <v>46240</v>
      </c>
      <c r="G24" s="70" t="n">
        <v>46233.77921296296</v>
      </c>
    </row>
    <row r="25">
      <c r="A25" s="68" t="inlineStr">
        <is>
          <t>OG</t>
        </is>
      </c>
      <c r="B25" s="68" t="inlineStr">
        <is>
          <t>projectName</t>
        </is>
      </c>
      <c r="C25" s="67" t="inlineStr">
        <is>
          <t>ABC 프로젝트</t>
        </is>
      </c>
      <c r="G25" s="70" t="n">
        <v>46119.03782407408</v>
      </c>
    </row>
    <row r="26">
      <c r="A26" s="68" t="inlineStr">
        <is>
          <t>OG</t>
        </is>
      </c>
      <c r="B26" s="68" t="inlineStr">
        <is>
          <t>projectStartDate</t>
        </is>
      </c>
      <c r="C26" s="69" t="n">
        <v>46086</v>
      </c>
      <c r="G26" s="70" t="n">
        <v>46233.77921296296</v>
      </c>
    </row>
    <row r="27">
      <c r="A27" s="68" t="inlineStr">
        <is>
          <t>OG</t>
        </is>
      </c>
      <c r="B27" s="68" t="inlineStr">
        <is>
          <t>scheduleSheetPosition</t>
        </is>
      </c>
      <c r="C27" s="67" t="inlineStr">
        <is>
          <t>SCHEDULE_SHEET_POSITION:3545151617181920212223242526272829303132</t>
        </is>
      </c>
      <c r="G27" s="70" t="n">
        <v>46233.77909722222</v>
      </c>
    </row>
    <row r="28">
      <c r="A28" s="68" t="inlineStr">
        <is>
          <t>OG</t>
        </is>
      </c>
      <c r="B28" s="68" t="inlineStr">
        <is>
          <t>setTaskDateToProjectDate</t>
        </is>
      </c>
      <c r="C28" s="67" t="n">
        <v>1</v>
      </c>
      <c r="G28" s="70" t="n">
        <v>46119.03782407408</v>
      </c>
    </row>
    <row r="29">
      <c r="A29" s="68" t="inlineStr">
        <is>
          <t>OG</t>
        </is>
      </c>
      <c r="B29" s="68" t="inlineStr">
        <is>
          <t>txtAvgWorkingdays</t>
        </is>
      </c>
      <c r="C29" s="67" t="n">
        <v>20</v>
      </c>
      <c r="G29" s="70" t="n">
        <v>46119.03782407408</v>
      </c>
    </row>
    <row r="30">
      <c r="A30" s="68" t="inlineStr">
        <is>
          <t>OG</t>
        </is>
      </c>
      <c r="B30" s="68" t="inlineStr">
        <is>
          <t>txtPrintSpace</t>
        </is>
      </c>
      <c r="C30" s="67" t="n">
        <v>10</v>
      </c>
      <c r="G30" s="70" t="n">
        <v>46119.03782407408</v>
      </c>
    </row>
    <row r="31">
      <c r="A31" s="68" t="inlineStr">
        <is>
          <t>OG</t>
        </is>
      </c>
      <c r="B31" s="68" t="inlineStr">
        <is>
          <t>XLGanttFileCalcMode</t>
        </is>
      </c>
      <c r="C31" s="67" t="n">
        <v>-4105</v>
      </c>
      <c r="F31" s="70" t="n"/>
      <c r="G31" s="70" t="n">
        <v>46233.77921296296</v>
      </c>
    </row>
    <row r="32">
      <c r="A32" s="68" t="inlineStr">
        <is>
          <t>OW</t>
        </is>
      </c>
      <c r="B32" s="68" t="inlineStr">
        <is>
          <t>actualRateDisp</t>
        </is>
      </c>
      <c r="C32" s="67" t="n">
        <v>1</v>
      </c>
      <c r="G32" s="70" t="n">
        <v>46119.03782407408</v>
      </c>
    </row>
    <row r="33">
      <c r="A33" s="68" t="inlineStr">
        <is>
          <t>OW</t>
        </is>
      </c>
      <c r="B33" s="68" t="inlineStr">
        <is>
          <t>applyUserInputFirst</t>
        </is>
      </c>
      <c r="C33" s="67" t="n">
        <v>0</v>
      </c>
    </row>
    <row r="34">
      <c r="A34" s="68" t="inlineStr">
        <is>
          <t>OW</t>
        </is>
      </c>
      <c r="B34" s="68" t="inlineStr">
        <is>
          <t>cbxColorTheme</t>
        </is>
      </c>
      <c r="C34" s="67" t="n">
        <v>1</v>
      </c>
      <c r="G34" s="70" t="n">
        <v>46119.03782407408</v>
      </c>
    </row>
    <row r="35">
      <c r="A35" s="68" t="inlineStr">
        <is>
          <t>OW</t>
        </is>
      </c>
      <c r="B35" s="68" t="inlineStr">
        <is>
          <t>chkProjectWeekNumDispOverTimescale</t>
        </is>
      </c>
      <c r="C35" s="67" t="n">
        <v>1</v>
      </c>
      <c r="G35" s="70" t="n">
        <v>46119.03782407408</v>
      </c>
    </row>
    <row r="36">
      <c r="A36" s="68" t="inlineStr">
        <is>
          <t>OW</t>
        </is>
      </c>
      <c r="B36" s="68" t="inlineStr">
        <is>
          <t>chkYearDispOverTimescale</t>
        </is>
      </c>
      <c r="C36" s="67" t="n">
        <v>1</v>
      </c>
      <c r="G36" s="70" t="n">
        <v>46119.03782407408</v>
      </c>
    </row>
    <row r="37">
      <c r="A37" s="68" t="inlineStr">
        <is>
          <t>OW</t>
        </is>
      </c>
      <c r="B37" s="68" t="inlineStr">
        <is>
          <t>completeTaskGrayDisplay</t>
        </is>
      </c>
      <c r="C37" s="67" t="n">
        <v>0</v>
      </c>
      <c r="G37" s="70" t="n">
        <v>46119.03782407408</v>
      </c>
    </row>
    <row r="38">
      <c r="A38" s="68" t="inlineStr">
        <is>
          <t>OW</t>
        </is>
      </c>
      <c r="B38" s="68" t="inlineStr">
        <is>
          <t>dateDisp</t>
        </is>
      </c>
      <c r="C38" s="67" t="n">
        <v>1</v>
      </c>
      <c r="G38" s="70" t="n">
        <v>46119.03782407408</v>
      </c>
    </row>
    <row r="39">
      <c r="A39" s="68" t="inlineStr">
        <is>
          <t>OW</t>
        </is>
      </c>
      <c r="B39" s="68" t="inlineStr">
        <is>
          <t>dateDispOnTimescale</t>
        </is>
      </c>
      <c r="C39" s="67" t="n">
        <v>2</v>
      </c>
      <c r="G39" s="70" t="n">
        <v>46119.03782407408</v>
      </c>
    </row>
    <row r="40">
      <c r="A40" s="68" t="inlineStr">
        <is>
          <t>OW</t>
        </is>
      </c>
      <c r="B40" s="68" t="inlineStr">
        <is>
          <t>ganttColWidth</t>
        </is>
      </c>
      <c r="C40" s="67" t="n">
        <v>0.7</v>
      </c>
    </row>
    <row r="41">
      <c r="A41" s="68" t="inlineStr">
        <is>
          <t>OW</t>
        </is>
      </c>
      <c r="B41" s="68" t="inlineStr">
        <is>
          <t>groupRows</t>
        </is>
      </c>
      <c r="C41" s="67" t="n">
        <v>1</v>
      </c>
      <c r="G41" s="70" t="n">
        <v>46119.03782407408</v>
      </c>
    </row>
    <row r="42">
      <c r="A42" s="68" t="inlineStr">
        <is>
          <t>OW</t>
        </is>
      </c>
      <c r="B42" s="68" t="inlineStr">
        <is>
          <t>groupTaskInteriorGrayDisplay</t>
        </is>
      </c>
      <c r="C42" s="67" t="n">
        <v>1</v>
      </c>
      <c r="G42" s="70" t="n">
        <v>46119.03782407408</v>
      </c>
    </row>
    <row r="43">
      <c r="A43" s="68" t="inlineStr">
        <is>
          <t>OW</t>
        </is>
      </c>
      <c r="B43" s="68" t="inlineStr">
        <is>
          <t>optAlignWBSColumn</t>
        </is>
      </c>
      <c r="C43" s="67" t="n">
        <v>-4131</v>
      </c>
      <c r="G43" s="70" t="n">
        <v>46119.03782407408</v>
      </c>
    </row>
    <row r="44">
      <c r="A44" s="68" t="inlineStr">
        <is>
          <t>OW</t>
        </is>
      </c>
      <c r="B44" s="68" t="inlineStr">
        <is>
          <t>optGanttChartColumnDisplay</t>
        </is>
      </c>
      <c r="C44" s="67" t="n">
        <v>7</v>
      </c>
      <c r="G44" s="70" t="n">
        <v>46119.03782407408</v>
      </c>
    </row>
    <row r="45">
      <c r="A45" s="68" t="inlineStr">
        <is>
          <t>OW</t>
        </is>
      </c>
      <c r="B45" s="68" t="inlineStr">
        <is>
          <t>plannedRateDisp</t>
        </is>
      </c>
      <c r="C45" s="67" t="n">
        <v>0</v>
      </c>
      <c r="G45" s="70" t="n">
        <v>46119.03782407408</v>
      </c>
    </row>
    <row r="46">
      <c r="A46" s="68" t="inlineStr">
        <is>
          <t>OW</t>
        </is>
      </c>
      <c r="B46" s="68" t="inlineStr">
        <is>
          <t>resourceDisp</t>
        </is>
      </c>
      <c r="C46" s="67" t="n">
        <v>1</v>
      </c>
      <c r="G46" s="70" t="n">
        <v>46119.03782407408</v>
      </c>
    </row>
    <row r="47">
      <c r="A47" s="68" t="inlineStr">
        <is>
          <t>OW</t>
        </is>
      </c>
      <c r="B47" s="68" t="inlineStr">
        <is>
          <t>taskDisp</t>
        </is>
      </c>
      <c r="C47" s="67" t="n">
        <v>1</v>
      </c>
      <c r="G47" s="70" t="n">
        <v>46119.03782407408</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46119.03782407408</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46119.03782407408</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46119.03782407408</v>
      </c>
    </row>
    <row r="55">
      <c r="A55" s="68" t="inlineStr">
        <is>
          <t>OD</t>
        </is>
      </c>
      <c r="B55" s="68" t="inlineStr">
        <is>
          <t>chkDeliverablesMgt</t>
        </is>
      </c>
      <c r="C55" s="67" t="n">
        <v>1</v>
      </c>
      <c r="G55" s="70" t="n">
        <v>46119.03782407408</v>
      </c>
    </row>
    <row r="56">
      <c r="A56" s="68" t="inlineStr">
        <is>
          <t>OD</t>
        </is>
      </c>
      <c r="B56" s="68" t="inlineStr">
        <is>
          <t>savePathType</t>
        </is>
      </c>
      <c r="C56" s="67" t="inlineStr">
        <is>
          <t>DEFINED</t>
        </is>
      </c>
      <c r="G56" s="70" t="n">
        <v>46119.03782407408</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46119.03782407408</v>
      </c>
    </row>
    <row r="59">
      <c r="A59" s="68" t="inlineStr">
        <is>
          <t>OL</t>
        </is>
      </c>
      <c r="B59" s="68" t="inlineStr">
        <is>
          <t>languageSelectedByManual</t>
        </is>
      </c>
      <c r="C59" s="67" t="n">
        <v>82</v>
      </c>
      <c r="G59" s="70" t="n">
        <v>46119.03782407408</v>
      </c>
    </row>
    <row r="60">
      <c r="A60" s="68" t="inlineStr">
        <is>
          <t>OL</t>
        </is>
      </c>
      <c r="B60" s="68" t="inlineStr">
        <is>
          <t>languageSelectionType</t>
        </is>
      </c>
      <c r="C60" s="67" t="n">
        <v>1</v>
      </c>
      <c r="G60" s="70" t="n">
        <v>46119.03782407408</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46119.03782407408</v>
      </c>
    </row>
    <row r="63">
      <c r="A63" s="68" t="inlineStr">
        <is>
          <t>OP</t>
        </is>
      </c>
      <c r="B63" s="68" t="inlineStr">
        <is>
          <t>chkInclude2SelectList1</t>
        </is>
      </c>
      <c r="C63" s="67" t="b">
        <v>0</v>
      </c>
      <c r="G63" s="70" t="n">
        <v>46119.03782407408</v>
      </c>
    </row>
    <row r="64">
      <c r="A64" s="68" t="inlineStr">
        <is>
          <t>OP</t>
        </is>
      </c>
      <c r="B64" s="68" t="inlineStr">
        <is>
          <t>chkInclude2SelectList2</t>
        </is>
      </c>
      <c r="C64" s="67" t="b">
        <v>0</v>
      </c>
      <c r="G64" s="70" t="n">
        <v>46119.03782407408</v>
      </c>
    </row>
    <row r="65">
      <c r="A65" s="68" t="inlineStr">
        <is>
          <t>OP</t>
        </is>
      </c>
      <c r="B65" s="68" t="inlineStr">
        <is>
          <t>chkInclude2SelectList3</t>
        </is>
      </c>
      <c r="C65" s="67" t="b">
        <v>1</v>
      </c>
      <c r="G65" s="70" t="n">
        <v>46119.03782407408</v>
      </c>
    </row>
    <row r="66">
      <c r="A66" s="68" t="inlineStr">
        <is>
          <t>OP</t>
        </is>
      </c>
      <c r="B66" s="68" t="inlineStr">
        <is>
          <t>chkInclude2SelectList4</t>
        </is>
      </c>
      <c r="C66" s="67" t="b">
        <v>1</v>
      </c>
      <c r="G66" s="70" t="n">
        <v>46119.03782407408</v>
      </c>
    </row>
    <row r="67">
      <c r="A67" s="68" t="inlineStr">
        <is>
          <t>OP</t>
        </is>
      </c>
      <c r="B67" s="68" t="inlineStr">
        <is>
          <t>chkInclude2SelectList5</t>
        </is>
      </c>
      <c r="C67" s="67" t="b">
        <v>1</v>
      </c>
      <c r="G67" s="70" t="n">
        <v>46119.03782407408</v>
      </c>
    </row>
    <row r="68">
      <c r="A68" s="68" t="inlineStr">
        <is>
          <t>OP</t>
        </is>
      </c>
      <c r="B68" s="68" t="inlineStr">
        <is>
          <t>chkInclude2SelectList6</t>
        </is>
      </c>
      <c r="C68" s="67" t="b">
        <v>1</v>
      </c>
      <c r="G68" s="70" t="n">
        <v>46119.03782407408</v>
      </c>
    </row>
    <row r="69">
      <c r="A69" s="68" t="inlineStr">
        <is>
          <t>OP</t>
        </is>
      </c>
      <c r="B69" s="68" t="inlineStr">
        <is>
          <t>chkInclude2SelectList7</t>
        </is>
      </c>
      <c r="C69" s="67" t="b">
        <v>1</v>
      </c>
      <c r="G69" s="70" t="n">
        <v>46119.03782407408</v>
      </c>
    </row>
    <row r="70">
      <c r="A70" s="68" t="inlineStr">
        <is>
          <t>OP</t>
        </is>
      </c>
      <c r="B70" s="68" t="inlineStr">
        <is>
          <t>chkInclude2SelectList8</t>
        </is>
      </c>
      <c r="G70" s="70" t="n">
        <v>46119.03782407408</v>
      </c>
    </row>
    <row r="71">
      <c r="A71" s="68" t="inlineStr">
        <is>
          <t>OP</t>
        </is>
      </c>
      <c r="B71" s="68" t="inlineStr">
        <is>
          <t>txtFileExt1</t>
        </is>
      </c>
      <c r="C71" s="67" t="inlineStr">
        <is>
          <t>ppt*</t>
        </is>
      </c>
      <c r="G71" s="70" t="n">
        <v>46119.03782407408</v>
      </c>
    </row>
    <row r="72">
      <c r="A72" s="68" t="inlineStr">
        <is>
          <t>OP</t>
        </is>
      </c>
      <c r="B72" s="68" t="inlineStr">
        <is>
          <t>txtFileExt2</t>
        </is>
      </c>
      <c r="C72" s="67" t="inlineStr">
        <is>
          <t>doc*</t>
        </is>
      </c>
      <c r="G72" s="70" t="n">
        <v>46119.03782407408</v>
      </c>
    </row>
    <row r="73">
      <c r="A73" s="68" t="inlineStr">
        <is>
          <t>OP</t>
        </is>
      </c>
      <c r="B73" s="68" t="inlineStr">
        <is>
          <t>txtFileExt3</t>
        </is>
      </c>
      <c r="C73" s="67" t="inlineStr">
        <is>
          <t>xls*</t>
        </is>
      </c>
      <c r="G73" s="70" t="n">
        <v>46119.03782407408</v>
      </c>
    </row>
    <row r="74">
      <c r="A74" s="68" t="inlineStr">
        <is>
          <t>OP</t>
        </is>
      </c>
      <c r="B74" s="68" t="inlineStr">
        <is>
          <t>txtFileExt4</t>
        </is>
      </c>
      <c r="C74" s="67" t="inlineStr">
        <is>
          <t>dwg</t>
        </is>
      </c>
      <c r="G74" s="70" t="n">
        <v>46119.03782407408</v>
      </c>
    </row>
    <row r="75">
      <c r="A75" s="68" t="inlineStr">
        <is>
          <t>OP</t>
        </is>
      </c>
      <c r="B75" s="68" t="inlineStr">
        <is>
          <t>txtFileExt5</t>
        </is>
      </c>
      <c r="C75" s="67" t="inlineStr">
        <is>
          <t>html</t>
        </is>
      </c>
      <c r="G75" s="70" t="n">
        <v>46119.03782407408</v>
      </c>
    </row>
    <row r="76">
      <c r="A76" s="68" t="inlineStr">
        <is>
          <t>OP</t>
        </is>
      </c>
      <c r="B76" s="68" t="inlineStr">
        <is>
          <t>txtFileExt6</t>
        </is>
      </c>
      <c r="C76" s="67" t="inlineStr">
        <is>
          <t>txt</t>
        </is>
      </c>
      <c r="G76" s="70" t="n">
        <v>46119.03782407408</v>
      </c>
    </row>
    <row r="77">
      <c r="A77" s="68" t="inlineStr">
        <is>
          <t>OP</t>
        </is>
      </c>
      <c r="B77" s="68" t="inlineStr">
        <is>
          <t>txtFileExt7</t>
        </is>
      </c>
      <c r="C77" s="67" t="inlineStr">
        <is>
          <t>pdf</t>
        </is>
      </c>
      <c r="G77" s="70" t="n">
        <v>46119.03782407408</v>
      </c>
    </row>
    <row r="78">
      <c r="A78" s="68" t="inlineStr">
        <is>
          <t>OP</t>
        </is>
      </c>
      <c r="B78" s="68" t="inlineStr">
        <is>
          <t>txtFileExt8</t>
        </is>
      </c>
      <c r="G78" s="70" t="n">
        <v>46119.03782407408</v>
      </c>
    </row>
    <row r="79">
      <c r="A79" s="68" t="inlineStr">
        <is>
          <t>OP</t>
        </is>
      </c>
      <c r="B79" s="68" t="inlineStr">
        <is>
          <t>txtPgmName1</t>
        </is>
      </c>
      <c r="C79" s="67" t="inlineStr">
        <is>
          <t>파워포인트</t>
        </is>
      </c>
      <c r="G79" s="70" t="n">
        <v>46119.03782407408</v>
      </c>
    </row>
    <row r="80">
      <c r="A80" s="68" t="inlineStr">
        <is>
          <t>OP</t>
        </is>
      </c>
      <c r="B80" s="68" t="inlineStr">
        <is>
          <t>txtPgmName2</t>
        </is>
      </c>
      <c r="C80" s="67" t="inlineStr">
        <is>
          <t>워드</t>
        </is>
      </c>
      <c r="G80" s="70" t="n">
        <v>46119.03782407408</v>
      </c>
    </row>
    <row r="81">
      <c r="A81" s="68" t="inlineStr">
        <is>
          <t>OP</t>
        </is>
      </c>
      <c r="B81" s="68" t="inlineStr">
        <is>
          <t>txtPgmName3</t>
        </is>
      </c>
      <c r="C81" s="67" t="inlineStr">
        <is>
          <t>엑셀</t>
        </is>
      </c>
      <c r="G81" s="70" t="n">
        <v>46119.03782407408</v>
      </c>
    </row>
    <row r="82">
      <c r="A82" s="68" t="inlineStr">
        <is>
          <t>OP</t>
        </is>
      </c>
      <c r="B82" s="68" t="inlineStr">
        <is>
          <t>txtPgmName4</t>
        </is>
      </c>
      <c r="C82" s="67" t="inlineStr">
        <is>
          <t>AutoCAD</t>
        </is>
      </c>
      <c r="G82" s="70" t="n">
        <v>46119.03782407408</v>
      </c>
    </row>
    <row r="83">
      <c r="A83" s="68" t="inlineStr">
        <is>
          <t>OP</t>
        </is>
      </c>
      <c r="B83" s="68" t="inlineStr">
        <is>
          <t>txtPgmName5</t>
        </is>
      </c>
      <c r="C83" s="67" t="inlineStr">
        <is>
          <t>Notepad++</t>
        </is>
      </c>
      <c r="G83" s="70" t="n">
        <v>46119.03782407408</v>
      </c>
    </row>
    <row r="84">
      <c r="A84" s="68" t="inlineStr">
        <is>
          <t>OP</t>
        </is>
      </c>
      <c r="B84" s="68" t="inlineStr">
        <is>
          <t>txtPgmName6</t>
        </is>
      </c>
      <c r="C84" s="67" t="inlineStr">
        <is>
          <t>메모장</t>
        </is>
      </c>
      <c r="G84" s="70" t="n">
        <v>46119.03782407408</v>
      </c>
    </row>
    <row r="85">
      <c r="A85" s="68" t="inlineStr">
        <is>
          <t>OP</t>
        </is>
      </c>
      <c r="B85" s="68" t="inlineStr">
        <is>
          <t>txtPgmName7</t>
        </is>
      </c>
      <c r="C85" s="67" t="inlineStr">
        <is>
          <t>PDF</t>
        </is>
      </c>
      <c r="G85" s="70" t="n">
        <v>46119.03782407408</v>
      </c>
    </row>
    <row r="86">
      <c r="A86" s="68" t="inlineStr">
        <is>
          <t>OP</t>
        </is>
      </c>
      <c r="B86" s="68" t="inlineStr">
        <is>
          <t>txtPgmName8</t>
        </is>
      </c>
      <c r="G86" s="70" t="n">
        <v>46119.03782407408</v>
      </c>
    </row>
    <row r="87">
      <c r="A87" s="68" t="inlineStr">
        <is>
          <t>OP</t>
        </is>
      </c>
      <c r="B87" s="68" t="inlineStr">
        <is>
          <t>txtPgmPath1</t>
        </is>
      </c>
      <c r="C87" s="67" t="inlineStr">
        <is>
          <t>자동지정</t>
        </is>
      </c>
      <c r="G87" s="70" t="n">
        <v>46119.03782407408</v>
      </c>
    </row>
    <row r="88">
      <c r="A88" s="68" t="inlineStr">
        <is>
          <t>OP</t>
        </is>
      </c>
      <c r="B88" s="68" t="inlineStr">
        <is>
          <t>txtPgmPath2</t>
        </is>
      </c>
      <c r="C88" s="67" t="inlineStr">
        <is>
          <t>자동지정</t>
        </is>
      </c>
      <c r="G88" s="70" t="n">
        <v>46119.03782407408</v>
      </c>
    </row>
    <row r="89">
      <c r="A89" s="68" t="inlineStr">
        <is>
          <t>OP</t>
        </is>
      </c>
      <c r="B89" s="68" t="inlineStr">
        <is>
          <t>txtPgmPath3</t>
        </is>
      </c>
      <c r="C89" s="67" t="inlineStr">
        <is>
          <t>자동지정</t>
        </is>
      </c>
      <c r="G89" s="70" t="n">
        <v>46119.03782407408</v>
      </c>
    </row>
    <row r="90">
      <c r="A90" s="68" t="inlineStr">
        <is>
          <t>OP</t>
        </is>
      </c>
      <c r="B90" s="68" t="inlineStr">
        <is>
          <t>txtPgmPath4</t>
        </is>
      </c>
      <c r="C90" s="67" t="inlineStr">
        <is>
          <t>C:\Program Files\Autodesk\AutoCAD 2019\acad.exe</t>
        </is>
      </c>
      <c r="G90" s="70" t="n">
        <v>46119.03782407408</v>
      </c>
    </row>
    <row r="91">
      <c r="A91" s="68" t="inlineStr">
        <is>
          <t>OP</t>
        </is>
      </c>
      <c r="B91" s="68" t="inlineStr">
        <is>
          <t>txtPgmPath5</t>
        </is>
      </c>
      <c r="C91" s="67" t="inlineStr">
        <is>
          <t>C:\Program Files\Notepad++\notepad++.exe</t>
        </is>
      </c>
      <c r="G91" s="70" t="n">
        <v>46119.03782407408</v>
      </c>
    </row>
    <row r="92">
      <c r="A92" s="68" t="inlineStr">
        <is>
          <t>OP</t>
        </is>
      </c>
      <c r="B92" s="68" t="inlineStr">
        <is>
          <t>txtPgmPath6</t>
        </is>
      </c>
      <c r="C92" s="67" t="inlineStr">
        <is>
          <t>C:\WINDOWS\system32\notepad.exe</t>
        </is>
      </c>
      <c r="G92" s="70" t="n">
        <v>46119.03782407408</v>
      </c>
    </row>
    <row r="93">
      <c r="A93" s="68" t="inlineStr">
        <is>
          <t>OP</t>
        </is>
      </c>
      <c r="B93" s="68" t="inlineStr">
        <is>
          <t>txtPgmPath7</t>
        </is>
      </c>
      <c r="C93" s="67" t="inlineStr">
        <is>
          <t>C:\Program Files\Adobe\Acrobat DC\Acrobat\acrobat.exe</t>
        </is>
      </c>
      <c r="G93" s="70" t="n">
        <v>46119.03782407408</v>
      </c>
    </row>
    <row r="94">
      <c r="A94" s="68" t="inlineStr">
        <is>
          <t>OP</t>
        </is>
      </c>
      <c r="B94" s="68" t="inlineStr">
        <is>
          <t>txtPgmPath8</t>
        </is>
      </c>
      <c r="G94" s="70" t="n">
        <v>46119.03782407408</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46119.03782407408</v>
      </c>
    </row>
    <row r="112">
      <c r="A112" s="68" t="inlineStr">
        <is>
          <t>OW</t>
        </is>
      </c>
      <c r="B112" s="68" t="inlineStr">
        <is>
          <t>useDefaultTheme</t>
        </is>
      </c>
      <c r="C112" s="67" t="n">
        <v>1</v>
      </c>
      <c r="F112" s="70" t="n">
        <v>45811.53648148148</v>
      </c>
      <c r="G112" s="70" t="n">
        <v>46119.03782407408</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46119.03782407408</v>
      </c>
    </row>
    <row r="119">
      <c r="A119" s="68" t="inlineStr">
        <is>
          <t>OG</t>
        </is>
      </c>
      <c r="B119" s="68" t="inlineStr">
        <is>
          <t>holidayCalendar</t>
        </is>
      </c>
      <c r="C119" s="67" t="n">
        <v>1</v>
      </c>
      <c r="F119" s="70" t="n">
        <v>46103.78863425926</v>
      </c>
      <c r="G119" s="70" t="n">
        <v>46119.03782407408</v>
      </c>
    </row>
  </sheetData>
  <hyperlinks>
    <hyperlink xmlns:r="http://schemas.openxmlformats.org/officeDocument/2006/relationships" ref="C6" r:id="rId1"/>
  </hyperlinks>
  <pageMargins left="0.7" right="0.7" top="0.75" bottom="0.75" header="0.3" footer="0.3"/>
  <pageSetup orientation="portrait" paperSize="9"/>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2026-07-30T10:29:18Z</dcterms:modified>
  <cp:lastModifiedBy>ds</cp:lastModifiedBy>
  <cp:lastPrinted>2022-06-05T11:24:31Z</cp:lastPrinted>
</cp:coreProperties>
</file>