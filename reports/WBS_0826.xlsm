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microsoft.com/office/2006/relationships/ui/extensibility" Target="customUI/customUI.xml" Id="xlganttTabId001"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8680" yWindow="-120" windowWidth="29040" windowHeight="15720" tabRatio="636" firstSheet="0" activeTab="1" autoFilterDateGrouping="1"/>
  </bookViews>
  <sheets>
    <sheet name="Help" sheetId="1" state="visible" r:id="rId1"/>
    <sheet name="Schedule" sheetId="2" state="visible" r:id="rId2"/>
    <sheet name="Progress" sheetId="3" state="visible" r:id="rId3"/>
    <sheet name="AnalysisReport" sheetId="4" state="visible" r:id="rId4"/>
    <sheet name="Progress_Data" sheetId="5" state="visible" r:id="rId5"/>
    <sheet name="Calendar" sheetId="6" state="visible" r:id="rId6"/>
    <sheet name="TranslatedLanguages" sheetId="7" state="hidden" r:id="rId7"/>
    <sheet name="Settings" sheetId="8" state="veryHidden" r:id="rId8"/>
    <sheet name="데이터_유무료" sheetId="9" state="visible" r:id="rId9"/>
    <sheet name="지연위험_등록부" sheetId="10" state="visible" r:id="rId10"/>
    <sheet name="금주_작업범위" sheetId="11" state="visible" r:id="rId11"/>
  </sheets>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RATE_GAP">Progress!$B$24</definedName>
    <definedName name="STD_CAL">Calendar!$B$5:$B$304</definedName>
    <definedName name="TOTAL_WORKLOAD">Progress!$B$6</definedName>
    <definedName name="UD_CAL1">Calendar!$E$5:$E$304</definedName>
    <definedName name="UD_CAL2">Calendar!$H$5:$H$304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_xlnm.Print_Area" localSheetId="1">'Schedule'!$D$1:$BM$56</definedName>
  </definedNames>
  <calcPr calcId="162913" fullCalcOnLoad="1"/>
</workbook>
</file>

<file path=xl/styles.xml><?xml version="1.0" encoding="utf-8"?>
<styleSheet xmlns="http://schemas.openxmlformats.org/spreadsheetml/2006/main">
  <numFmts count="5">
    <numFmt numFmtId="164" formatCode="0_);[Red]\(0\)"/>
    <numFmt numFmtId="165" formatCode="0.00_);[Red]\(0.00\)"/>
    <numFmt numFmtId="166" formatCode="0.0_);[Red]\(0.0\)"/>
    <numFmt numFmtId="167" formatCode="0.0"/>
    <numFmt numFmtId="168" formatCode="yyyy\-mm\-dd"/>
  </numFmts>
  <fonts count="71">
    <font>
      <name val="맑은 고딕"/>
      <family val="2"/>
      <color theme="1"/>
      <sz val="11"/>
      <scheme val="minor"/>
    </font>
    <font>
      <name val="맑은 고딕"/>
      <charset val="129"/>
      <family val="3"/>
      <sz val="8"/>
      <scheme val="minor"/>
    </font>
    <font>
      <name val="돋움"/>
      <charset val="129"/>
      <family val="3"/>
      <color theme="10"/>
      <sz val="11"/>
      <u val="single"/>
    </font>
    <font>
      <name val="돋움"/>
      <charset val="129"/>
      <family val="3"/>
      <sz val="8"/>
    </font>
    <font>
      <name val="Calibri"/>
      <family val="2"/>
      <color rgb="FF0070C0"/>
      <sz val="9"/>
    </font>
    <font>
      <name val="Calibri"/>
      <family val="2"/>
      <b val="1"/>
      <color rgb="FF0070C0"/>
      <sz val="16"/>
    </font>
    <font>
      <name val="Calibri"/>
      <family val="2"/>
      <b val="1"/>
      <color theme="0"/>
      <sz val="16"/>
    </font>
    <font>
      <name val="Calibri"/>
      <family val="2"/>
      <sz val="11"/>
    </font>
    <font>
      <name val="Calibri"/>
      <family val="2"/>
      <sz val="10"/>
    </font>
    <font>
      <name val="Calibri"/>
      <family val="2"/>
      <color rgb="FF0070C0"/>
      <sz val="10"/>
    </font>
    <font>
      <name val="Calibri"/>
      <family val="2"/>
      <b val="1"/>
      <color rgb="FF0070C0"/>
      <sz val="10"/>
    </font>
    <font>
      <name val="Calibri"/>
      <family val="2"/>
      <b val="1"/>
      <sz val="10"/>
    </font>
    <font>
      <name val="Calibri"/>
      <family val="2"/>
      <sz val="14"/>
    </font>
    <font>
      <name val="Calibri"/>
      <family val="2"/>
      <color theme="0"/>
      <sz val="11"/>
    </font>
    <font>
      <name val="Calibri"/>
      <family val="2"/>
      <color theme="1"/>
      <sz val="10"/>
    </font>
    <font>
      <name val="Arial"/>
      <family val="2"/>
      <sz val="8"/>
    </font>
    <font>
      <name val="맑은 고딕"/>
      <charset val="129"/>
      <family val="3"/>
      <sz val="11"/>
      <scheme val="minor"/>
    </font>
    <font>
      <name val="맑은 고딕"/>
      <charset val="129"/>
      <family val="3"/>
      <color theme="0"/>
      <sz val="9"/>
      <scheme val="minor"/>
    </font>
    <font>
      <name val="맑은 고딕"/>
      <charset val="129"/>
      <family val="3"/>
      <sz val="9"/>
      <scheme val="minor"/>
    </font>
    <font>
      <name val="맑은 고딕"/>
      <charset val="129"/>
      <family val="3"/>
      <color rgb="FF222222"/>
      <sz val="12"/>
      <scheme val="minor"/>
    </font>
    <font>
      <name val="Calibri"/>
      <charset val="129"/>
      <family val="3"/>
      <sz val="10"/>
    </font>
    <font>
      <name val="Calibri"/>
      <family val="2"/>
      <sz val="12"/>
    </font>
    <font>
      <name val="Calibri"/>
      <family val="2"/>
      <b val="1"/>
      <color theme="1"/>
      <sz val="14"/>
    </font>
    <font>
      <name val="Calibri"/>
      <family val="2"/>
      <b val="1"/>
      <color theme="1"/>
      <sz val="11"/>
    </font>
    <font>
      <name val="Calibri"/>
      <family val="2"/>
      <b val="1"/>
      <color theme="0"/>
      <sz val="11"/>
      <u val="single"/>
    </font>
    <font>
      <name val="Calibri"/>
      <family val="2"/>
      <b val="1"/>
      <color theme="0"/>
      <sz val="11"/>
    </font>
    <font>
      <name val="Calibri"/>
      <family val="2"/>
      <b val="1"/>
      <color theme="1"/>
      <sz val="12"/>
    </font>
    <font>
      <name val="Calibri"/>
      <family val="2"/>
      <color rgb="FF333333"/>
      <sz val="11"/>
    </font>
    <font>
      <name val="Calibri"/>
      <family val="2"/>
      <b val="1"/>
      <sz val="18"/>
    </font>
    <font>
      <name val="Calibri"/>
      <family val="2"/>
      <b val="1"/>
      <color theme="10"/>
      <sz val="10"/>
    </font>
    <font>
      <name val="맑은 고딕"/>
      <family val="2"/>
      <color theme="1"/>
      <sz val="11"/>
      <scheme val="minor"/>
    </font>
    <font>
      <name val="Calibri"/>
      <family val="2"/>
      <color theme="0"/>
      <sz val="8"/>
    </font>
    <font>
      <name val="Calibri"/>
      <family val="2"/>
      <b val="1"/>
      <color rgb="FFFF8800"/>
      <sz val="14"/>
    </font>
    <font>
      <name val="Calibri"/>
      <family val="2"/>
      <sz val="9"/>
    </font>
    <font>
      <name val="Calibri"/>
      <family val="2"/>
      <color theme="0"/>
      <sz val="9"/>
    </font>
    <font>
      <name val="Calibri"/>
      <family val="2"/>
      <color theme="1"/>
      <sz val="9"/>
    </font>
    <font>
      <name val="Calibri"/>
      <family val="2"/>
      <color rgb="FFFF0000"/>
      <sz val="9"/>
    </font>
    <font>
      <name val="맑은 고딕"/>
      <charset val="129"/>
      <family val="3"/>
      <color theme="1"/>
      <sz val="9"/>
    </font>
    <font>
      <name val="Calibri"/>
      <charset val="129"/>
      <family val="2"/>
      <b val="1"/>
      <color theme="0"/>
      <sz val="11"/>
    </font>
    <font>
      <name val="Calibri"/>
      <charset val="129"/>
      <family val="3"/>
      <sz val="12"/>
    </font>
    <font>
      <name val="맑은 고딕"/>
      <charset val="129"/>
      <family val="2"/>
      <color theme="1"/>
      <sz val="9"/>
    </font>
    <font>
      <name val="Calibri"/>
      <charset val="129"/>
      <family val="3"/>
      <color theme="1"/>
      <sz val="9"/>
    </font>
    <font>
      <name val="Arial Unicode MS"/>
      <charset val="129"/>
      <family val="2"/>
      <color theme="1"/>
      <sz val="9"/>
    </font>
    <font>
      <name val="돋움"/>
      <charset val="129"/>
      <family val="3"/>
      <color theme="1"/>
      <sz val="9"/>
    </font>
    <font>
      <name val="Calibri"/>
      <family val="3"/>
      <color theme="1"/>
      <sz val="9"/>
    </font>
    <font>
      <name val="Calibri"/>
      <family val="2"/>
      <color rgb="FFFF8800"/>
      <sz val="9"/>
    </font>
    <font>
      <name val="Calibri"/>
      <family val="2"/>
      <color rgb="FFFF8800"/>
      <sz val="8"/>
    </font>
    <font>
      <name val="맑은 고딕"/>
      <charset val="129"/>
      <family val="3"/>
      <b val="1"/>
      <color rgb="FF0070C0"/>
      <sz val="16"/>
      <scheme val="minor"/>
    </font>
    <font>
      <name val="맑은 고딕"/>
      <charset val="129"/>
      <family val="3"/>
      <b val="1"/>
      <color rgb="FF0070C0"/>
      <sz val="12"/>
      <scheme val="minor"/>
    </font>
    <font>
      <name val="맑은 고딕"/>
      <charset val="129"/>
      <family val="3"/>
      <b val="1"/>
      <color rgb="FF0070C0"/>
      <sz val="14"/>
      <scheme val="minor"/>
    </font>
    <font>
      <name val="맑은 고딕"/>
      <charset val="129"/>
      <family val="3"/>
      <color rgb="FF0070C0"/>
      <sz val="11"/>
      <scheme val="minor"/>
    </font>
    <font>
      <name val="맑은 고딕"/>
      <charset val="129"/>
      <family val="3"/>
      <b val="1"/>
      <color rgb="FF0070C0"/>
      <sz val="10"/>
      <scheme val="minor"/>
    </font>
    <font>
      <name val="맑은 고딕"/>
      <charset val="129"/>
      <family val="3"/>
      <color rgb="FF0070C0"/>
      <sz val="9"/>
      <scheme val="minor"/>
    </font>
    <font>
      <name val="맑은 고딕"/>
      <charset val="129"/>
      <family val="3"/>
      <b val="1"/>
      <color rgb="FF0070C0"/>
      <sz val="9"/>
      <scheme val="minor"/>
    </font>
    <font>
      <name val="Calibri"/>
      <family val="2"/>
      <b val="1"/>
      <color rgb="FFFF8800"/>
      <sz val="9"/>
    </font>
    <font>
      <name val="Calibri"/>
      <family val="2"/>
      <b val="1"/>
      <color rgb="FFFF8800"/>
      <sz val="20"/>
    </font>
    <font>
      <name val="Calibri"/>
      <charset val="129"/>
      <family val="3"/>
      <b val="1"/>
      <sz val="18"/>
    </font>
    <font>
      <name val="Calibri"/>
      <charset val="129"/>
      <family val="2"/>
      <color theme="1"/>
      <sz val="9"/>
    </font>
    <font>
      <name val="맑은 고딕"/>
      <charset val="129"/>
      <family val="3"/>
      <b val="1"/>
      <sz val="9"/>
      <scheme val="minor"/>
    </font>
    <font>
      <name val="맑은 고딕"/>
      <charset val="129"/>
      <family val="3"/>
      <b val="1"/>
      <color theme="1"/>
      <sz val="11"/>
      <scheme val="minor"/>
    </font>
    <font>
      <name val="맑은 고딕"/>
      <charset val="129"/>
      <family val="3"/>
      <color rgb="FFFF8800"/>
      <sz val="9"/>
      <scheme val="minor"/>
    </font>
    <font>
      <name val="Calibri"/>
      <charset val="129"/>
      <family val="2"/>
      <sz val="11"/>
    </font>
    <font>
      <name val="Calibri"/>
      <family val="2"/>
      <color theme="1"/>
      <sz val="16"/>
    </font>
    <font>
      <name val="Malgun Gothic"/>
      <charset val="129"/>
      <family val="3"/>
      <b val="1"/>
      <color theme="10"/>
      <sz val="10"/>
    </font>
    <font>
      <name val="돋움"/>
      <charset val="129"/>
      <family val="3"/>
      <b val="1"/>
      <color rgb="FFFF8800"/>
      <sz val="9"/>
    </font>
    <font>
      <name val="Calibri"/>
      <charset val="129"/>
      <family val="3"/>
      <sz val="11"/>
    </font>
    <font>
      <name val="맑은 고딕"/>
      <charset val="129"/>
      <family val="3"/>
      <color theme="1"/>
      <sz val="9"/>
      <scheme val="minor"/>
    </font>
    <font>
      <name val="맑은 고딕"/>
      <charset val="129"/>
      <family val="3"/>
      <color rgb="FFFF0000"/>
      <sz val="9"/>
      <scheme val="minor"/>
    </font>
    <font>
      <b val="1"/>
      <color rgb="00FFFFFF"/>
    </font>
    <font>
      <name val="맑은 고딕"/>
      <b val="1"/>
      <sz val="9"/>
    </font>
    <font>
      <name val="맑은 고딕"/>
      <sz val="9"/>
    </font>
  </fonts>
  <fills count="25">
    <fill>
      <patternFill/>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4" tint="0.7999816888943144"/>
        <bgColor indexed="64"/>
      </patternFill>
    </fill>
    <fill>
      <patternFill patternType="solid">
        <fgColor rgb="FF3399FF"/>
        <bgColor indexed="64"/>
      </patternFill>
    </fill>
    <fill>
      <patternFill patternType="solid">
        <fgColor theme="0" tint="-0.3499862666707358"/>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FF0000"/>
        <bgColor indexed="64"/>
      </patternFill>
    </fill>
    <fill>
      <patternFill patternType="solid">
        <fgColor rgb="00283593"/>
      </patternFill>
    </fill>
    <fill>
      <patternFill patternType="solid">
        <fgColor rgb="00283593"/>
        <bgColor rgb="00283593"/>
      </patternFill>
    </fill>
  </fills>
  <borders count="38">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right/>
      <top style="thin">
        <color theme="0" tint="-0.1499374370555742"/>
      </top>
      <bottom/>
      <diagonal/>
    </border>
    <border>
      <left style="thin">
        <color indexed="64"/>
      </left>
      <right style="thin">
        <color indexed="64"/>
      </right>
      <top style="thin">
        <color indexed="64"/>
      </top>
      <bottom style="thin">
        <color indexed="64"/>
      </bottom>
      <diagonal/>
    </border>
    <border>
      <left/>
      <right/>
      <top/>
      <bottom style="thin">
        <color theme="0" tint="-0.1499679555650502"/>
      </bottom>
      <diagonal/>
    </border>
    <border>
      <left/>
      <right/>
      <top style="thin">
        <color theme="0" tint="-0.1499679555650502"/>
      </top>
      <bottom/>
      <diagonal/>
    </border>
    <border>
      <left/>
      <right/>
      <top/>
      <bottom style="thin">
        <color theme="0" tint="-0.1499374370555742"/>
      </bottom>
      <diagonal/>
    </border>
    <border>
      <left/>
      <right/>
      <top/>
      <bottom style="thin">
        <color theme="0" tint="-0.1499069185460982"/>
      </bottom>
      <diagonal/>
    </border>
    <border>
      <left/>
      <right/>
      <top style="thin">
        <color theme="0" tint="-0.1499069185460982"/>
      </top>
      <bottom/>
      <diagonal/>
    </border>
    <border>
      <left/>
      <right/>
      <top/>
      <bottom style="thin">
        <color theme="0" tint="-0.1498764000366222"/>
      </bottom>
      <diagonal/>
    </border>
    <border>
      <left style="thin">
        <color theme="0" tint="-0.1499374370555742"/>
      </left>
      <right style="thin">
        <color theme="0" tint="-0.1499374370555742"/>
      </right>
      <top style="thin">
        <color theme="0" tint="-0.1499374370555742"/>
      </top>
      <bottom style="thin">
        <color theme="0" tint="-0.149937437055574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0.0499893185216834"/>
      </right>
      <top/>
      <bottom/>
      <diagonal/>
    </border>
    <border>
      <left style="thin">
        <color theme="0" tint="-0.0499893185216834"/>
      </left>
      <right style="thin">
        <color theme="0" tint="-0.0499893185216834"/>
      </right>
      <top/>
      <bottom/>
      <diagonal/>
    </border>
    <border>
      <left style="thin">
        <color theme="0" tint="-0.0499893185216834"/>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
      </left>
      <right style="thin">
        <color theme="0" tint="-0.1499679555650502"/>
      </right>
      <top/>
      <bottom style="thin">
        <color theme="0" tint="-0.1499679555650502"/>
      </bottom>
      <diagonal/>
    </border>
    <border>
      <left/>
      <right/>
      <top style="thin">
        <color theme="0" tint="-0.1499374370555742"/>
      </top>
      <bottom style="thin">
        <color theme="0" tint="-0.1499374370555742"/>
      </bottom>
      <diagonal/>
    </border>
    <border>
      <left/>
      <right/>
      <top style="thin">
        <color indexed="64"/>
      </top>
      <bottom/>
      <diagonal/>
    </border>
    <border>
      <left/>
      <right style="thin">
        <color theme="0" tint="-0.0499893185216834"/>
      </right>
      <top/>
      <bottom/>
      <diagonal/>
    </border>
    <border>
      <left/>
      <right style="thin">
        <color theme="0" tint="-0.1499374370555742"/>
      </right>
      <top style="thin">
        <color theme="0" tint="-0.1499374370555742"/>
      </top>
      <bottom/>
      <diagonal/>
    </border>
    <border>
      <left/>
      <right style="thin">
        <color theme="0" tint="-0.1499374370555742"/>
      </right>
      <top style="thin">
        <color theme="0" tint="-0.1499374370555742"/>
      </top>
      <bottom style="thin">
        <color theme="0" tint="-0.1499374370555742"/>
      </bottom>
      <diagonal/>
    </border>
    <border>
      <left style="thin">
        <color rgb="00D0D0D0"/>
      </left>
      <right style="thin">
        <color rgb="00D0D0D0"/>
      </right>
      <top style="thin">
        <color rgb="00D0D0D0"/>
      </top>
      <bottom style="thin">
        <color rgb="00D0D0D0"/>
      </bottom>
    </border>
    <border>
      <left style="thin"/>
      <right style="thin"/>
      <top style="thin"/>
      <bottom style="thin"/>
    </border>
  </borders>
  <cellStyleXfs count="3">
    <xf numFmtId="0" fontId="30" fillId="0" borderId="0"/>
    <xf numFmtId="0" fontId="2" fillId="0" borderId="0"/>
    <xf numFmtId="9" fontId="30" fillId="0" borderId="0" applyAlignment="1">
      <alignment vertical="center"/>
    </xf>
  </cellStyleXfs>
  <cellXfs count="320">
    <xf numFmtId="0" fontId="0" fillId="0" borderId="0" pivotButton="0" quotePrefix="0" xfId="0"/>
    <xf numFmtId="0" fontId="5" fillId="0" borderId="0" applyAlignment="1" pivotButton="0" quotePrefix="0" xfId="0">
      <alignment vertical="center"/>
    </xf>
    <xf numFmtId="0" fontId="4" fillId="0" borderId="0" applyAlignment="1" pivotButton="0" quotePrefix="0" xfId="0">
      <alignment vertical="center"/>
    </xf>
    <xf numFmtId="14" fontId="6" fillId="0" borderId="0" applyAlignment="1" pivotButton="0" quotePrefix="0" xfId="0">
      <alignment vertical="center"/>
    </xf>
    <xf numFmtId="14" fontId="7" fillId="0" borderId="0" applyAlignment="1" pivotButton="0" quotePrefix="0" xfId="0">
      <alignment vertical="center"/>
    </xf>
    <xf numFmtId="14" fontId="8" fillId="2" borderId="0" pivotButton="0" quotePrefix="1" xfId="0"/>
    <xf numFmtId="14" fontId="8" fillId="2" borderId="0" applyAlignment="1" pivotButton="0" quotePrefix="0" xfId="0">
      <alignment vertical="center"/>
    </xf>
    <xf numFmtId="0" fontId="8" fillId="2" borderId="0" pivotButton="0" quotePrefix="0" xfId="0"/>
    <xf numFmtId="164" fontId="10" fillId="2" borderId="0" applyAlignment="1" applyProtection="1" pivotButton="0" quotePrefix="0" xfId="0">
      <alignment vertical="center"/>
      <protection locked="0" hidden="0"/>
    </xf>
    <xf numFmtId="14" fontId="9" fillId="2" borderId="0" applyAlignment="1" pivotButton="0" quotePrefix="0" xfId="0">
      <alignment vertical="center"/>
    </xf>
    <xf numFmtId="14" fontId="8" fillId="0" borderId="6" applyAlignment="1" applyProtection="1" pivotButton="0" quotePrefix="0" xfId="0">
      <alignment vertical="top"/>
      <protection locked="0" hidden="0"/>
    </xf>
    <xf numFmtId="14" fontId="8" fillId="0" borderId="6" applyAlignment="1" applyProtection="1" pivotButton="0" quotePrefix="0" xfId="0">
      <alignment vertical="center"/>
      <protection locked="0" hidden="0"/>
    </xf>
    <xf numFmtId="0" fontId="8" fillId="0" borderId="6" applyAlignment="1" applyProtection="1" pivotButton="0" quotePrefix="0" xfId="0">
      <alignment vertical="top"/>
      <protection locked="0" hidden="0"/>
    </xf>
    <xf numFmtId="0" fontId="8" fillId="0" borderId="6" applyAlignment="1" applyProtection="1" pivotButton="0" quotePrefix="0" xfId="0">
      <alignment vertical="center" wrapText="1"/>
      <protection locked="0" hidden="0"/>
    </xf>
    <xf numFmtId="0" fontId="8" fillId="0" borderId="6" applyAlignment="1" applyProtection="1" pivotButton="0" quotePrefix="0" xfId="0">
      <alignment vertical="center"/>
      <protection locked="0" hidden="0"/>
    </xf>
    <xf numFmtId="0" fontId="8" fillId="0" borderId="0" applyAlignment="1" applyProtection="1" pivotButton="0" quotePrefix="0" xfId="0">
      <alignment vertical="top"/>
      <protection locked="0" hidden="0"/>
    </xf>
    <xf numFmtId="14" fontId="11" fillId="0" borderId="0" applyAlignment="1" applyProtection="1" pivotButton="0" quotePrefix="0" xfId="0">
      <alignment horizontal="right" vertical="top"/>
      <protection locked="0" hidden="0"/>
    </xf>
    <xf numFmtId="165" fontId="8" fillId="4" borderId="7" applyAlignment="1" applyProtection="1" pivotButton="0" quotePrefix="0" xfId="0">
      <alignment vertical="center"/>
      <protection locked="0" hidden="0"/>
    </xf>
    <xf numFmtId="14" fontId="11" fillId="0" borderId="8" applyAlignment="1" applyProtection="1" pivotButton="0" quotePrefix="0" xfId="0">
      <alignment horizontal="right" vertical="top"/>
      <protection locked="0" hidden="0"/>
    </xf>
    <xf numFmtId="14" fontId="8" fillId="0" borderId="8" applyAlignment="1" applyProtection="1" pivotButton="0" quotePrefix="0" xfId="0">
      <alignment vertical="center"/>
      <protection locked="0" hidden="0"/>
    </xf>
    <xf numFmtId="0" fontId="8" fillId="0" borderId="8" applyAlignment="1" applyProtection="1" pivotButton="0" quotePrefix="0" xfId="0">
      <alignment vertical="top"/>
      <protection locked="0" hidden="0"/>
    </xf>
    <xf numFmtId="0" fontId="8" fillId="0" borderId="8" applyAlignment="1" applyProtection="1" pivotButton="0" quotePrefix="0" xfId="0">
      <alignment vertical="center"/>
      <protection locked="0" hidden="0"/>
    </xf>
    <xf numFmtId="14" fontId="11" fillId="0" borderId="0" applyAlignment="1" applyProtection="1" pivotButton="0" quotePrefix="0" xfId="0">
      <alignment vertical="top"/>
      <protection locked="0" hidden="0"/>
    </xf>
    <xf numFmtId="14" fontId="8" fillId="0" borderId="0" applyAlignment="1" applyProtection="1" pivotButton="0" quotePrefix="0" xfId="0">
      <alignment vertical="center"/>
      <protection locked="0" hidden="0"/>
    </xf>
    <xf numFmtId="0" fontId="8" fillId="0" borderId="9" applyAlignment="1" applyProtection="1" pivotButton="0" quotePrefix="0" xfId="0">
      <alignment vertical="center" wrapText="1"/>
      <protection locked="0" hidden="0"/>
    </xf>
    <xf numFmtId="14" fontId="8" fillId="0" borderId="0" applyAlignment="1" applyProtection="1" pivotButton="0" quotePrefix="0" xfId="0">
      <alignment vertical="top"/>
      <protection locked="0" hidden="0"/>
    </xf>
    <xf numFmtId="14" fontId="11" fillId="0" borderId="8" applyAlignment="1" applyProtection="1" pivotButton="0" quotePrefix="0" xfId="0">
      <alignment vertical="top"/>
      <protection locked="0" hidden="0"/>
    </xf>
    <xf numFmtId="0" fontId="8" fillId="0" borderId="8" applyAlignment="1" applyProtection="1" pivotButton="0" quotePrefix="0" xfId="0">
      <alignment vertical="center" wrapText="1"/>
      <protection locked="0" hidden="0"/>
    </xf>
    <xf numFmtId="14" fontId="11" fillId="0" borderId="9" applyAlignment="1" applyProtection="1" pivotButton="0" quotePrefix="0" xfId="0">
      <alignment vertical="center" wrapText="1"/>
      <protection locked="0" hidden="0"/>
    </xf>
    <xf numFmtId="14" fontId="11" fillId="0" borderId="0" applyAlignment="1" applyProtection="1" pivotButton="0" quotePrefix="0" xfId="0">
      <alignment horizontal="right" vertical="center" wrapText="1"/>
      <protection locked="0" hidden="0"/>
    </xf>
    <xf numFmtId="14" fontId="11" fillId="0" borderId="8" applyAlignment="1" applyProtection="1" pivotButton="0" quotePrefix="0" xfId="0">
      <alignment vertical="center" wrapText="1"/>
      <protection locked="0" hidden="0"/>
    </xf>
    <xf numFmtId="0" fontId="8" fillId="0" borderId="8" applyProtection="1" pivotButton="0" quotePrefix="0" xfId="0">
      <protection locked="0" hidden="0"/>
    </xf>
    <xf numFmtId="0" fontId="8" fillId="0" borderId="0" applyProtection="1" pivotButton="0" quotePrefix="0" xfId="0">
      <protection locked="0" hidden="0"/>
    </xf>
    <xf numFmtId="14" fontId="8" fillId="0" borderId="0" applyProtection="1" pivotButton="0" quotePrefix="0" xfId="0">
      <protection locked="0" hidden="0"/>
    </xf>
    <xf numFmtId="14" fontId="8" fillId="0" borderId="9" applyAlignment="1" applyProtection="1" pivotButton="0" quotePrefix="0" xfId="0">
      <alignment vertical="center"/>
      <protection locked="0" hidden="0"/>
    </xf>
    <xf numFmtId="0" fontId="8" fillId="0" borderId="9" applyProtection="1" pivotButton="0" quotePrefix="0" xfId="0">
      <protection locked="0" hidden="0"/>
    </xf>
    <xf numFmtId="14" fontId="8" fillId="0" borderId="10" applyAlignment="1" applyProtection="1" pivotButton="0" quotePrefix="0" xfId="0">
      <alignment vertical="center"/>
      <protection locked="0" hidden="0"/>
    </xf>
    <xf numFmtId="0" fontId="8" fillId="0" borderId="10" applyAlignment="1" applyProtection="1" pivotButton="0" quotePrefix="0" xfId="0">
      <alignment vertical="top"/>
      <protection locked="0" hidden="0"/>
    </xf>
    <xf numFmtId="14" fontId="11" fillId="0" borderId="9" applyProtection="1" pivotButton="0" quotePrefix="0" xfId="0">
      <protection locked="0" hidden="0"/>
    </xf>
    <xf numFmtId="10" fontId="8" fillId="4" borderId="7" applyAlignment="1" applyProtection="1" pivotButton="0" quotePrefix="0" xfId="0">
      <alignment vertical="center"/>
      <protection locked="0" hidden="0"/>
    </xf>
    <xf numFmtId="14" fontId="11" fillId="0" borderId="10" applyAlignment="1" applyProtection="1" pivotButton="0" quotePrefix="0" xfId="0">
      <alignment horizontal="right" vertical="top"/>
      <protection locked="0" hidden="0"/>
    </xf>
    <xf numFmtId="14" fontId="11" fillId="0" borderId="6" applyAlignment="1" applyProtection="1" pivotButton="0" quotePrefix="0" xfId="0">
      <alignment horizontal="right" vertical="top"/>
      <protection locked="0" hidden="0"/>
    </xf>
    <xf numFmtId="14" fontId="11" fillId="0" borderId="11" applyAlignment="1" applyProtection="1" pivotButton="0" quotePrefix="0" xfId="0">
      <alignment horizontal="right" vertical="top"/>
      <protection locked="0" hidden="0"/>
    </xf>
    <xf numFmtId="14" fontId="8" fillId="0" borderId="11" applyAlignment="1" applyProtection="1" pivotButton="0" quotePrefix="0" xfId="0">
      <alignment vertical="center"/>
      <protection locked="0" hidden="0"/>
    </xf>
    <xf numFmtId="0" fontId="8" fillId="0" borderId="11" applyAlignment="1" applyProtection="1" pivotButton="0" quotePrefix="0" xfId="0">
      <alignment vertical="top"/>
      <protection locked="0" hidden="0"/>
    </xf>
    <xf numFmtId="14" fontId="11" fillId="0" borderId="12" applyAlignment="1" applyProtection="1" pivotButton="0" quotePrefix="0" xfId="0">
      <alignment vertical="top"/>
      <protection locked="0" hidden="0"/>
    </xf>
    <xf numFmtId="14" fontId="8" fillId="0" borderId="12" applyAlignment="1" applyProtection="1" pivotButton="0" quotePrefix="0" xfId="0">
      <alignment vertical="center"/>
      <protection locked="0" hidden="0"/>
    </xf>
    <xf numFmtId="0" fontId="8" fillId="0" borderId="12" applyAlignment="1" applyProtection="1" pivotButton="0" quotePrefix="0" xfId="0">
      <alignment vertical="top"/>
      <protection locked="0" hidden="0"/>
    </xf>
    <xf numFmtId="0" fontId="8" fillId="0" borderId="9" applyAlignment="1" applyProtection="1" pivotButton="0" quotePrefix="0" xfId="0">
      <alignment vertical="center"/>
      <protection locked="0" hidden="0"/>
    </xf>
    <xf numFmtId="10" fontId="8" fillId="4" borderId="7" applyAlignment="1" pivotButton="0" quotePrefix="0" xfId="0">
      <alignment vertical="center"/>
    </xf>
    <xf numFmtId="14" fontId="8" fillId="0" borderId="13" applyAlignment="1" applyProtection="1" pivotButton="0" quotePrefix="0" xfId="0">
      <alignment horizontal="right" vertical="top"/>
      <protection locked="0" hidden="0"/>
    </xf>
    <xf numFmtId="14" fontId="8" fillId="0" borderId="13" applyAlignment="1" applyProtection="1" pivotButton="0" quotePrefix="0" xfId="0">
      <alignment vertical="center"/>
      <protection locked="0" hidden="0"/>
    </xf>
    <xf numFmtId="0" fontId="8" fillId="0" borderId="13" applyAlignment="1" applyProtection="1" pivotButton="0" quotePrefix="0" xfId="0">
      <alignment vertical="top"/>
      <protection locked="0" hidden="0"/>
    </xf>
    <xf numFmtId="0" fontId="8" fillId="0" borderId="13" applyAlignment="1" applyProtection="1" pivotButton="0" quotePrefix="0" xfId="0">
      <alignment vertical="center"/>
      <protection locked="0" hidden="0"/>
    </xf>
    <xf numFmtId="14" fontId="7" fillId="0" borderId="0" applyAlignment="1" applyProtection="1" pivotButton="0" quotePrefix="0" xfId="0">
      <alignment vertical="top"/>
      <protection locked="0" hidden="0"/>
    </xf>
    <xf numFmtId="14" fontId="7" fillId="0" borderId="0" applyAlignment="1" applyProtection="1" pivotButton="0" quotePrefix="0" xfId="0">
      <alignment vertical="center"/>
      <protection locked="0" hidden="0"/>
    </xf>
    <xf numFmtId="0" fontId="7" fillId="0" borderId="0" applyAlignment="1" applyProtection="1" pivotButton="0" quotePrefix="0" xfId="0">
      <alignment vertical="top"/>
      <protection locked="0" hidden="0"/>
    </xf>
    <xf numFmtId="14" fontId="7" fillId="0" borderId="0" applyProtection="1" pivotButton="0" quotePrefix="0" xfId="0">
      <protection locked="0" hidden="0"/>
    </xf>
    <xf numFmtId="165" fontId="7" fillId="0" borderId="0" applyAlignment="1" applyProtection="1" pivotButton="0" quotePrefix="0" xfId="0">
      <alignment vertical="center"/>
      <protection locked="0" hidden="0"/>
    </xf>
    <xf numFmtId="0" fontId="7" fillId="0" borderId="0" applyProtection="1" pivotButton="0" quotePrefix="0" xfId="0">
      <protection locked="0" hidden="0"/>
    </xf>
    <xf numFmtId="1"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4" fontId="7" fillId="0" borderId="0" pivotButton="0" quotePrefix="0" xfId="0"/>
    <xf numFmtId="14" fontId="7" fillId="2" borderId="0" applyAlignment="1" pivotButton="0" quotePrefix="0" xfId="0">
      <alignment vertical="top"/>
    </xf>
    <xf numFmtId="14" fontId="13" fillId="3" borderId="14" applyAlignment="1" pivotButton="0" quotePrefix="0" xfId="0">
      <alignment horizontal="center" vertical="center"/>
    </xf>
    <xf numFmtId="14" fontId="7" fillId="0" borderId="0" applyAlignment="1" pivotButton="0" quotePrefix="0" xfId="0">
      <alignment horizontal="center" vertical="center"/>
    </xf>
    <xf numFmtId="0" fontId="8" fillId="6" borderId="15" applyAlignment="1" pivotButton="0" quotePrefix="0" xfId="0">
      <alignment horizontal="left" vertical="top"/>
    </xf>
    <xf numFmtId="0" fontId="8" fillId="0" borderId="0" applyAlignment="1" pivotButton="0" quotePrefix="0" xfId="0">
      <alignment horizontal="left" vertical="top"/>
    </xf>
    <xf numFmtId="0" fontId="8" fillId="0" borderId="0" applyAlignment="1" pivotButton="0" quotePrefix="0" xfId="0">
      <alignment vertical="top"/>
    </xf>
    <xf numFmtId="14" fontId="8" fillId="0" borderId="0" applyAlignment="1" pivotButton="0" quotePrefix="0" xfId="0">
      <alignment horizontal="left" vertical="top"/>
    </xf>
    <xf numFmtId="22" fontId="8" fillId="0" borderId="0" applyAlignment="1" pivotButton="0" quotePrefix="0" xfId="0">
      <alignment horizontal="left" vertical="top"/>
    </xf>
    <xf numFmtId="14" fontId="16" fillId="5" borderId="14" applyProtection="1" pivotButton="0" quotePrefix="0" xfId="0">
      <protection locked="0" hidden="0"/>
    </xf>
    <xf numFmtId="14" fontId="16" fillId="0" borderId="14" applyProtection="1" pivotButton="0" quotePrefix="0" xfId="0">
      <protection locked="0" hidden="0"/>
    </xf>
    <xf numFmtId="14" fontId="16" fillId="0" borderId="0" pivotButton="0" quotePrefix="0" xfId="0"/>
    <xf numFmtId="0" fontId="19" fillId="0" borderId="0" pivotButton="0" quotePrefix="0" xfId="0"/>
    <xf numFmtId="14" fontId="16" fillId="0" borderId="14" pivotButton="0" quotePrefix="0" xfId="0"/>
    <xf numFmtId="0" fontId="21" fillId="0" borderId="0" pivotButton="0" quotePrefix="0" xfId="0"/>
    <xf numFmtId="0" fontId="8" fillId="0" borderId="0" applyAlignment="1" applyProtection="1" pivotButton="0" quotePrefix="0" xfId="0">
      <alignment horizontal="center"/>
      <protection locked="0" hidden="0"/>
    </xf>
    <xf numFmtId="0" fontId="22" fillId="0" borderId="0" applyAlignment="1" applyProtection="1" pivotButton="0" quotePrefix="0" xfId="0">
      <alignment horizontal="center"/>
      <protection locked="0" hidden="0"/>
    </xf>
    <xf numFmtId="0" fontId="23" fillId="0" borderId="0" applyProtection="1" pivotButton="0" quotePrefix="0" xfId="0">
      <protection locked="0" hidden="0"/>
    </xf>
    <xf numFmtId="0" fontId="8" fillId="0" borderId="0" applyAlignment="1" applyProtection="1" pivotButton="0" quotePrefix="0" xfId="0">
      <alignment vertical="center"/>
      <protection locked="0" hidden="0"/>
    </xf>
    <xf numFmtId="0" fontId="24" fillId="10" borderId="17" applyAlignment="1" applyProtection="1" pivotButton="0" quotePrefix="0" xfId="1">
      <alignment horizontal="center" vertical="center" wrapText="1"/>
      <protection locked="0" hidden="0"/>
    </xf>
    <xf numFmtId="0" fontId="24" fillId="9" borderId="17" applyAlignment="1" applyProtection="1" pivotButton="0" quotePrefix="0" xfId="1">
      <alignment horizontal="center" vertical="center" wrapText="1"/>
      <protection locked="0" hidden="0"/>
    </xf>
    <xf numFmtId="0" fontId="24" fillId="11" borderId="17" applyAlignment="1" applyProtection="1" pivotButton="0" quotePrefix="0" xfId="1">
      <alignment horizontal="center" vertical="center" wrapText="1"/>
      <protection locked="0" hidden="0"/>
    </xf>
    <xf numFmtId="0" fontId="24" fillId="12" borderId="17" applyAlignment="1" applyProtection="1" pivotButton="0" quotePrefix="0" xfId="1">
      <alignment horizontal="center" vertical="center" wrapText="1"/>
      <protection locked="0" hidden="0"/>
    </xf>
    <xf numFmtId="0" fontId="24" fillId="8" borderId="17" applyAlignment="1" applyProtection="1" pivotButton="0" quotePrefix="0" xfId="1">
      <alignment horizontal="center" vertical="center" wrapText="1"/>
      <protection locked="0" hidden="0"/>
    </xf>
    <xf numFmtId="0" fontId="25" fillId="8" borderId="17" applyAlignment="1" applyProtection="1" pivotButton="0" quotePrefix="0" xfId="1">
      <alignment horizontal="center" vertical="center" wrapText="1"/>
      <protection locked="0" hidden="0"/>
    </xf>
    <xf numFmtId="0" fontId="21" fillId="0" borderId="0" applyAlignment="1" pivotButton="0" quotePrefix="0" xfId="0">
      <alignment vertical="center"/>
    </xf>
    <xf numFmtId="0" fontId="21" fillId="0" borderId="0" applyAlignment="1" pivotButton="0" quotePrefix="0" xfId="0">
      <alignment horizontal="center" vertical="center"/>
    </xf>
    <xf numFmtId="0" fontId="7" fillId="0" borderId="0" applyAlignment="1" pivotButton="0" quotePrefix="0" xfId="0">
      <alignment vertical="center"/>
    </xf>
    <xf numFmtId="0" fontId="26" fillId="0" borderId="0" applyAlignment="1" applyProtection="1" pivotButton="0" quotePrefix="0" xfId="0">
      <alignment horizontal="center"/>
      <protection locked="0" hidden="0"/>
    </xf>
    <xf numFmtId="0" fontId="25" fillId="7" borderId="17" applyAlignment="1" applyProtection="1" pivotButton="0" quotePrefix="0" xfId="1">
      <alignment horizontal="center" vertical="center" wrapText="1"/>
      <protection locked="0" hidden="0"/>
    </xf>
    <xf numFmtId="0" fontId="23" fillId="0" borderId="0" applyAlignment="1" applyProtection="1" pivotButton="0" quotePrefix="0" xfId="0">
      <alignment horizontal="center"/>
      <protection locked="0" hidden="0"/>
    </xf>
    <xf numFmtId="0" fontId="26" fillId="13" borderId="0" applyAlignment="1" applyProtection="1" pivotButton="0" quotePrefix="0" xfId="0">
      <alignment horizontal="left"/>
      <protection locked="0" hidden="0"/>
    </xf>
    <xf numFmtId="0" fontId="8" fillId="13" borderId="0" applyProtection="1" pivotButton="0" quotePrefix="0" xfId="0">
      <protection locked="0" hidden="0"/>
    </xf>
    <xf numFmtId="0" fontId="23" fillId="13" borderId="0" applyProtection="1" pivotButton="0" quotePrefix="0" xfId="0">
      <protection locked="0" hidden="0"/>
    </xf>
    <xf numFmtId="0" fontId="8" fillId="13" borderId="0" applyAlignment="1" applyProtection="1" pivotButton="0" quotePrefix="0" xfId="0">
      <alignment vertical="center"/>
      <protection locked="0" hidden="0"/>
    </xf>
    <xf numFmtId="0" fontId="21" fillId="0" borderId="0" applyAlignment="1" pivotButton="0" quotePrefix="0" xfId="0">
      <alignment horizontal="center"/>
    </xf>
    <xf numFmtId="0" fontId="2" fillId="0" borderId="18" applyAlignment="1" applyProtection="1" pivotButton="0" quotePrefix="0" xfId="1">
      <alignment horizontal="center" vertical="center" wrapText="1"/>
      <protection locked="0" hidden="0"/>
    </xf>
    <xf numFmtId="0" fontId="18" fillId="0" borderId="0" applyAlignment="1" pivotButton="0" quotePrefix="0" xfId="0">
      <alignment horizontal="left" vertical="center"/>
    </xf>
    <xf numFmtId="0" fontId="18" fillId="0" borderId="4" applyAlignment="1" applyProtection="1" pivotButton="0" quotePrefix="0" xfId="0">
      <alignment horizontal="left" vertical="center"/>
      <protection locked="0" hidden="0"/>
    </xf>
    <xf numFmtId="0" fontId="18" fillId="15" borderId="0" applyAlignment="1" pivotButton="0" quotePrefix="0" xfId="0">
      <alignment horizontal="left" vertical="center"/>
    </xf>
    <xf numFmtId="0" fontId="18" fillId="0" borderId="23" applyAlignment="1" applyProtection="1" pivotButton="0" quotePrefix="0" xfId="0">
      <alignment vertical="top"/>
      <protection locked="0" hidden="0"/>
    </xf>
    <xf numFmtId="0" fontId="18" fillId="0" borderId="23" applyAlignment="1" applyProtection="1" pivotButton="0" quotePrefix="0" xfId="0">
      <alignment horizontal="left" vertical="top"/>
      <protection locked="0" hidden="0"/>
    </xf>
    <xf numFmtId="14" fontId="18" fillId="0" borderId="23" applyAlignment="1" applyProtection="1" pivotButton="0" quotePrefix="0" xfId="0">
      <alignment horizontal="center" vertical="top"/>
      <protection locked="0" hidden="0"/>
    </xf>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 fontId="18" fillId="0" borderId="23" applyAlignment="1" applyProtection="1" pivotButton="0" quotePrefix="0" xfId="0">
      <alignment horizontal="center" vertical="top"/>
      <protection locked="0" hidden="0"/>
    </xf>
    <xf numFmtId="0" fontId="18" fillId="0" borderId="5" applyAlignment="1" applyProtection="1" pivotButton="0" quotePrefix="0" xfId="0">
      <alignment vertical="top"/>
      <protection locked="0" hidden="0"/>
    </xf>
    <xf numFmtId="0" fontId="18" fillId="0" borderId="5" applyAlignment="1" applyProtection="1" pivotButton="0" quotePrefix="0" xfId="0">
      <alignment horizontal="center" vertical="top"/>
      <protection locked="0" hidden="0"/>
    </xf>
    <xf numFmtId="0" fontId="18" fillId="0" borderId="5" applyAlignment="1" applyProtection="1" pivotButton="0" quotePrefix="0" xfId="0">
      <alignment horizontal="left" vertical="top"/>
      <protection locked="0" hidden="0"/>
    </xf>
    <xf numFmtId="14" fontId="18" fillId="0" borderId="5" applyAlignment="1" applyProtection="1" pivotButton="0" quotePrefix="0" xfId="0">
      <alignment horizontal="center" vertical="top"/>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 fontId="18" fillId="0" borderId="5" applyAlignment="1" applyProtection="1" pivotButton="0" quotePrefix="0" xfId="0">
      <alignment horizontal="center" vertical="top"/>
      <protection locked="0" hidden="0"/>
    </xf>
    <xf numFmtId="10" fontId="18" fillId="0" borderId="5" applyAlignment="1" applyProtection="1" pivotButton="0" quotePrefix="0" xfId="0">
      <alignment horizontal="right" vertical="top" wrapText="1"/>
      <protection locked="0" hidden="0"/>
    </xf>
    <xf numFmtId="10" fontId="18" fillId="0" borderId="5" applyAlignment="1" applyProtection="1" pivotButton="0" quotePrefix="0" xfId="0">
      <alignment horizontal="right" vertical="top"/>
      <protection locked="0" hidden="0"/>
    </xf>
    <xf numFmtId="10" fontId="18" fillId="0" borderId="23" applyAlignment="1" applyProtection="1" pivotButton="0" quotePrefix="0" xfId="2">
      <alignment horizontal="right" vertical="top" wrapText="1"/>
      <protection locked="0" hidden="0"/>
    </xf>
    <xf numFmtId="0" fontId="18" fillId="0" borderId="23" applyAlignment="1" applyProtection="1" pivotButton="0" quotePrefix="1" xfId="0">
      <alignment horizontal="left" vertical="top"/>
      <protection locked="0" hidden="0"/>
    </xf>
    <xf numFmtId="0" fontId="18" fillId="0" borderId="24" applyAlignment="1" applyProtection="1" pivotButton="0" quotePrefix="0" xfId="0">
      <alignment horizontal="left" vertical="center"/>
      <protection locked="0" hidden="0"/>
    </xf>
    <xf numFmtId="0" fontId="18" fillId="0" borderId="28" applyAlignment="1" applyProtection="1" pivotButton="0" quotePrefix="0" xfId="0">
      <alignment horizontal="left" vertical="center"/>
      <protection locked="0" hidden="0"/>
    </xf>
    <xf numFmtId="0" fontId="18" fillId="0" borderId="29" applyAlignment="1" applyProtection="1" pivotButton="0" quotePrefix="0" xfId="0">
      <alignment horizontal="left" vertical="center"/>
      <protection locked="0" hidden="0"/>
    </xf>
    <xf numFmtId="0" fontId="8" fillId="19" borderId="0" applyAlignment="1" pivotButton="0" quotePrefix="0" xfId="0">
      <alignment vertical="top"/>
    </xf>
    <xf numFmtId="0" fontId="8" fillId="19" borderId="0" applyAlignment="1" pivotButton="0" quotePrefix="0" xfId="0">
      <alignment horizontal="left" vertical="top"/>
    </xf>
    <xf numFmtId="0" fontId="34" fillId="3" borderId="1" applyAlignment="1" pivotButton="0" quotePrefix="0" xfId="0">
      <alignment horizontal="center" vertical="center"/>
    </xf>
    <xf numFmtId="0" fontId="34" fillId="3" borderId="1" applyAlignment="1" pivotButton="0" quotePrefix="0" xfId="0">
      <alignment horizontal="center" vertical="center" wrapText="1"/>
    </xf>
    <xf numFmtId="0" fontId="35" fillId="0" borderId="0" applyAlignment="1" pivotButton="0" quotePrefix="0" xfId="0">
      <alignment vertical="top"/>
    </xf>
    <xf numFmtId="0" fontId="35" fillId="0" borderId="0" applyAlignment="1" pivotButton="0" quotePrefix="0" xfId="0">
      <alignment horizontal="center" vertical="top"/>
    </xf>
    <xf numFmtId="0" fontId="36" fillId="0" borderId="0" applyAlignment="1" pivotButton="0" quotePrefix="0" xfId="0">
      <alignment vertical="top"/>
    </xf>
    <xf numFmtId="0" fontId="35" fillId="0" borderId="0" applyAlignment="1" pivotButton="0" quotePrefix="0" xfId="0">
      <alignment vertical="top" wrapText="1"/>
    </xf>
    <xf numFmtId="0" fontId="35" fillId="0" borderId="0" applyAlignment="1" pivotButton="0" quotePrefix="0" xfId="0">
      <alignment horizontal="left" vertical="top" wrapText="1"/>
    </xf>
    <xf numFmtId="0" fontId="35" fillId="0" borderId="0" applyAlignment="1" pivotButton="0" quotePrefix="0" xfId="0">
      <alignment horizontal="left" vertical="top"/>
    </xf>
    <xf numFmtId="0" fontId="36" fillId="0" borderId="0" applyAlignment="1" pivotButton="0" quotePrefix="0" xfId="0">
      <alignment horizontal="left" vertical="top"/>
    </xf>
    <xf numFmtId="14" fontId="35" fillId="0" borderId="0" applyAlignment="1" pivotButton="0" quotePrefix="0" xfId="0">
      <alignment horizontal="left" vertical="top" wrapText="1"/>
    </xf>
    <xf numFmtId="0" fontId="35" fillId="0" borderId="0" pivotButton="0" quotePrefix="0" xfId="0"/>
    <xf numFmtId="0" fontId="33" fillId="0" borderId="0" applyAlignment="1" pivotButton="0" quotePrefix="0" xfId="0">
      <alignment horizontal="left" vertical="top"/>
    </xf>
    <xf numFmtId="0" fontId="36" fillId="0" borderId="0" applyAlignment="1" pivotButton="0" quotePrefix="0" xfId="0">
      <alignment horizontal="left" vertical="top" wrapText="1"/>
    </xf>
    <xf numFmtId="0" fontId="38" fillId="7" borderId="17" applyAlignment="1" applyProtection="1" pivotButton="0" quotePrefix="0" xfId="1">
      <alignment horizontal="center" vertical="center" wrapText="1"/>
      <protection locked="0" hidden="0"/>
    </xf>
    <xf numFmtId="0" fontId="14" fillId="19" borderId="0" pivotButton="0" quotePrefix="0" xfId="0"/>
    <xf numFmtId="0" fontId="2" fillId="19" borderId="0" applyAlignment="1" pivotButton="0" quotePrefix="0" xfId="1">
      <alignment horizontal="left" vertical="top"/>
    </xf>
    <xf numFmtId="14" fontId="8" fillId="19" borderId="0" applyAlignment="1" pivotButton="0" quotePrefix="0" xfId="0">
      <alignment horizontal="left" vertical="top"/>
    </xf>
    <xf numFmtId="0" fontId="8" fillId="17" borderId="0" applyAlignment="1" pivotButton="0" quotePrefix="0" xfId="0">
      <alignment vertical="top"/>
    </xf>
    <xf numFmtId="0" fontId="8" fillId="17" borderId="0" applyAlignment="1" pivotButton="0" quotePrefix="1" xfId="0">
      <alignment horizontal="left" vertical="top"/>
    </xf>
    <xf numFmtId="0" fontId="8" fillId="17" borderId="0" applyAlignment="1" pivotButton="0" quotePrefix="0" xfId="0">
      <alignment horizontal="left" vertical="top"/>
    </xf>
    <xf numFmtId="0" fontId="40" fillId="0" borderId="0" applyAlignment="1" pivotButton="0" quotePrefix="0" xfId="0">
      <alignment vertical="top" wrapText="1"/>
    </xf>
    <xf numFmtId="0" fontId="41" fillId="0" borderId="0" applyAlignment="1" pivotButton="0" quotePrefix="0" xfId="0">
      <alignment vertical="top" wrapText="1"/>
    </xf>
    <xf numFmtId="0" fontId="42" fillId="0" borderId="0" applyAlignment="1" pivotButton="0" quotePrefix="0" xfId="0">
      <alignment vertical="top" wrapText="1"/>
    </xf>
    <xf numFmtId="0" fontId="28" fillId="18" borderId="21" applyAlignment="1" pivotButton="0" quotePrefix="0" xfId="0">
      <alignment vertical="center"/>
    </xf>
    <xf numFmtId="0" fontId="28" fillId="18" borderId="22" applyAlignment="1" pivotButton="0" quotePrefix="0" xfId="0">
      <alignment vertical="center"/>
    </xf>
    <xf numFmtId="0" fontId="28" fillId="18" borderId="20" pivotButton="0" quotePrefix="0" xfId="0"/>
    <xf numFmtId="0" fontId="21" fillId="18" borderId="20" pivotButton="0" quotePrefix="0" xfId="0"/>
    <xf numFmtId="0" fontId="28" fillId="18" borderId="19" applyAlignment="1" pivotButton="0" quotePrefix="0" xfId="0">
      <alignment horizontal="left"/>
    </xf>
    <xf numFmtId="0" fontId="18" fillId="0" borderId="30" applyAlignment="1" applyProtection="1" pivotButton="0" quotePrefix="0" xfId="0">
      <alignment vertical="top"/>
      <protection locked="0" hidden="0"/>
    </xf>
    <xf numFmtId="0" fontId="18" fillId="0" borderId="30" applyAlignment="1" applyProtection="1" pivotButton="0" quotePrefix="0" xfId="0">
      <alignment horizontal="center" vertical="top"/>
      <protection locked="0" hidden="0"/>
    </xf>
    <xf numFmtId="0" fontId="18" fillId="0" borderId="30" applyAlignment="1" applyProtection="1" pivotButton="0" quotePrefix="0" xfId="0">
      <alignment horizontal="left" vertical="top"/>
      <protection locked="0" hidden="0"/>
    </xf>
    <xf numFmtId="14" fontId="18" fillId="0" borderId="30"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 fontId="18" fillId="0" borderId="30" applyAlignment="1" applyProtection="1" pivotButton="0" quotePrefix="0" xfId="0">
      <alignment horizontal="center" vertical="top"/>
      <protection locked="0" hidden="0"/>
    </xf>
    <xf numFmtId="10" fontId="18" fillId="0" borderId="30" applyAlignment="1" applyProtection="1" pivotButton="0" quotePrefix="0" xfId="0">
      <alignment horizontal="right" vertical="top" wrapText="1"/>
      <protection locked="0" hidden="0"/>
    </xf>
    <xf numFmtId="10" fontId="18" fillId="0" borderId="30" applyAlignment="1" applyProtection="1" pivotButton="0" quotePrefix="0" xfId="0">
      <alignment horizontal="right" vertical="top"/>
      <protection locked="0" hidden="0"/>
    </xf>
    <xf numFmtId="0" fontId="44" fillId="0" borderId="0" applyAlignment="1" pivotButton="0" quotePrefix="0" xfId="0">
      <alignment vertical="top" wrapText="1"/>
    </xf>
    <xf numFmtId="14" fontId="46" fillId="17" borderId="25" applyAlignment="1" pivotButton="0" quotePrefix="0" xfId="0">
      <alignment horizontal="center" vertical="center"/>
    </xf>
    <xf numFmtId="14" fontId="46" fillId="17" borderId="26" applyAlignment="1" pivotButton="0" quotePrefix="0" xfId="0">
      <alignment horizontal="center" vertical="center"/>
    </xf>
    <xf numFmtId="0" fontId="47" fillId="15" borderId="0" applyAlignment="1" pivotButton="0" quotePrefix="0" xfId="0">
      <alignment horizontal="left"/>
    </xf>
    <xf numFmtId="0" fontId="48" fillId="15" borderId="0" applyAlignment="1" pivotButton="0" quotePrefix="0" xfId="0">
      <alignment horizontal="left"/>
    </xf>
    <xf numFmtId="0" fontId="52" fillId="15" borderId="0" applyAlignment="1" pivotButton="0" quotePrefix="0" xfId="1">
      <alignment horizontal="right"/>
    </xf>
    <xf numFmtId="10" fontId="52" fillId="15" borderId="0" applyAlignment="1" pivotButton="0" quotePrefix="0" xfId="0">
      <alignment horizontal="right"/>
    </xf>
    <xf numFmtId="166" fontId="52" fillId="15" borderId="0" applyAlignment="1" pivotButton="0" quotePrefix="0" xfId="1">
      <alignment horizontal="right"/>
    </xf>
    <xf numFmtId="0" fontId="53" fillId="15" borderId="0" pivotButton="0" quotePrefix="0" xfId="1"/>
    <xf numFmtId="0" fontId="53" fillId="15" borderId="0" applyAlignment="1" pivotButton="0" quotePrefix="0" xfId="1">
      <alignment horizontal="right"/>
    </xf>
    <xf numFmtId="0" fontId="37" fillId="0" borderId="0" applyAlignment="1" pivotButton="0" quotePrefix="0" xfId="0">
      <alignment vertical="top" wrapText="1"/>
    </xf>
    <xf numFmtId="0" fontId="56" fillId="18" borderId="20" pivotButton="0" quotePrefix="0" xfId="0"/>
    <xf numFmtId="0" fontId="47" fillId="15" borderId="0" applyAlignment="1" pivotButton="0" quotePrefix="0" xfId="0">
      <alignment horizontal="left" vertical="top"/>
    </xf>
    <xf numFmtId="0" fontId="47" fillId="15" borderId="0" applyAlignment="1" pivotButton="0" quotePrefix="0" xfId="0">
      <alignment horizontal="left" vertical="center"/>
    </xf>
    <xf numFmtId="0" fontId="48" fillId="15" borderId="0" applyAlignment="1" pivotButton="0" quotePrefix="0" xfId="0">
      <alignment horizontal="left" vertical="top"/>
    </xf>
    <xf numFmtId="0" fontId="51" fillId="15" borderId="0" applyAlignment="1" pivotButton="0" quotePrefix="0" xfId="1">
      <alignment vertical="top" wrapText="1"/>
    </xf>
    <xf numFmtId="0" fontId="51" fillId="15" borderId="0" applyAlignment="1" pivotButton="0" quotePrefix="0" xfId="1">
      <alignment vertical="top"/>
    </xf>
    <xf numFmtId="0" fontId="48" fillId="15" borderId="0" applyAlignment="1" pivotButton="0" quotePrefix="0" xfId="1">
      <alignment horizontal="right" vertical="center"/>
    </xf>
    <xf numFmtId="0" fontId="52" fillId="15" borderId="0" applyAlignment="1" pivotButton="0" quotePrefix="0" xfId="0">
      <alignment horizontal="left" vertical="center"/>
    </xf>
    <xf numFmtId="0" fontId="49" fillId="15" borderId="0" applyAlignment="1" pivotButton="0" quotePrefix="0" xfId="0">
      <alignment horizontal="left" vertical="center"/>
    </xf>
    <xf numFmtId="0" fontId="49" fillId="15" borderId="0" applyAlignment="1" pivotButton="0" quotePrefix="0" xfId="0">
      <alignment vertical="center"/>
    </xf>
    <xf numFmtId="14" fontId="49" fillId="15" borderId="0" applyAlignment="1" pivotButton="0" quotePrefix="0" xfId="0">
      <alignment vertical="top"/>
    </xf>
    <xf numFmtId="14" fontId="50" fillId="15" borderId="0" applyAlignment="1" pivotButton="0" quotePrefix="0" xfId="0">
      <alignment horizontal="left" vertical="top" wrapText="1"/>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4" fontId="49" fillId="15" borderId="0" applyAlignment="1" pivotButton="0" quotePrefix="0" xfId="0">
      <alignment horizontal="center" vertical="top"/>
    </xf>
    <xf numFmtId="1" fontId="49" fillId="15" borderId="0" applyAlignment="1" pivotButton="0" quotePrefix="0" xfId="0">
      <alignment horizontal="center" vertical="top"/>
    </xf>
    <xf numFmtId="0" fontId="55" fillId="15" borderId="0" applyAlignment="1" pivotButton="0" quotePrefix="0" xfId="1">
      <alignment horizontal="left" vertical="center"/>
    </xf>
    <xf numFmtId="0" fontId="2" fillId="15" borderId="0" applyAlignment="1" pivotButton="0" quotePrefix="0" xfId="1">
      <alignment horizontal="left" vertical="center"/>
    </xf>
    <xf numFmtId="0" fontId="57" fillId="0" borderId="0" applyAlignment="1" pivotButton="0" quotePrefix="0" xfId="0">
      <alignment vertical="top" wrapText="1"/>
    </xf>
    <xf numFmtId="0" fontId="52" fillId="15" borderId="0" pivotButton="0" quotePrefix="0" xfId="0"/>
    <xf numFmtId="0" fontId="48" fillId="15" borderId="0" applyAlignment="1" pivotButton="0" quotePrefix="0" xfId="1">
      <alignment horizontal="right" vertical="center"/>
    </xf>
    <xf numFmtId="10" fontId="0" fillId="0" borderId="0" pivotButton="0" quotePrefix="0" xfId="0"/>
    <xf numFmtId="2" fontId="7" fillId="0" borderId="0" applyAlignment="1" applyProtection="1" pivotButton="0" quotePrefix="0" xfId="0">
      <alignment vertical="center"/>
      <protection locked="0" hidden="0"/>
    </xf>
    <xf numFmtId="0" fontId="5" fillId="15" borderId="0" applyAlignment="1" pivotButton="0" quotePrefix="0" xfId="0">
      <alignment horizontal="left" vertical="center"/>
    </xf>
    <xf numFmtId="0" fontId="57" fillId="0" borderId="0" applyAlignment="1" pivotButton="0" quotePrefix="1" xfId="0">
      <alignment vertical="top" wrapText="1"/>
    </xf>
    <xf numFmtId="0" fontId="40" fillId="0" borderId="0" applyAlignment="1" pivotButton="0" quotePrefix="1" xfId="0">
      <alignment vertical="top" wrapText="1"/>
    </xf>
    <xf numFmtId="10" fontId="18" fillId="15" borderId="23" applyAlignment="1" applyProtection="1" pivotButton="0" quotePrefix="0" xfId="2">
      <alignment horizontal="right" vertical="top"/>
      <protection locked="0" hidden="0"/>
    </xf>
    <xf numFmtId="0" fontId="7" fillId="20" borderId="1" applyAlignment="1" pivotButton="0" quotePrefix="0" xfId="0">
      <alignment horizontal="left" wrapText="1"/>
    </xf>
    <xf numFmtId="0" fontId="7" fillId="20" borderId="2" applyAlignment="1" pivotButton="0" quotePrefix="0" xfId="0">
      <alignment horizontal="left" wrapText="1"/>
    </xf>
    <xf numFmtId="0" fontId="59" fillId="21" borderId="7" pivotButton="0" quotePrefix="0" xfId="0"/>
    <xf numFmtId="168" fontId="0" fillId="0" borderId="0" pivotButton="0" quotePrefix="0" xfId="0"/>
    <xf numFmtId="1" fontId="0" fillId="0" borderId="0" pivotButton="0" quotePrefix="0" xfId="0"/>
    <xf numFmtId="4" fontId="0" fillId="0" borderId="0" pivotButton="0" quotePrefix="0" xfId="0"/>
    <xf numFmtId="10" fontId="18" fillId="0" borderId="23" applyAlignment="1" applyProtection="1" pivotButton="0" quotePrefix="0" xfId="2">
      <alignment horizontal="right" vertical="top"/>
      <protection locked="0" hidden="0"/>
    </xf>
    <xf numFmtId="10" fontId="58" fillId="15" borderId="23" applyAlignment="1" applyProtection="1" pivotButton="0" quotePrefix="0" xfId="2">
      <alignment horizontal="right" vertical="top"/>
      <protection locked="0" hidden="0"/>
    </xf>
    <xf numFmtId="0" fontId="46" fillId="17" borderId="27" applyAlignment="1" pivotButton="0" quotePrefix="0" xfId="0">
      <alignment horizontal="left" vertical="center"/>
    </xf>
    <xf numFmtId="0" fontId="60" fillId="0" borderId="0" applyAlignment="1" pivotButton="0" quotePrefix="0" xfId="0">
      <alignment horizontal="left" vertical="center"/>
    </xf>
    <xf numFmtId="0" fontId="62" fillId="19" borderId="0" applyAlignment="1" pivotButton="0" quotePrefix="0" xfId="0">
      <alignment vertical="top"/>
    </xf>
    <xf numFmtId="0" fontId="62" fillId="19" borderId="0" applyAlignment="1" pivotButton="0" quotePrefix="0" xfId="0">
      <alignment horizontal="left" vertical="top" wrapText="1"/>
    </xf>
    <xf numFmtId="0" fontId="18" fillId="0" borderId="23" applyAlignment="1" applyProtection="1" pivotButton="0" quotePrefix="0" xfId="0">
      <alignment horizontal="left" vertical="center"/>
      <protection locked="0" hidden="0"/>
    </xf>
    <xf numFmtId="10" fontId="18" fillId="15" borderId="23" applyAlignment="1" applyProtection="1" pivotButton="0" quotePrefix="0" xfId="2">
      <alignment horizontal="right" vertical="top" wrapText="1"/>
      <protection locked="0" hidden="0"/>
    </xf>
    <xf numFmtId="10" fontId="18" fillId="22" borderId="23" applyAlignment="1" applyProtection="1" pivotButton="0" quotePrefix="0" xfId="2">
      <alignment horizontal="right" vertical="top"/>
      <protection locked="0" hidden="0"/>
    </xf>
    <xf numFmtId="0" fontId="66" fillId="0" borderId="0" applyAlignment="1" pivotButton="0" quotePrefix="0" xfId="0">
      <alignment vertical="top"/>
    </xf>
    <xf numFmtId="0" fontId="67" fillId="0" borderId="0" applyAlignment="1" pivotButton="0" quotePrefix="0" xfId="0">
      <alignment vertical="top"/>
    </xf>
    <xf numFmtId="0" fontId="66" fillId="0" borderId="0" applyAlignment="1" pivotButton="0" quotePrefix="0" xfId="0">
      <alignment vertical="top" wrapText="1"/>
    </xf>
    <xf numFmtId="10" fontId="7" fillId="20" borderId="2" applyAlignment="1" pivotButton="0" quotePrefix="0" xfId="0">
      <alignment horizontal="left" wrapText="1"/>
    </xf>
    <xf numFmtId="0" fontId="7" fillId="20" borderId="3" applyAlignment="1" pivotButton="0" quotePrefix="0" xfId="0">
      <alignment horizontal="left" wrapText="1"/>
    </xf>
    <xf numFmtId="10" fontId="58" fillId="22" borderId="23" applyAlignment="1" applyProtection="1" pivotButton="0" quotePrefix="0" xfId="2">
      <alignment horizontal="right" vertical="top"/>
      <protection locked="0" hidden="0"/>
    </xf>
    <xf numFmtId="10" fontId="58" fillId="19" borderId="23" applyAlignment="1" applyProtection="1" pivotButton="0" quotePrefix="0" xfId="2">
      <alignment horizontal="right" vertical="top"/>
      <protection locked="0" hidden="0"/>
    </xf>
    <xf numFmtId="0" fontId="45" fillId="15" borderId="0" applyAlignment="1" pivotButton="0" quotePrefix="0" xfId="0">
      <alignment horizontal="left" vertical="center"/>
    </xf>
    <xf numFmtId="0" fontId="7" fillId="0" borderId="0" pivotButton="0" quotePrefix="0" xfId="0"/>
    <xf numFmtId="10" fontId="7" fillId="0" borderId="0" pivotButton="0" quotePrefix="0" xfId="0"/>
    <xf numFmtId="0" fontId="5" fillId="0" borderId="0" applyAlignment="1" pivotButton="0" quotePrefix="0" xfId="0">
      <alignment vertical="center"/>
    </xf>
    <xf numFmtId="14" fontId="7" fillId="0" borderId="10" pivotButton="0" quotePrefix="0" xfId="0"/>
    <xf numFmtId="0" fontId="7" fillId="0" borderId="10" pivotButton="0" quotePrefix="0" xfId="0"/>
    <xf numFmtId="14" fontId="7" fillId="0" borderId="31" pivotButton="0" quotePrefix="0" xfId="0"/>
    <xf numFmtId="0" fontId="7" fillId="0" borderId="31" pivotButton="0" quotePrefix="0" xfId="0"/>
    <xf numFmtId="10" fontId="7" fillId="0" borderId="10" pivotButton="0" quotePrefix="0" xfId="0"/>
    <xf numFmtId="10" fontId="7" fillId="0" borderId="31" pivotButton="0" quotePrefix="0" xfId="0"/>
    <xf numFmtId="0" fontId="7" fillId="0" borderId="18" applyAlignment="1" applyProtection="1" pivotButton="0" quotePrefix="0" xfId="0">
      <alignment horizontal="left" vertical="top" wrapText="1"/>
      <protection locked="0" hidden="0"/>
    </xf>
    <xf numFmtId="0" fontId="27" fillId="13" borderId="0" applyAlignment="1" pivotButton="0" quotePrefix="0" xfId="0">
      <alignment horizontal="left" vertical="top" wrapText="1"/>
    </xf>
    <xf numFmtId="0" fontId="29" fillId="18" borderId="22" applyAlignment="1" pivotButton="0" quotePrefix="0" xfId="1">
      <alignment vertical="center"/>
    </xf>
    <xf numFmtId="0" fontId="0" fillId="18" borderId="22" applyAlignment="1" pivotButton="0" quotePrefix="0" xfId="0">
      <alignment vertical="center"/>
    </xf>
    <xf numFmtId="0" fontId="32" fillId="18" borderId="20" applyAlignment="1" pivotButton="0" quotePrefix="0" xfId="1">
      <alignment horizontal="right"/>
    </xf>
    <xf numFmtId="0" fontId="0" fillId="18" borderId="20" applyAlignment="1" pivotButton="0" quotePrefix="0" xfId="0">
      <alignment horizontal="right"/>
    </xf>
    <xf numFmtId="0" fontId="39" fillId="0" borderId="0" applyAlignment="1" pivotButton="0" quotePrefix="0" xfId="0">
      <alignment horizontal="left" vertical="top" wrapText="1"/>
    </xf>
    <xf numFmtId="0" fontId="21" fillId="0" borderId="0" applyAlignment="1" pivotButton="0" quotePrefix="0" xfId="0">
      <alignment horizontal="left" vertical="top" wrapText="1"/>
    </xf>
    <xf numFmtId="0" fontId="7" fillId="0" borderId="18" applyAlignment="1" applyProtection="1" pivotButton="0" quotePrefix="0" xfId="0">
      <alignment horizontal="left" vertical="center" wrapText="1"/>
      <protection locked="0" hidden="0"/>
    </xf>
    <xf numFmtId="0" fontId="61" fillId="0" borderId="18" applyAlignment="1" applyProtection="1" pivotButton="0" quotePrefix="0" xfId="0">
      <alignment horizontal="left" vertical="center" wrapText="1"/>
      <protection locked="0" hidden="0"/>
    </xf>
    <xf numFmtId="0" fontId="45" fillId="15" borderId="0" applyAlignment="1" pivotButton="0" quotePrefix="0" xfId="0">
      <alignment horizontal="left" vertical="center"/>
    </xf>
    <xf numFmtId="0" fontId="31" fillId="17" borderId="26" applyAlignment="1" pivotButton="0" quotePrefix="0" xfId="0">
      <alignment horizontal="left" vertical="center" wrapText="1"/>
    </xf>
    <xf numFmtId="0" fontId="31" fillId="17" borderId="26" applyAlignment="1" pivotButton="0" quotePrefix="0" xfId="0">
      <alignment horizontal="left" vertical="center"/>
    </xf>
    <xf numFmtId="0" fontId="31" fillId="17" borderId="27" applyAlignment="1" pivotButton="0" quotePrefix="0" xfId="0">
      <alignment horizontal="left" vertical="center"/>
    </xf>
    <xf numFmtId="14" fontId="17" fillId="7" borderId="2" applyAlignment="1" pivotButton="0" quotePrefix="0" xfId="0">
      <alignment horizontal="center" vertical="center"/>
    </xf>
    <xf numFmtId="14" fontId="17" fillId="16" borderId="2" applyAlignment="1" pivotButton="0" quotePrefix="0" xfId="0">
      <alignment horizontal="center" vertical="center"/>
    </xf>
    <xf numFmtId="14" fontId="17" fillId="7" borderId="2" applyAlignment="1" pivotButton="0" quotePrefix="0" xfId="0">
      <alignment horizontal="center" vertical="center" wrapText="1"/>
    </xf>
    <xf numFmtId="166" fontId="17" fillId="17" borderId="2" applyAlignment="1" pivotButton="0" quotePrefix="0" xfId="0">
      <alignment horizontal="center" vertical="top" wrapText="1"/>
    </xf>
    <xf numFmtId="166" fontId="17" fillId="9" borderId="2" applyAlignment="1" pivotButton="0" quotePrefix="0" xfId="0">
      <alignment horizontal="center" vertical="top" wrapText="1"/>
    </xf>
    <xf numFmtId="0" fontId="17" fillId="14" borderId="1" applyAlignment="1" pivotButton="0" quotePrefix="0" xfId="0">
      <alignment horizontal="center" vertical="center" wrapText="1"/>
    </xf>
    <xf numFmtId="0" fontId="17" fillId="14" borderId="0" applyAlignment="1" pivotButton="0" quotePrefix="0" xfId="0">
      <alignment horizontal="center" vertical="center" wrapText="1"/>
    </xf>
    <xf numFmtId="0" fontId="17" fillId="14" borderId="2" applyAlignment="1" pivotButton="0" quotePrefix="0" xfId="0">
      <alignment horizontal="center" vertical="center"/>
    </xf>
    <xf numFmtId="0" fontId="17" fillId="14" borderId="16" applyAlignment="1" pivotButton="0" quotePrefix="0" xfId="0">
      <alignment horizontal="center" vertical="center"/>
    </xf>
    <xf numFmtId="0" fontId="17" fillId="14" borderId="2" applyAlignment="1" pivotButton="0" quotePrefix="0" xfId="0">
      <alignment horizontal="center" vertical="center" wrapText="1"/>
    </xf>
    <xf numFmtId="0" fontId="17" fillId="17" borderId="2" applyAlignment="1" pivotButton="0" quotePrefix="0" xfId="0">
      <alignment horizontal="center" vertical="center"/>
    </xf>
    <xf numFmtId="0" fontId="17" fillId="16" borderId="2" applyAlignment="1" pivotButton="0" quotePrefix="0" xfId="0">
      <alignment horizontal="center" vertical="center"/>
    </xf>
    <xf numFmtId="0" fontId="17" fillId="7" borderId="3" applyAlignment="1" pivotButton="0" quotePrefix="0" xfId="0">
      <alignment horizontal="center" vertical="center"/>
    </xf>
    <xf numFmtId="0" fontId="17" fillId="16" borderId="0" applyAlignment="1" pivotButton="0" quotePrefix="0" xfId="0">
      <alignment horizontal="center" vertical="center"/>
    </xf>
    <xf numFmtId="0" fontId="17" fillId="16" borderId="3" applyAlignment="1" pivotButton="0" quotePrefix="0" xfId="0">
      <alignment horizontal="center" vertical="center"/>
    </xf>
    <xf numFmtId="0" fontId="17" fillId="7" borderId="2" applyAlignment="1" pivotButton="0" quotePrefix="0" xfId="0">
      <alignment horizontal="center" vertical="center"/>
    </xf>
    <xf numFmtId="166" fontId="17" fillId="17" borderId="2" applyAlignment="1" pivotButton="0" quotePrefix="0" xfId="0">
      <alignment horizontal="center" vertical="center" wrapText="1"/>
    </xf>
    <xf numFmtId="166" fontId="17" fillId="9" borderId="2" applyAlignment="1" pivotButton="0" quotePrefix="0" xfId="0">
      <alignment horizontal="center" vertical="center" wrapText="1"/>
    </xf>
    <xf numFmtId="10" fontId="17" fillId="7" borderId="3" applyAlignment="1" pivotButton="0" quotePrefix="0" xfId="0">
      <alignment horizontal="center" vertical="center" wrapText="1"/>
    </xf>
    <xf numFmtId="10" fontId="17" fillId="16" borderId="3" applyAlignment="1" pivotButton="0" quotePrefix="0" xfId="0">
      <alignment horizontal="center" vertical="center" wrapText="1"/>
    </xf>
    <xf numFmtId="0" fontId="31" fillId="17" borderId="25" applyAlignment="1" pivotButton="0" quotePrefix="0" xfId="0">
      <alignment horizontal="left" vertical="center" wrapText="1"/>
    </xf>
    <xf numFmtId="10" fontId="17" fillId="17" borderId="2" applyAlignment="1" pivotButton="0" quotePrefix="0" xfId="0">
      <alignment horizontal="center" vertical="center" wrapText="1"/>
    </xf>
    <xf numFmtId="10" fontId="17" fillId="9" borderId="2" applyAlignment="1" pivotButton="0" quotePrefix="0" xfId="0">
      <alignment horizontal="center" vertical="center" wrapText="1"/>
    </xf>
    <xf numFmtId="167" fontId="17" fillId="17" borderId="2" applyAlignment="1" pivotButton="0" quotePrefix="0" xfId="0">
      <alignment horizontal="center" vertical="center" wrapText="1"/>
    </xf>
    <xf numFmtId="167" fontId="17" fillId="16" borderId="2" applyAlignment="1" pivotButton="0" quotePrefix="0" xfId="0">
      <alignment horizontal="center" vertical="center" wrapText="1"/>
    </xf>
    <xf numFmtId="164" fontId="17" fillId="7" borderId="2" applyAlignment="1" pivotButton="0" quotePrefix="0" xfId="0">
      <alignment horizontal="center" vertical="center" wrapText="1"/>
    </xf>
    <xf numFmtId="164" fontId="17" fillId="16" borderId="2" applyAlignment="1" pivotButton="0" quotePrefix="0" xfId="0">
      <alignment horizontal="center" vertical="center"/>
    </xf>
    <xf numFmtId="1" fontId="17" fillId="17" borderId="2" applyAlignment="1" pivotButton="0" quotePrefix="0" xfId="0">
      <alignment horizontal="center" vertical="center" wrapText="1"/>
    </xf>
    <xf numFmtId="1" fontId="17" fillId="16" borderId="2" applyAlignment="1" pivotButton="0" quotePrefix="0" xfId="0">
      <alignment horizontal="center" vertical="center" wrapText="1"/>
    </xf>
    <xf numFmtId="0" fontId="8" fillId="0" borderId="0" applyAlignment="1" applyProtection="1" pivotButton="0" quotePrefix="0" xfId="0">
      <alignment horizontal="left" vertical="center" wrapText="1"/>
      <protection locked="0" hidden="0"/>
    </xf>
    <xf numFmtId="0" fontId="8" fillId="0" borderId="0" applyAlignment="1" applyProtection="1" pivotButton="0" quotePrefix="0" xfId="0">
      <alignment horizontal="left" vertical="center"/>
      <protection locked="0" hidden="0"/>
    </xf>
    <xf numFmtId="0" fontId="5" fillId="0" borderId="0" applyAlignment="1" pivotButton="0" quotePrefix="0" xfId="0">
      <alignment horizontal="left" vertical="center"/>
    </xf>
    <xf numFmtId="0" fontId="4" fillId="0" borderId="0" applyAlignment="1" pivotButton="0" quotePrefix="0" xfId="0">
      <alignment horizontal="left" vertical="center"/>
    </xf>
    <xf numFmtId="14" fontId="9" fillId="2" borderId="0" applyAlignment="1" pivotButton="0" quotePrefix="0" xfId="0">
      <alignment horizontal="right" vertical="center"/>
    </xf>
    <xf numFmtId="0" fontId="20" fillId="0" borderId="0" applyAlignment="1" applyProtection="1" pivotButton="0" quotePrefix="0" xfId="0">
      <alignment horizontal="left" vertical="center" wrapText="1"/>
      <protection locked="0" hidden="0"/>
    </xf>
    <xf numFmtId="14" fontId="65" fillId="2" borderId="0" applyAlignment="1" pivotButton="0" quotePrefix="0" xfId="0">
      <alignment horizontal="left" vertical="top" wrapText="1"/>
    </xf>
    <xf numFmtId="14" fontId="7" fillId="2" borderId="0" applyAlignment="1" pivotButton="0" quotePrefix="0" xfId="0">
      <alignment horizontal="left" vertical="top" wrapText="1"/>
    </xf>
    <xf numFmtId="14" fontId="12" fillId="5" borderId="14" applyAlignment="1" applyProtection="1" pivotButton="0" quotePrefix="0" xfId="0">
      <alignment horizontal="center" vertical="center"/>
      <protection locked="0" hidden="0"/>
    </xf>
    <xf numFmtId="10" fontId="58" fillId="22" borderId="23" applyAlignment="1" applyProtection="1" pivotButton="0" quotePrefix="0" xfId="2">
      <alignment horizontal="right" vertical="top" wrapText="1"/>
      <protection locked="0" hidden="0"/>
    </xf>
    <xf numFmtId="0" fontId="0" fillId="0" borderId="20" pivotButton="0" quotePrefix="0" xfId="0"/>
    <xf numFmtId="0" fontId="0" fillId="0" borderId="22" pivotButton="0" quotePrefix="0" xfId="0"/>
    <xf numFmtId="0" fontId="0" fillId="0" borderId="18" applyProtection="1" pivotButton="0" quotePrefix="0" xfId="0">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66" fontId="52" fillId="15" borderId="0" applyAlignment="1" pivotButton="0" quotePrefix="0" xfId="1">
      <alignment horizontal="right"/>
    </xf>
    <xf numFmtId="166" fontId="17" fillId="17" borderId="2" applyAlignment="1" pivotButton="0" quotePrefix="0" xfId="0">
      <alignment horizontal="center" vertical="center" wrapText="1"/>
    </xf>
    <xf numFmtId="166" fontId="17" fillId="17" borderId="2" applyAlignment="1" pivotButton="0" quotePrefix="0" xfId="0">
      <alignment horizontal="center" vertical="top" wrapText="1"/>
    </xf>
    <xf numFmtId="167" fontId="17" fillId="17" borderId="2" applyAlignment="1" pivotButton="0" quotePrefix="0" xfId="0">
      <alignment horizontal="center" vertical="center" wrapText="1"/>
    </xf>
    <xf numFmtId="164" fontId="17" fillId="7" borderId="2" applyAlignment="1" pivotButton="0" quotePrefix="0" xfId="0">
      <alignment horizontal="center" vertical="center" wrapText="1"/>
    </xf>
    <xf numFmtId="0" fontId="0" fillId="0" borderId="33" pivotButton="0" quotePrefix="0" xfId="0"/>
    <xf numFmtId="0" fontId="0" fillId="0" borderId="1" pivotButton="0" quotePrefix="0" xfId="0"/>
    <xf numFmtId="0" fontId="0" fillId="0" borderId="2" pivotButton="0" quotePrefix="0" xfId="0"/>
    <xf numFmtId="0" fontId="0" fillId="0" borderId="3" pivotButton="0" quotePrefix="0" xfId="0"/>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64" fontId="10" fillId="2" borderId="0" applyAlignment="1" applyProtection="1" pivotButton="0" quotePrefix="0" xfId="0">
      <alignment vertical="center"/>
      <protection locked="0" hidden="0"/>
    </xf>
    <xf numFmtId="165" fontId="8" fillId="4" borderId="7" applyAlignment="1" applyProtection="1" pivotButton="0" quotePrefix="0" xfId="0">
      <alignment vertical="center"/>
      <protection locked="0" hidden="0"/>
    </xf>
    <xf numFmtId="0" fontId="0" fillId="0" borderId="0" applyProtection="1" pivotButton="0" quotePrefix="0" xfId="0">
      <protection locked="0" hidden="0"/>
    </xf>
    <xf numFmtId="165"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68" fontId="0" fillId="0" borderId="0" pivotButton="0" quotePrefix="0" xfId="0"/>
    <xf numFmtId="0" fontId="0" fillId="0" borderId="35" applyProtection="1" pivotButton="0" quotePrefix="0" xfId="0">
      <protection locked="0" hidden="0"/>
    </xf>
    <xf numFmtId="0" fontId="68" fillId="23" borderId="36" applyAlignment="1" pivotButton="0" quotePrefix="0" xfId="0">
      <alignment horizontal="center" wrapText="1"/>
    </xf>
    <xf numFmtId="0" fontId="0" fillId="0" borderId="36" applyAlignment="1" pivotButton="0" quotePrefix="0" xfId="0">
      <alignment vertical="top" wrapText="1"/>
    </xf>
    <xf numFmtId="10" fontId="69" fillId="0" borderId="23" applyAlignment="1" applyProtection="1" pivotButton="0" quotePrefix="0" xfId="2">
      <alignment horizontal="right" vertical="top"/>
      <protection locked="0" hidden="0"/>
    </xf>
    <xf numFmtId="10" fontId="70" fillId="0" borderId="23" applyAlignment="1" applyProtection="1" pivotButton="0" quotePrefix="0" xfId="2">
      <alignment horizontal="right" vertical="top"/>
      <protection locked="0" hidden="0"/>
    </xf>
    <xf numFmtId="10" fontId="70" fillId="0" borderId="23" applyAlignment="1" applyProtection="1" pivotButton="0" quotePrefix="0" xfId="2">
      <alignment horizontal="right" vertical="top" wrapText="1"/>
      <protection locked="0" hidden="0"/>
    </xf>
    <xf numFmtId="0" fontId="68" fillId="24" borderId="37" applyAlignment="1" pivotButton="0" quotePrefix="0" xfId="0">
      <alignment horizontal="center" vertical="center" wrapText="1"/>
    </xf>
    <xf numFmtId="0" fontId="0" fillId="0" borderId="37" applyAlignment="1" pivotButton="0" quotePrefix="0" xfId="0">
      <alignment vertical="top" wrapText="1"/>
    </xf>
  </cellXfs>
  <cellStyles count="3">
    <cellStyle name="표준" xfId="0" builtinId="0"/>
    <cellStyle name="하이퍼링크" xfId="1" builtinId="8"/>
    <cellStyle name="백분율" xfId="2" builtinId="5"/>
  </cellStyles>
  <dxfs count="3">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FC000"/>
        </patternFill>
      </fill>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styles" Target="styles.xml" Id="rId12" /><Relationship Type="http://schemas.openxmlformats.org/officeDocument/2006/relationships/theme" Target="theme/theme1.xml" Id="rId13" /><Relationship Type="http://schemas.microsoft.com/office/2006/relationships/vbaProject" Target="vbaProject.bin" Id="rId14" /></Relationships>
</file>

<file path=xl/charts/chart1.xml><?xml version="1.0" encoding="utf-8"?>
<chartSpace xmlns:a="http://schemas.openxmlformats.org/drawingml/2006/main" xmlns="http://schemas.openxmlformats.org/drawingml/2006/chart">
  <chart>
    <plotArea>
      <layout/>
      <lineChart>
        <grouping val="standard"/>
        <varyColors val="0"/>
        <ser>
          <idx val="0"/>
          <order val="0"/>
          <tx>
            <strRef>
              <f>AnalysisReport!$F$6</f>
              <strCache>
                <ptCount val="1"/>
                <pt idx="0">
                  <v>계획작업량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AnalysisReport!$F$7:$F$29</f>
              <numCache>
                <formatCode>0.00%</formatCode>
                <ptCount val="23"/>
                <pt idx="0">
                  <v>0.01576665352778873</v>
                </pt>
                <pt idx="1">
                  <v>0.043358297201419</v>
                </pt>
                <pt idx="2">
                  <v>0.07489160425699645</v>
                </pt>
                <pt idx="3">
                  <v>0.1395348837209302</v>
                </pt>
                <pt idx="4">
                  <v>0.1824990145841545</v>
                </pt>
                <pt idx="5">
                  <v>0.2258573117855735</v>
                </pt>
                <pt idx="6">
                  <v>0.2495072920772566</v>
                </pt>
                <pt idx="7">
                  <v>0.2692156089869925</v>
                </pt>
                <pt idx="8">
                  <v>0.2818289318092235</v>
                </pt>
                <pt idx="9">
                  <v>0.3409538825384312</v>
                </pt>
                <pt idx="10">
                  <v>0.400078833267639</v>
                </pt>
                <pt idx="11">
                  <v>0.4710287741426882</v>
                </pt>
                <pt idx="12">
                  <v>0.5340953882538432</v>
                </pt>
                <pt idx="13">
                  <v>0.5979503350413874</v>
                </pt>
                <pt idx="14">
                  <v>0.6767836026803311</v>
                </pt>
                <pt idx="15">
                  <v>0.7635001970831691</v>
                </pt>
                <pt idx="16">
                  <v>0.8581001182499014</v>
                </pt>
                <pt idx="17">
                  <v>0.889633425305479</v>
                </pt>
                <pt idx="18">
                  <v>0.9172250689791092</v>
                </pt>
                <pt idx="19">
                  <v>0.9369333858888451</v>
                </pt>
                <pt idx="20">
                  <v>0.9645250295624753</v>
                </pt>
                <pt idx="21">
                  <v>0.9881750098541584</v>
                </pt>
                <pt idx="22">
                  <v>1</v>
                </pt>
              </numCache>
            </numRef>
          </val>
          <smooth val="0"/>
        </ser>
        <ser>
          <idx val="1"/>
          <order val="1"/>
          <tx>
            <strRef>
              <f>AnalysisReport!$I$6</f>
              <strCache>
                <ptCount val="1"/>
                <pt idx="0">
                  <v>실적기성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AnalysisReport!$I$7:$I$29</f>
              <numCache>
                <formatCode>0.00%</formatCode>
                <ptCount val="23"/>
                <pt idx="0">
                  <v>0.01576665352778873</v>
                </pt>
                <pt idx="1">
                  <v>0.043358297201419</v>
                </pt>
                <pt idx="2">
                  <v>0.07489160425699645</v>
                </pt>
                <pt idx="3">
                  <v>0.1355143870713441</v>
                </pt>
                <pt idx="4">
                  <v>0.1843515963736697</v>
                </pt>
                <pt idx="5">
                  <v>0.2344107213243989</v>
                </pt>
                <pt idx="6">
                  <v>0.2344107213243989</v>
                </pt>
                <pt idx="7">
                  <v>0.2344107213243989</v>
                </pt>
                <pt idx="8">
                  <v>0.2344107213243989</v>
                </pt>
                <pt idx="9">
                  <v>0.2344107213243989</v>
                </pt>
                <pt idx="10">
                  <v>0.2344107213243989</v>
                </pt>
                <pt idx="11">
                  <v>0.2344107213243989</v>
                </pt>
                <pt idx="12">
                  <v>0.2344107213243989</v>
                </pt>
                <pt idx="13">
                  <v>0.2344107213243989</v>
                </pt>
                <pt idx="14">
                  <v>0.2344107213243989</v>
                </pt>
                <pt idx="15">
                  <v>0.2344107213243989</v>
                </pt>
                <pt idx="16">
                  <v>0.2344107213243989</v>
                </pt>
                <pt idx="17">
                  <v>0.2344107213243989</v>
                </pt>
                <pt idx="18">
                  <v>0.2344107213243989</v>
                </pt>
                <pt idx="19">
                  <v>0.2344107213243989</v>
                </pt>
                <pt idx="20">
                  <v>0.2344107213243989</v>
                </pt>
                <pt idx="21">
                  <v>0.2344107213243989</v>
                </pt>
                <pt idx="22">
                  <v>0.2344107213243989</v>
                </pt>
              </numCache>
            </numRef>
          </val>
          <smooth val="0"/>
        </ser>
        <ser>
          <idx val="2"/>
          <order val="2"/>
          <tx>
            <strRef>
              <f>AnalysisReport!$L$6</f>
              <strCache>
                <ptCount val="1"/>
                <pt idx="0">
                  <v>실제투입작업량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AnalysisReport!$L$7:$L$29</f>
              <numCache>
                <formatCode>0.00%</formatCode>
                <ptCount val="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numCache>
            </numRef>
          </val>
          <smooth val="0"/>
        </ser>
        <dLbls>
          <showLegendKey val="0"/>
          <showVal val="0"/>
          <showCatName val="0"/>
          <showSerName val="0"/>
          <showPercent val="0"/>
          <showBubbleSize val="0"/>
        </dLbls>
        <marker val="1"/>
        <smooth val="0"/>
        <axId val="2090335535"/>
        <axId val="2090336495"/>
      </lineChart>
      <dateAx>
        <axId val="2090335535"/>
        <scaling>
          <orientation val="minMax"/>
        </scaling>
        <delete val="0"/>
        <axPos val="b"/>
        <numFmt formatCode="m/d/yyyy" sourceLinked="1"/>
        <majorTickMark val="out"/>
        <minorTickMark val="none"/>
        <tickLblPos val="nextTo"/>
        <txPr>
          <a:bodyPr rot="-2700000" vert="horz"/>
          <a:lstStyle/>
          <a:p>
            <a:pPr>
              <a:defRPr/>
            </a:pPr>
            <a:r>
              <a:t>None</a:t>
            </a:r>
            <a:endParaRPr lang="ko-KR"/>
          </a:p>
        </txPr>
        <crossAx val="2090336495"/>
        <crosses val="autoZero"/>
        <lblOffset val="100"/>
        <baseTimeUnit val="days"/>
      </dateAx>
      <valAx>
        <axId val="2090336495"/>
        <scaling>
          <orientation val="minMax"/>
          <max val="1"/>
          <min val="0"/>
        </scaling>
        <delete val="0"/>
        <axPos val="l"/>
        <majorGridlines/>
        <numFmt formatCode="0%" sourceLinked="0"/>
        <majorTickMark val="out"/>
        <minorTickMark val="none"/>
        <tickLblPos val="nextTo"/>
        <crossAx val="2090335535"/>
        <crosses val="autoZero"/>
        <crossBetween val="between"/>
      </valAx>
    </plotArea>
    <legend>
      <legendPos val="r"/>
      <overlay val="0"/>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12</col>
      <colOff>141007</colOff>
      <row>4</row>
      <rowOff>186578</rowOff>
    </from>
    <to>
      <col>20</col>
      <colOff>297890</colOff>
      <row>18</row>
      <rowOff>123078</rowOff>
    </to>
    <graphicFrame>
      <nvGraphicFramePr>
        <cNvPr id="1" name="Chart 1"/>
        <cNvGraphicFramePr/>
      </nvGraphicFramePr>
      <xfrm/>
      <a:graphic>
        <a:graphicData uri="http://schemas.openxmlformats.org/drawingml/2006/chart">
          <c:chart r:id="rId1"/>
        </a:graphicData>
      </a:graphic>
    </graphicFrame>
    <clientData/>
  </twoCellAnchor>
</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easy-tip/" TargetMode="External" Id="rId3" /><Relationship Type="http://schemas.openxmlformats.org/officeDocument/2006/relationships/hyperlink" Target="https://xlworks.net/xlgantt-howto-02-task/" TargetMode="External" Id="rId4" /><Relationship Type="http://schemas.openxmlformats.org/officeDocument/2006/relationships/hyperlink" Target="https://xlworks.net/xlgantt-howto-03-gantt-chart/" TargetMode="External" Id="rId5" /><Relationship Type="http://schemas.openxmlformats.org/officeDocument/2006/relationships/hyperlink" Target="https://xlworks.net/xlgantt-howto-04-project-progress/" TargetMode="External" Id="rId6" /><Relationship Type="http://schemas.openxmlformats.org/officeDocument/2006/relationships/hyperlink" Target="https://xlworks.net/xlgantt-howto-05-analysis-report/" TargetMode="External" Id="rId7" /><Relationship Type="http://schemas.openxmlformats.org/officeDocument/2006/relationships/hyperlink" Target="https://xlworks.net/xlgantt-howto-06-schedule-change-management/" TargetMode="External" Id="rId8" /><Relationship Type="http://schemas.openxmlformats.org/officeDocument/2006/relationships/hyperlink" Target="https://xlworks.net/xlgantt-howto-07-deliverables/" TargetMode="External" Id="rId9" /><Relationship Type="http://schemas.openxmlformats.org/officeDocument/2006/relationships/hyperlink" Target="https://xlworks.net/xlgantt-howto-08-add-tasks-to-outlook/" TargetMode="External" Id="rId10" /><Relationship Type="http://schemas.openxmlformats.org/officeDocument/2006/relationships/hyperlink" Target="https://xlworks.net/xlgantt-howto-09-multilingual-support/" TargetMode="External" Id="rId11" /><Relationship Type="http://schemas.openxmlformats.org/officeDocument/2006/relationships/hyperlink" Target="https://xlworks.net/xlgantt-howto-10-import-schedule/" TargetMode="External" Id="rId12" /><Relationship Type="http://schemas.openxmlformats.org/officeDocument/2006/relationships/hyperlink" Target="https://xlworks.net/xlgantt-howto-11-calendar/" TargetMode="External" Id="rId13" /><Relationship Type="http://schemas.openxmlformats.org/officeDocument/2006/relationships/hyperlink" Target="https://xlworks.net/xlgantt-howto-12-integration-with-excel/" TargetMode="External" Id="rId14" /><Relationship Type="http://schemas.openxmlformats.org/officeDocument/2006/relationships/hyperlink" Target="https://xlworks.net/xlgantt-howto-14-workloads/" TargetMode="External" Id="rId15" /><Relationship Type="http://schemas.openxmlformats.org/officeDocument/2006/relationships/hyperlink" Target="https://xlworks.net/xlgantt-howto-15-color-theme/" TargetMode="External" Id="rId16" /><Relationship Type="http://schemas.openxmlformats.org/officeDocument/2006/relationships/hyperlink" Target="https://xlworks.net/xlgantt-howto-16-task-dependencies/" TargetMode="External" Id="rId17" /></Relationships>
</file>

<file path=xl/worksheets/_rels/sheet2.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project-scheduler/" TargetMode="External" Id="rId3" /><Relationship Type="http://schemas.openxmlformats.org/officeDocument/2006/relationships/hyperlink" Target="https://xlworks.net/xlgantt-project-scheduler/" TargetMode="External" Id="rId4" /><Relationship Type="http://schemas.openxmlformats.org/officeDocument/2006/relationships/hyperlink" Target="https://xlworks.net/xlgantt-project-scheduler/" TargetMode="External" Id="rId5" /><Relationship Type="http://schemas.openxmlformats.org/officeDocument/2006/relationships/hyperlink" Target="https://xlworks.net/xlgantt-project-scheduler/" TargetMode="External" Id="rId6" /><Relationship Type="http://schemas.openxmlformats.org/officeDocument/2006/relationships/hyperlink" Target="https://xlworks.net/xlgantt-project-scheduler/" TargetMode="External" Id="rId7" /><Relationship Type="http://schemas.openxmlformats.org/officeDocument/2006/relationships/hyperlink" Target="https://xlworks.net/xlgantt-project-scheduler/" TargetMode="External" Id="rId8" /><Relationship Type="http://schemas.openxmlformats.org/officeDocument/2006/relationships/hyperlink" Target="https://xlworks.net/xlgantt-project-scheduler/" TargetMode="External" Id="rId9" /><Relationship Type="http://schemas.openxmlformats.org/officeDocument/2006/relationships/hyperlink" Target="https://xlworks.net/xlgantt-project-scheduler/" TargetMode="External" Id="rId10" /><Relationship Type="http://schemas.openxmlformats.org/officeDocument/2006/relationships/hyperlink" Target="https://xlworks.net/xlgantt-project-scheduler/" TargetMode="External" Id="rId11" /><Relationship Type="http://schemas.openxmlformats.org/officeDocument/2006/relationships/hyperlink" Target="https://xlworks.net/xlgantt-project-scheduler/" TargetMode="External" Id="rId12" /><Relationship Type="http://schemas.openxmlformats.org/officeDocument/2006/relationships/hyperlink" Target="https://xlworks.net/xlgantt-project-scheduler/" TargetMode="External" Id="rId13" /><Relationship Type="http://schemas.openxmlformats.org/officeDocument/2006/relationships/hyperlink" Target="https://xlworks.net/xlgantt-project-scheduler/" TargetMode="External" Id="rId14" /><Relationship Type="http://schemas.openxmlformats.org/officeDocument/2006/relationships/hyperlink" Target="https://xlworks.net/xlgantt-project-scheduler/" TargetMode="External" Id="rId15" /><Relationship Type="http://schemas.openxmlformats.org/officeDocument/2006/relationships/hyperlink" Target="https://xlworks.net/xlgantt-project-scheduler/" TargetMode="External" Id="rId16" /><Relationship Type="http://schemas.openxmlformats.org/officeDocument/2006/relationships/hyperlink" Target="https://xlworks.net/xlgantt-project-scheduler/" TargetMode="External" Id="rId17" /><Relationship Type="http://schemas.openxmlformats.org/officeDocument/2006/relationships/hyperlink" Target="https://xlworks.net/xlgantt-project-scheduler/" TargetMode="External" Id="rId18" /><Relationship Type="http://schemas.openxmlformats.org/officeDocument/2006/relationships/hyperlink" Target="https://xlworks.net/xlgantt-project-scheduler/" TargetMode="External" Id="rId19" /><Relationship Type="http://schemas.openxmlformats.org/officeDocument/2006/relationships/hyperlink" Target="https://xlworks.net/xlgantt-project-scheduler/" TargetMode="External" Id="rId20" /><Relationship Type="http://schemas.openxmlformats.org/officeDocument/2006/relationships/hyperlink" Target="https://xlworks.net/xlgantt-project-scheduler/" TargetMode="External" Id="rId21" /><Relationship Type="http://schemas.openxmlformats.org/officeDocument/2006/relationships/hyperlink" Target="https://xlworks.net/xlgantt-project-scheduler/" TargetMode="External" Id="rId22" /><Relationship Type="http://schemas.openxmlformats.org/officeDocument/2006/relationships/hyperlink" Target="https://xlworks.net/xlgantt-project-scheduler/" TargetMode="External" Id="rId23" /><Relationship Type="http://schemas.openxmlformats.org/officeDocument/2006/relationships/hyperlink" Target="https://xlworks.net/xlgantt-project-scheduler/" TargetMode="External" Id="rId24" /><Relationship Type="http://schemas.openxmlformats.org/officeDocument/2006/relationships/hyperlink" Target="https://xlworks.net/xlgantt-project-scheduler/" TargetMode="External" Id="rId25" /><Relationship Type="http://schemas.openxmlformats.org/officeDocument/2006/relationships/hyperlink" Target="https://xlworks.net/xlgantt-project-scheduler/" TargetMode="External" Id="rId26" /><Relationship Type="http://schemas.openxmlformats.org/officeDocument/2006/relationships/hyperlink" Target="https://xlworks.net/xlgantt-project-scheduler/" TargetMode="External" Id="rId27" /><Relationship Type="http://schemas.openxmlformats.org/officeDocument/2006/relationships/hyperlink" Target="https://xlworks.net/xlgantt-project-scheduler/" TargetMode="External" Id="rId28" /><Relationship Type="http://schemas.openxmlformats.org/officeDocument/2006/relationships/hyperlink" Target="https://xlworks.net/xlgantt-project-scheduler/" TargetMode="External" Id="rId29" /><Relationship Type="http://schemas.openxmlformats.org/officeDocument/2006/relationships/hyperlink" Target="https://xlworks.net/xlgantt-project-scheduler/" TargetMode="External" Id="rId30" /><Relationship Type="http://schemas.openxmlformats.org/officeDocument/2006/relationships/hyperlink" Target="https://xlworks.net/xlgantt-project-scheduler/" TargetMode="External" Id="rId31" /></Relationships>
</file>

<file path=xl/worksheets/_rels/sheet4.xml.rels><Relationships xmlns="http://schemas.openxmlformats.org/package/2006/relationships"><Relationship Type="http://schemas.openxmlformats.org/officeDocument/2006/relationships/drawing" Target="/xl/drawings/drawing1.xml" Id="rId1" /></Relationships>
</file>

<file path=xl/worksheets/_rels/sheet7.xml.rels><Relationships xmlns="http://schemas.openxmlformats.org/package/2006/relationships"><Relationship Type="http://schemas.openxmlformats.org/officeDocument/2006/relationships/hyperlink" Target="https://xlworks.net/xlgantt-howto-16-task-dependencies/" TargetMode="External" Id="rId1" /><Relationship Type="http://schemas.openxmlformats.org/officeDocument/2006/relationships/hyperlink" Target="https://xlworks.net/xlgantt-howto-16-task-dependencies/" TargetMode="External" Id="rId2" /></Relationships>
</file>

<file path=xl/worksheets/_rels/sheet8.xml.rels><Relationships xmlns="http://schemas.openxmlformats.org/package/2006/relationships"><Relationship Type="http://schemas.openxmlformats.org/officeDocument/2006/relationships/hyperlink" Target="https://xlworks.net/en/xlgantt-project-scheduler/" TargetMode="External" Id="rId1" /></Relationships>
</file>

<file path=xl/worksheets/sheet1.xml><?xml version="1.0" encoding="utf-8"?>
<worksheet xmlns="http://schemas.openxmlformats.org/spreadsheetml/2006/main">
  <sheetPr codeName="Sheet1">
    <tabColor theme="0"/>
    <outlinePr summaryBelow="1" summaryRight="1"/>
    <pageSetUpPr/>
  </sheetPr>
  <dimension ref="A1:L35"/>
  <sheetViews>
    <sheetView showGridLines="0" zoomScale="90" zoomScaleNormal="90" workbookViewId="0">
      <selection activeCell="A1" sqref="A1"/>
    </sheetView>
  </sheetViews>
  <sheetFormatPr baseColWidth="8" defaultRowHeight="15.75"/>
  <cols>
    <col width="5.875" customWidth="1" style="76" min="1" max="1"/>
    <col width="29.875" customWidth="1" style="97" min="2" max="2"/>
    <col width="1.25" customWidth="1" style="76" min="3" max="3"/>
    <col width="9" customWidth="1" style="76" min="4" max="11"/>
    <col width="19.5" customWidth="1" style="76" min="12" max="12"/>
    <col width="9" customWidth="1" style="76" min="13" max="21"/>
    <col hidden="1" width="13" customWidth="1" style="76" min="22" max="22"/>
    <col width="9" customWidth="1" style="76" min="23" max="26"/>
    <col hidden="1" width="13" customWidth="1" style="76" min="27" max="28"/>
    <col width="9" customWidth="1" style="76" min="29" max="16384"/>
  </cols>
  <sheetData>
    <row r="1" ht="45" customHeight="1">
      <c r="A1" s="151" t="n"/>
      <c r="B1" s="172" t="inlineStr">
        <is>
          <t>엑셀간트(XLGantt) - 엑셀 일정관리</t>
        </is>
      </c>
      <c r="C1" s="149" t="n"/>
      <c r="D1" s="149" t="n"/>
      <c r="E1" s="149" t="n"/>
      <c r="F1" s="149" t="n"/>
      <c r="G1" s="149" t="n"/>
      <c r="H1" s="150" t="n"/>
      <c r="I1" s="150" t="n"/>
      <c r="J1" s="236" t="inlineStr">
        <is>
          <t xml:space="preserve">XLGantt 6.1.0 ©XLWorks </t>
        </is>
      </c>
      <c r="K1" s="285" t="n"/>
      <c r="L1" s="285" t="n"/>
    </row>
    <row r="2" ht="18" customFormat="1" customHeight="1" s="32">
      <c r="A2" s="147" t="n"/>
      <c r="B2" s="148" t="n"/>
      <c r="C2" s="148" t="n"/>
      <c r="D2" s="148" t="n"/>
      <c r="E2" s="148" t="n"/>
      <c r="F2" s="148" t="n"/>
      <c r="G2" s="148" t="n"/>
      <c r="H2" s="234" t="inlineStr">
        <is>
          <t xml:space="preserve">도움말, 최신 버전 다운로드 - https://xlworks.net/xlgantt-project-scheduler/ </t>
        </is>
      </c>
      <c r="I2" s="286" t="n"/>
      <c r="J2" s="286" t="n"/>
      <c r="K2" s="286" t="n"/>
      <c r="L2" s="286" t="n"/>
    </row>
    <row r="4" ht="17.25" customHeight="1">
      <c r="B4" s="238"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5" ht="27.75" customHeight="1"/>
    <row r="6" ht="12.75" customFormat="1" customHeight="1" s="32">
      <c r="B6" s="77" t="n"/>
    </row>
    <row r="7" ht="18.75" customFormat="1" customHeight="1" s="32">
      <c r="B7" s="78" t="inlineStr">
        <is>
          <t>시트 구성</t>
        </is>
      </c>
      <c r="D7" s="79" t="n"/>
    </row>
    <row r="8" ht="7.5" customFormat="1" customHeight="1" s="32">
      <c r="B8" s="77" t="n"/>
    </row>
    <row r="9" ht="29.25" customFormat="1" customHeight="1" s="32" thickBot="1">
      <c r="A9" s="80" t="n"/>
      <c r="B9" s="81" t="inlineStr">
        <is>
          <t>Schedule</t>
        </is>
      </c>
      <c r="C9" s="80" t="n"/>
      <c r="D9" s="240" t="inlineStr">
        <is>
          <t>작업과 일정을 입력하면 진척률이 계산되며 작업의 일정을 간트차트로 표시해 준다.</t>
        </is>
      </c>
      <c r="E9" s="287" t="n"/>
      <c r="F9" s="287" t="n"/>
      <c r="G9" s="287" t="n"/>
      <c r="H9" s="287" t="n"/>
      <c r="I9" s="287" t="n"/>
      <c r="J9" s="287" t="n"/>
      <c r="K9" s="287" t="n"/>
      <c r="L9" s="287" t="n"/>
    </row>
    <row r="10" ht="29.25" customFormat="1" customHeight="1" s="32" thickBot="1" thickTop="1">
      <c r="A10" s="80" t="n"/>
      <c r="B10" s="82" t="inlineStr">
        <is>
          <t>Progress</t>
        </is>
      </c>
      <c r="C10" s="80" t="n"/>
      <c r="D10" s="240" t="inlineStr">
        <is>
          <t>작업량, 진척률 등을 볼 수 있다.</t>
        </is>
      </c>
      <c r="E10" s="287" t="n"/>
      <c r="F10" s="287" t="n"/>
      <c r="G10" s="287" t="n"/>
      <c r="H10" s="287" t="n"/>
      <c r="I10" s="287" t="n"/>
      <c r="J10" s="287" t="n"/>
      <c r="K10" s="287" t="n"/>
      <c r="L10" s="287" t="n"/>
    </row>
    <row r="11" ht="29.25" customFormat="1" customHeight="1" s="32" thickBot="1" thickTop="1">
      <c r="A11" s="80" t="n"/>
      <c r="B11" s="83" t="inlineStr">
        <is>
          <t>AnalysisReport</t>
        </is>
      </c>
      <c r="C11" s="80" t="n"/>
      <c r="D11" s="240" t="inlineStr">
        <is>
          <t>담당별 진행률, Workload등 분석용 Report를 만들어서 보여준다.</t>
        </is>
      </c>
      <c r="E11" s="287" t="n"/>
      <c r="F11" s="287" t="n"/>
      <c r="G11" s="287" t="n"/>
      <c r="H11" s="287" t="n"/>
      <c r="I11" s="287" t="n"/>
      <c r="J11" s="287" t="n"/>
      <c r="K11" s="287" t="n"/>
      <c r="L11" s="287" t="n"/>
    </row>
    <row r="12" ht="29.25" customFormat="1" customHeight="1" s="32" thickBot="1" thickTop="1">
      <c r="A12" s="80" t="n"/>
      <c r="B12" s="84" t="inlineStr">
        <is>
          <t>Calendar</t>
        </is>
      </c>
      <c r="C12" s="80" t="n"/>
      <c r="D12" s="240" t="inlineStr">
        <is>
          <t>프로젝트의 휴무일을 설정한다.</t>
        </is>
      </c>
      <c r="E12" s="287" t="n"/>
      <c r="F12" s="287" t="n"/>
      <c r="G12" s="287" t="n"/>
      <c r="H12" s="287" t="n"/>
      <c r="I12" s="287" t="n"/>
      <c r="J12" s="287" t="n"/>
      <c r="K12" s="287" t="n"/>
      <c r="L12" s="287" t="n"/>
    </row>
    <row r="13" ht="29.25" customFormat="1" customHeight="1" s="32" thickBot="1" thickTop="1">
      <c r="A13" s="80" t="n"/>
      <c r="B13" s="85" t="inlineStr">
        <is>
          <t>Progress_Data</t>
        </is>
      </c>
      <c r="C13" s="80" t="n"/>
      <c r="D13" s="241" t="inlineStr">
        <is>
          <t>진척률 정보를 일단위 Raw data로 생성한다. 차트를 그리거나 사용자가 원하는대로 분석을 할 수 있다.</t>
        </is>
      </c>
      <c r="E13" s="287" t="n"/>
      <c r="F13" s="287" t="n"/>
      <c r="G13" s="287" t="n"/>
      <c r="H13" s="287" t="n"/>
      <c r="I13" s="287" t="n"/>
      <c r="J13" s="287" t="n"/>
      <c r="K13" s="287" t="n"/>
      <c r="L13" s="287" t="n"/>
    </row>
    <row r="14" ht="29.25" customFormat="1" customHeight="1" s="32" thickBot="1" thickTop="1">
      <c r="A14" s="80" t="n"/>
      <c r="B14" s="86" t="inlineStr">
        <is>
          <t>TranslatedLanguages</t>
        </is>
      </c>
      <c r="C14" s="80" t="n"/>
      <c r="D14" s="240" t="inlineStr">
        <is>
          <t>(숨겨진 시트) 언어별 번역이 들어 있다.</t>
        </is>
      </c>
      <c r="E14" s="287" t="n"/>
      <c r="F14" s="287" t="n"/>
      <c r="G14" s="287" t="n"/>
      <c r="H14" s="287" t="n"/>
      <c r="I14" s="287" t="n"/>
      <c r="J14" s="287" t="n"/>
      <c r="K14" s="287" t="n"/>
      <c r="L14" s="287" t="n"/>
    </row>
    <row r="15" ht="16.5" customHeight="1" thickTop="1">
      <c r="A15" s="87" t="n"/>
      <c r="B15" s="88" t="n"/>
      <c r="C15" s="87" t="n"/>
      <c r="D15" s="89" t="n"/>
      <c r="E15" s="89" t="n"/>
      <c r="F15" s="89" t="n"/>
      <c r="G15" s="89" t="n"/>
      <c r="H15" s="89" t="n"/>
      <c r="I15" s="89" t="n"/>
      <c r="J15" s="89" t="n"/>
      <c r="K15" s="89" t="n"/>
      <c r="L15" s="89" t="n"/>
    </row>
    <row r="16" ht="18.75" customFormat="1" customHeight="1" s="32">
      <c r="B16" s="78" t="inlineStr">
        <is>
          <t>사용법</t>
        </is>
      </c>
      <c r="D16" s="79" t="n"/>
    </row>
    <row r="17" ht="5.25" customFormat="1" customHeight="1" s="32">
      <c r="B17" s="90" t="n"/>
      <c r="D17" s="79" t="n"/>
    </row>
    <row r="18" ht="26.25" customFormat="1" customHeight="1" s="32" thickBot="1">
      <c r="B18" s="91" t="inlineStr">
        <is>
          <t>간단 사용법</t>
        </is>
      </c>
      <c r="D18" s="232" t="inlineStr">
        <is>
          <t>기능을 간단히 빨리 익히고 싶으면 “간단 사용법”을 참고한다</t>
        </is>
      </c>
      <c r="E18" s="287" t="n"/>
      <c r="F18" s="287" t="n"/>
      <c r="G18" s="287" t="n"/>
      <c r="H18" s="287" t="n"/>
      <c r="I18" s="287" t="n"/>
      <c r="J18" s="287" t="n"/>
      <c r="K18" s="287" t="n"/>
      <c r="L18" s="98" t="inlineStr">
        <is>
          <t>도움말</t>
        </is>
      </c>
    </row>
    <row r="19" ht="37.5" customFormat="1" customHeight="1" s="32" thickBot="1" thickTop="1">
      <c r="B19" s="91" t="inlineStr">
        <is>
          <t>작업입력, 스케줄 업데이트</t>
        </is>
      </c>
      <c r="D19" s="232" t="inlineStr">
        <is>
          <t>작업명, 시작일, 완료일, 진척률을 입력하면 휴무일, 자원수를 고려하여 자동으로 작업기간, 계획진척률, 실적진척률 등이 계산된다.</t>
        </is>
      </c>
      <c r="E19" s="287" t="n"/>
      <c r="F19" s="287" t="n"/>
      <c r="G19" s="287" t="n"/>
      <c r="H19" s="287" t="n"/>
      <c r="I19" s="287" t="n"/>
      <c r="J19" s="287" t="n"/>
      <c r="K19" s="287" t="n"/>
      <c r="L19" s="98" t="inlineStr">
        <is>
          <t>도움말</t>
        </is>
      </c>
    </row>
    <row r="20" ht="26.25" customFormat="1" customHeight="1" s="32" thickBot="1" thickTop="1">
      <c r="B20" s="91" t="inlineStr">
        <is>
          <t>간트차트 표시방법 설정</t>
        </is>
      </c>
      <c r="D20" s="232" t="inlineStr">
        <is>
          <t>Bar chart형태로 간트차트를 보여주며 여러 가지 표시방법을 옵션에서 설정할 수 있다.</t>
        </is>
      </c>
      <c r="E20" s="287" t="n"/>
      <c r="F20" s="287" t="n"/>
      <c r="G20" s="287" t="n"/>
      <c r="H20" s="287" t="n"/>
      <c r="I20" s="287" t="n"/>
      <c r="J20" s="287" t="n"/>
      <c r="K20" s="287" t="n"/>
      <c r="L20" s="98" t="inlineStr">
        <is>
          <t>도움말</t>
        </is>
      </c>
    </row>
    <row r="21" ht="26.25" customFormat="1" customHeight="1" s="32" thickBot="1" thickTop="1">
      <c r="B21" s="91" t="inlineStr">
        <is>
          <t>프로젝트 전체 진행상황 파악하기</t>
        </is>
      </c>
      <c r="D21" s="232" t="inlineStr">
        <is>
          <t>진척률을 이용하여 프로젝트 전체 진행상황을 파악할 수 있다.</t>
        </is>
      </c>
      <c r="E21" s="287" t="n"/>
      <c r="F21" s="287" t="n"/>
      <c r="G21" s="287" t="n"/>
      <c r="H21" s="287" t="n"/>
      <c r="I21" s="287" t="n"/>
      <c r="J21" s="287" t="n"/>
      <c r="K21" s="287" t="n"/>
      <c r="L21" s="98" t="inlineStr">
        <is>
          <t>도움말</t>
        </is>
      </c>
    </row>
    <row r="22" ht="33.75" customFormat="1" customHeight="1" s="32" thickBot="1" thickTop="1">
      <c r="B22" s="91" t="inlineStr">
        <is>
          <t>분석 리포트</t>
        </is>
      </c>
      <c r="D22" s="232" t="inlineStr">
        <is>
          <t>프로젝트의 현황을 파악할 수 있는 진행률, Workload 등의 분석 리포트와 분석용 Workload data를 제공한다.</t>
        </is>
      </c>
      <c r="E22" s="287" t="n"/>
      <c r="F22" s="287" t="n"/>
      <c r="G22" s="287" t="n"/>
      <c r="H22" s="287" t="n"/>
      <c r="I22" s="287" t="n"/>
      <c r="J22" s="287" t="n"/>
      <c r="K22" s="287" t="n"/>
      <c r="L22" s="98" t="inlineStr">
        <is>
          <t>도움말</t>
        </is>
      </c>
    </row>
    <row r="23" ht="52.5" customFormat="1" customHeight="1" s="32" thickBot="1" thickTop="1">
      <c r="B23" s="91" t="inlineStr">
        <is>
          <t>일정계획 변경관리</t>
        </is>
      </c>
      <c r="D23" s="232"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E23" s="287" t="n"/>
      <c r="F23" s="287" t="n"/>
      <c r="G23" s="287" t="n"/>
      <c r="H23" s="287" t="n"/>
      <c r="I23" s="287" t="n"/>
      <c r="J23" s="287" t="n"/>
      <c r="K23" s="287" t="n"/>
      <c r="L23" s="98" t="inlineStr">
        <is>
          <t>도움말</t>
        </is>
      </c>
    </row>
    <row r="24" ht="47.25" customFormat="1" customHeight="1" s="32" thickBot="1" thickTop="1">
      <c r="B24" s="91" t="inlineStr">
        <is>
          <t>산출물</t>
        </is>
      </c>
      <c r="D24" s="232"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E24" s="287" t="n"/>
      <c r="F24" s="287" t="n"/>
      <c r="G24" s="287" t="n"/>
      <c r="H24" s="287" t="n"/>
      <c r="I24" s="287" t="n"/>
      <c r="J24" s="287" t="n"/>
      <c r="K24" s="287" t="n"/>
      <c r="L24" s="98" t="inlineStr">
        <is>
          <t>도움말</t>
        </is>
      </c>
    </row>
    <row r="25" ht="33.75" customFormat="1" customHeight="1" s="32" thickBot="1" thickTop="1">
      <c r="B25" s="91" t="inlineStr">
        <is>
          <t>Microsoft Outlook작업, 일정등록</t>
        </is>
      </c>
      <c r="D25" s="232" t="inlineStr">
        <is>
          <t>엑셀간트에서는 Schedule시트에 입력되어 있는 작업을 Microsoft Outlook에 작업이나 일정으로 등록할 수 있는 기능을 제공한다(단, PC에 Microsoft Outlook이 설치되어 있어야 한다).</t>
        </is>
      </c>
      <c r="E25" s="287" t="n"/>
      <c r="F25" s="287" t="n"/>
      <c r="G25" s="287" t="n"/>
      <c r="H25" s="287" t="n"/>
      <c r="I25" s="287" t="n"/>
      <c r="J25" s="287" t="n"/>
      <c r="K25" s="287" t="n"/>
      <c r="L25" s="98" t="inlineStr">
        <is>
          <t>도움말</t>
        </is>
      </c>
    </row>
    <row r="26" ht="53.25" customFormat="1" customHeight="1" s="32" thickBot="1" thickTop="1">
      <c r="B26" s="91" t="inlineStr">
        <is>
          <t>다국어 지원</t>
        </is>
      </c>
      <c r="D26" s="232" t="inlineStr">
        <is>
          <t>엑셀간트는 다국어를 지원하는데 프로그램을 수정하지 않고 여러 다국어를 추가할 수 있다. 현재는 한국어, 영어 2개 국어가 추가되어 있다.</t>
        </is>
      </c>
      <c r="E26" s="287" t="n"/>
      <c r="F26" s="287" t="n"/>
      <c r="G26" s="287" t="n"/>
      <c r="H26" s="287" t="n"/>
      <c r="I26" s="287" t="n"/>
      <c r="J26" s="287" t="n"/>
      <c r="K26" s="287" t="n"/>
      <c r="L26" s="98" t="inlineStr">
        <is>
          <t>도움말</t>
        </is>
      </c>
    </row>
    <row r="27" ht="35.25" customFormat="1" customHeight="1" s="32" thickBot="1" thickTop="1">
      <c r="B27" s="91" t="inlineStr">
        <is>
          <t>다른 파일에서 일정 가져오기</t>
        </is>
      </c>
      <c r="D27" s="232" t="inlineStr">
        <is>
          <t>엑셀간트에서는 엑셀간트(XLGantt) 또는 일반 엑셀파일로 만들어진 일정을 가져오는 기능을 제공한다.</t>
        </is>
      </c>
      <c r="E27" s="287" t="n"/>
      <c r="F27" s="287" t="n"/>
      <c r="G27" s="287" t="n"/>
      <c r="H27" s="287" t="n"/>
      <c r="I27" s="287" t="n"/>
      <c r="J27" s="287" t="n"/>
      <c r="K27" s="287" t="n"/>
      <c r="L27" s="98" t="inlineStr">
        <is>
          <t>도움말</t>
        </is>
      </c>
    </row>
    <row r="28" ht="43.5" customFormat="1" customHeight="1" s="32" thickBot="1" thickTop="1">
      <c r="B28" s="91" t="inlineStr">
        <is>
          <t>Calendar</t>
        </is>
      </c>
      <c r="D28" s="232" t="inlineStr">
        <is>
          <t>한주의 시작요일 지정, 휴무일 설정, 주차표시 기능을 제공한다.
리본메뉴 &gt; XLGantt – Project Scheduler &gt; 옵션 &gt; “Calendar” 탭에서 설정할 수 있다.</t>
        </is>
      </c>
      <c r="E28" s="287" t="n"/>
      <c r="F28" s="287" t="n"/>
      <c r="G28" s="287" t="n"/>
      <c r="H28" s="287" t="n"/>
      <c r="I28" s="287" t="n"/>
      <c r="J28" s="287" t="n"/>
      <c r="K28" s="287" t="n"/>
      <c r="L28" s="98" t="inlineStr">
        <is>
          <t>도움말</t>
        </is>
      </c>
    </row>
    <row r="29" ht="49.5" customFormat="1" customHeight="1" s="32" thickBot="1" thickTop="1">
      <c r="B29" s="91" t="inlineStr">
        <is>
          <t>Excel기능과 통합</t>
        </is>
      </c>
      <c r="D29" s="232"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E29" s="287" t="n"/>
      <c r="F29" s="287" t="n"/>
      <c r="G29" s="287" t="n"/>
      <c r="H29" s="287" t="n"/>
      <c r="I29" s="287" t="n"/>
      <c r="J29" s="287" t="n"/>
      <c r="K29" s="287" t="n"/>
      <c r="L29" s="98" t="inlineStr">
        <is>
          <t>도움말</t>
        </is>
      </c>
    </row>
    <row r="30" ht="24.75" customFormat="1" customHeight="1" s="32" thickBot="1" thickTop="1">
      <c r="B30" s="137" t="inlineStr">
        <is>
          <t>작업량 계산</t>
        </is>
      </c>
      <c r="D30" s="232" t="inlineStr">
        <is>
          <t>작업량 계산 방식을 선택할 수 있다.</t>
        </is>
      </c>
      <c r="E30" s="287" t="n"/>
      <c r="F30" s="287" t="n"/>
      <c r="G30" s="287" t="n"/>
      <c r="H30" s="287" t="n"/>
      <c r="I30" s="287" t="n"/>
      <c r="J30" s="287" t="n"/>
      <c r="K30" s="287" t="n"/>
      <c r="L30" s="98" t="inlineStr">
        <is>
          <t>도움말</t>
        </is>
      </c>
    </row>
    <row r="31" ht="24.75" customFormat="1" customHeight="1" s="32" thickBot="1" thickTop="1">
      <c r="B31" s="91" t="inlineStr">
        <is>
          <t>WBS영역, 컬러테마 설정</t>
        </is>
      </c>
      <c r="D31" s="232" t="inlineStr">
        <is>
          <t>엑셀간트의 모양과 색상을 지정할 수 있다.</t>
        </is>
      </c>
      <c r="E31" s="287" t="n"/>
      <c r="F31" s="287" t="n"/>
      <c r="G31" s="287" t="n"/>
      <c r="H31" s="287" t="n"/>
      <c r="I31" s="287" t="n"/>
      <c r="J31" s="287" t="n"/>
      <c r="K31" s="287" t="n"/>
      <c r="L31" s="98" t="inlineStr">
        <is>
          <t>도움말</t>
        </is>
      </c>
    </row>
    <row r="32" ht="24.75" customFormat="1" customHeight="1" s="32" thickBot="1" thickTop="1">
      <c r="B32" s="91" t="inlineStr">
        <is>
          <t>작업 의존관계 설정</t>
        </is>
      </c>
      <c r="D32" s="232" t="inlineStr">
        <is>
          <t>작업 의존관계(FS,SS,FF,SF)를 설정할 수 있다.</t>
        </is>
      </c>
      <c r="E32" s="287" t="n"/>
      <c r="F32" s="287" t="n"/>
      <c r="G32" s="287" t="n"/>
      <c r="H32" s="287" t="n"/>
      <c r="I32" s="287" t="n"/>
      <c r="J32" s="287" t="n"/>
      <c r="K32" s="287" t="n"/>
      <c r="L32" s="98" t="inlineStr">
        <is>
          <t>도움말</t>
        </is>
      </c>
    </row>
    <row r="33" customFormat="1" s="32" thickTop="1">
      <c r="B33" s="92" t="n"/>
      <c r="D33" s="79" t="n"/>
      <c r="L33" s="80" t="n"/>
    </row>
    <row r="34" ht="18.75" customFormat="1" customHeight="1" s="32">
      <c r="B34" s="93" t="inlineStr">
        <is>
          <t>XLGantt Version 6.1.0 사용조건</t>
        </is>
      </c>
      <c r="C34" s="94" t="n"/>
      <c r="D34" s="95" t="n"/>
      <c r="E34" s="94" t="n"/>
      <c r="F34" s="94" t="n"/>
      <c r="G34" s="94" t="n"/>
      <c r="H34" s="94" t="n"/>
      <c r="I34" s="94" t="n"/>
      <c r="J34" s="94" t="n"/>
      <c r="K34" s="94" t="n"/>
      <c r="L34" s="96" t="n"/>
    </row>
    <row r="35" ht="59.25" customFormat="1" customHeight="1" s="32">
      <c r="B35" s="233"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sheetData>
  <mergeCells count="25">
    <mergeCell ref="B35:L35"/>
    <mergeCell ref="D26:K26"/>
    <mergeCell ref="D20:K20"/>
    <mergeCell ref="D13:L13"/>
    <mergeCell ref="D11:L11"/>
    <mergeCell ref="D19:K19"/>
    <mergeCell ref="D22:K22"/>
    <mergeCell ref="D31:K31"/>
    <mergeCell ref="D21:K21"/>
    <mergeCell ref="D9:L9"/>
    <mergeCell ref="D27:K27"/>
    <mergeCell ref="D12:L12"/>
    <mergeCell ref="D32:K32"/>
    <mergeCell ref="H2:L2"/>
    <mergeCell ref="B4:L5"/>
    <mergeCell ref="D14:L14"/>
    <mergeCell ref="D28:K28"/>
    <mergeCell ref="D18:K18"/>
    <mergeCell ref="D10:L10"/>
    <mergeCell ref="J1:L1"/>
    <mergeCell ref="D30:K30"/>
    <mergeCell ref="D25:K25"/>
    <mergeCell ref="D24:K24"/>
    <mergeCell ref="D29:K29"/>
    <mergeCell ref="D23:K23"/>
  </mergeCells>
  <hyperlinks>
    <hyperlink xmlns:r="http://schemas.openxmlformats.org/officeDocument/2006/relationships" ref="J1" display="https://xlworks.net/xlgantt-project-scheduler/" r:id="rId1"/>
    <hyperlink xmlns:r="http://schemas.openxmlformats.org/officeDocument/2006/relationships" ref="H2" display="https://xlworks.net/xlgantt-project-scheduler/" r:id="rId2"/>
    <hyperlink ref="B9" location="Schedule!A1" display="Schedule"/>
    <hyperlink ref="B10" location="Progress!A1" display="Progress"/>
    <hyperlink ref="B11" location="AnalysisReport!A1" display="AnalysisReport"/>
    <hyperlink ref="B12" location="Calendar!A1" display="Calendar"/>
    <hyperlink ref="B13" location="Progress_Data!A1" display="Progress_Data"/>
    <hyperlink xmlns:r="http://schemas.openxmlformats.org/officeDocument/2006/relationships" ref="L18" display="https://xlworks.net/xlgantt-easy-tip/" r:id="rId3"/>
    <hyperlink xmlns:r="http://schemas.openxmlformats.org/officeDocument/2006/relationships" ref="L19" display="https://xlworks.net/xlgantt-howto-02-task/" r:id="rId4"/>
    <hyperlink xmlns:r="http://schemas.openxmlformats.org/officeDocument/2006/relationships" ref="L20" display="https://xlworks.net/xlgantt-howto-03-gantt-chart/" r:id="rId5"/>
    <hyperlink xmlns:r="http://schemas.openxmlformats.org/officeDocument/2006/relationships" ref="L21" display="https://xlworks.net/xlgantt-howto-04-project-progress/" r:id="rId6"/>
    <hyperlink xmlns:r="http://schemas.openxmlformats.org/officeDocument/2006/relationships" ref="L22" display="https://xlworks.net/xlgantt-howto-05-analysis-report/" r:id="rId7"/>
    <hyperlink xmlns:r="http://schemas.openxmlformats.org/officeDocument/2006/relationships" ref="L23" display="https://xlworks.net/xlgantt-howto-06-schedule-change-management/" r:id="rId8"/>
    <hyperlink xmlns:r="http://schemas.openxmlformats.org/officeDocument/2006/relationships" ref="L24" display="https://xlworks.net/xlgantt-howto-07-deliverables/" r:id="rId9"/>
    <hyperlink xmlns:r="http://schemas.openxmlformats.org/officeDocument/2006/relationships" ref="L25" display="https://xlworks.net/xlgantt-howto-08-add-tasks-to-outlook/" r:id="rId10"/>
    <hyperlink xmlns:r="http://schemas.openxmlformats.org/officeDocument/2006/relationships" ref="L26" display="https://xlworks.net/xlgantt-howto-09-multilingual-support/" r:id="rId11"/>
    <hyperlink xmlns:r="http://schemas.openxmlformats.org/officeDocument/2006/relationships" ref="L27" display="https://xlworks.net/xlgantt-howto-10-import-schedule/" r:id="rId12"/>
    <hyperlink xmlns:r="http://schemas.openxmlformats.org/officeDocument/2006/relationships" ref="L28" display="https://xlworks.net/xlgantt-howto-11-calendar/" r:id="rId13"/>
    <hyperlink xmlns:r="http://schemas.openxmlformats.org/officeDocument/2006/relationships" ref="L29" display="https://xlworks.net/xlgantt-howto-12-integration-with-excel/" r:id="rId14"/>
    <hyperlink xmlns:r="http://schemas.openxmlformats.org/officeDocument/2006/relationships" ref="L30" display="https://xlworks.net/xlgantt-howto-14-workloads/" r:id="rId15"/>
    <hyperlink xmlns:r="http://schemas.openxmlformats.org/officeDocument/2006/relationships" ref="L31" display="https://xlworks.net/xlgantt-howto-15-color-theme/" r:id="rId16"/>
    <hyperlink xmlns:r="http://schemas.openxmlformats.org/officeDocument/2006/relationships" ref="L32" display="https://xlworks.net/xlgantt-howto-16-task-dependencies/" r:id="rId17"/>
  </hyperlinks>
  <pageMargins left="0.7" right="0.7" top="0.75" bottom="0.75" header="0.3" footer="0.3"/>
  <pageSetup orientation="portrait" paperSize="9" horizontalDpi="300" verticalDpi="300"/>
</worksheet>
</file>

<file path=xl/worksheets/sheet2.xml><?xml version="1.0" encoding="utf-8"?>
<worksheet xmlns="http://schemas.openxmlformats.org/spreadsheetml/2006/main">
  <sheetPr codeName="Sheet8">
    <tabColor rgb="FF00A44A"/>
    <outlinePr summaryBelow="0"/>
    <pageSetUpPr fitToPage="1"/>
  </sheetPr>
  <dimension ref="A1:GJ57"/>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baseColWidth="8" defaultColWidth="10" defaultRowHeight="12" customHeight="1" outlineLevelRow="5"/>
  <cols>
    <col hidden="1" width="1.625" customWidth="1" style="108" min="1" max="1"/>
    <col hidden="1" width="9" customWidth="1" style="108" min="2" max="2"/>
    <col hidden="1" width="8.375" customWidth="1" style="108" min="3" max="3"/>
    <col width="6.625" customWidth="1" style="109" min="4" max="4"/>
    <col width="2.75" customWidth="1" style="110" min="5" max="13"/>
    <col width="4.5" bestFit="1" customWidth="1" style="110" min="14" max="14"/>
    <col width="8" customWidth="1" style="110" min="15" max="15"/>
    <col width="10.375" bestFit="1" customWidth="1" style="111" min="16" max="16"/>
    <col width="10" bestFit="1" customWidth="1" style="111" min="17" max="17"/>
    <col width="7.625" customWidth="1" style="110" min="18" max="18"/>
    <col width="7.375" customWidth="1" style="288" min="19" max="19"/>
    <col width="7.25" bestFit="1" customWidth="1" style="288" min="20" max="20"/>
    <col width="6" customWidth="1" style="288" min="21" max="21"/>
    <col width="5.875" customWidth="1" style="288" min="22" max="22"/>
    <col hidden="1" width="9.75" customWidth="1" style="111" min="23" max="24"/>
    <col hidden="1" width="7.5" customWidth="1" style="289" min="25" max="25"/>
    <col hidden="1" width="6" customWidth="1" style="114" min="26" max="26"/>
    <col hidden="1" width="7.125" customWidth="1" style="288" min="27" max="27"/>
    <col width="12.875" customWidth="1" style="110" min="28" max="28"/>
    <col width="10.875" customWidth="1" style="110" min="29" max="29"/>
    <col width="7.625" bestFit="1" customWidth="1" style="115" min="30" max="30"/>
    <col width="8.375" bestFit="1" customWidth="1" style="116" min="31" max="31"/>
    <col width="1.875" customWidth="1" style="100" min="32" max="192"/>
    <col width="10" customWidth="1" style="100" min="193" max="16384"/>
  </cols>
  <sheetData>
    <row r="1" ht="24.95" customFormat="1" customHeight="1" s="101">
      <c r="A1" s="173" t="n"/>
      <c r="B1" s="196" t="n"/>
      <c r="C1" s="175" t="n"/>
      <c r="D1" s="180" t="n"/>
      <c r="E1" s="181" t="n"/>
      <c r="F1" s="181" t="n"/>
      <c r="G1" s="181" t="n"/>
      <c r="H1" s="181" t="n"/>
      <c r="I1" s="181" t="n"/>
      <c r="J1" s="181" t="n"/>
      <c r="K1" s="181" t="n"/>
      <c r="L1" s="181" t="n"/>
      <c r="M1" s="181" t="n"/>
      <c r="N1" s="181" t="n"/>
      <c r="O1" s="181" t="n"/>
      <c r="P1" s="181" t="n"/>
      <c r="Q1" s="182" t="n"/>
      <c r="R1" s="183" t="n"/>
      <c r="S1" s="290" t="n"/>
      <c r="T1" s="291" t="n"/>
      <c r="U1" s="292" t="n"/>
      <c r="V1" s="292" t="n"/>
      <c r="W1" s="187" t="n"/>
      <c r="X1" s="187" t="n"/>
      <c r="Y1" s="174" t="n"/>
      <c r="Z1" s="188" t="n"/>
      <c r="AA1" s="176" t="n"/>
      <c r="AB1" s="177" t="n"/>
      <c r="AC1" s="193">
        <f t="array" ref="AC1">xlgantt.ProjectProgress()</f>
        <v/>
      </c>
      <c r="AD1" s="179" t="n"/>
      <c r="AE1" s="193" t="n"/>
      <c r="AF1" s="189" t="inlineStr">
        <is>
          <t>XLGantt 6.1.0 ©XLWorks  주별보기, Zoom 100%, 계산 옵션 : 자동</t>
        </is>
      </c>
      <c r="AG1" s="190" t="inlineStr">
        <is>
          <t>https://xlworks.net/xlgantt-project-scheduler/</t>
        </is>
      </c>
      <c r="AH1" s="190" t="inlineStr">
        <is>
          <t>https://xlworks.net/xlgantt-project-scheduler/</t>
        </is>
      </c>
      <c r="AI1" s="190" t="inlineStr">
        <is>
          <t>https://xlworks.net/xlgantt-project-scheduler/</t>
        </is>
      </c>
      <c r="AJ1" s="190" t="inlineStr">
        <is>
          <t>https://xlworks.net/xlgantt-project-scheduler/</t>
        </is>
      </c>
      <c r="AK1" s="190" t="inlineStr">
        <is>
          <t>https://xlworks.net/xlgantt-project-scheduler/</t>
        </is>
      </c>
      <c r="AL1" s="190" t="inlineStr">
        <is>
          <t>https://xlworks.net/xlgantt-project-scheduler/</t>
        </is>
      </c>
      <c r="AM1" s="190" t="inlineStr">
        <is>
          <t>https://xlworks.net/xlgantt-project-scheduler/</t>
        </is>
      </c>
      <c r="AN1" s="190" t="inlineStr">
        <is>
          <t>https://xlworks.net/xlgantt-project-scheduler/</t>
        </is>
      </c>
      <c r="AO1" s="190" t="inlineStr">
        <is>
          <t>https://xlworks.net/xlgantt-project-scheduler/</t>
        </is>
      </c>
      <c r="AP1" s="190" t="inlineStr">
        <is>
          <t>https://xlworks.net/xlgantt-project-scheduler/</t>
        </is>
      </c>
      <c r="AQ1" s="190" t="inlineStr">
        <is>
          <t>https://xlworks.net/xlgantt-project-scheduler/</t>
        </is>
      </c>
      <c r="AR1" s="190" t="inlineStr">
        <is>
          <t>https://xlworks.net/xlgantt-project-scheduler/</t>
        </is>
      </c>
      <c r="AS1" s="190" t="inlineStr">
        <is>
          <t>https://xlworks.net/xlgantt-project-scheduler/</t>
        </is>
      </c>
      <c r="AT1" s="190" t="inlineStr">
        <is>
          <t>https://xlworks.net/xlgantt-project-scheduler/</t>
        </is>
      </c>
      <c r="AU1" s="190" t="inlineStr">
        <is>
          <t>https://xlworks.net/xlgantt-project-scheduler/</t>
        </is>
      </c>
      <c r="AV1" s="190" t="inlineStr">
        <is>
          <t>https://xlworks.net/xlgantt-project-scheduler/</t>
        </is>
      </c>
      <c r="AW1" s="190" t="inlineStr">
        <is>
          <t>https://xlworks.net/xlgantt-project-scheduler/</t>
        </is>
      </c>
      <c r="AX1" s="190" t="inlineStr">
        <is>
          <t>https://xlworks.net/xlgantt-project-scheduler/</t>
        </is>
      </c>
      <c r="AY1" s="190" t="inlineStr">
        <is>
          <t>https://xlworks.net/xlgantt-project-scheduler/</t>
        </is>
      </c>
      <c r="AZ1" s="190" t="inlineStr">
        <is>
          <t>https://xlworks.net/xlgantt-project-scheduler/</t>
        </is>
      </c>
      <c r="BA1" s="190" t="inlineStr">
        <is>
          <t>https://xlworks.net/xlgantt-project-scheduler/</t>
        </is>
      </c>
      <c r="BB1" s="190" t="inlineStr">
        <is>
          <t>https://xlworks.net/xlgantt-project-scheduler/</t>
        </is>
      </c>
      <c r="BC1" s="190" t="inlineStr">
        <is>
          <t>https://xlworks.net/xlgantt-project-scheduler/</t>
        </is>
      </c>
      <c r="BD1" s="190" t="inlineStr">
        <is>
          <t>https://xlworks.net/xlgantt-project-scheduler/</t>
        </is>
      </c>
      <c r="BE1" s="190" t="inlineStr">
        <is>
          <t>https://xlworks.net/xlgantt-project-scheduler/</t>
        </is>
      </c>
      <c r="BF1" s="190" t="inlineStr">
        <is>
          <t>https://xlworks.net/xlgantt-project-scheduler/</t>
        </is>
      </c>
      <c r="BG1" s="190" t="inlineStr">
        <is>
          <t>https://xlworks.net/xlgantt-project-scheduler/</t>
        </is>
      </c>
      <c r="BH1" s="190" t="inlineStr">
        <is>
          <t>https://xlworks.net/xlgantt-project-scheduler/</t>
        </is>
      </c>
      <c r="BI1" s="190" t="inlineStr">
        <is>
          <t>https://xlworks.net/xlgantt-project-scheduler/</t>
        </is>
      </c>
      <c r="BJ1" s="190" t="inlineStr">
        <is>
          <t>https://xlworks.net/xlgantt-project-scheduler/</t>
        </is>
      </c>
    </row>
    <row r="2" ht="15" customFormat="1" customHeight="1" s="101">
      <c r="A2" s="164" t="n"/>
      <c r="B2" s="164" t="n"/>
      <c r="C2" s="165" t="n"/>
      <c r="D2" s="192" t="n"/>
      <c r="E2" s="192" t="n"/>
      <c r="F2" s="192" t="n"/>
      <c r="G2" s="166" t="n"/>
      <c r="H2" s="167" t="n"/>
      <c r="I2" s="166" t="n"/>
      <c r="J2" s="166" t="n"/>
      <c r="K2" s="166" t="n"/>
      <c r="L2" s="166" t="n"/>
      <c r="M2" s="166" t="n"/>
      <c r="N2" s="166" t="n"/>
      <c r="O2" s="166" t="n"/>
      <c r="P2" s="166" t="n"/>
      <c r="Q2" s="166" t="n"/>
      <c r="R2" s="166" t="n"/>
      <c r="S2" s="293" t="n"/>
      <c r="T2" s="293" t="n"/>
      <c r="U2" s="293" t="n"/>
      <c r="V2" s="293" t="n"/>
      <c r="W2" s="166" t="n"/>
      <c r="X2" s="166" t="n"/>
      <c r="Y2" s="166" t="n"/>
      <c r="Z2" s="166" t="n"/>
      <c r="AA2" s="166" t="n"/>
      <c r="AB2" s="166" t="n"/>
      <c r="AC2" s="169" t="n"/>
      <c r="AD2" s="170" t="n"/>
      <c r="AE2" s="166" t="n"/>
      <c r="AF2" s="242" t="inlineStr">
        <is>
          <t>W1</t>
        </is>
      </c>
      <c r="AJ2" s="242" t="inlineStr">
        <is>
          <t>W5</t>
        </is>
      </c>
      <c r="AN2" s="242" t="inlineStr">
        <is>
          <t>W9</t>
        </is>
      </c>
      <c r="AR2" s="242" t="inlineStr">
        <is>
          <t>W13</t>
        </is>
      </c>
      <c r="AV2" s="242" t="inlineStr">
        <is>
          <t>W17</t>
        </is>
      </c>
      <c r="AZ2" s="242" t="inlineStr">
        <is>
          <t>W21</t>
        </is>
      </c>
      <c r="BD2" s="242" t="n"/>
      <c r="BE2" s="242" t="n"/>
      <c r="BF2" s="242" t="n"/>
      <c r="BG2" s="242" t="n"/>
      <c r="BH2" s="242" t="n"/>
      <c r="BI2" s="242" t="n"/>
      <c r="BJ2" s="242" t="n"/>
      <c r="BK2" s="242" t="n"/>
      <c r="BL2" s="242" t="n"/>
      <c r="BM2" s="242" t="n"/>
      <c r="BN2" s="242" t="n"/>
      <c r="BO2" s="242" t="n"/>
      <c r="BP2" s="242" t="n"/>
      <c r="BQ2" s="242" t="n"/>
      <c r="BR2" s="242" t="n"/>
      <c r="BS2" s="242" t="n"/>
      <c r="BT2" s="242" t="n"/>
      <c r="BU2" s="242" t="n"/>
      <c r="BV2" s="242" t="n"/>
      <c r="BW2" s="242" t="n"/>
      <c r="BX2" s="242" t="n"/>
      <c r="BY2" s="242" t="n"/>
      <c r="BZ2" s="242" t="n"/>
      <c r="CA2" s="242" t="n"/>
      <c r="CB2" s="242" t="n"/>
      <c r="CC2" s="242" t="n"/>
      <c r="CD2" s="242" t="n"/>
      <c r="CE2" s="242" t="n"/>
      <c r="CF2" s="242" t="n"/>
      <c r="CG2" s="242" t="n"/>
      <c r="CH2" s="242" t="n"/>
      <c r="CI2" s="242" t="n"/>
      <c r="CJ2" s="242" t="n"/>
      <c r="CK2" s="242" t="n"/>
      <c r="CL2" s="242" t="n"/>
      <c r="CM2" s="242" t="n"/>
      <c r="CN2" s="242" t="n"/>
      <c r="CO2" s="242" t="n"/>
      <c r="CP2" s="242" t="n"/>
      <c r="CQ2" s="242" t="n"/>
      <c r="CR2" s="242" t="n"/>
      <c r="CS2" s="242" t="n"/>
      <c r="CT2" s="242" t="n"/>
      <c r="CU2" s="242" t="n"/>
      <c r="CV2" s="242" t="n"/>
      <c r="CW2" s="242" t="n"/>
      <c r="CX2" s="242" t="n"/>
      <c r="CY2" s="242" t="n"/>
      <c r="CZ2" s="242" t="n"/>
      <c r="DA2" s="242" t="n"/>
      <c r="DB2" s="242" t="n"/>
      <c r="DC2" s="242" t="n"/>
      <c r="DD2" s="242" t="n"/>
      <c r="DE2" s="242" t="n"/>
      <c r="DF2" s="242" t="n"/>
      <c r="DG2" s="242" t="n"/>
      <c r="DH2" s="242" t="n"/>
      <c r="DI2" s="242" t="n"/>
      <c r="DJ2" s="242" t="n"/>
      <c r="DK2" s="242" t="n"/>
      <c r="DL2" s="242" t="n"/>
      <c r="DM2" s="242" t="n"/>
      <c r="DN2" s="242" t="n"/>
      <c r="DO2" s="242" t="n"/>
      <c r="DP2" s="242" t="n"/>
      <c r="DQ2" s="242" t="n"/>
      <c r="DR2" s="242" t="n"/>
      <c r="DS2" s="242" t="n"/>
      <c r="DT2" s="242" t="n"/>
      <c r="DU2" s="242" t="n"/>
      <c r="DV2" s="242" t="n"/>
      <c r="DW2" s="242" t="n"/>
      <c r="DX2" s="242" t="n"/>
      <c r="DY2" s="242" t="n"/>
      <c r="DZ2" s="242" t="n"/>
      <c r="EA2" s="242" t="n"/>
      <c r="EB2" s="242" t="n"/>
      <c r="EC2" s="242" t="n"/>
      <c r="ED2" s="242" t="n"/>
      <c r="EE2" s="242" t="n"/>
      <c r="EF2" s="242" t="n"/>
      <c r="EG2" s="242" t="n"/>
      <c r="EH2" s="242" t="n"/>
      <c r="EI2" s="242" t="n"/>
      <c r="EJ2" s="242" t="n"/>
      <c r="EK2" s="242" t="n"/>
      <c r="EL2" s="242" t="n"/>
      <c r="EM2" s="242" t="n"/>
      <c r="EN2" s="242" t="n"/>
      <c r="EO2" s="242" t="n"/>
      <c r="EP2" s="242" t="n"/>
      <c r="EQ2" s="242" t="n"/>
      <c r="ER2" s="242" t="n"/>
      <c r="ES2" s="242" t="n"/>
      <c r="ET2" s="242" t="n"/>
      <c r="EU2" s="242" t="n"/>
      <c r="EV2" s="242" t="n"/>
      <c r="EW2" s="242" t="n"/>
      <c r="EX2" s="242" t="n"/>
      <c r="EY2" s="242" t="n"/>
      <c r="EZ2" s="242" t="n"/>
      <c r="FA2" s="242" t="n"/>
      <c r="FB2" s="242" t="n"/>
      <c r="FC2" s="242" t="n"/>
      <c r="FD2" s="242" t="n"/>
      <c r="FE2" s="242" t="n"/>
      <c r="FF2" s="242" t="n"/>
      <c r="FG2" s="242" t="n"/>
      <c r="FH2" s="242" t="n"/>
      <c r="FI2" s="242" t="n"/>
      <c r="FJ2" s="242" t="n"/>
      <c r="FK2" s="242" t="n"/>
      <c r="FL2" s="242" t="n"/>
      <c r="FM2" s="242" t="n"/>
      <c r="FN2" s="242" t="n"/>
      <c r="FO2" s="242" t="n"/>
      <c r="FP2" s="242" t="n"/>
      <c r="FQ2" s="242" t="n"/>
      <c r="FR2" s="242" t="n"/>
      <c r="FS2" s="242" t="n"/>
      <c r="FT2" s="242" t="n"/>
      <c r="FU2" s="242" t="n"/>
      <c r="FV2" s="242" t="n"/>
      <c r="FW2" s="242" t="n"/>
      <c r="FX2" s="242" t="n"/>
      <c r="FY2" s="242" t="n"/>
      <c r="FZ2" s="242" t="n"/>
      <c r="GA2" s="242" t="n"/>
      <c r="GB2" s="242" t="n"/>
      <c r="GC2" s="242" t="n"/>
      <c r="GD2" s="242" t="n"/>
      <c r="GE2" s="242" t="n"/>
      <c r="GF2" s="242" t="n"/>
      <c r="GG2" s="242" t="n"/>
      <c r="GH2" s="242" t="n"/>
      <c r="GI2" s="242" t="n"/>
      <c r="GJ2" s="242" t="n"/>
    </row>
    <row r="3" ht="18.95" customFormat="1" customHeight="1" s="99">
      <c r="A3" s="251" t="inlineStr">
        <is>
          <t>reserved</t>
        </is>
      </c>
      <c r="B3" s="253" t="inlineStr">
        <is>
          <t>task_group</t>
        </is>
      </c>
      <c r="C3" s="255" t="inlineStr">
        <is>
          <t>wbs_level</t>
        </is>
      </c>
      <c r="D3" s="256" t="inlineStr">
        <is>
          <t>WBS</t>
        </is>
      </c>
      <c r="E3" s="258" t="inlineStr">
        <is>
          <t>작업*</t>
        </is>
      </c>
      <c r="O3" s="246" t="inlineStr">
        <is>
          <t>비고</t>
        </is>
      </c>
      <c r="P3" s="246" t="inlineStr">
        <is>
          <t>시작일*</t>
        </is>
      </c>
      <c r="Q3" s="246" t="inlineStr">
        <is>
          <t>완료일*</t>
        </is>
      </c>
      <c r="R3" s="261" t="inlineStr">
        <is>
          <t>Calendar</t>
        </is>
      </c>
      <c r="S3" s="294" t="inlineStr">
        <is>
          <t>총_x000D_
작업량</t>
        </is>
      </c>
      <c r="T3" s="295" t="inlineStr">
        <is>
          <t>계획_x000D_
작업량</t>
        </is>
      </c>
      <c r="U3" s="294" t="inlineStr">
        <is>
          <t>총_x000D_
기간</t>
        </is>
      </c>
      <c r="V3" s="294" t="inlineStr">
        <is>
          <t>계획_x000D_
기간</t>
        </is>
      </c>
      <c r="W3" s="248" t="inlineStr">
        <is>
          <t>실제_x000D_
시작일</t>
        </is>
      </c>
      <c r="X3" s="248" t="inlineStr">
        <is>
          <t>실제_x000D_
완료일</t>
        </is>
      </c>
      <c r="Y3" s="296" t="inlineStr">
        <is>
          <t>실제_x000D_
총작업량</t>
        </is>
      </c>
      <c r="Z3" s="273" t="inlineStr">
        <is>
          <t>실제_x000D_
총기간</t>
        </is>
      </c>
      <c r="AA3" s="297" t="inlineStr">
        <is>
          <t>자원수</t>
        </is>
      </c>
      <c r="AB3" s="246" t="inlineStr">
        <is>
          <t>담당</t>
        </is>
      </c>
      <c r="AC3" s="261" t="inlineStr">
        <is>
          <t>산출물</t>
        </is>
      </c>
      <c r="AD3" s="267" t="inlineStr">
        <is>
          <t>계획</t>
        </is>
      </c>
      <c r="AE3" s="264" t="inlineStr">
        <is>
          <t>실적*</t>
        </is>
      </c>
      <c r="AF3" s="266" t="inlineStr">
        <is>
          <t>03/01
W10</t>
        </is>
      </c>
      <c r="AI3" s="298" t="n"/>
      <c r="AJ3" s="243" t="inlineStr">
        <is>
          <t>03/29
W14</t>
        </is>
      </c>
      <c r="AM3" s="298" t="n"/>
      <c r="AN3" s="243" t="inlineStr">
        <is>
          <t>04/26
W18</t>
        </is>
      </c>
      <c r="AQ3" s="298" t="n"/>
      <c r="AR3" s="243" t="inlineStr">
        <is>
          <t>05/24
W22</t>
        </is>
      </c>
      <c r="AU3" s="298" t="n"/>
      <c r="AV3" s="243" t="inlineStr">
        <is>
          <t>06/21
W26</t>
        </is>
      </c>
      <c r="AY3" s="298" t="n"/>
      <c r="AZ3" s="243" t="inlineStr">
        <is>
          <t>07/19
W30</t>
        </is>
      </c>
      <c r="BC3" s="298" t="n"/>
    </row>
    <row r="4" ht="6" customFormat="1" customHeight="1" s="99">
      <c r="A4" s="299" t="n"/>
      <c r="B4" s="300" t="n"/>
      <c r="C4" s="300" t="n"/>
      <c r="D4" s="300" t="n"/>
      <c r="E4" s="301" t="n"/>
      <c r="O4" s="300" t="n"/>
      <c r="P4" s="300" t="n"/>
      <c r="Q4" s="300" t="n"/>
      <c r="R4" s="300" t="n"/>
      <c r="S4" s="300" t="n"/>
      <c r="T4" s="300" t="n"/>
      <c r="U4" s="300" t="n"/>
      <c r="V4" s="300" t="n"/>
      <c r="W4" s="300" t="n"/>
      <c r="X4" s="300" t="n"/>
      <c r="Y4" s="300" t="n"/>
      <c r="Z4" s="300" t="n"/>
      <c r="AA4" s="300" t="n"/>
      <c r="AB4" s="300" t="n"/>
      <c r="AC4" s="300" t="n"/>
      <c r="AD4" s="300" t="n"/>
      <c r="AE4" s="301" t="n"/>
      <c r="AF4" s="162" t="n">
        <v>46082</v>
      </c>
      <c r="AG4" s="163" t="n">
        <v>46089</v>
      </c>
      <c r="AH4" s="163" t="n">
        <v>46096</v>
      </c>
      <c r="AI4" s="163" t="n">
        <v>46103</v>
      </c>
      <c r="AJ4" s="163" t="n">
        <v>46110</v>
      </c>
      <c r="AK4" s="163" t="n">
        <v>46117</v>
      </c>
      <c r="AL4" s="163" t="n">
        <v>46124</v>
      </c>
      <c r="AM4" s="163" t="n">
        <v>46131</v>
      </c>
      <c r="AN4" s="163" t="n">
        <v>46138</v>
      </c>
      <c r="AO4" s="163" t="n">
        <v>46145</v>
      </c>
      <c r="AP4" s="163" t="n">
        <v>46152</v>
      </c>
      <c r="AQ4" s="163" t="n">
        <v>46159</v>
      </c>
      <c r="AR4" s="163" t="n">
        <v>46166</v>
      </c>
      <c r="AS4" s="163" t="n">
        <v>46173</v>
      </c>
      <c r="AT4" s="163" t="n">
        <v>46180</v>
      </c>
      <c r="AU4" s="163" t="n">
        <v>46187</v>
      </c>
      <c r="AV4" s="163" t="n">
        <v>46194</v>
      </c>
      <c r="AW4" s="163" t="n">
        <v>46201</v>
      </c>
      <c r="AX4" s="163" t="n">
        <v>46208</v>
      </c>
      <c r="AY4" s="163" t="n">
        <v>46215</v>
      </c>
      <c r="AZ4" s="163" t="n">
        <v>46222</v>
      </c>
      <c r="BA4" s="163" t="n">
        <v>46229</v>
      </c>
      <c r="BB4" s="163" t="n">
        <v>46236</v>
      </c>
      <c r="BC4" s="208" t="n"/>
      <c r="BD4" s="209" t="n"/>
      <c r="BE4" s="209" t="n"/>
      <c r="BF4" s="209" t="n"/>
      <c r="BG4" s="209" t="n"/>
      <c r="BH4" s="209" t="n"/>
      <c r="BI4" s="209" t="n"/>
      <c r="BJ4" s="209" t="n"/>
      <c r="BK4" s="209" t="n"/>
      <c r="BL4" s="209" t="n"/>
      <c r="BM4" s="209" t="n"/>
      <c r="BN4" s="209" t="n"/>
      <c r="BO4" s="209" t="n"/>
      <c r="BP4" s="209" t="n"/>
      <c r="BQ4" s="209" t="n"/>
      <c r="BR4" s="209" t="n"/>
      <c r="BS4" s="209" t="n"/>
      <c r="BT4" s="209" t="n"/>
      <c r="BU4" s="209" t="n"/>
      <c r="BV4" s="209" t="n"/>
      <c r="BW4" s="209" t="n"/>
      <c r="BX4" s="209" t="n"/>
      <c r="BY4" s="209" t="n"/>
      <c r="BZ4" s="209" t="n"/>
      <c r="CA4" s="209" t="n"/>
      <c r="CB4" s="209" t="n"/>
      <c r="CC4" s="209" t="n"/>
      <c r="CD4" s="209" t="n"/>
      <c r="CE4" s="209" t="n"/>
      <c r="CF4" s="209" t="n"/>
      <c r="CG4" s="209" t="n"/>
      <c r="CH4" s="209" t="n"/>
      <c r="CI4" s="209" t="n"/>
      <c r="CJ4" s="209" t="n"/>
      <c r="CK4" s="209" t="n"/>
      <c r="CL4" s="209" t="n"/>
      <c r="CM4" s="209" t="n"/>
      <c r="CN4" s="209" t="n"/>
      <c r="CO4" s="209" t="n"/>
      <c r="CP4" s="209" t="n"/>
      <c r="CQ4" s="209" t="n"/>
      <c r="CR4" s="209" t="n"/>
      <c r="CS4" s="209" t="n"/>
      <c r="CT4" s="209" t="n"/>
      <c r="CU4" s="209" t="n"/>
      <c r="CV4" s="209" t="n"/>
      <c r="CW4" s="209" t="n"/>
      <c r="CX4" s="209" t="n"/>
      <c r="CY4" s="209" t="n"/>
      <c r="CZ4" s="209" t="n"/>
      <c r="DA4" s="209" t="n"/>
      <c r="DB4" s="209" t="n"/>
      <c r="DC4" s="209" t="n"/>
      <c r="DD4" s="209" t="n"/>
      <c r="DE4" s="209" t="n"/>
      <c r="DF4" s="209" t="n"/>
      <c r="DG4" s="209" t="n"/>
      <c r="DH4" s="209" t="n"/>
      <c r="DI4" s="209" t="n"/>
      <c r="DJ4" s="209" t="n"/>
      <c r="DK4" s="209" t="n"/>
      <c r="DL4" s="209" t="n"/>
      <c r="DM4" s="209" t="n"/>
      <c r="DN4" s="209" t="n"/>
      <c r="DO4" s="209" t="n"/>
      <c r="DP4" s="209" t="n"/>
      <c r="DQ4" s="209" t="n"/>
      <c r="DR4" s="209" t="n"/>
      <c r="DS4" s="209" t="n"/>
      <c r="DT4" s="209" t="n"/>
      <c r="DU4" s="209" t="n"/>
      <c r="DV4" s="209" t="n"/>
      <c r="DW4" s="209" t="n"/>
      <c r="DX4" s="209" t="n"/>
      <c r="DY4" s="209" t="n"/>
      <c r="DZ4" s="209" t="n"/>
      <c r="EA4" s="209" t="n"/>
      <c r="EB4" s="209" t="n"/>
      <c r="EC4" s="209" t="n"/>
      <c r="ED4" s="209" t="n"/>
      <c r="EE4" s="209" t="n"/>
      <c r="EF4" s="209" t="n"/>
      <c r="EG4" s="209" t="n"/>
      <c r="EH4" s="209" t="n"/>
      <c r="EI4" s="209" t="n"/>
      <c r="EJ4" s="209" t="n"/>
      <c r="EK4" s="209" t="n"/>
      <c r="EL4" s="209" t="n"/>
      <c r="EM4" s="209" t="n"/>
      <c r="EN4" s="209" t="n"/>
      <c r="EO4" s="209" t="n"/>
      <c r="EP4" s="209" t="n"/>
      <c r="EQ4" s="209" t="n"/>
      <c r="ER4" s="209" t="n"/>
      <c r="ES4" s="209" t="n"/>
      <c r="ET4" s="209" t="n"/>
      <c r="EU4" s="209" t="n"/>
      <c r="EV4" s="209" t="n"/>
      <c r="EW4" s="209" t="n"/>
      <c r="EX4" s="209" t="n"/>
      <c r="EY4" s="209" t="n"/>
      <c r="EZ4" s="209" t="n"/>
      <c r="FA4" s="209" t="n"/>
      <c r="FB4" s="209" t="n"/>
      <c r="FC4" s="209" t="n"/>
      <c r="FD4" s="209" t="n"/>
      <c r="FE4" s="209" t="n"/>
      <c r="FF4" s="209" t="n"/>
      <c r="FG4" s="209" t="n"/>
      <c r="FH4" s="209" t="n"/>
      <c r="FI4" s="209" t="n"/>
      <c r="FJ4" s="209" t="n"/>
      <c r="FK4" s="209" t="n"/>
      <c r="FL4" s="209" t="n"/>
      <c r="FM4" s="209" t="n"/>
      <c r="FN4" s="209" t="n"/>
      <c r="FO4" s="209" t="n"/>
      <c r="FP4" s="209" t="n"/>
      <c r="FQ4" s="209" t="n"/>
      <c r="FR4" s="209" t="n"/>
      <c r="FS4" s="209" t="n"/>
      <c r="FT4" s="209" t="n"/>
      <c r="FU4" s="209" t="n"/>
      <c r="FV4" s="209" t="n"/>
      <c r="FW4" s="209" t="n"/>
      <c r="FX4" s="209" t="n"/>
      <c r="FY4" s="209" t="n"/>
      <c r="FZ4" s="209" t="n"/>
      <c r="GA4" s="209" t="n"/>
      <c r="GB4" s="209" t="n"/>
      <c r="GC4" s="209" t="n"/>
      <c r="GD4" s="209" t="n"/>
      <c r="GE4" s="209" t="n"/>
      <c r="GF4" s="209" t="n"/>
      <c r="GG4" s="209" t="n"/>
      <c r="GH4" s="209" t="n"/>
      <c r="GI4" s="209" t="n"/>
      <c r="GJ4" s="209" t="n"/>
    </row>
    <row r="5" ht="12" customHeight="1">
      <c r="A5" s="102" t="n"/>
      <c r="B5" s="102" t="inlineStr">
        <is>
          <t>G</t>
        </is>
      </c>
      <c r="C5" s="102" t="n">
        <v>1</v>
      </c>
      <c r="D5" s="118" t="inlineStr">
        <is>
          <t>1</t>
        </is>
      </c>
      <c r="E5" s="103" t="inlineStr">
        <is>
          <t>대두유 구매 의사결정 AI 시스템 (Nexus) — 외부데이터 전용(D-021)</t>
        </is>
      </c>
      <c r="F5" s="103" t="n"/>
      <c r="G5" s="103" t="n"/>
      <c r="H5" s="103" t="n"/>
      <c r="I5" s="103" t="n"/>
      <c r="J5" s="103" t="n"/>
      <c r="K5" s="103" t="n"/>
      <c r="L5" s="103" t="n"/>
      <c r="M5" s="103" t="n"/>
      <c r="N5" s="103" t="n"/>
      <c r="O5" s="103" t="n"/>
      <c r="P5" s="104" t="n">
        <v>46086</v>
      </c>
      <c r="Q5" s="104" t="n">
        <v>46295</v>
      </c>
      <c r="R5" s="103" t="n"/>
      <c r="S5" s="302" t="n"/>
      <c r="T5" s="302" t="n"/>
      <c r="U5" s="302" t="n"/>
      <c r="V5" s="302" t="n">
        <v>150</v>
      </c>
      <c r="W5" s="104" t="n"/>
      <c r="X5" s="104" t="n"/>
      <c r="Y5" s="303" t="n"/>
      <c r="Z5" s="107" t="n"/>
      <c r="AA5" s="302" t="n"/>
      <c r="AB5" s="103" t="inlineStr">
        <is>
          <t>조영훈</t>
        </is>
      </c>
      <c r="AC5" s="103" t="n"/>
      <c r="AD5" s="117" t="n"/>
      <c r="AE5" s="315" t="n">
        <v>0.7</v>
      </c>
      <c r="AF5" s="120" t="n"/>
      <c r="AG5" s="121" t="n"/>
      <c r="AH5" s="121" t="n"/>
      <c r="AI5" s="121" t="n"/>
      <c r="AJ5" s="121" t="n"/>
      <c r="AK5" s="121" t="n"/>
      <c r="AL5" s="121" t="n"/>
      <c r="AM5" s="121" t="n"/>
      <c r="AN5" s="121" t="n"/>
      <c r="AO5" s="121" t="n"/>
      <c r="AP5" s="121" t="n"/>
      <c r="AQ5" s="121" t="n"/>
      <c r="AR5" s="121" t="n"/>
      <c r="AS5" s="121" t="n"/>
      <c r="AT5" s="121" t="n"/>
      <c r="AU5" s="121" t="n"/>
      <c r="AV5" s="121" t="n"/>
      <c r="AW5" s="121" t="n"/>
      <c r="AX5" s="121" t="n"/>
      <c r="AY5" s="121" t="n"/>
      <c r="AZ5" s="121" t="n"/>
      <c r="BA5" s="121" t="n"/>
      <c r="BB5" s="121" t="n"/>
      <c r="BC5" s="121" t="n"/>
    </row>
    <row r="6" outlineLevel="1" ht="12" customHeight="1">
      <c r="A6" s="102" t="n"/>
      <c r="B6" s="102" t="inlineStr">
        <is>
          <t>G</t>
        </is>
      </c>
      <c r="C6" s="102" t="n">
        <v>2</v>
      </c>
      <c r="D6" s="118" t="inlineStr">
        <is>
          <t>1.1</t>
        </is>
      </c>
      <c r="E6" s="103" t="n"/>
      <c r="F6" s="103" t="inlineStr">
        <is>
          <t>Phase 1: 데이터 기반 정비 (2010~2025 분석창)</t>
        </is>
      </c>
      <c r="G6" s="103" t="n"/>
      <c r="H6" s="103" t="n"/>
      <c r="I6" s="103" t="n"/>
      <c r="J6" s="103" t="n"/>
      <c r="K6" s="103" t="n"/>
      <c r="L6" s="103" t="n"/>
      <c r="M6" s="103" t="n"/>
      <c r="N6" s="103" t="n"/>
      <c r="O6" s="103" t="n"/>
      <c r="P6" s="104" t="n">
        <v>46086</v>
      </c>
      <c r="Q6" s="104" t="n">
        <v>46253</v>
      </c>
      <c r="R6" s="103" t="n"/>
      <c r="S6" s="302" t="n"/>
      <c r="T6" s="302" t="n"/>
      <c r="U6" s="302" t="n"/>
      <c r="V6" s="302" t="n">
        <v>120</v>
      </c>
      <c r="W6" s="104" t="n"/>
      <c r="X6" s="104" t="n"/>
      <c r="Y6" s="303" t="n"/>
      <c r="Z6" s="107" t="n"/>
      <c r="AA6" s="302" t="n"/>
      <c r="AB6" s="103" t="inlineStr">
        <is>
          <t>조영훈</t>
        </is>
      </c>
      <c r="AC6" s="103" t="n"/>
      <c r="AD6" s="117" t="n"/>
      <c r="AE6" s="315" t="n">
        <v>0.96</v>
      </c>
      <c r="AF6" s="120" t="n"/>
      <c r="AG6" s="121" t="n"/>
      <c r="AH6" s="121" t="n"/>
      <c r="AI6" s="121" t="n"/>
      <c r="AJ6" s="121" t="n"/>
      <c r="AK6" s="121" t="n"/>
      <c r="AL6" s="121" t="n"/>
      <c r="AM6" s="121" t="n"/>
      <c r="AN6" s="121" t="n"/>
      <c r="AO6" s="121" t="n"/>
      <c r="AP6" s="121" t="n"/>
      <c r="AQ6" s="121" t="n"/>
      <c r="AR6" s="121" t="n"/>
      <c r="AS6" s="121" t="n"/>
      <c r="AT6" s="121" t="n"/>
      <c r="AU6" s="121" t="n"/>
      <c r="AV6" s="121" t="n"/>
      <c r="AW6" s="121" t="n"/>
      <c r="AX6" s="121" t="n"/>
      <c r="AY6" s="121" t="n"/>
      <c r="AZ6" s="121" t="n"/>
      <c r="BA6" s="121" t="n"/>
      <c r="BB6" s="121" t="n"/>
      <c r="BC6" s="121" t="n"/>
    </row>
    <row r="7" outlineLevel="2" ht="12" customHeight="1">
      <c r="A7" s="102" t="n"/>
      <c r="B7" s="102" t="n"/>
      <c r="C7" s="102" t="n">
        <v>3</v>
      </c>
      <c r="D7" s="118" t="inlineStr">
        <is>
          <t>1.1.1</t>
        </is>
      </c>
      <c r="E7" s="103" t="n"/>
      <c r="F7" s="103" t="n"/>
      <c r="G7" s="103" t="inlineStr">
        <is>
          <t>[데이터수집] 목표변수 CBOT_BO_CLOSE 확보·세션종가 검증 (4,177일)</t>
        </is>
      </c>
      <c r="H7" s="212" t="n"/>
      <c r="I7" s="103" t="n"/>
      <c r="J7" s="103" t="n"/>
      <c r="K7" s="103" t="n"/>
      <c r="L7" s="103" t="n"/>
      <c r="M7" s="103" t="n"/>
      <c r="N7" s="103" t="n"/>
      <c r="O7" s="103" t="n"/>
      <c r="P7" s="104" t="n">
        <v>46244</v>
      </c>
      <c r="Q7" s="104" t="n">
        <v>46247</v>
      </c>
      <c r="R7" s="103" t="n"/>
      <c r="S7" s="302" t="n"/>
      <c r="T7" s="302" t="n"/>
      <c r="U7" s="302" t="n"/>
      <c r="V7" s="302" t="n">
        <v>4</v>
      </c>
      <c r="W7" s="104" t="n"/>
      <c r="X7" s="104" t="n"/>
      <c r="Y7" s="303" t="n"/>
      <c r="Z7" s="107" t="n"/>
      <c r="AA7" s="302" t="n"/>
      <c r="AB7" s="103" t="inlineStr">
        <is>
          <t>조영훈</t>
        </is>
      </c>
      <c r="AC7" s="103" t="n"/>
      <c r="AD7" s="117" t="n"/>
      <c r="AE7" s="316" t="n">
        <v>1</v>
      </c>
      <c r="AF7" s="120" t="n"/>
      <c r="AG7" s="121" t="n"/>
      <c r="AH7" s="121" t="n"/>
      <c r="AI7" s="121" t="n"/>
      <c r="AJ7" s="121" t="n"/>
      <c r="AK7" s="121" t="n"/>
      <c r="AL7" s="121" t="n"/>
      <c r="AM7" s="121" t="n"/>
      <c r="AN7" s="121" t="n"/>
      <c r="AO7" s="121" t="n"/>
      <c r="AP7" s="121" t="n"/>
      <c r="AQ7" s="121" t="n"/>
      <c r="AR7" s="121" t="n"/>
      <c r="AS7" s="121" t="n"/>
      <c r="AT7" s="121" t="n"/>
      <c r="AU7" s="121" t="n"/>
      <c r="AV7" s="121" t="n"/>
      <c r="AW7" s="121" t="n"/>
      <c r="AX7" s="121" t="n"/>
      <c r="AY7" s="121" t="n"/>
      <c r="AZ7" s="121" t="n"/>
      <c r="BA7" s="121" t="n"/>
      <c r="BB7" s="121" t="n"/>
      <c r="BC7" s="121" t="n"/>
    </row>
    <row r="8" outlineLevel="2" ht="12" customHeight="1">
      <c r="A8" s="102" t="n"/>
      <c r="B8" s="102" t="n"/>
      <c r="C8" s="102" t="n">
        <v>3</v>
      </c>
      <c r="D8" s="118" t="inlineStr">
        <is>
          <t>1.1.2</t>
        </is>
      </c>
      <c r="E8" s="103" t="n"/>
      <c r="F8" s="103" t="n"/>
      <c r="G8" s="103" t="inlineStr">
        <is>
          <t>[데이터수집] 외부 API 장애 12종 근본수정 (GPR·TE·PSD·ESR·GDELT·BCRA)</t>
        </is>
      </c>
      <c r="H8" s="103" t="n"/>
      <c r="I8" s="103" t="n"/>
      <c r="J8" s="103" t="n"/>
      <c r="K8" s="103" t="n"/>
      <c r="L8" s="103" t="n"/>
      <c r="M8" s="103" t="n"/>
      <c r="N8" s="103" t="n"/>
      <c r="O8" s="103" t="n"/>
      <c r="P8" s="104" t="n">
        <v>46247</v>
      </c>
      <c r="Q8" s="104" t="n">
        <v>46252</v>
      </c>
      <c r="R8" s="103" t="n"/>
      <c r="S8" s="302" t="n"/>
      <c r="T8" s="302" t="n"/>
      <c r="U8" s="302" t="n"/>
      <c r="V8" s="302" t="n">
        <v>4</v>
      </c>
      <c r="W8" s="104" t="n"/>
      <c r="X8" s="104" t="n"/>
      <c r="Y8" s="303" t="n"/>
      <c r="Z8" s="107" t="n"/>
      <c r="AA8" s="302" t="n"/>
      <c r="AB8" s="103" t="inlineStr">
        <is>
          <t>조영훈</t>
        </is>
      </c>
      <c r="AC8" s="103" t="n"/>
      <c r="AD8" s="117" t="n"/>
      <c r="AE8" s="316" t="n">
        <v>0.95</v>
      </c>
      <c r="AF8" s="120" t="n"/>
      <c r="AG8" s="121" t="n"/>
      <c r="AH8" s="121" t="n"/>
      <c r="AI8" s="121" t="n"/>
      <c r="AJ8" s="121" t="n"/>
      <c r="AK8" s="121" t="n"/>
      <c r="AL8" s="121" t="n"/>
      <c r="AM8" s="121" t="n"/>
      <c r="AN8" s="121" t="n"/>
      <c r="AO8" s="121" t="n"/>
      <c r="AP8" s="121" t="n"/>
      <c r="AQ8" s="121" t="n"/>
      <c r="AR8" s="121" t="n"/>
      <c r="AS8" s="121" t="n"/>
      <c r="AT8" s="121" t="n"/>
      <c r="AU8" s="121" t="n"/>
      <c r="AV8" s="121" t="n"/>
      <c r="AW8" s="121" t="n"/>
      <c r="AX8" s="121" t="n"/>
      <c r="AY8" s="121" t="n"/>
      <c r="AZ8" s="121" t="n"/>
      <c r="BA8" s="121" t="n"/>
      <c r="BB8" s="121" t="n"/>
      <c r="BC8" s="121" t="n"/>
    </row>
    <row r="9" outlineLevel="2" ht="12" customHeight="1">
      <c r="A9" s="102" t="n"/>
      <c r="B9" s="102" t="n"/>
      <c r="C9" s="102" t="n">
        <v>3</v>
      </c>
      <c r="D9" s="118" t="inlineStr">
        <is>
          <t>1.1.3</t>
        </is>
      </c>
      <c r="E9" s="103" t="n"/>
      <c r="F9" s="103" t="n"/>
      <c r="G9" s="103" t="inlineStr">
        <is>
          <t>[데이터수집] 관세청 GW 확장·대체보완재 16 HS (D-031) ⚠️401 간헐</t>
        </is>
      </c>
      <c r="H9" s="103" t="n"/>
      <c r="I9" s="103" t="n"/>
      <c r="J9" s="103" t="n"/>
      <c r="K9" s="103" t="n"/>
      <c r="L9" s="103" t="n"/>
      <c r="M9" s="103" t="n"/>
      <c r="N9" s="103" t="n"/>
      <c r="O9" s="103" t="inlineStr">
        <is>
          <t>API 완료·10단위 수작업 조정자 진행 중(A-197 가이드)</t>
        </is>
      </c>
      <c r="P9" s="104" t="n">
        <v>46244</v>
      </c>
      <c r="Q9" s="104" t="n">
        <v>46253</v>
      </c>
      <c r="R9" s="103" t="n"/>
      <c r="S9" s="302" t="n"/>
      <c r="T9" s="302" t="n"/>
      <c r="U9" s="302" t="n"/>
      <c r="V9" s="302" t="n">
        <v>8</v>
      </c>
      <c r="W9" s="104" t="n"/>
      <c r="X9" s="104" t="n"/>
      <c r="Y9" s="303" t="n"/>
      <c r="Z9" s="107" t="n"/>
      <c r="AA9" s="302" t="n"/>
      <c r="AB9" s="103" t="inlineStr">
        <is>
          <t>조영훈</t>
        </is>
      </c>
      <c r="AC9" s="103" t="n"/>
      <c r="AD9" s="117" t="n"/>
      <c r="AE9" s="316" t="n">
        <v>0.85</v>
      </c>
      <c r="AF9" s="120" t="n"/>
      <c r="AG9" s="121" t="n"/>
      <c r="AH9" s="121" t="n"/>
      <c r="AI9" s="121" t="n"/>
      <c r="AJ9" s="121" t="n"/>
      <c r="AK9" s="121" t="n"/>
      <c r="AL9" s="121" t="n"/>
      <c r="AM9" s="121" t="n"/>
      <c r="AN9" s="121" t="n"/>
      <c r="AO9" s="121" t="n"/>
      <c r="AP9" s="121" t="n"/>
      <c r="AQ9" s="121" t="n"/>
      <c r="AR9" s="121" t="n"/>
      <c r="AS9" s="121" t="n"/>
      <c r="AT9" s="121" t="n"/>
      <c r="AU9" s="121" t="n"/>
      <c r="AV9" s="121" t="n"/>
      <c r="AW9" s="121" t="n"/>
      <c r="AX9" s="121" t="n"/>
      <c r="AY9" s="121" t="n"/>
      <c r="AZ9" s="121" t="n"/>
      <c r="BA9" s="121" t="n"/>
      <c r="BB9" s="121" t="n"/>
      <c r="BC9" s="121" t="n"/>
    </row>
    <row r="10" outlineLevel="2" ht="12" customHeight="1">
      <c r="A10" s="102" t="n"/>
      <c r="B10" s="102" t="n"/>
      <c r="C10" s="102" t="n">
        <v>3</v>
      </c>
      <c r="D10" s="118" t="inlineStr">
        <is>
          <t>1.1.4</t>
        </is>
      </c>
      <c r="E10" s="103" t="n"/>
      <c r="F10" s="103" t="n"/>
      <c r="G10" s="103" t="inlineStr">
        <is>
          <t>[처리·정제] 인제스터 결함 소거 (GATS·WASDE·ICE·TE·FAO AMIS)</t>
        </is>
      </c>
      <c r="H10" s="103" t="n"/>
      <c r="I10" s="103" t="n"/>
      <c r="J10" s="103" t="n"/>
      <c r="K10" s="103" t="n"/>
      <c r="L10" s="103" t="n"/>
      <c r="M10" s="103" t="n"/>
      <c r="N10" s="103" t="n"/>
      <c r="O10" s="103" t="n"/>
      <c r="P10" s="104" t="n">
        <v>46247</v>
      </c>
      <c r="Q10" s="104" t="n">
        <v>46252</v>
      </c>
      <c r="R10" s="103" t="n"/>
      <c r="S10" s="302" t="n"/>
      <c r="T10" s="302" t="n"/>
      <c r="U10" s="302" t="n"/>
      <c r="V10" s="302" t="n">
        <v>4</v>
      </c>
      <c r="W10" s="104" t="n"/>
      <c r="X10" s="104" t="n"/>
      <c r="Y10" s="303" t="n"/>
      <c r="Z10" s="107" t="n"/>
      <c r="AA10" s="302" t="n"/>
      <c r="AB10" s="103" t="inlineStr">
        <is>
          <t>조영훈</t>
        </is>
      </c>
      <c r="AC10" s="103" t="n"/>
      <c r="AD10" s="117" t="n"/>
      <c r="AE10" s="317" t="n">
        <v>1</v>
      </c>
      <c r="AF10" s="120" t="n"/>
      <c r="AG10" s="121" t="n"/>
      <c r="AH10" s="121" t="n"/>
      <c r="AI10" s="121" t="n"/>
      <c r="AJ10" s="121" t="n"/>
      <c r="AK10" s="121" t="n"/>
      <c r="AL10" s="121" t="n"/>
      <c r="AM10" s="121" t="n"/>
      <c r="AN10" s="121" t="n"/>
      <c r="AO10" s="121" t="n"/>
      <c r="AP10" s="121" t="n"/>
      <c r="AQ10" s="121" t="n"/>
      <c r="AR10" s="121" t="n"/>
      <c r="AS10" s="121" t="n"/>
      <c r="AT10" s="121" t="n"/>
      <c r="AU10" s="121" t="n"/>
      <c r="AV10" s="121" t="n"/>
      <c r="AW10" s="121" t="n"/>
      <c r="AX10" s="121" t="n"/>
      <c r="AY10" s="121" t="n"/>
      <c r="AZ10" s="121" t="n"/>
      <c r="BA10" s="121" t="n"/>
      <c r="BB10" s="121" t="n"/>
      <c r="BC10" s="121" t="n"/>
    </row>
    <row r="11" outlineLevel="2" ht="12" customHeight="1">
      <c r="A11" s="102" t="n"/>
      <c r="B11" s="102" t="n"/>
      <c r="C11" s="102" t="n">
        <v>3</v>
      </c>
      <c r="D11" s="118" t="inlineStr">
        <is>
          <t>1.1.5</t>
        </is>
      </c>
      <c r="E11" s="103" t="n"/>
      <c r="F11" s="103" t="n"/>
      <c r="G11" s="103" t="inlineStr">
        <is>
          <t>[처리·정제] 비정형 요약·일별 신호 영구 아카이브 (GAIN·FAO·7분류)</t>
        </is>
      </c>
      <c r="H11" s="103" t="n"/>
      <c r="I11" s="103" t="n"/>
      <c r="J11" s="103" t="n"/>
      <c r="K11" s="103" t="n"/>
      <c r="L11" s="103" t="n"/>
      <c r="M11" s="103" t="n"/>
      <c r="N11" s="103" t="n"/>
      <c r="O11" s="103" t="n"/>
      <c r="P11" s="104" t="n">
        <v>46247</v>
      </c>
      <c r="Q11" s="104" t="n">
        <v>46253</v>
      </c>
      <c r="R11" s="103" t="n"/>
      <c r="S11" s="302" t="n"/>
      <c r="T11" s="302" t="n"/>
      <c r="U11" s="302" t="n"/>
      <c r="V11" s="302" t="n">
        <v>5</v>
      </c>
      <c r="W11" s="104" t="n"/>
      <c r="X11" s="104" t="n"/>
      <c r="Y11" s="303" t="n"/>
      <c r="Z11" s="107" t="n"/>
      <c r="AA11" s="302" t="n"/>
      <c r="AB11" s="103" t="inlineStr">
        <is>
          <t>조영훈</t>
        </is>
      </c>
      <c r="AC11" s="103" t="n"/>
      <c r="AD11" s="117" t="n"/>
      <c r="AE11" s="317" t="n">
        <v>1</v>
      </c>
      <c r="AF11" s="120" t="n"/>
      <c r="AG11" s="121" t="n"/>
      <c r="AH11" s="121" t="n"/>
      <c r="AI11" s="121" t="n"/>
      <c r="AJ11" s="121" t="n"/>
      <c r="AK11" s="121" t="n"/>
      <c r="AL11" s="121" t="n"/>
      <c r="AM11" s="121" t="n"/>
      <c r="AN11" s="121" t="n"/>
      <c r="AO11" s="121" t="n"/>
      <c r="AP11" s="121" t="n"/>
      <c r="AQ11" s="121" t="n"/>
      <c r="AR11" s="121" t="n"/>
      <c r="AS11" s="121" t="n"/>
      <c r="AT11" s="121" t="n"/>
      <c r="AU11" s="121" t="n"/>
      <c r="AV11" s="121" t="n"/>
      <c r="AW11" s="121" t="n"/>
      <c r="AX11" s="121" t="n"/>
      <c r="AY11" s="121" t="n"/>
      <c r="AZ11" s="121" t="n"/>
      <c r="BA11" s="121" t="n"/>
      <c r="BB11" s="121" t="n"/>
      <c r="BC11" s="121" t="n"/>
    </row>
    <row r="12" outlineLevel="2" ht="12" customHeight="1">
      <c r="A12" s="102" t="n"/>
      <c r="B12" s="102" t="n"/>
      <c r="C12" s="102" t="n">
        <v>3</v>
      </c>
      <c r="D12" s="118" t="inlineStr">
        <is>
          <t>1.1.6</t>
        </is>
      </c>
      <c r="E12" s="103" t="n"/>
      <c r="F12" s="103" t="n"/>
      <c r="G12" s="103" t="inlineStr">
        <is>
          <t>[전처리] Feature Mart 신설 (DuckDB ASOF JOIN·D-033)</t>
        </is>
      </c>
      <c r="H12" s="103" t="n"/>
      <c r="I12" s="103" t="n"/>
      <c r="J12" s="103" t="n"/>
      <c r="K12" s="103" t="n"/>
      <c r="L12" s="103" t="n"/>
      <c r="M12" s="103" t="n"/>
      <c r="N12" s="103" t="n"/>
      <c r="O12" s="103" t="n"/>
      <c r="P12" s="104" t="n">
        <v>46247</v>
      </c>
      <c r="Q12" s="104" t="n">
        <v>46248</v>
      </c>
      <c r="R12" s="103" t="n"/>
      <c r="S12" s="302" t="n"/>
      <c r="T12" s="302" t="n"/>
      <c r="U12" s="302" t="n"/>
      <c r="V12" s="302" t="n">
        <v>2</v>
      </c>
      <c r="W12" s="104" t="n"/>
      <c r="X12" s="104" t="n"/>
      <c r="Y12" s="303" t="n"/>
      <c r="Z12" s="107" t="n"/>
      <c r="AA12" s="302" t="n"/>
      <c r="AB12" s="103" t="inlineStr">
        <is>
          <t>조영훈</t>
        </is>
      </c>
      <c r="AC12" s="103" t="n"/>
      <c r="AD12" s="117" t="n"/>
      <c r="AE12" s="316" t="n">
        <v>1</v>
      </c>
      <c r="AF12" s="120" t="n"/>
      <c r="AG12" s="121" t="n"/>
      <c r="AH12" s="121" t="n"/>
      <c r="AI12" s="121" t="n"/>
      <c r="AJ12" s="121" t="n"/>
      <c r="AK12" s="121" t="n"/>
      <c r="AL12" s="121" t="n"/>
      <c r="AM12" s="121" t="n"/>
      <c r="AN12" s="121" t="n"/>
      <c r="AO12" s="121" t="n"/>
      <c r="AP12" s="121" t="n"/>
      <c r="AQ12" s="121" t="n"/>
      <c r="AR12" s="121" t="n"/>
      <c r="AS12" s="121" t="n"/>
      <c r="AT12" s="121" t="n"/>
      <c r="AU12" s="121" t="n"/>
      <c r="AV12" s="121" t="n"/>
      <c r="AW12" s="121" t="n"/>
      <c r="AX12" s="121" t="n"/>
      <c r="AY12" s="121" t="n"/>
      <c r="AZ12" s="121" t="n"/>
      <c r="BA12" s="121" t="n"/>
      <c r="BB12" s="121" t="n"/>
      <c r="BC12" s="121" t="n"/>
    </row>
    <row r="13" outlineLevel="2" ht="12" customHeight="1">
      <c r="A13" s="102" t="n"/>
      <c r="B13" s="102" t="n"/>
      <c r="C13" s="102" t="n">
        <v>3</v>
      </c>
      <c r="D13" s="118" t="inlineStr">
        <is>
          <t>1.1.7</t>
        </is>
      </c>
      <c r="E13" s="103" t="n"/>
      <c r="F13" s="103" t="n"/>
      <c r="G13" s="103" t="inlineStr">
        <is>
          <t>[전처리] mart 값충돌 0 도달 (48,789→0 · 지표 1,463종)</t>
        </is>
      </c>
      <c r="H13" s="103" t="n"/>
      <c r="I13" s="103" t="n"/>
      <c r="J13" s="103" t="n"/>
      <c r="K13" s="103" t="n"/>
      <c r="L13" s="103" t="n"/>
      <c r="M13" s="103" t="n"/>
      <c r="N13" s="103" t="n"/>
      <c r="O13" s="103" t="n"/>
      <c r="P13" s="104" t="n">
        <v>46248</v>
      </c>
      <c r="Q13" s="104" t="n">
        <v>46252</v>
      </c>
      <c r="R13" s="103" t="n"/>
      <c r="S13" s="302" t="n"/>
      <c r="T13" s="302" t="n"/>
      <c r="U13" s="302" t="n"/>
      <c r="V13" s="302" t="n">
        <v>3</v>
      </c>
      <c r="W13" s="104" t="n"/>
      <c r="X13" s="104" t="n"/>
      <c r="Y13" s="303" t="n"/>
      <c r="Z13" s="107" t="n"/>
      <c r="AA13" s="302" t="n"/>
      <c r="AB13" s="103" t="inlineStr">
        <is>
          <t>조영훈</t>
        </is>
      </c>
      <c r="AC13" s="103" t="n"/>
      <c r="AD13" s="117" t="n"/>
      <c r="AE13" s="316" t="n">
        <v>1</v>
      </c>
      <c r="AF13" s="120" t="n"/>
      <c r="AG13" s="121" t="n"/>
      <c r="AH13" s="121" t="n"/>
      <c r="AI13" s="121" t="n"/>
      <c r="AJ13" s="121" t="n"/>
      <c r="AK13" s="121" t="n"/>
      <c r="AL13" s="121" t="n"/>
      <c r="AM13" s="121" t="n"/>
      <c r="AN13" s="121" t="n"/>
      <c r="AO13" s="121" t="n"/>
      <c r="AP13" s="121" t="n"/>
      <c r="AQ13" s="121" t="n"/>
      <c r="AR13" s="121" t="n"/>
      <c r="AS13" s="121" t="n"/>
      <c r="AT13" s="121" t="n"/>
      <c r="AU13" s="121" t="n"/>
      <c r="AV13" s="121" t="n"/>
      <c r="AW13" s="121" t="n"/>
      <c r="AX13" s="121" t="n"/>
      <c r="AY13" s="121" t="n"/>
      <c r="AZ13" s="121" t="n"/>
      <c r="BA13" s="121" t="n"/>
      <c r="BB13" s="121" t="n"/>
      <c r="BC13" s="121" t="n"/>
    </row>
    <row r="14" outlineLevel="2" ht="12" customHeight="1">
      <c r="A14" s="102" t="n"/>
      <c r="B14" s="102" t="n"/>
      <c r="C14" s="102" t="n">
        <v>3</v>
      </c>
      <c r="D14" s="118" t="inlineStr">
        <is>
          <t>1.1.8</t>
        </is>
      </c>
      <c r="E14" s="103" t="n"/>
      <c r="F14" s="103" t="n"/>
      <c r="G14" s="103" t="inlineStr">
        <is>
          <t>[전처리] as-of 위반 0건 · C-08 전 커넥터 12종 PASS</t>
        </is>
      </c>
      <c r="H14" s="103" t="n"/>
      <c r="I14" s="103" t="n"/>
      <c r="J14" s="103" t="n"/>
      <c r="K14" s="103" t="n"/>
      <c r="L14" s="103" t="n"/>
      <c r="M14" s="103" t="n"/>
      <c r="N14" s="103" t="n"/>
      <c r="O14" s="103" t="n"/>
      <c r="P14" s="104" t="n">
        <v>46248</v>
      </c>
      <c r="Q14" s="104" t="n">
        <v>46253</v>
      </c>
      <c r="R14" s="103" t="n"/>
      <c r="S14" s="302" t="n"/>
      <c r="T14" s="302" t="n"/>
      <c r="U14" s="302" t="n"/>
      <c r="V14" s="302" t="n">
        <v>4</v>
      </c>
      <c r="W14" s="104" t="n"/>
      <c r="X14" s="104" t="n"/>
      <c r="Y14" s="303" t="n"/>
      <c r="Z14" s="107" t="n"/>
      <c r="AA14" s="302" t="n"/>
      <c r="AB14" s="103" t="inlineStr">
        <is>
          <t>조영훈</t>
        </is>
      </c>
      <c r="AC14" s="103" t="n"/>
      <c r="AD14" s="117" t="n"/>
      <c r="AE14" s="316" t="n">
        <v>1</v>
      </c>
      <c r="AF14" s="120" t="n"/>
      <c r="AG14" s="121" t="n"/>
      <c r="AH14" s="121" t="n"/>
      <c r="AI14" s="121" t="n"/>
      <c r="AJ14" s="121" t="n"/>
      <c r="AK14" s="121" t="n"/>
      <c r="AL14" s="121" t="n"/>
      <c r="AM14" s="121" t="n"/>
      <c r="AN14" s="121" t="n"/>
      <c r="AO14" s="121" t="n"/>
      <c r="AP14" s="121" t="n"/>
      <c r="AQ14" s="121" t="n"/>
      <c r="AR14" s="121" t="n"/>
      <c r="AS14" s="121" t="n"/>
      <c r="AT14" s="121" t="n"/>
      <c r="AU14" s="121" t="n"/>
      <c r="AV14" s="121" t="n"/>
      <c r="AW14" s="121" t="n"/>
      <c r="AX14" s="121" t="n"/>
      <c r="AY14" s="121" t="n"/>
      <c r="AZ14" s="121" t="n"/>
      <c r="BA14" s="121" t="n"/>
      <c r="BB14" s="121" t="n"/>
      <c r="BC14" s="121" t="n"/>
    </row>
    <row r="15" outlineLevel="1" ht="12" customHeight="1">
      <c r="A15" s="102" t="n"/>
      <c r="B15" s="102" t="inlineStr">
        <is>
          <t>G</t>
        </is>
      </c>
      <c r="C15" s="102" t="n">
        <v>2</v>
      </c>
      <c r="D15" s="118" t="inlineStr">
        <is>
          <t>1.2</t>
        </is>
      </c>
      <c r="E15" s="103" t="n"/>
      <c r="F15" s="103" t="inlineStr">
        <is>
          <t>Phase 2: G1 리포트 자동화 ★ 8/31 완료</t>
        </is>
      </c>
      <c r="G15" s="103" t="n"/>
      <c r="H15" s="103" t="n"/>
      <c r="I15" s="103" t="n"/>
      <c r="J15" s="103" t="n"/>
      <c r="K15" s="103" t="n"/>
      <c r="L15" s="103" t="n"/>
      <c r="M15" s="103" t="n"/>
      <c r="N15" s="103" t="n"/>
      <c r="O15" s="103" t="n"/>
      <c r="P15" s="104" t="n">
        <v>46248</v>
      </c>
      <c r="Q15" s="104" t="n">
        <v>46265</v>
      </c>
      <c r="R15" s="103" t="n"/>
      <c r="S15" s="302" t="n"/>
      <c r="T15" s="302" t="n"/>
      <c r="U15" s="302" t="n"/>
      <c r="V15" s="302" t="n">
        <v>12</v>
      </c>
      <c r="W15" s="104" t="n"/>
      <c r="X15" s="104" t="n"/>
      <c r="Y15" s="303" t="n"/>
      <c r="Z15" s="107" t="n"/>
      <c r="AA15" s="302" t="n"/>
      <c r="AB15" s="103" t="inlineStr">
        <is>
          <t>조영훈</t>
        </is>
      </c>
      <c r="AC15" s="103" t="n"/>
      <c r="AD15" s="117" t="n"/>
      <c r="AE15" s="315" t="n">
        <v>0.36</v>
      </c>
      <c r="AF15" s="120" t="n"/>
      <c r="AG15" s="121" t="n"/>
      <c r="AH15" s="121" t="n"/>
      <c r="AI15" s="121" t="n"/>
      <c r="AJ15" s="121" t="n"/>
      <c r="AK15" s="121" t="n"/>
      <c r="AL15" s="121" t="n"/>
      <c r="AM15" s="121" t="n"/>
      <c r="AN15" s="121" t="n"/>
      <c r="AO15" s="121" t="n"/>
      <c r="AP15" s="121" t="n"/>
      <c r="AQ15" s="121" t="n"/>
      <c r="AR15" s="121" t="n"/>
      <c r="AS15" s="121" t="n"/>
      <c r="AT15" s="121" t="n"/>
      <c r="AU15" s="121" t="n"/>
      <c r="AV15" s="121" t="n"/>
      <c r="AW15" s="121" t="n"/>
      <c r="AX15" s="121" t="n"/>
      <c r="AY15" s="121" t="n"/>
      <c r="AZ15" s="121" t="n"/>
      <c r="BA15" s="121" t="n"/>
      <c r="BB15" s="121" t="n"/>
      <c r="BC15" s="121" t="n"/>
    </row>
    <row r="16" outlineLevel="2" ht="12" customHeight="1">
      <c r="A16" s="102" t="n"/>
      <c r="B16" s="102" t="n"/>
      <c r="C16" s="102" t="n">
        <v>3</v>
      </c>
      <c r="D16" s="118" t="inlineStr">
        <is>
          <t>1.2.1</t>
        </is>
      </c>
      <c r="E16" s="103" t="n"/>
      <c r="F16" s="103" t="n"/>
      <c r="G16" s="103" t="inlineStr">
        <is>
          <t>[분석] G1 파이프라인 7~17차 관문 해소 · 사상 첫 완주 (V-002)</t>
        </is>
      </c>
      <c r="H16" s="103" t="n"/>
      <c r="I16" s="103" t="n"/>
      <c r="J16" s="103" t="n"/>
      <c r="K16" s="103" t="n"/>
      <c r="L16" s="103" t="n"/>
      <c r="M16" s="103" t="n"/>
      <c r="N16" s="103" t="n"/>
      <c r="O16" s="103" t="n"/>
      <c r="P16" s="104" t="n">
        <v>46248</v>
      </c>
      <c r="Q16" s="104" t="n">
        <v>46252</v>
      </c>
      <c r="R16" s="103" t="n"/>
      <c r="S16" s="302" t="n"/>
      <c r="T16" s="302" t="n"/>
      <c r="U16" s="302" t="n"/>
      <c r="V16" s="302" t="n">
        <v>3</v>
      </c>
      <c r="W16" s="104" t="n"/>
      <c r="X16" s="104" t="n"/>
      <c r="Y16" s="303" t="n"/>
      <c r="Z16" s="107" t="n"/>
      <c r="AA16" s="302" t="n"/>
      <c r="AB16" s="103" t="inlineStr">
        <is>
          <t>조영훈</t>
        </is>
      </c>
      <c r="AC16" s="103" t="n"/>
      <c r="AD16" s="117" t="n"/>
      <c r="AE16" s="316" t="n">
        <v>1</v>
      </c>
      <c r="AF16" s="120" t="n"/>
      <c r="AG16" s="121" t="n"/>
      <c r="AH16" s="121" t="n"/>
      <c r="AI16" s="121" t="n"/>
      <c r="AJ16" s="121" t="n"/>
      <c r="AK16" s="121" t="n"/>
      <c r="AL16" s="121" t="n"/>
      <c r="AM16" s="121" t="n"/>
      <c r="AN16" s="121" t="n"/>
      <c r="AO16" s="121" t="n"/>
      <c r="AP16" s="121" t="n"/>
      <c r="AQ16" s="121" t="n"/>
      <c r="AR16" s="121" t="n"/>
      <c r="AS16" s="121" t="n"/>
      <c r="AT16" s="121" t="n"/>
      <c r="AU16" s="121" t="n"/>
      <c r="AV16" s="121" t="n"/>
      <c r="AW16" s="121" t="n"/>
      <c r="AX16" s="121" t="n"/>
      <c r="AY16" s="121" t="n"/>
      <c r="AZ16" s="121" t="n"/>
      <c r="BA16" s="121" t="n"/>
      <c r="BB16" s="121" t="n"/>
      <c r="BC16" s="121" t="n"/>
    </row>
    <row r="17" outlineLevel="2" ht="12" customHeight="1">
      <c r="A17" s="102" t="n"/>
      <c r="B17" s="102" t="n"/>
      <c r="C17" s="102" t="n">
        <v>3</v>
      </c>
      <c r="D17" s="118" t="inlineStr">
        <is>
          <t>1.2.2</t>
        </is>
      </c>
      <c r="E17" s="103" t="n"/>
      <c r="F17" s="103" t="n"/>
      <c r="G17" s="103" t="inlineStr">
        <is>
          <t>[분석] 통합 관계분석 (정형+비정형 · Granger 3단)</t>
        </is>
      </c>
      <c r="H17" s="103" t="n"/>
      <c r="I17" s="103" t="n"/>
      <c r="J17" s="103" t="n"/>
      <c r="K17" s="103" t="n"/>
      <c r="L17" s="103" t="n"/>
      <c r="M17" s="103" t="n"/>
      <c r="N17" s="103" t="n"/>
      <c r="O17" s="103" t="n"/>
      <c r="P17" s="104" t="n">
        <v>46248</v>
      </c>
      <c r="Q17" s="104" t="n">
        <v>46254</v>
      </c>
      <c r="R17" s="103" t="n"/>
      <c r="S17" s="302" t="n"/>
      <c r="T17" s="302" t="n"/>
      <c r="U17" s="302" t="n"/>
      <c r="V17" s="302" t="n">
        <v>5</v>
      </c>
      <c r="W17" s="104" t="n"/>
      <c r="X17" s="104" t="n"/>
      <c r="Y17" s="303" t="n"/>
      <c r="Z17" s="107" t="n"/>
      <c r="AA17" s="302" t="n"/>
      <c r="AB17" s="103" t="inlineStr">
        <is>
          <t>조영훈</t>
        </is>
      </c>
      <c r="AC17" s="103" t="n"/>
      <c r="AD17" s="117" t="n"/>
      <c r="AE17" s="316" t="n">
        <v>0.8</v>
      </c>
      <c r="AF17" s="120" t="n"/>
      <c r="AG17" s="121" t="n"/>
      <c r="AH17" s="121" t="n"/>
      <c r="AI17" s="121" t="n"/>
      <c r="AJ17" s="121" t="n"/>
      <c r="AK17" s="121" t="n"/>
      <c r="AL17" s="121" t="n"/>
      <c r="AM17" s="121" t="n"/>
      <c r="AN17" s="121" t="n"/>
      <c r="AO17" s="121" t="n"/>
      <c r="AP17" s="121" t="n"/>
      <c r="AQ17" s="121" t="n"/>
      <c r="AR17" s="121" t="n"/>
      <c r="AS17" s="121" t="n"/>
      <c r="AT17" s="121" t="n"/>
      <c r="AU17" s="121" t="n"/>
      <c r="AV17" s="121" t="n"/>
      <c r="AW17" s="121" t="n"/>
      <c r="AX17" s="121" t="n"/>
      <c r="AY17" s="121" t="n"/>
      <c r="AZ17" s="121" t="n"/>
      <c r="BA17" s="121" t="n"/>
      <c r="BB17" s="121" t="n"/>
      <c r="BC17" s="121" t="n"/>
    </row>
    <row r="18" outlineLevel="2" ht="12" customHeight="1">
      <c r="A18" s="102" t="n"/>
      <c r="B18" s="102" t="n"/>
      <c r="C18" s="102" t="n">
        <v>3</v>
      </c>
      <c r="D18" s="118" t="inlineStr">
        <is>
          <t>1.2.3</t>
        </is>
      </c>
      <c r="E18" s="103" t="n"/>
      <c r="F18" s="103" t="n"/>
      <c r="G18" s="103" t="inlineStr">
        <is>
          <t>[분석] M-009 방법론 확장 (ElasticNet·SHAP·Permutation·국소투영)</t>
        </is>
      </c>
      <c r="H18" s="103" t="n"/>
      <c r="I18" s="103" t="n"/>
      <c r="J18" s="103" t="n"/>
      <c r="K18" s="103" t="n"/>
      <c r="L18" s="103" t="n"/>
      <c r="M18" s="103" t="n"/>
      <c r="N18" s="103" t="n"/>
      <c r="O18" s="103" t="n"/>
      <c r="P18" s="104" t="n">
        <v>46252</v>
      </c>
      <c r="Q18" s="104" t="n">
        <v>46260</v>
      </c>
      <c r="R18" s="103" t="n"/>
      <c r="S18" s="302" t="n"/>
      <c r="T18" s="302" t="n"/>
      <c r="U18" s="302" t="n"/>
      <c r="V18" s="302" t="n">
        <v>7</v>
      </c>
      <c r="W18" s="104" t="n"/>
      <c r="X18" s="104" t="n"/>
      <c r="Y18" s="303" t="n"/>
      <c r="Z18" s="107" t="n"/>
      <c r="AA18" s="302" t="n"/>
      <c r="AB18" s="103" t="inlineStr">
        <is>
          <t>조영훈</t>
        </is>
      </c>
      <c r="AC18" s="103" t="n"/>
      <c r="AD18" s="117" t="n"/>
      <c r="AE18" s="316" t="n">
        <v>0.1</v>
      </c>
      <c r="AF18" s="120" t="n"/>
      <c r="AG18" s="121" t="n"/>
      <c r="AH18" s="121" t="n"/>
      <c r="AI18" s="121" t="n"/>
      <c r="AJ18" s="121" t="n"/>
      <c r="AK18" s="121" t="n"/>
      <c r="AL18" s="121" t="n"/>
      <c r="AM18" s="121" t="n"/>
      <c r="AN18" s="121" t="n"/>
      <c r="AO18" s="121" t="n"/>
      <c r="AP18" s="121" t="n"/>
      <c r="AQ18" s="121" t="n"/>
      <c r="AR18" s="121" t="n"/>
      <c r="AS18" s="121" t="n"/>
      <c r="AT18" s="121" t="n"/>
      <c r="AU18" s="121" t="n"/>
      <c r="AV18" s="121" t="n"/>
      <c r="AW18" s="121" t="n"/>
      <c r="AX18" s="121" t="n"/>
      <c r="AY18" s="121" t="n"/>
      <c r="AZ18" s="121" t="n"/>
      <c r="BA18" s="121" t="n"/>
      <c r="BB18" s="121" t="n"/>
      <c r="BC18" s="121" t="n"/>
    </row>
    <row r="19" outlineLevel="2" ht="12" customHeight="1">
      <c r="A19" s="102" t="n"/>
      <c r="B19" s="102" t="n"/>
      <c r="C19" s="102" t="n">
        <v>3</v>
      </c>
      <c r="D19" s="118" t="inlineStr">
        <is>
          <t>1.2.4</t>
        </is>
      </c>
      <c r="E19" s="103" t="n"/>
      <c r="F19" s="103" t="n"/>
      <c r="G19" s="103" t="inlineStr">
        <is>
          <t>[분석] 6단계 워크플로우 (다중윈도우 15/10/5/3/1년·패턴·근본원인)</t>
        </is>
      </c>
      <c r="H19" s="103" t="n"/>
      <c r="I19" s="103" t="n"/>
      <c r="J19" s="103" t="n"/>
      <c r="K19" s="103" t="n"/>
      <c r="L19" s="103" t="n"/>
      <c r="M19" s="103" t="n"/>
      <c r="N19" s="103" t="n"/>
      <c r="O19" s="103" t="n"/>
      <c r="P19" s="104" t="n">
        <v>46254</v>
      </c>
      <c r="Q19" s="104" t="n">
        <v>46261</v>
      </c>
      <c r="R19" s="103" t="n"/>
      <c r="S19" s="302" t="n"/>
      <c r="T19" s="302" t="n"/>
      <c r="U19" s="302" t="n"/>
      <c r="V19" s="302" t="n">
        <v>6</v>
      </c>
      <c r="W19" s="104" t="n"/>
      <c r="X19" s="104" t="n"/>
      <c r="Y19" s="303" t="n"/>
      <c r="Z19" s="107" t="n"/>
      <c r="AA19" s="302" t="n"/>
      <c r="AB19" s="103" t="inlineStr">
        <is>
          <t>조영훈</t>
        </is>
      </c>
      <c r="AC19" s="103" t="n"/>
      <c r="AD19" s="117" t="n"/>
      <c r="AE19" s="316" t="n">
        <v>0</v>
      </c>
      <c r="AF19" s="120" t="n"/>
      <c r="AG19" s="121" t="n"/>
      <c r="AH19" s="121" t="n"/>
      <c r="AI19" s="121" t="n"/>
      <c r="AJ19" s="121" t="n"/>
      <c r="AK19" s="121" t="n"/>
      <c r="AL19" s="121" t="n"/>
      <c r="AM19" s="121" t="n"/>
      <c r="AN19" s="121" t="n"/>
      <c r="AO19" s="121" t="n"/>
      <c r="AP19" s="121" t="n"/>
      <c r="AQ19" s="121" t="n"/>
      <c r="AR19" s="121" t="n"/>
      <c r="AS19" s="121" t="n"/>
      <c r="AT19" s="121" t="n"/>
      <c r="AU19" s="121" t="n"/>
      <c r="AV19" s="121" t="n"/>
      <c r="AW19" s="121" t="n"/>
      <c r="AX19" s="121" t="n"/>
      <c r="AY19" s="121" t="n"/>
      <c r="AZ19" s="121" t="n"/>
      <c r="BA19" s="121" t="n"/>
      <c r="BB19" s="121" t="n"/>
      <c r="BC19" s="121" t="n"/>
    </row>
    <row r="20" outlineLevel="2" ht="12" customHeight="1">
      <c r="A20" s="102" t="n"/>
      <c r="B20" s="102" t="n"/>
      <c r="C20" s="102" t="n">
        <v>3</v>
      </c>
      <c r="D20" s="118" t="inlineStr">
        <is>
          <t>1.2.5</t>
        </is>
      </c>
      <c r="E20" s="103" t="n"/>
      <c r="F20" s="103" t="n"/>
      <c r="G20" s="103" t="inlineStr">
        <is>
          <t>[분석] 알림 임계 재보정 (P90·2σ·Bonferroni)</t>
        </is>
      </c>
      <c r="H20" s="103" t="n"/>
      <c r="I20" s="103" t="n"/>
      <c r="J20" s="103" t="n"/>
      <c r="K20" s="103" t="n"/>
      <c r="L20" s="103" t="n"/>
      <c r="M20" s="103" t="n"/>
      <c r="N20" s="103" t="n"/>
      <c r="O20" s="103" t="n"/>
      <c r="P20" s="104" t="n">
        <v>46258</v>
      </c>
      <c r="Q20" s="104" t="n">
        <v>46261</v>
      </c>
      <c r="R20" s="103" t="n"/>
      <c r="S20" s="302" t="n"/>
      <c r="T20" s="302" t="n"/>
      <c r="U20" s="302" t="n"/>
      <c r="V20" s="302" t="n">
        <v>4</v>
      </c>
      <c r="W20" s="104" t="n"/>
      <c r="X20" s="104" t="n"/>
      <c r="Y20" s="303" t="n"/>
      <c r="Z20" s="107" t="n"/>
      <c r="AA20" s="302" t="n"/>
      <c r="AB20" s="103" t="inlineStr">
        <is>
          <t>조영훈</t>
        </is>
      </c>
      <c r="AC20" s="103" t="n"/>
      <c r="AD20" s="117" t="n"/>
      <c r="AE20" s="316" t="n">
        <v>0</v>
      </c>
      <c r="AF20" s="120" t="n"/>
      <c r="AG20" s="121" t="n"/>
      <c r="AH20" s="121" t="n"/>
      <c r="AI20" s="121" t="n"/>
      <c r="AJ20" s="121" t="n"/>
      <c r="AK20" s="121" t="n"/>
      <c r="AL20" s="121" t="n"/>
      <c r="AM20" s="121" t="n"/>
      <c r="AN20" s="121" t="n"/>
      <c r="AO20" s="121" t="n"/>
      <c r="AP20" s="121" t="n"/>
      <c r="AQ20" s="121" t="n"/>
      <c r="AR20" s="121" t="n"/>
      <c r="AS20" s="121" t="n"/>
      <c r="AT20" s="121" t="n"/>
      <c r="AU20" s="121" t="n"/>
      <c r="AV20" s="121" t="n"/>
      <c r="AW20" s="121" t="n"/>
      <c r="AX20" s="121" t="n"/>
      <c r="AY20" s="121" t="n"/>
      <c r="AZ20" s="121" t="n"/>
      <c r="BA20" s="121" t="n"/>
      <c r="BB20" s="121" t="n"/>
      <c r="BC20" s="121" t="n"/>
    </row>
    <row r="21" outlineLevel="2" ht="12" customHeight="1">
      <c r="A21" s="102" t="n"/>
      <c r="B21" s="102" t="n"/>
      <c r="C21" s="102" t="n">
        <v>3</v>
      </c>
      <c r="D21" s="118" t="inlineStr">
        <is>
          <t>1.2.6</t>
        </is>
      </c>
      <c r="E21" s="103" t="n"/>
      <c r="F21" s="103" t="n"/>
      <c r="G21" s="103" t="inlineStr">
        <is>
          <t>[시각화] G1 리포트 자동화 완성 (한/영·인과체인)</t>
        </is>
      </c>
      <c r="H21" s="103" t="n"/>
      <c r="I21" s="103" t="n"/>
      <c r="J21" s="103" t="n"/>
      <c r="K21" s="103" t="n"/>
      <c r="L21" s="103" t="n"/>
      <c r="M21" s="103" t="n"/>
      <c r="N21" s="103" t="n"/>
      <c r="O21" s="103" t="n"/>
      <c r="P21" s="104" t="n">
        <v>46259</v>
      </c>
      <c r="Q21" s="104" t="n">
        <v>46265</v>
      </c>
      <c r="R21" s="103" t="n"/>
      <c r="S21" s="302" t="n"/>
      <c r="T21" s="302" t="n"/>
      <c r="U21" s="302" t="n"/>
      <c r="V21" s="302" t="n">
        <v>5</v>
      </c>
      <c r="W21" s="104" t="n"/>
      <c r="X21" s="104" t="n"/>
      <c r="Y21" s="303" t="n"/>
      <c r="Z21" s="107" t="n"/>
      <c r="AA21" s="302" t="n"/>
      <c r="AB21" s="103" t="inlineStr">
        <is>
          <t>조영훈</t>
        </is>
      </c>
      <c r="AC21" s="103" t="n"/>
      <c r="AD21" s="117" t="n"/>
      <c r="AE21" s="316" t="n">
        <v>0.2</v>
      </c>
      <c r="AF21" s="120" t="n"/>
      <c r="AG21" s="121" t="n"/>
      <c r="AH21" s="121" t="n"/>
      <c r="AI21" s="121" t="n"/>
      <c r="AJ21" s="121" t="n"/>
      <c r="AK21" s="121" t="n"/>
      <c r="AL21" s="121" t="n"/>
      <c r="AM21" s="121" t="n"/>
      <c r="AN21" s="121" t="n"/>
      <c r="AO21" s="121" t="n"/>
      <c r="AP21" s="121" t="n"/>
      <c r="AQ21" s="121" t="n"/>
      <c r="AR21" s="121" t="n"/>
      <c r="AS21" s="121" t="n"/>
      <c r="AT21" s="121" t="n"/>
      <c r="AU21" s="121" t="n"/>
      <c r="AV21" s="121" t="n"/>
      <c r="AW21" s="121" t="n"/>
      <c r="AX21" s="121" t="n"/>
      <c r="AY21" s="121" t="n"/>
      <c r="AZ21" s="121" t="n"/>
      <c r="BA21" s="121" t="n"/>
      <c r="BB21" s="121" t="n"/>
      <c r="BC21" s="121" t="n"/>
    </row>
    <row r="22" outlineLevel="2" ht="12" customHeight="1">
      <c r="A22" s="102" t="n"/>
      <c r="B22" s="102" t="n"/>
      <c r="C22" s="102" t="n">
        <v>3</v>
      </c>
      <c r="D22" s="118" t="inlineStr">
        <is>
          <t>1.2.7</t>
        </is>
      </c>
      <c r="E22" s="103" t="n"/>
      <c r="F22" s="103" t="n"/>
      <c r="G22" s="103" t="inlineStr">
        <is>
          <t>[시각화] G1 3계층 발행 체계 가동 (일별·주별 금요일·월별, D-043)</t>
        </is>
      </c>
      <c r="H22" s="103" t="n"/>
      <c r="I22" s="103" t="n"/>
      <c r="J22" s="103" t="n"/>
      <c r="K22" s="103" t="n"/>
      <c r="L22" s="103" t="n"/>
      <c r="M22" s="103" t="n"/>
      <c r="N22" s="103" t="n"/>
      <c r="O22" s="103" t="n"/>
      <c r="P22" s="104" t="n">
        <v>46248</v>
      </c>
      <c r="Q22" s="104" t="n">
        <v>46255</v>
      </c>
      <c r="R22" s="103" t="n"/>
      <c r="S22" s="302" t="n"/>
      <c r="T22" s="302" t="n"/>
      <c r="U22" s="302" t="n"/>
      <c r="V22" s="302" t="n">
        <v>6</v>
      </c>
      <c r="W22" s="104" t="n"/>
      <c r="X22" s="104" t="n"/>
      <c r="Y22" s="303" t="n"/>
      <c r="Z22" s="107" t="n"/>
      <c r="AA22" s="302" t="n"/>
      <c r="AB22" s="103" t="inlineStr">
        <is>
          <t>조영훈</t>
        </is>
      </c>
      <c r="AC22" s="103" t="n"/>
      <c r="AD22" s="117" t="n"/>
      <c r="AE22" s="316" t="n">
        <v>0.8</v>
      </c>
      <c r="AF22" s="120" t="n"/>
      <c r="AG22" s="121" t="n"/>
      <c r="AH22" s="121" t="n"/>
      <c r="AI22" s="121" t="n"/>
      <c r="AJ22" s="121" t="n"/>
      <c r="AK22" s="121" t="n"/>
      <c r="AL22" s="121" t="n"/>
      <c r="AM22" s="121" t="n"/>
      <c r="AN22" s="121" t="n"/>
      <c r="AO22" s="121" t="n"/>
      <c r="AP22" s="121" t="n"/>
      <c r="AQ22" s="121" t="n"/>
      <c r="AR22" s="121" t="n"/>
      <c r="AS22" s="121" t="n"/>
      <c r="AT22" s="121" t="n"/>
      <c r="AU22" s="121" t="n"/>
      <c r="AV22" s="121" t="n"/>
      <c r="AW22" s="121" t="n"/>
      <c r="AX22" s="121" t="n"/>
      <c r="AY22" s="121" t="n"/>
      <c r="AZ22" s="121" t="n"/>
      <c r="BA22" s="121" t="n"/>
      <c r="BB22" s="121" t="n"/>
      <c r="BC22" s="121" t="n"/>
    </row>
    <row r="23" outlineLevel="2" ht="12" customHeight="1">
      <c r="A23" s="102" t="n"/>
      <c r="B23" s="102" t="n"/>
      <c r="C23" s="102" t="n">
        <v>3</v>
      </c>
      <c r="D23" s="118" t="inlineStr">
        <is>
          <t>1.2.8</t>
        </is>
      </c>
      <c r="E23" s="103" t="n"/>
      <c r="F23" s="103" t="n"/>
      <c r="G23" s="103" t="inlineStr">
        <is>
          <t>[아키텍처] 백테스트·사건검증·발행 게이트 리허설</t>
        </is>
      </c>
      <c r="H23" s="103" t="n"/>
      <c r="I23" s="103" t="n"/>
      <c r="J23" s="103" t="n"/>
      <c r="K23" s="103" t="n"/>
      <c r="L23" s="103" t="n"/>
      <c r="M23" s="103" t="n"/>
      <c r="N23" s="103" t="n"/>
      <c r="O23" s="103" t="n"/>
      <c r="P23" s="104" t="n">
        <v>46261</v>
      </c>
      <c r="Q23" s="104" t="n">
        <v>46265</v>
      </c>
      <c r="R23" s="103" t="n"/>
      <c r="S23" s="302" t="n"/>
      <c r="T23" s="302" t="n"/>
      <c r="U23" s="302" t="n"/>
      <c r="V23" s="302" t="n">
        <v>3</v>
      </c>
      <c r="W23" s="104" t="n"/>
      <c r="X23" s="104" t="n"/>
      <c r="Y23" s="303" t="n"/>
      <c r="Z23" s="107" t="n"/>
      <c r="AA23" s="302" t="n"/>
      <c r="AB23" s="103" t="inlineStr">
        <is>
          <t>조영훈</t>
        </is>
      </c>
      <c r="AC23" s="103" t="n"/>
      <c r="AD23" s="117" t="n"/>
      <c r="AE23" s="316" t="n">
        <v>0</v>
      </c>
      <c r="AF23" s="120" t="n"/>
      <c r="AG23" s="121" t="n"/>
      <c r="AH23" s="121" t="n"/>
      <c r="AI23" s="121" t="n"/>
      <c r="AJ23" s="121" t="n"/>
      <c r="AK23" s="121" t="n"/>
      <c r="AL23" s="121" t="n"/>
      <c r="AM23" s="121" t="n"/>
      <c r="AN23" s="121" t="n"/>
      <c r="AO23" s="121" t="n"/>
      <c r="AP23" s="121" t="n"/>
      <c r="AQ23" s="121" t="n"/>
      <c r="AR23" s="121" t="n"/>
      <c r="AS23" s="121" t="n"/>
      <c r="AT23" s="121" t="n"/>
      <c r="AU23" s="121" t="n"/>
      <c r="AV23" s="121" t="n"/>
      <c r="AW23" s="121" t="n"/>
      <c r="AX23" s="121" t="n"/>
      <c r="AY23" s="121" t="n"/>
      <c r="AZ23" s="121" t="n"/>
      <c r="BA23" s="121" t="n"/>
      <c r="BB23" s="121" t="n"/>
      <c r="BC23" s="121" t="n"/>
    </row>
    <row r="24" outlineLevel="1" ht="12" customHeight="1">
      <c r="A24" s="102" t="n"/>
      <c r="B24" s="102" t="inlineStr">
        <is>
          <t>G</t>
        </is>
      </c>
      <c r="C24" s="102" t="n">
        <v>2</v>
      </c>
      <c r="D24" s="118" t="inlineStr">
        <is>
          <t>1.3</t>
        </is>
      </c>
      <c r="E24" s="103" t="n"/>
      <c r="F24" s="103" t="inlineStr">
        <is>
          <t>Phase 3: G2 가격밴드 Preview + 대시보드 ★ 9/10</t>
        </is>
      </c>
      <c r="G24" s="103" t="n"/>
      <c r="H24" s="103" t="n"/>
      <c r="I24" s="103" t="n"/>
      <c r="J24" s="103" t="n"/>
      <c r="K24" s="103" t="n"/>
      <c r="L24" s="103" t="n"/>
      <c r="M24" s="103" t="n"/>
      <c r="N24" s="103" t="n"/>
      <c r="O24" s="103" t="n"/>
      <c r="P24" s="104" t="n">
        <v>46248</v>
      </c>
      <c r="Q24" s="104" t="n">
        <v>46275</v>
      </c>
      <c r="R24" s="103" t="n"/>
      <c r="S24" s="302" t="n"/>
      <c r="T24" s="302" t="n"/>
      <c r="U24" s="302" t="n"/>
      <c r="V24" s="302" t="n">
        <v>20</v>
      </c>
      <c r="W24" s="104" t="n"/>
      <c r="X24" s="104" t="n"/>
      <c r="Y24" s="303" t="n"/>
      <c r="Z24" s="107" t="n"/>
      <c r="AA24" s="302" t="n"/>
      <c r="AB24" s="103" t="inlineStr">
        <is>
          <t>조영훈</t>
        </is>
      </c>
      <c r="AC24" s="103" t="n"/>
      <c r="AD24" s="117" t="n"/>
      <c r="AE24" s="315" t="n">
        <v>0.09</v>
      </c>
      <c r="AF24" s="120" t="n"/>
      <c r="AG24" s="121" t="n"/>
      <c r="AH24" s="121" t="n"/>
      <c r="AI24" s="121" t="n"/>
      <c r="AJ24" s="121" t="n"/>
      <c r="AK24" s="121" t="n"/>
      <c r="AL24" s="121" t="n"/>
      <c r="AM24" s="121" t="n"/>
      <c r="AN24" s="121" t="n"/>
      <c r="AO24" s="121" t="n"/>
      <c r="AP24" s="121" t="n"/>
      <c r="AQ24" s="121" t="n"/>
      <c r="AR24" s="121" t="n"/>
      <c r="AS24" s="121" t="n"/>
      <c r="AT24" s="121" t="n"/>
      <c r="AU24" s="121" t="n"/>
      <c r="AV24" s="121" t="n"/>
      <c r="AW24" s="121" t="n"/>
      <c r="AX24" s="121" t="n"/>
      <c r="AY24" s="121" t="n"/>
      <c r="AZ24" s="121" t="n"/>
      <c r="BA24" s="121" t="n"/>
      <c r="BB24" s="121" t="n"/>
      <c r="BC24" s="121" t="n"/>
    </row>
    <row r="25" outlineLevel="2" ht="12" customHeight="1">
      <c r="A25" s="102" t="n"/>
      <c r="B25" s="102" t="n"/>
      <c r="C25" s="102" t="n">
        <v>3</v>
      </c>
      <c r="D25" s="118" t="inlineStr">
        <is>
          <t>1.3.1</t>
        </is>
      </c>
      <c r="E25" s="103" t="n"/>
      <c r="F25" s="103" t="n"/>
      <c r="G25" s="103" t="inlineStr">
        <is>
          <t>[분석] G2 운영 현실화 계층 v0 (도착가 밴드·4축 대안, D-041)</t>
        </is>
      </c>
      <c r="H25" s="103" t="n"/>
      <c r="I25" s="103" t="n"/>
      <c r="J25" s="103" t="n"/>
      <c r="K25" s="103" t="n"/>
      <c r="L25" s="103" t="n"/>
      <c r="M25" s="103" t="n"/>
      <c r="N25" s="103" t="n"/>
      <c r="O25" s="103" t="n"/>
      <c r="P25" s="104" t="n">
        <v>46248</v>
      </c>
      <c r="Q25" s="104" t="n">
        <v>46252</v>
      </c>
      <c r="R25" s="103" t="n"/>
      <c r="S25" s="302" t="n"/>
      <c r="T25" s="302" t="n"/>
      <c r="U25" s="302" t="n"/>
      <c r="V25" s="302" t="n">
        <v>3</v>
      </c>
      <c r="W25" s="104" t="n"/>
      <c r="X25" s="104" t="n"/>
      <c r="Y25" s="303" t="n"/>
      <c r="Z25" s="107" t="n"/>
      <c r="AA25" s="302" t="n"/>
      <c r="AB25" s="103" t="inlineStr">
        <is>
          <t>조영훈</t>
        </is>
      </c>
      <c r="AC25" s="103" t="n"/>
      <c r="AD25" s="117" t="n"/>
      <c r="AE25" s="316" t="n">
        <v>1</v>
      </c>
      <c r="AF25" s="120" t="n"/>
      <c r="AG25" s="121" t="n"/>
      <c r="AH25" s="121" t="n"/>
      <c r="AI25" s="121" t="n"/>
      <c r="AJ25" s="121" t="n"/>
      <c r="AK25" s="121" t="n"/>
      <c r="AL25" s="121" t="n"/>
      <c r="AM25" s="121" t="n"/>
      <c r="AN25" s="121" t="n"/>
      <c r="AO25" s="121" t="n"/>
      <c r="AP25" s="121" t="n"/>
      <c r="AQ25" s="121" t="n"/>
      <c r="AR25" s="121" t="n"/>
      <c r="AS25" s="121" t="n"/>
      <c r="AT25" s="121" t="n"/>
      <c r="AU25" s="121" t="n"/>
      <c r="AV25" s="121" t="n"/>
      <c r="AW25" s="121" t="n"/>
      <c r="AX25" s="121" t="n"/>
      <c r="AY25" s="121" t="n"/>
      <c r="AZ25" s="121" t="n"/>
      <c r="BA25" s="121" t="n"/>
      <c r="BB25" s="121" t="n"/>
      <c r="BC25" s="121" t="n"/>
    </row>
    <row r="26" outlineLevel="2" ht="12" customHeight="1">
      <c r="A26" s="102" t="n"/>
      <c r="B26" s="102" t="n"/>
      <c r="C26" s="102" t="n">
        <v>3</v>
      </c>
      <c r="D26" s="118" t="inlineStr">
        <is>
          <t>1.3.2</t>
        </is>
      </c>
      <c r="E26" s="103" t="n"/>
      <c r="F26" s="103" t="n"/>
      <c r="G26" s="103" t="inlineStr">
        <is>
          <t>[분석] 대체유 z격차 [치명] 정정 · CBOT 층 교체 준비</t>
        </is>
      </c>
      <c r="H26" s="103" t="n"/>
      <c r="I26" s="103" t="n"/>
      <c r="J26" s="103" t="n"/>
      <c r="K26" s="103" t="n"/>
      <c r="L26" s="103" t="n"/>
      <c r="M26" s="103" t="n"/>
      <c r="N26" s="103" t="n"/>
      <c r="O26" s="103" t="n"/>
      <c r="P26" s="104" t="n">
        <v>46254</v>
      </c>
      <c r="Q26" s="104" t="n">
        <v>46267</v>
      </c>
      <c r="R26" s="103" t="n"/>
      <c r="S26" s="302" t="n"/>
      <c r="T26" s="302" t="n"/>
      <c r="U26" s="302" t="n"/>
      <c r="V26" s="302" t="n">
        <v>10</v>
      </c>
      <c r="W26" s="104" t="n"/>
      <c r="X26" s="104" t="n"/>
      <c r="Y26" s="303" t="n"/>
      <c r="Z26" s="107" t="n"/>
      <c r="AA26" s="302" t="n"/>
      <c r="AB26" s="103" t="inlineStr">
        <is>
          <t>조영훈</t>
        </is>
      </c>
      <c r="AC26" s="103" t="n"/>
      <c r="AD26" s="117" t="n"/>
      <c r="AE26" s="316" t="n">
        <v>0</v>
      </c>
      <c r="AF26" s="120" t="n"/>
      <c r="AG26" s="121" t="n"/>
      <c r="AH26" s="121" t="n"/>
      <c r="AI26" s="121" t="n"/>
      <c r="AJ26" s="121" t="n"/>
      <c r="AK26" s="121" t="n"/>
      <c r="AL26" s="121" t="n"/>
      <c r="AM26" s="121" t="n"/>
      <c r="AN26" s="121" t="n"/>
      <c r="AO26" s="121" t="n"/>
      <c r="AP26" s="121" t="n"/>
      <c r="AQ26" s="121" t="n"/>
      <c r="AR26" s="121" t="n"/>
      <c r="AS26" s="121" t="n"/>
      <c r="AT26" s="121" t="n"/>
      <c r="AU26" s="121" t="n"/>
      <c r="AV26" s="121" t="n"/>
      <c r="AW26" s="121" t="n"/>
      <c r="AX26" s="121" t="n"/>
      <c r="AY26" s="121" t="n"/>
      <c r="AZ26" s="121" t="n"/>
      <c r="BA26" s="121" t="n"/>
      <c r="BB26" s="121" t="n"/>
      <c r="BC26" s="121" t="n"/>
    </row>
    <row r="27" outlineLevel="2" ht="12" customHeight="1">
      <c r="A27" s="102" t="n"/>
      <c r="B27" s="102" t="n"/>
      <c r="C27" s="102" t="n">
        <v>3</v>
      </c>
      <c r="D27" s="118" t="inlineStr">
        <is>
          <t>1.3.3</t>
        </is>
      </c>
      <c r="E27" s="103" t="n"/>
      <c r="F27" s="103" t="n"/>
      <c r="G27" s="103" t="inlineStr">
        <is>
          <t>[분석] Preview 분위수 모델 (SARIMAX·Quantile LGBM·EGARCH-X)</t>
        </is>
      </c>
      <c r="H27" s="103" t="n"/>
      <c r="I27" s="103" t="n"/>
      <c r="J27" s="103" t="n"/>
      <c r="K27" s="103" t="n"/>
      <c r="L27" s="103" t="n"/>
      <c r="M27" s="103" t="n"/>
      <c r="N27" s="103" t="n"/>
      <c r="O27" s="103" t="n"/>
      <c r="P27" s="104" t="n">
        <v>46259</v>
      </c>
      <c r="Q27" s="104" t="n">
        <v>46268</v>
      </c>
      <c r="R27" s="103" t="n"/>
      <c r="S27" s="302" t="n"/>
      <c r="T27" s="302" t="n"/>
      <c r="U27" s="302" t="n"/>
      <c r="V27" s="302" t="n">
        <v>8</v>
      </c>
      <c r="W27" s="104" t="n"/>
      <c r="X27" s="104" t="n"/>
      <c r="Y27" s="303" t="n"/>
      <c r="Z27" s="107" t="n"/>
      <c r="AA27" s="302" t="n"/>
      <c r="AB27" s="103" t="inlineStr">
        <is>
          <t>조영훈</t>
        </is>
      </c>
      <c r="AC27" s="103" t="n"/>
      <c r="AD27" s="117" t="n"/>
      <c r="AE27" s="316" t="n">
        <v>0</v>
      </c>
      <c r="AF27" s="120" t="n"/>
      <c r="AG27" s="121" t="n"/>
      <c r="AH27" s="121" t="n"/>
      <c r="AI27" s="121" t="n"/>
      <c r="AJ27" s="121" t="n"/>
      <c r="AK27" s="121" t="n"/>
      <c r="AL27" s="121" t="n"/>
      <c r="AM27" s="121" t="n"/>
      <c r="AN27" s="121" t="n"/>
      <c r="AO27" s="121" t="n"/>
      <c r="AP27" s="121" t="n"/>
      <c r="AQ27" s="121" t="n"/>
      <c r="AR27" s="121" t="n"/>
      <c r="AS27" s="121" t="n"/>
      <c r="AT27" s="121" t="n"/>
      <c r="AU27" s="121" t="n"/>
      <c r="AV27" s="121" t="n"/>
      <c r="AW27" s="121" t="n"/>
      <c r="AX27" s="121" t="n"/>
      <c r="AY27" s="121" t="n"/>
      <c r="AZ27" s="121" t="n"/>
      <c r="BA27" s="121" t="n"/>
      <c r="BB27" s="121" t="n"/>
      <c r="BC27" s="121" t="n"/>
    </row>
    <row r="28" outlineLevel="2" ht="12" customHeight="1">
      <c r="A28" s="102" t="n"/>
      <c r="B28" s="102" t="n"/>
      <c r="C28" s="102" t="n">
        <v>3</v>
      </c>
      <c r="D28" s="118" t="inlineStr">
        <is>
          <t>1.3.4</t>
        </is>
      </c>
      <c r="E28" s="103" t="n"/>
      <c r="F28" s="103" t="n"/>
      <c r="G28" s="103" t="inlineStr">
        <is>
          <t>[분석] EnCQR 예측구간 Preview (P10~P90·레짐별 coverage)</t>
        </is>
      </c>
      <c r="H28" s="103" t="n"/>
      <c r="I28" s="103" t="n"/>
      <c r="J28" s="103" t="n"/>
      <c r="K28" s="103" t="n"/>
      <c r="L28" s="103" t="n"/>
      <c r="M28" s="103" t="n"/>
      <c r="N28" s="103" t="n"/>
      <c r="O28" s="103" t="n"/>
      <c r="P28" s="104" t="n">
        <v>46266</v>
      </c>
      <c r="Q28" s="104" t="n">
        <v>46273</v>
      </c>
      <c r="R28" s="103" t="n"/>
      <c r="S28" s="302" t="n"/>
      <c r="T28" s="302" t="n"/>
      <c r="U28" s="302" t="n"/>
      <c r="V28" s="302" t="n">
        <v>6</v>
      </c>
      <c r="W28" s="104" t="n"/>
      <c r="X28" s="104" t="n"/>
      <c r="Y28" s="303" t="n"/>
      <c r="Z28" s="107" t="n"/>
      <c r="AA28" s="302" t="n"/>
      <c r="AB28" s="103" t="inlineStr">
        <is>
          <t>조영훈</t>
        </is>
      </c>
      <c r="AC28" s="103" t="n"/>
      <c r="AD28" s="117" t="n"/>
      <c r="AE28" s="316" t="n">
        <v>0</v>
      </c>
      <c r="AF28" s="120" t="n"/>
      <c r="AG28" s="121" t="n"/>
      <c r="AH28" s="121" t="n"/>
      <c r="AI28" s="121" t="n"/>
      <c r="AJ28" s="121" t="n"/>
      <c r="AK28" s="121" t="n"/>
      <c r="AL28" s="121" t="n"/>
      <c r="AM28" s="121" t="n"/>
      <c r="AN28" s="121" t="n"/>
      <c r="AO28" s="121" t="n"/>
      <c r="AP28" s="121" t="n"/>
      <c r="AQ28" s="121" t="n"/>
      <c r="AR28" s="121" t="n"/>
      <c r="AS28" s="121" t="n"/>
      <c r="AT28" s="121" t="n"/>
      <c r="AU28" s="121" t="n"/>
      <c r="AV28" s="121" t="n"/>
      <c r="AW28" s="121" t="n"/>
      <c r="AX28" s="121" t="n"/>
      <c r="AY28" s="121" t="n"/>
      <c r="AZ28" s="121" t="n"/>
      <c r="BA28" s="121" t="n"/>
      <c r="BB28" s="121" t="n"/>
      <c r="BC28" s="121" t="n"/>
    </row>
    <row r="29" outlineLevel="2" ht="12" customHeight="1">
      <c r="A29" s="102" t="n"/>
      <c r="B29" s="102" t="n"/>
      <c r="C29" s="102" t="n">
        <v>3</v>
      </c>
      <c r="D29" s="118" t="inlineStr">
        <is>
          <t>1.3.5</t>
        </is>
      </c>
      <c r="E29" s="103" t="n"/>
      <c r="F29" s="103" t="n"/>
      <c r="G29" s="103" t="inlineStr">
        <is>
          <t>[시각화] Preview 대시보드 (plotly)</t>
        </is>
      </c>
      <c r="H29" s="103" t="n"/>
      <c r="I29" s="103" t="n"/>
      <c r="J29" s="103" t="n"/>
      <c r="K29" s="103" t="n"/>
      <c r="L29" s="103" t="n"/>
      <c r="M29" s="103" t="n"/>
      <c r="N29" s="103" t="n"/>
      <c r="O29" s="103" t="n"/>
      <c r="P29" s="104" t="n">
        <v>46268</v>
      </c>
      <c r="Q29" s="104" t="n">
        <v>46275</v>
      </c>
      <c r="R29" s="103" t="n"/>
      <c r="S29" s="302" t="n"/>
      <c r="T29" s="302" t="n"/>
      <c r="U29" s="302" t="n"/>
      <c r="V29" s="302" t="n">
        <v>6</v>
      </c>
      <c r="W29" s="104" t="n"/>
      <c r="X29" s="104" t="n"/>
      <c r="Y29" s="303" t="n"/>
      <c r="Z29" s="107" t="n"/>
      <c r="AA29" s="302" t="n"/>
      <c r="AB29" s="103" t="inlineStr">
        <is>
          <t>조영훈</t>
        </is>
      </c>
      <c r="AC29" s="103" t="n"/>
      <c r="AD29" s="117" t="n"/>
      <c r="AE29" s="316" t="n">
        <v>0</v>
      </c>
      <c r="AF29" s="120" t="n"/>
      <c r="AG29" s="121" t="n"/>
      <c r="AH29" s="121" t="n"/>
      <c r="AI29" s="121" t="n"/>
      <c r="AJ29" s="121" t="n"/>
      <c r="AK29" s="121" t="n"/>
      <c r="AL29" s="121" t="n"/>
      <c r="AM29" s="121" t="n"/>
      <c r="AN29" s="121" t="n"/>
      <c r="AO29" s="121" t="n"/>
      <c r="AP29" s="121" t="n"/>
      <c r="AQ29" s="121" t="n"/>
      <c r="AR29" s="121" t="n"/>
      <c r="AS29" s="121" t="n"/>
      <c r="AT29" s="121" t="n"/>
      <c r="AU29" s="121" t="n"/>
      <c r="AV29" s="121" t="n"/>
      <c r="AW29" s="121" t="n"/>
      <c r="AX29" s="121" t="n"/>
      <c r="AY29" s="121" t="n"/>
      <c r="AZ29" s="121" t="n"/>
      <c r="BA29" s="121" t="n"/>
      <c r="BB29" s="121" t="n"/>
      <c r="BC29" s="121" t="n"/>
    </row>
    <row r="30" outlineLevel="1" ht="12" customHeight="1">
      <c r="A30" s="102" t="n"/>
      <c r="B30" s="102" t="inlineStr">
        <is>
          <t>G</t>
        </is>
      </c>
      <c r="C30" s="102" t="n">
        <v>2</v>
      </c>
      <c r="D30" s="118" t="inlineStr">
        <is>
          <t>1.4</t>
        </is>
      </c>
      <c r="E30" s="103" t="n"/>
      <c r="F30" s="103" t="inlineStr">
        <is>
          <t>Phase 4: 시맨틱·아키텍처 (일정 비의존 분리)</t>
        </is>
      </c>
      <c r="G30" s="103" t="n"/>
      <c r="H30" s="103" t="n"/>
      <c r="I30" s="103" t="n"/>
      <c r="J30" s="103" t="n"/>
      <c r="K30" s="103" t="n"/>
      <c r="L30" s="103" t="n"/>
      <c r="M30" s="103" t="n"/>
      <c r="N30" s="103" t="n"/>
      <c r="O30" s="103" t="n"/>
      <c r="P30" s="104" t="n">
        <v>46248</v>
      </c>
      <c r="Q30" s="104" t="n">
        <v>46295</v>
      </c>
      <c r="R30" s="103" t="n"/>
      <c r="S30" s="302" t="n"/>
      <c r="T30" s="302" t="n"/>
      <c r="U30" s="302" t="n"/>
      <c r="V30" s="302" t="n">
        <v>34</v>
      </c>
      <c r="W30" s="104" t="n"/>
      <c r="X30" s="104" t="n"/>
      <c r="Y30" s="303" t="n"/>
      <c r="Z30" s="107" t="n"/>
      <c r="AA30" s="302" t="n"/>
      <c r="AB30" s="103" t="inlineStr">
        <is>
          <t>조영훈</t>
        </is>
      </c>
      <c r="AC30" s="103" t="n"/>
      <c r="AD30" s="117" t="n"/>
      <c r="AE30" s="315" t="n">
        <v>0.3</v>
      </c>
      <c r="AF30" s="120" t="n"/>
      <c r="AG30" s="121" t="n"/>
      <c r="AH30" s="121" t="n"/>
      <c r="AI30" s="121" t="n"/>
      <c r="AJ30" s="121" t="n"/>
      <c r="AK30" s="121" t="n"/>
      <c r="AL30" s="121" t="n"/>
      <c r="AM30" s="121" t="n"/>
      <c r="AN30" s="121" t="n"/>
      <c r="AO30" s="121" t="n"/>
      <c r="AP30" s="121" t="n"/>
      <c r="AQ30" s="121" t="n"/>
      <c r="AR30" s="121" t="n"/>
      <c r="AS30" s="121" t="n"/>
      <c r="AT30" s="121" t="n"/>
      <c r="AU30" s="121" t="n"/>
      <c r="AV30" s="121" t="n"/>
      <c r="AW30" s="121" t="n"/>
      <c r="AX30" s="121" t="n"/>
      <c r="AY30" s="121" t="n"/>
      <c r="AZ30" s="121" t="n"/>
      <c r="BA30" s="121" t="n"/>
      <c r="BB30" s="121" t="n"/>
      <c r="BC30" s="121" t="n"/>
    </row>
    <row r="31" outlineLevel="2" ht="12" customHeight="1">
      <c r="A31" s="102" t="n"/>
      <c r="B31" s="102" t="n"/>
      <c r="C31" s="102" t="n">
        <v>3</v>
      </c>
      <c r="D31" s="118" t="inlineStr">
        <is>
          <t>1.4.1</t>
        </is>
      </c>
      <c r="E31" s="103" t="n"/>
      <c r="F31" s="103" t="n"/>
      <c r="G31" s="103" t="inlineStr">
        <is>
          <t>[분석] 시맨틱 레이어 v3 + 적대 검증 (D-040·A-164 · 73노드 DAG)</t>
        </is>
      </c>
      <c r="H31" s="103" t="n"/>
      <c r="I31" s="103" t="n"/>
      <c r="J31" s="103" t="n"/>
      <c r="K31" s="103" t="n"/>
      <c r="L31" s="103" t="n"/>
      <c r="M31" s="103" t="n"/>
      <c r="N31" s="103" t="n"/>
      <c r="O31" s="103" t="n"/>
      <c r="P31" s="104" t="n">
        <v>46248</v>
      </c>
      <c r="Q31" s="104" t="n">
        <v>46252</v>
      </c>
      <c r="R31" s="103" t="n"/>
      <c r="S31" s="302" t="n"/>
      <c r="T31" s="302" t="n"/>
      <c r="U31" s="302" t="n"/>
      <c r="V31" s="302" t="n">
        <v>3</v>
      </c>
      <c r="W31" s="104" t="n"/>
      <c r="X31" s="104" t="n"/>
      <c r="Y31" s="303" t="n"/>
      <c r="Z31" s="107" t="n"/>
      <c r="AA31" s="302" t="n"/>
      <c r="AB31" s="103" t="inlineStr">
        <is>
          <t>조영훈</t>
        </is>
      </c>
      <c r="AC31" s="103" t="n"/>
      <c r="AD31" s="117" t="n"/>
      <c r="AE31" s="316" t="n">
        <v>1</v>
      </c>
      <c r="AF31" s="120" t="n"/>
      <c r="AG31" s="121" t="n"/>
      <c r="AH31" s="121" t="n"/>
      <c r="AI31" s="121" t="n"/>
      <c r="AJ31" s="121" t="n"/>
      <c r="AK31" s="121" t="n"/>
      <c r="AL31" s="121" t="n"/>
      <c r="AM31" s="121" t="n"/>
      <c r="AN31" s="121" t="n"/>
      <c r="AO31" s="121" t="n"/>
      <c r="AP31" s="121" t="n"/>
      <c r="AQ31" s="121" t="n"/>
      <c r="AR31" s="121" t="n"/>
      <c r="AS31" s="121" t="n"/>
      <c r="AT31" s="121" t="n"/>
      <c r="AU31" s="121" t="n"/>
      <c r="AV31" s="121" t="n"/>
      <c r="AW31" s="121" t="n"/>
      <c r="AX31" s="121" t="n"/>
      <c r="AY31" s="121" t="n"/>
      <c r="AZ31" s="121" t="n"/>
      <c r="BA31" s="121" t="n"/>
      <c r="BB31" s="121" t="n"/>
      <c r="BC31" s="121" t="n"/>
    </row>
    <row r="32" outlineLevel="2" ht="12" customHeight="1">
      <c r="A32" s="102" t="n"/>
      <c r="B32" s="102" t="n"/>
      <c r="C32" s="102" t="n">
        <v>3</v>
      </c>
      <c r="D32" s="118" t="inlineStr">
        <is>
          <t>1.4.2</t>
        </is>
      </c>
      <c r="E32" s="103" t="n"/>
      <c r="F32" s="103" t="n"/>
      <c r="G32" s="103" t="inlineStr">
        <is>
          <t>[아키텍처] egress allowlist 34호스트 제출 ★ 8/29 기한</t>
        </is>
      </c>
      <c r="H32" s="103" t="n"/>
      <c r="I32" s="103" t="n"/>
      <c r="J32" s="103" t="n"/>
      <c r="K32" s="103" t="n"/>
      <c r="L32" s="103" t="n"/>
      <c r="M32" s="103" t="n"/>
      <c r="N32" s="103" t="n"/>
      <c r="O32" s="103" t="n"/>
      <c r="P32" s="104" t="n">
        <v>46254</v>
      </c>
      <c r="Q32" s="104" t="n">
        <v>46262</v>
      </c>
      <c r="R32" s="103" t="n"/>
      <c r="S32" s="302" t="n"/>
      <c r="T32" s="302" t="n"/>
      <c r="U32" s="302" t="n"/>
      <c r="V32" s="302" t="n">
        <v>7</v>
      </c>
      <c r="W32" s="104" t="n"/>
      <c r="X32" s="104" t="n"/>
      <c r="Y32" s="303" t="n"/>
      <c r="Z32" s="107" t="n"/>
      <c r="AA32" s="302" t="n"/>
      <c r="AB32" s="103" t="inlineStr">
        <is>
          <t>조영훈</t>
        </is>
      </c>
      <c r="AC32" s="103" t="n"/>
      <c r="AD32" s="117" t="n"/>
      <c r="AE32" s="316" t="n">
        <v>0.9</v>
      </c>
      <c r="AF32" s="120" t="n"/>
      <c r="AG32" s="121" t="n"/>
      <c r="AH32" s="121" t="n"/>
      <c r="AI32" s="121" t="n"/>
      <c r="AJ32" s="121" t="n"/>
      <c r="AK32" s="121" t="n"/>
      <c r="AL32" s="121" t="n"/>
      <c r="AM32" s="121" t="n"/>
      <c r="AN32" s="121" t="n"/>
      <c r="AO32" s="121" t="n"/>
      <c r="AP32" s="121" t="n"/>
      <c r="AQ32" s="121" t="n"/>
      <c r="AR32" s="121" t="n"/>
      <c r="AS32" s="121" t="n"/>
      <c r="AT32" s="121" t="n"/>
      <c r="AU32" s="121" t="n"/>
      <c r="AV32" s="121" t="n"/>
      <c r="AW32" s="121" t="n"/>
      <c r="AX32" s="121" t="n"/>
      <c r="AY32" s="121" t="n"/>
      <c r="AZ32" s="121" t="n"/>
      <c r="BA32" s="121" t="n"/>
      <c r="BB32" s="121" t="n"/>
      <c r="BC32" s="121" t="n"/>
    </row>
    <row r="33" outlineLevel="2" ht="12" customHeight="1">
      <c r="A33" s="102" t="n"/>
      <c r="B33" s="102" t="n"/>
      <c r="C33" s="102" t="n">
        <v>3</v>
      </c>
      <c r="D33" s="118" t="inlineStr">
        <is>
          <t>1.4.3</t>
        </is>
      </c>
      <c r="E33" s="103" t="n"/>
      <c r="F33" s="103" t="n"/>
      <c r="G33" s="103" t="inlineStr">
        <is>
          <t>[아키텍처] Azure Blob 스냅샷 게이트 실증 (azure_snapshot_publish)</t>
        </is>
      </c>
      <c r="H33" s="103" t="n"/>
      <c r="I33" s="103" t="n"/>
      <c r="J33" s="103" t="n"/>
      <c r="K33" s="103" t="n"/>
      <c r="L33" s="103" t="n"/>
      <c r="M33" s="103" t="n"/>
      <c r="N33" s="103" t="n"/>
      <c r="O33" s="103" t="n"/>
      <c r="P33" s="104" t="n">
        <v>46254</v>
      </c>
      <c r="Q33" s="104" t="n">
        <v>46262</v>
      </c>
      <c r="R33" s="103" t="n"/>
      <c r="S33" s="302" t="n"/>
      <c r="T33" s="302" t="n"/>
      <c r="U33" s="302" t="n"/>
      <c r="V33" s="302" t="n">
        <v>7</v>
      </c>
      <c r="W33" s="104" t="n"/>
      <c r="X33" s="104" t="n"/>
      <c r="Y33" s="303" t="n"/>
      <c r="Z33" s="107" t="n"/>
      <c r="AA33" s="302" t="n"/>
      <c r="AB33" s="103" t="inlineStr">
        <is>
          <t>조영훈</t>
        </is>
      </c>
      <c r="AC33" s="103" t="n"/>
      <c r="AD33" s="117" t="n"/>
      <c r="AE33" s="316" t="n">
        <v>0</v>
      </c>
      <c r="AF33" s="120" t="n"/>
      <c r="AG33" s="121" t="n"/>
      <c r="AH33" s="121" t="n"/>
      <c r="AI33" s="121" t="n"/>
      <c r="AJ33" s="121" t="n"/>
      <c r="AK33" s="121" t="n"/>
      <c r="AL33" s="121" t="n"/>
      <c r="AM33" s="121" t="n"/>
      <c r="AN33" s="121" t="n"/>
      <c r="AO33" s="121" t="n"/>
      <c r="AP33" s="121" t="n"/>
      <c r="AQ33" s="121" t="n"/>
      <c r="AR33" s="121" t="n"/>
      <c r="AS33" s="121" t="n"/>
      <c r="AT33" s="121" t="n"/>
      <c r="AU33" s="121" t="n"/>
      <c r="AV33" s="121" t="n"/>
      <c r="AW33" s="121" t="n"/>
      <c r="AX33" s="121" t="n"/>
      <c r="AY33" s="121" t="n"/>
      <c r="AZ33" s="121" t="n"/>
      <c r="BA33" s="121" t="n"/>
      <c r="BB33" s="121" t="n"/>
      <c r="BC33" s="121" t="n"/>
    </row>
    <row r="34" outlineLevel="2" ht="12" customHeight="1">
      <c r="A34" s="102" t="n"/>
      <c r="B34" s="102" t="n"/>
      <c r="C34" s="102" t="n">
        <v>3</v>
      </c>
      <c r="D34" s="118" t="inlineStr">
        <is>
          <t>1.4.4</t>
        </is>
      </c>
      <c r="E34" s="103" t="n"/>
      <c r="F34" s="103" t="n"/>
      <c r="G34" s="103" t="inlineStr">
        <is>
          <t>[분석] Semantic Layer 인과엣지 확장·검증 (P1-06) ⚠️지연위험</t>
        </is>
      </c>
      <c r="H34" s="103" t="n"/>
      <c r="I34" s="103" t="n"/>
      <c r="J34" s="103" t="n"/>
      <c r="K34" s="103" t="n"/>
      <c r="L34" s="103" t="n"/>
      <c r="M34" s="103" t="n"/>
      <c r="N34" s="103" t="n"/>
      <c r="O34" s="103" t="n"/>
      <c r="P34" s="104" t="n">
        <v>46266</v>
      </c>
      <c r="Q34" s="104" t="n">
        <v>46283</v>
      </c>
      <c r="R34" s="103" t="n"/>
      <c r="S34" s="302" t="n"/>
      <c r="T34" s="302" t="n"/>
      <c r="U34" s="302" t="n"/>
      <c r="V34" s="302" t="n">
        <v>14</v>
      </c>
      <c r="W34" s="104" t="n"/>
      <c r="X34" s="104" t="n"/>
      <c r="Y34" s="303" t="n"/>
      <c r="Z34" s="107" t="n"/>
      <c r="AA34" s="302" t="n"/>
      <c r="AB34" s="103" t="inlineStr">
        <is>
          <t>조영훈</t>
        </is>
      </c>
      <c r="AC34" s="103" t="n"/>
      <c r="AD34" s="117" t="n"/>
      <c r="AE34" s="316" t="n">
        <v>0.25</v>
      </c>
      <c r="AF34" s="120" t="n"/>
      <c r="AG34" s="121" t="n"/>
      <c r="AH34" s="121" t="n"/>
      <c r="AI34" s="121" t="n"/>
      <c r="AJ34" s="121" t="n"/>
      <c r="AK34" s="121" t="n"/>
      <c r="AL34" s="121" t="n"/>
      <c r="AM34" s="121" t="n"/>
      <c r="AN34" s="121" t="n"/>
      <c r="AO34" s="121" t="n"/>
      <c r="AP34" s="121" t="n"/>
      <c r="AQ34" s="121" t="n"/>
      <c r="AR34" s="121" t="n"/>
      <c r="AS34" s="121" t="n"/>
      <c r="AT34" s="121" t="n"/>
      <c r="AU34" s="121" t="n"/>
      <c r="AV34" s="121" t="n"/>
      <c r="AW34" s="121" t="n"/>
      <c r="AX34" s="121" t="n"/>
      <c r="AY34" s="121" t="n"/>
      <c r="AZ34" s="121" t="n"/>
      <c r="BA34" s="121" t="n"/>
      <c r="BB34" s="121" t="n"/>
      <c r="BC34" s="121" t="n"/>
    </row>
    <row r="35" outlineLevel="2" ht="12" customHeight="1">
      <c r="A35" s="102" t="n"/>
      <c r="B35" s="102" t="n"/>
      <c r="C35" s="102" t="n">
        <v>3</v>
      </c>
      <c r="D35" s="118" t="inlineStr">
        <is>
          <t>1.4.5</t>
        </is>
      </c>
      <c r="E35" s="103" t="n"/>
      <c r="F35" s="103" t="n"/>
      <c r="G35" s="103" t="inlineStr">
        <is>
          <t>[아키텍처] GitHub→Azure ML 이관 ⚠️지연위험</t>
        </is>
      </c>
      <c r="H35" s="103" t="n"/>
      <c r="I35" s="103" t="n"/>
      <c r="J35" s="103" t="n"/>
      <c r="K35" s="103" t="n"/>
      <c r="L35" s="103" t="n"/>
      <c r="M35" s="103" t="n"/>
      <c r="N35" s="103" t="n"/>
      <c r="O35" s="103" t="n"/>
      <c r="P35" s="104" t="n">
        <v>46276</v>
      </c>
      <c r="Q35" s="104" t="n">
        <v>46295</v>
      </c>
      <c r="R35" s="103" t="n"/>
      <c r="S35" s="302" t="n"/>
      <c r="T35" s="302" t="n"/>
      <c r="U35" s="302" t="n"/>
      <c r="V35" s="302" t="n">
        <v>14</v>
      </c>
      <c r="W35" s="104" t="n"/>
      <c r="X35" s="104" t="n"/>
      <c r="Y35" s="303" t="n"/>
      <c r="Z35" s="107" t="n"/>
      <c r="AA35" s="302" t="n"/>
      <c r="AB35" s="103" t="inlineStr">
        <is>
          <t>조영훈</t>
        </is>
      </c>
      <c r="AC35" s="103" t="n"/>
      <c r="AD35" s="117" t="n"/>
      <c r="AE35" s="316" t="n">
        <v>0</v>
      </c>
      <c r="AF35" s="120" t="n"/>
      <c r="AG35" s="121" t="n"/>
      <c r="AH35" s="121" t="n"/>
      <c r="AI35" s="121" t="n"/>
      <c r="AJ35" s="121" t="n"/>
      <c r="AK35" s="121" t="n"/>
      <c r="AL35" s="121" t="n"/>
      <c r="AM35" s="121" t="n"/>
      <c r="AN35" s="121" t="n"/>
      <c r="AO35" s="121" t="n"/>
      <c r="AP35" s="121" t="n"/>
      <c r="AQ35" s="121" t="n"/>
      <c r="AR35" s="121" t="n"/>
      <c r="AS35" s="121" t="n"/>
      <c r="AT35" s="121" t="n"/>
      <c r="AU35" s="121" t="n"/>
      <c r="AV35" s="121" t="n"/>
      <c r="AW35" s="121" t="n"/>
      <c r="AX35" s="121" t="n"/>
      <c r="AY35" s="121" t="n"/>
      <c r="AZ35" s="121" t="n"/>
      <c r="BA35" s="121" t="n"/>
      <c r="BB35" s="121" t="n"/>
      <c r="BC35" s="121" t="n"/>
    </row>
    <row r="36" ht="12" customHeight="1">
      <c r="A36" s="102" t="n"/>
      <c r="B36" s="102" t="n"/>
      <c r="C36" s="102" t="n"/>
      <c r="D36" s="118" t="n"/>
      <c r="E36" s="103" t="n"/>
      <c r="F36" s="103" t="n"/>
      <c r="G36" s="103" t="n"/>
      <c r="H36" s="103" t="n"/>
      <c r="I36" s="103" t="n"/>
      <c r="J36" s="103" t="n"/>
      <c r="K36" s="103" t="n"/>
      <c r="L36" s="103" t="n"/>
      <c r="M36" s="103" t="n"/>
      <c r="N36" s="103" t="n"/>
      <c r="O36" s="103" t="n"/>
      <c r="P36" s="104" t="n"/>
      <c r="Q36" s="104" t="n"/>
      <c r="R36" s="103" t="n"/>
      <c r="S36" s="302" t="n"/>
      <c r="T36" s="302" t="n"/>
      <c r="U36" s="302" t="n"/>
      <c r="V36" s="302" t="n"/>
      <c r="W36" s="104" t="n"/>
      <c r="X36" s="104" t="n"/>
      <c r="Y36" s="303" t="n"/>
      <c r="Z36" s="107" t="n"/>
      <c r="AA36" s="302" t="n"/>
      <c r="AB36" s="103" t="n"/>
      <c r="AC36" s="103" t="n"/>
      <c r="AD36" s="117" t="n"/>
      <c r="AE36" s="316" t="n"/>
      <c r="AF36" s="120" t="n"/>
      <c r="AG36" s="121" t="n"/>
      <c r="AH36" s="121" t="n"/>
      <c r="AI36" s="121" t="n"/>
      <c r="AJ36" s="121" t="n"/>
      <c r="AK36" s="121" t="n"/>
      <c r="AL36" s="121" t="n"/>
      <c r="AM36" s="121" t="n"/>
      <c r="AN36" s="121" t="n"/>
      <c r="AO36" s="121" t="n"/>
      <c r="AP36" s="121" t="n"/>
      <c r="AQ36" s="121" t="n"/>
      <c r="AR36" s="121" t="n"/>
      <c r="AS36" s="121" t="n"/>
      <c r="AT36" s="121" t="n"/>
      <c r="AU36" s="121" t="n"/>
      <c r="AV36" s="121" t="n"/>
      <c r="AW36" s="121" t="n"/>
      <c r="AX36" s="121" t="n"/>
      <c r="AY36" s="121" t="n"/>
      <c r="AZ36" s="121" t="n"/>
      <c r="BA36" s="121" t="n"/>
      <c r="BB36" s="121" t="n"/>
      <c r="BC36" s="121" t="n"/>
    </row>
    <row r="37" ht="12" customHeight="1">
      <c r="A37" s="102" t="n"/>
      <c r="B37" s="102" t="n"/>
      <c r="C37" s="102" t="n"/>
      <c r="D37" s="118" t="n"/>
      <c r="E37" s="103" t="n"/>
      <c r="F37" s="103" t="n"/>
      <c r="G37" s="103" t="n"/>
      <c r="H37" s="103" t="n"/>
      <c r="I37" s="103" t="n"/>
      <c r="J37" s="103" t="n"/>
      <c r="K37" s="103" t="n"/>
      <c r="L37" s="103" t="n"/>
      <c r="M37" s="103" t="n"/>
      <c r="N37" s="103" t="n"/>
      <c r="O37" s="103" t="n"/>
      <c r="P37" s="104" t="n"/>
      <c r="Q37" s="104" t="n"/>
      <c r="R37" s="103" t="n"/>
      <c r="S37" s="302" t="n"/>
      <c r="T37" s="302" t="n"/>
      <c r="U37" s="302" t="n"/>
      <c r="V37" s="302" t="n"/>
      <c r="W37" s="104" t="n"/>
      <c r="X37" s="104" t="n"/>
      <c r="Y37" s="303" t="n"/>
      <c r="Z37" s="107" t="n"/>
      <c r="AA37" s="302" t="n"/>
      <c r="AB37" s="103" t="n"/>
      <c r="AC37" s="103" t="n"/>
      <c r="AD37" s="117" t="n"/>
      <c r="AE37" s="316" t="n"/>
      <c r="AF37" s="120" t="n"/>
      <c r="AG37" s="121" t="n"/>
      <c r="AH37" s="121" t="n"/>
      <c r="AI37" s="121" t="n"/>
      <c r="AJ37" s="121" t="n"/>
      <c r="AK37" s="121" t="n"/>
      <c r="AL37" s="121" t="n"/>
      <c r="AM37" s="121" t="n"/>
      <c r="AN37" s="121" t="n"/>
      <c r="AO37" s="121" t="n"/>
      <c r="AP37" s="121" t="n"/>
      <c r="AQ37" s="121" t="n"/>
      <c r="AR37" s="121" t="n"/>
      <c r="AS37" s="121" t="n"/>
      <c r="AT37" s="121" t="n"/>
      <c r="AU37" s="121" t="n"/>
      <c r="AV37" s="121" t="n"/>
      <c r="AW37" s="121" t="n"/>
      <c r="AX37" s="121" t="n"/>
      <c r="AY37" s="121" t="n"/>
      <c r="AZ37" s="121" t="n"/>
      <c r="BA37" s="121" t="n"/>
      <c r="BB37" s="121" t="n"/>
      <c r="BC37" s="121" t="n"/>
    </row>
    <row r="38" ht="12" customHeight="1">
      <c r="A38" s="102" t="n"/>
      <c r="B38" s="102" t="n"/>
      <c r="C38" s="102" t="n"/>
      <c r="D38" s="118" t="n"/>
      <c r="E38" s="103" t="n"/>
      <c r="F38" s="103" t="n"/>
      <c r="G38" s="103" t="n"/>
      <c r="H38" s="103" t="n"/>
      <c r="I38" s="103" t="n"/>
      <c r="J38" s="103" t="n"/>
      <c r="K38" s="103" t="n"/>
      <c r="L38" s="103" t="n"/>
      <c r="M38" s="103" t="n"/>
      <c r="N38" s="103" t="n"/>
      <c r="O38" s="103" t="n"/>
      <c r="P38" s="104" t="n"/>
      <c r="Q38" s="104" t="n"/>
      <c r="R38" s="103" t="n"/>
      <c r="S38" s="302" t="n"/>
      <c r="T38" s="302" t="n"/>
      <c r="U38" s="302" t="n"/>
      <c r="V38" s="302" t="n"/>
      <c r="W38" s="104" t="n"/>
      <c r="X38" s="104" t="n"/>
      <c r="Y38" s="303" t="n"/>
      <c r="Z38" s="107" t="n"/>
      <c r="AA38" s="302" t="n"/>
      <c r="AB38" s="103" t="n"/>
      <c r="AC38" s="103" t="n"/>
      <c r="AD38" s="117" t="n"/>
      <c r="AE38" s="316" t="n"/>
      <c r="AF38" s="120" t="n"/>
      <c r="AG38" s="121" t="n"/>
      <c r="AH38" s="121" t="n"/>
      <c r="AI38" s="121" t="n"/>
      <c r="AJ38" s="121" t="n"/>
      <c r="AK38" s="121" t="n"/>
      <c r="AL38" s="121" t="n"/>
      <c r="AM38" s="121" t="n"/>
      <c r="AN38" s="121" t="n"/>
      <c r="AO38" s="121" t="n"/>
      <c r="AP38" s="121" t="n"/>
      <c r="AQ38" s="121" t="n"/>
      <c r="AR38" s="121" t="n"/>
      <c r="AS38" s="121" t="n"/>
      <c r="AT38" s="121" t="n"/>
      <c r="AU38" s="121" t="n"/>
      <c r="AV38" s="121" t="n"/>
      <c r="AW38" s="121" t="n"/>
      <c r="AX38" s="121" t="n"/>
      <c r="AY38" s="121" t="n"/>
      <c r="AZ38" s="121" t="n"/>
      <c r="BA38" s="121" t="n"/>
      <c r="BB38" s="121" t="n"/>
      <c r="BC38" s="121" t="n"/>
    </row>
    <row r="39" ht="12" customHeight="1">
      <c r="A39" s="102" t="n"/>
      <c r="B39" s="102" t="n"/>
      <c r="C39" s="102" t="n"/>
      <c r="D39" s="118" t="n"/>
      <c r="E39" s="103" t="n"/>
      <c r="F39" s="103" t="n"/>
      <c r="G39" s="103" t="n"/>
      <c r="H39" s="103" t="n"/>
      <c r="I39" s="103" t="n"/>
      <c r="J39" s="103" t="n"/>
      <c r="K39" s="103" t="n"/>
      <c r="L39" s="103" t="n"/>
      <c r="M39" s="103" t="n"/>
      <c r="N39" s="103" t="n"/>
      <c r="O39" s="103" t="n"/>
      <c r="P39" s="104" t="n"/>
      <c r="Q39" s="104" t="n"/>
      <c r="R39" s="103" t="n"/>
      <c r="S39" s="302" t="n"/>
      <c r="T39" s="302" t="n"/>
      <c r="U39" s="302" t="n"/>
      <c r="V39" s="302" t="n"/>
      <c r="W39" s="104" t="n"/>
      <c r="X39" s="104" t="n"/>
      <c r="Y39" s="303" t="n"/>
      <c r="Z39" s="107" t="n"/>
      <c r="AA39" s="302" t="n"/>
      <c r="AB39" s="103" t="n"/>
      <c r="AC39" s="103" t="n"/>
      <c r="AD39" s="117" t="n"/>
      <c r="AE39" s="316" t="n"/>
      <c r="AF39" s="120" t="n"/>
      <c r="AG39" s="121" t="n"/>
      <c r="AH39" s="121" t="n"/>
      <c r="AI39" s="121" t="n"/>
      <c r="AJ39" s="121" t="n"/>
      <c r="AK39" s="121" t="n"/>
      <c r="AL39" s="121" t="n"/>
      <c r="AM39" s="121" t="n"/>
      <c r="AN39" s="121" t="n"/>
      <c r="AO39" s="121" t="n"/>
      <c r="AP39" s="121" t="n"/>
      <c r="AQ39" s="121" t="n"/>
      <c r="AR39" s="121" t="n"/>
      <c r="AS39" s="121" t="n"/>
      <c r="AT39" s="121" t="n"/>
      <c r="AU39" s="121" t="n"/>
      <c r="AV39" s="121" t="n"/>
      <c r="AW39" s="121" t="n"/>
      <c r="AX39" s="121" t="n"/>
      <c r="AY39" s="121" t="n"/>
      <c r="AZ39" s="121" t="n"/>
      <c r="BA39" s="121" t="n"/>
      <c r="BB39" s="121" t="n"/>
      <c r="BC39" s="121" t="n"/>
    </row>
    <row r="40" ht="12" customHeight="1">
      <c r="A40" s="102" t="n"/>
      <c r="B40" s="102" t="n"/>
      <c r="C40" s="102" t="n"/>
      <c r="D40" s="118" t="n"/>
      <c r="E40" s="103" t="n"/>
      <c r="F40" s="103" t="n"/>
      <c r="G40" s="103" t="n"/>
      <c r="H40" s="103" t="n"/>
      <c r="I40" s="103" t="n"/>
      <c r="J40" s="103" t="n"/>
      <c r="K40" s="103" t="n"/>
      <c r="L40" s="103" t="n"/>
      <c r="M40" s="103" t="n"/>
      <c r="N40" s="103" t="n"/>
      <c r="O40" s="103" t="n"/>
      <c r="P40" s="104" t="n"/>
      <c r="Q40" s="104" t="n"/>
      <c r="R40" s="103" t="n"/>
      <c r="S40" s="302" t="n"/>
      <c r="T40" s="302" t="n"/>
      <c r="U40" s="302" t="n"/>
      <c r="V40" s="302" t="n"/>
      <c r="W40" s="104" t="n"/>
      <c r="X40" s="104" t="n"/>
      <c r="Y40" s="303" t="n"/>
      <c r="Z40" s="107" t="n"/>
      <c r="AA40" s="302" t="n"/>
      <c r="AB40" s="103" t="n"/>
      <c r="AC40" s="103" t="n"/>
      <c r="AD40" s="117" t="n"/>
      <c r="AE40" s="316" t="n"/>
      <c r="AF40" s="120" t="n"/>
      <c r="AG40" s="121" t="n"/>
      <c r="AH40" s="121" t="n"/>
      <c r="AI40" s="121" t="n"/>
      <c r="AJ40" s="121" t="n"/>
      <c r="AK40" s="121" t="n"/>
      <c r="AL40" s="121" t="n"/>
      <c r="AM40" s="121" t="n"/>
      <c r="AN40" s="121" t="n"/>
      <c r="AO40" s="121" t="n"/>
      <c r="AP40" s="121" t="n"/>
      <c r="AQ40" s="121" t="n"/>
      <c r="AR40" s="121" t="n"/>
      <c r="AS40" s="121" t="n"/>
      <c r="AT40" s="121" t="n"/>
      <c r="AU40" s="121" t="n"/>
      <c r="AV40" s="121" t="n"/>
      <c r="AW40" s="121" t="n"/>
      <c r="AX40" s="121" t="n"/>
      <c r="AY40" s="121" t="n"/>
      <c r="AZ40" s="121" t="n"/>
      <c r="BA40" s="121" t="n"/>
      <c r="BB40" s="121" t="n"/>
      <c r="BC40" s="121" t="n"/>
    </row>
    <row r="41" ht="12" customHeight="1">
      <c r="A41" s="102" t="n"/>
      <c r="B41" s="102" t="n"/>
      <c r="C41" s="102" t="n"/>
      <c r="D41" s="118" t="n"/>
      <c r="E41" s="103" t="n"/>
      <c r="F41" s="103" t="n"/>
      <c r="G41" s="103" t="n"/>
      <c r="H41" s="103" t="n"/>
      <c r="I41" s="103" t="n"/>
      <c r="J41" s="103" t="n"/>
      <c r="K41" s="103" t="n"/>
      <c r="L41" s="103" t="n"/>
      <c r="M41" s="103" t="n"/>
      <c r="N41" s="103" t="n"/>
      <c r="O41" s="103" t="n"/>
      <c r="P41" s="104" t="n"/>
      <c r="Q41" s="104" t="n"/>
      <c r="R41" s="103" t="n"/>
      <c r="S41" s="302" t="n"/>
      <c r="T41" s="302" t="n"/>
      <c r="U41" s="302" t="n"/>
      <c r="V41" s="302" t="n"/>
      <c r="W41" s="104" t="n"/>
      <c r="X41" s="104" t="n"/>
      <c r="Y41" s="303" t="n"/>
      <c r="Z41" s="107" t="n"/>
      <c r="AA41" s="302" t="n"/>
      <c r="AB41" s="103" t="n"/>
      <c r="AC41" s="103" t="n"/>
      <c r="AD41" s="117" t="n"/>
      <c r="AE41" s="316" t="n"/>
      <c r="AF41" s="120" t="n"/>
      <c r="AG41" s="121" t="n"/>
      <c r="AH41" s="121" t="n"/>
      <c r="AI41" s="121" t="n"/>
      <c r="AJ41" s="121" t="n"/>
      <c r="AK41" s="121" t="n"/>
      <c r="AL41" s="121" t="n"/>
      <c r="AM41" s="121" t="n"/>
      <c r="AN41" s="121" t="n"/>
      <c r="AO41" s="121" t="n"/>
      <c r="AP41" s="121" t="n"/>
      <c r="AQ41" s="121" t="n"/>
      <c r="AR41" s="121" t="n"/>
      <c r="AS41" s="121" t="n"/>
      <c r="AT41" s="121" t="n"/>
      <c r="AU41" s="121" t="n"/>
      <c r="AV41" s="121" t="n"/>
      <c r="AW41" s="121" t="n"/>
      <c r="AX41" s="121" t="n"/>
      <c r="AY41" s="121" t="n"/>
      <c r="AZ41" s="121" t="n"/>
      <c r="BA41" s="121" t="n"/>
      <c r="BB41" s="121" t="n"/>
      <c r="BC41" s="121" t="n"/>
    </row>
    <row r="42" ht="12" customHeight="1">
      <c r="A42" s="102" t="n"/>
      <c r="B42" s="102" t="n"/>
      <c r="C42" s="102" t="n"/>
      <c r="D42" s="118" t="n"/>
      <c r="E42" s="103" t="n"/>
      <c r="F42" s="103" t="n"/>
      <c r="G42" s="103" t="n"/>
      <c r="H42" s="103" t="n"/>
      <c r="I42" s="103" t="n"/>
      <c r="J42" s="103" t="n"/>
      <c r="K42" s="103" t="n"/>
      <c r="L42" s="103" t="n"/>
      <c r="M42" s="103" t="n"/>
      <c r="N42" s="103" t="n"/>
      <c r="O42" s="103" t="n"/>
      <c r="P42" s="104" t="n"/>
      <c r="Q42" s="104" t="n"/>
      <c r="R42" s="103" t="n"/>
      <c r="S42" s="302" t="n"/>
      <c r="T42" s="302" t="n"/>
      <c r="U42" s="302" t="n"/>
      <c r="V42" s="302" t="n"/>
      <c r="W42" s="104" t="n"/>
      <c r="X42" s="104" t="n"/>
      <c r="Y42" s="303" t="n"/>
      <c r="Z42" s="107" t="n"/>
      <c r="AA42" s="302" t="n"/>
      <c r="AB42" s="103" t="n"/>
      <c r="AC42" s="103" t="n"/>
      <c r="AD42" s="117" t="n"/>
      <c r="AE42" s="316" t="n"/>
      <c r="AF42" s="120" t="n"/>
      <c r="AG42" s="121" t="n"/>
      <c r="AH42" s="121" t="n"/>
      <c r="AI42" s="121" t="n"/>
      <c r="AJ42" s="121" t="n"/>
      <c r="AK42" s="121" t="n"/>
      <c r="AL42" s="121" t="n"/>
      <c r="AM42" s="121" t="n"/>
      <c r="AN42" s="121" t="n"/>
      <c r="AO42" s="121" t="n"/>
      <c r="AP42" s="121" t="n"/>
      <c r="AQ42" s="121" t="n"/>
      <c r="AR42" s="121" t="n"/>
      <c r="AS42" s="121" t="n"/>
      <c r="AT42" s="121" t="n"/>
      <c r="AU42" s="121" t="n"/>
      <c r="AV42" s="121" t="n"/>
      <c r="AW42" s="121" t="n"/>
      <c r="AX42" s="121" t="n"/>
      <c r="AY42" s="121" t="n"/>
      <c r="AZ42" s="121" t="n"/>
      <c r="BA42" s="121" t="n"/>
      <c r="BB42" s="121" t="n"/>
      <c r="BC42" s="121" t="n"/>
    </row>
    <row r="43" ht="12" customHeight="1">
      <c r="A43" s="102" t="n"/>
      <c r="B43" s="102" t="n"/>
      <c r="C43" s="102" t="n"/>
      <c r="D43" s="118" t="n"/>
      <c r="E43" s="103" t="n"/>
      <c r="F43" s="103" t="n"/>
      <c r="G43" s="103" t="n"/>
      <c r="H43" s="103" t="n"/>
      <c r="I43" s="103" t="n"/>
      <c r="J43" s="103" t="n"/>
      <c r="K43" s="103" t="n"/>
      <c r="L43" s="103" t="n"/>
      <c r="M43" s="103" t="n"/>
      <c r="N43" s="103" t="n"/>
      <c r="O43" s="103" t="n"/>
      <c r="P43" s="104" t="n"/>
      <c r="Q43" s="104" t="n"/>
      <c r="R43" s="103" t="n"/>
      <c r="S43" s="302" t="n"/>
      <c r="T43" s="302" t="n"/>
      <c r="U43" s="302" t="n"/>
      <c r="V43" s="302" t="n"/>
      <c r="W43" s="104" t="n"/>
      <c r="X43" s="104" t="n"/>
      <c r="Y43" s="303" t="n"/>
      <c r="Z43" s="107" t="n"/>
      <c r="AA43" s="302" t="n"/>
      <c r="AB43" s="103" t="n"/>
      <c r="AC43" s="103" t="n"/>
      <c r="AD43" s="117" t="n"/>
      <c r="AE43" s="316" t="n"/>
      <c r="AF43" s="120" t="n"/>
      <c r="AG43" s="121" t="n"/>
      <c r="AH43" s="121" t="n"/>
      <c r="AI43" s="121" t="n"/>
      <c r="AJ43" s="121" t="n"/>
      <c r="AK43" s="121" t="n"/>
      <c r="AL43" s="121" t="n"/>
      <c r="AM43" s="121" t="n"/>
      <c r="AN43" s="121" t="n"/>
      <c r="AO43" s="121" t="n"/>
      <c r="AP43" s="121" t="n"/>
      <c r="AQ43" s="121" t="n"/>
      <c r="AR43" s="121" t="n"/>
      <c r="AS43" s="121" t="n"/>
      <c r="AT43" s="121" t="n"/>
      <c r="AU43" s="121" t="n"/>
      <c r="AV43" s="121" t="n"/>
      <c r="AW43" s="121" t="n"/>
      <c r="AX43" s="121" t="n"/>
      <c r="AY43" s="121" t="n"/>
      <c r="AZ43" s="121" t="n"/>
      <c r="BA43" s="121" t="n"/>
      <c r="BB43" s="121" t="n"/>
      <c r="BC43" s="121" t="n"/>
    </row>
    <row r="44" ht="12" customHeight="1">
      <c r="A44" s="102" t="n"/>
      <c r="B44" s="102" t="n"/>
      <c r="C44" s="102" t="n"/>
      <c r="D44" s="118" t="n"/>
      <c r="E44" s="103" t="n"/>
      <c r="F44" s="103" t="n"/>
      <c r="G44" s="103" t="n"/>
      <c r="H44" s="103" t="n"/>
      <c r="I44" s="103" t="n"/>
      <c r="J44" s="103" t="n"/>
      <c r="K44" s="103" t="n"/>
      <c r="L44" s="103" t="n"/>
      <c r="M44" s="103" t="n"/>
      <c r="N44" s="103" t="n"/>
      <c r="O44" s="103" t="n"/>
      <c r="P44" s="104" t="n"/>
      <c r="Q44" s="104" t="n"/>
      <c r="R44" s="103" t="n"/>
      <c r="S44" s="302" t="n"/>
      <c r="T44" s="302" t="n"/>
      <c r="U44" s="302" t="n"/>
      <c r="V44" s="302" t="n"/>
      <c r="W44" s="104" t="n"/>
      <c r="X44" s="104" t="n"/>
      <c r="Y44" s="303" t="n"/>
      <c r="Z44" s="107" t="n"/>
      <c r="AA44" s="302" t="n"/>
      <c r="AB44" s="103" t="n"/>
      <c r="AC44" s="103" t="n"/>
      <c r="AD44" s="117" t="n"/>
      <c r="AE44" s="316" t="n"/>
      <c r="AF44" s="120" t="n"/>
      <c r="AG44" s="121" t="n"/>
      <c r="AH44" s="121" t="n"/>
      <c r="AI44" s="121" t="n"/>
      <c r="AJ44" s="121" t="n"/>
      <c r="AK44" s="121" t="n"/>
      <c r="AL44" s="121" t="n"/>
      <c r="AM44" s="121" t="n"/>
      <c r="AN44" s="121" t="n"/>
      <c r="AO44" s="121" t="n"/>
      <c r="AP44" s="121" t="n"/>
      <c r="AQ44" s="121" t="n"/>
      <c r="AR44" s="121" t="n"/>
      <c r="AS44" s="121" t="n"/>
      <c r="AT44" s="121" t="n"/>
      <c r="AU44" s="121" t="n"/>
      <c r="AV44" s="121" t="n"/>
      <c r="AW44" s="121" t="n"/>
      <c r="AX44" s="121" t="n"/>
      <c r="AY44" s="121" t="n"/>
      <c r="AZ44" s="121" t="n"/>
      <c r="BA44" s="121" t="n"/>
      <c r="BB44" s="121" t="n"/>
      <c r="BC44" s="121" t="n"/>
    </row>
    <row r="45" ht="12" customHeight="1">
      <c r="A45" s="102" t="n"/>
      <c r="B45" s="102" t="n"/>
      <c r="C45" s="102" t="n"/>
      <c r="D45" s="118" t="n"/>
      <c r="E45" s="103" t="n"/>
      <c r="F45" s="103" t="n"/>
      <c r="G45" s="103" t="n"/>
      <c r="H45" s="103" t="n"/>
      <c r="I45" s="103" t="n"/>
      <c r="J45" s="103" t="n"/>
      <c r="K45" s="103" t="n"/>
      <c r="L45" s="103" t="n"/>
      <c r="M45" s="103" t="n"/>
      <c r="N45" s="103" t="n"/>
      <c r="O45" s="103" t="n"/>
      <c r="P45" s="104" t="n"/>
      <c r="Q45" s="104" t="n"/>
      <c r="R45" s="103" t="n"/>
      <c r="S45" s="302" t="n"/>
      <c r="T45" s="302" t="n"/>
      <c r="U45" s="302" t="n"/>
      <c r="V45" s="302" t="n"/>
      <c r="W45" s="104" t="n"/>
      <c r="X45" s="104" t="n"/>
      <c r="Y45" s="303" t="n"/>
      <c r="Z45" s="107" t="n"/>
      <c r="AA45" s="302" t="n"/>
      <c r="AB45" s="103" t="n"/>
      <c r="AC45" s="103" t="n"/>
      <c r="AD45" s="117" t="n"/>
      <c r="AE45" s="316" t="n"/>
      <c r="AF45" s="120" t="n"/>
      <c r="AG45" s="121" t="n"/>
      <c r="AH45" s="121" t="n"/>
      <c r="AI45" s="121" t="n"/>
      <c r="AJ45" s="121" t="n"/>
      <c r="AK45" s="121" t="n"/>
      <c r="AL45" s="121" t="n"/>
      <c r="AM45" s="121" t="n"/>
      <c r="AN45" s="121" t="n"/>
      <c r="AO45" s="121" t="n"/>
      <c r="AP45" s="121" t="n"/>
      <c r="AQ45" s="121" t="n"/>
      <c r="AR45" s="121" t="n"/>
      <c r="AS45" s="121" t="n"/>
      <c r="AT45" s="121" t="n"/>
      <c r="AU45" s="121" t="n"/>
      <c r="AV45" s="121" t="n"/>
      <c r="AW45" s="121" t="n"/>
      <c r="AX45" s="121" t="n"/>
      <c r="AY45" s="121" t="n"/>
      <c r="AZ45" s="121" t="n"/>
      <c r="BA45" s="121" t="n"/>
      <c r="BB45" s="121" t="n"/>
      <c r="BC45" s="121" t="n"/>
    </row>
    <row r="46" ht="12" customHeight="1">
      <c r="A46" s="102" t="n"/>
      <c r="B46" s="102" t="n"/>
      <c r="C46" s="102" t="n"/>
      <c r="D46" s="118" t="n"/>
      <c r="E46" s="103" t="n"/>
      <c r="F46" s="103" t="n"/>
      <c r="G46" s="103" t="n"/>
      <c r="H46" s="103" t="n"/>
      <c r="I46" s="103" t="n"/>
      <c r="J46" s="103" t="n"/>
      <c r="K46" s="103" t="n"/>
      <c r="L46" s="103" t="n"/>
      <c r="M46" s="103" t="n"/>
      <c r="N46" s="103" t="n"/>
      <c r="O46" s="103" t="n"/>
      <c r="P46" s="104" t="n"/>
      <c r="Q46" s="104" t="n"/>
      <c r="R46" s="103" t="n"/>
      <c r="S46" s="302" t="n"/>
      <c r="T46" s="302" t="n"/>
      <c r="U46" s="302" t="n"/>
      <c r="V46" s="302" t="n"/>
      <c r="W46" s="104" t="n"/>
      <c r="X46" s="104" t="n"/>
      <c r="Y46" s="303" t="n"/>
      <c r="Z46" s="107" t="n"/>
      <c r="AA46" s="302" t="n"/>
      <c r="AB46" s="103" t="n"/>
      <c r="AC46" s="103" t="n"/>
      <c r="AD46" s="117" t="n"/>
      <c r="AE46" s="316" t="n"/>
      <c r="AF46" s="120" t="n"/>
      <c r="AG46" s="121" t="n"/>
      <c r="AH46" s="121" t="n"/>
      <c r="AI46" s="121" t="n"/>
      <c r="AJ46" s="121" t="n"/>
      <c r="AK46" s="121" t="n"/>
      <c r="AL46" s="121" t="n"/>
      <c r="AM46" s="121" t="n"/>
      <c r="AN46" s="121" t="n"/>
      <c r="AO46" s="121" t="n"/>
      <c r="AP46" s="121" t="n"/>
      <c r="AQ46" s="121" t="n"/>
      <c r="AR46" s="121" t="n"/>
      <c r="AS46" s="121" t="n"/>
      <c r="AT46" s="121" t="n"/>
      <c r="AU46" s="121" t="n"/>
      <c r="AV46" s="121" t="n"/>
      <c r="AW46" s="121" t="n"/>
      <c r="AX46" s="121" t="n"/>
      <c r="AY46" s="121" t="n"/>
      <c r="AZ46" s="121" t="n"/>
      <c r="BA46" s="121" t="n"/>
      <c r="BB46" s="121" t="n"/>
      <c r="BC46" s="121" t="n"/>
    </row>
    <row r="47" ht="12" customHeight="1">
      <c r="A47" s="102" t="n"/>
      <c r="B47" s="102" t="n"/>
      <c r="C47" s="102" t="n"/>
      <c r="D47" s="118" t="n"/>
      <c r="E47" s="103" t="n"/>
      <c r="F47" s="103" t="n"/>
      <c r="G47" s="103" t="n"/>
      <c r="H47" s="103" t="n"/>
      <c r="I47" s="103" t="n"/>
      <c r="J47" s="103" t="n"/>
      <c r="K47" s="103" t="n"/>
      <c r="L47" s="103" t="n"/>
      <c r="M47" s="103" t="n"/>
      <c r="N47" s="103" t="n"/>
      <c r="O47" s="103" t="n"/>
      <c r="P47" s="104" t="n"/>
      <c r="Q47" s="104" t="n"/>
      <c r="R47" s="103" t="n"/>
      <c r="S47" s="302" t="n"/>
      <c r="T47" s="302" t="n"/>
      <c r="U47" s="302" t="n"/>
      <c r="V47" s="302" t="n"/>
      <c r="W47" s="104" t="n"/>
      <c r="X47" s="104" t="n"/>
      <c r="Y47" s="303" t="n"/>
      <c r="Z47" s="107" t="n"/>
      <c r="AA47" s="302" t="n"/>
      <c r="AB47" s="103" t="n"/>
      <c r="AC47" s="103" t="n"/>
      <c r="AD47" s="117" t="n"/>
      <c r="AE47" s="316" t="n"/>
      <c r="AF47" s="120" t="n"/>
      <c r="AG47" s="121" t="n"/>
      <c r="AH47" s="121" t="n"/>
      <c r="AI47" s="121" t="n"/>
      <c r="AJ47" s="121" t="n"/>
      <c r="AK47" s="121" t="n"/>
      <c r="AL47" s="121" t="n"/>
      <c r="AM47" s="121" t="n"/>
      <c r="AN47" s="121" t="n"/>
      <c r="AO47" s="121" t="n"/>
      <c r="AP47" s="121" t="n"/>
      <c r="AQ47" s="121" t="n"/>
      <c r="AR47" s="121" t="n"/>
      <c r="AS47" s="121" t="n"/>
      <c r="AT47" s="121" t="n"/>
      <c r="AU47" s="121" t="n"/>
      <c r="AV47" s="121" t="n"/>
      <c r="AW47" s="121" t="n"/>
      <c r="AX47" s="121" t="n"/>
      <c r="AY47" s="121" t="n"/>
      <c r="AZ47" s="121" t="n"/>
      <c r="BA47" s="121" t="n"/>
      <c r="BB47" s="121" t="n"/>
      <c r="BC47" s="121" t="n"/>
    </row>
    <row r="48" ht="12" customHeight="1">
      <c r="A48" s="102" t="n"/>
      <c r="B48" s="102" t="n"/>
      <c r="C48" s="102" t="n"/>
      <c r="D48" s="118" t="n"/>
      <c r="E48" s="103" t="n"/>
      <c r="F48" s="103" t="n"/>
      <c r="G48" s="103" t="n"/>
      <c r="H48" s="103" t="n"/>
      <c r="I48" s="103" t="n"/>
      <c r="J48" s="103" t="n"/>
      <c r="K48" s="103" t="n"/>
      <c r="L48" s="103" t="n"/>
      <c r="M48" s="103" t="n"/>
      <c r="N48" s="103" t="n"/>
      <c r="O48" s="103" t="n"/>
      <c r="P48" s="104" t="n"/>
      <c r="Q48" s="104" t="n"/>
      <c r="R48" s="103" t="n"/>
      <c r="S48" s="302" t="n"/>
      <c r="T48" s="302" t="n"/>
      <c r="U48" s="302" t="n"/>
      <c r="V48" s="302" t="n"/>
      <c r="W48" s="104" t="n"/>
      <c r="X48" s="104" t="n"/>
      <c r="Y48" s="303" t="n"/>
      <c r="Z48" s="107" t="n"/>
      <c r="AA48" s="302" t="n"/>
      <c r="AB48" s="103" t="n"/>
      <c r="AC48" s="103" t="n"/>
      <c r="AD48" s="117" t="n"/>
      <c r="AE48" s="316" t="n"/>
      <c r="AF48" s="120" t="n"/>
      <c r="AG48" s="121" t="n"/>
      <c r="AH48" s="121" t="n"/>
      <c r="AI48" s="121" t="n"/>
      <c r="AJ48" s="121" t="n"/>
      <c r="AK48" s="121" t="n"/>
      <c r="AL48" s="121" t="n"/>
      <c r="AM48" s="121" t="n"/>
      <c r="AN48" s="121" t="n"/>
      <c r="AO48" s="121" t="n"/>
      <c r="AP48" s="121" t="n"/>
      <c r="AQ48" s="121" t="n"/>
      <c r="AR48" s="121" t="n"/>
      <c r="AS48" s="121" t="n"/>
      <c r="AT48" s="121" t="n"/>
      <c r="AU48" s="121" t="n"/>
      <c r="AV48" s="121" t="n"/>
      <c r="AW48" s="121" t="n"/>
      <c r="AX48" s="121" t="n"/>
      <c r="AY48" s="121" t="n"/>
      <c r="AZ48" s="121" t="n"/>
      <c r="BA48" s="121" t="n"/>
      <c r="BB48" s="121" t="n"/>
      <c r="BC48" s="121" t="n"/>
    </row>
    <row r="49" ht="12" customHeight="1">
      <c r="A49" s="102" t="n"/>
      <c r="B49" s="102" t="n"/>
      <c r="C49" s="102" t="n"/>
      <c r="D49" s="118" t="n"/>
      <c r="E49" s="103" t="n"/>
      <c r="F49" s="103" t="n"/>
      <c r="G49" s="103" t="n"/>
      <c r="H49" s="103" t="n"/>
      <c r="I49" s="103" t="n"/>
      <c r="J49" s="103" t="n"/>
      <c r="K49" s="103" t="n"/>
      <c r="L49" s="103" t="n"/>
      <c r="M49" s="103" t="n"/>
      <c r="N49" s="103" t="n"/>
      <c r="O49" s="103" t="n"/>
      <c r="P49" s="104" t="n"/>
      <c r="Q49" s="104" t="n"/>
      <c r="R49" s="103" t="n"/>
      <c r="S49" s="302" t="n"/>
      <c r="T49" s="302" t="n"/>
      <c r="U49" s="302" t="n"/>
      <c r="V49" s="302" t="n"/>
      <c r="W49" s="104" t="n"/>
      <c r="X49" s="104" t="n"/>
      <c r="Y49" s="303" t="n"/>
      <c r="Z49" s="107" t="n"/>
      <c r="AA49" s="302" t="n"/>
      <c r="AB49" s="103" t="n"/>
      <c r="AC49" s="103" t="n"/>
      <c r="AD49" s="117" t="n"/>
      <c r="AE49" s="316" t="n"/>
      <c r="AF49" s="120" t="n"/>
      <c r="AG49" s="121" t="n"/>
      <c r="AH49" s="121" t="n"/>
      <c r="AI49" s="121" t="n"/>
      <c r="AJ49" s="121" t="n"/>
      <c r="AK49" s="121" t="n"/>
      <c r="AL49" s="121" t="n"/>
      <c r="AM49" s="121" t="n"/>
      <c r="AN49" s="121" t="n"/>
      <c r="AO49" s="121" t="n"/>
      <c r="AP49" s="121" t="n"/>
      <c r="AQ49" s="121" t="n"/>
      <c r="AR49" s="121" t="n"/>
      <c r="AS49" s="121" t="n"/>
      <c r="AT49" s="121" t="n"/>
      <c r="AU49" s="121" t="n"/>
      <c r="AV49" s="121" t="n"/>
      <c r="AW49" s="121" t="n"/>
      <c r="AX49" s="121" t="n"/>
      <c r="AY49" s="121" t="n"/>
      <c r="AZ49" s="121" t="n"/>
      <c r="BA49" s="121" t="n"/>
      <c r="BB49" s="121" t="n"/>
      <c r="BC49" s="121" t="n"/>
    </row>
    <row r="50" ht="12" customHeight="1">
      <c r="A50" s="102" t="n"/>
      <c r="B50" s="102" t="n"/>
      <c r="C50" s="102" t="n"/>
      <c r="D50" s="118" t="n"/>
      <c r="E50" s="103" t="n"/>
      <c r="F50" s="103" t="n"/>
      <c r="G50" s="103" t="n"/>
      <c r="H50" s="103" t="n"/>
      <c r="I50" s="103" t="n"/>
      <c r="J50" s="103" t="n"/>
      <c r="K50" s="103" t="n"/>
      <c r="L50" s="103" t="n"/>
      <c r="M50" s="103" t="n"/>
      <c r="N50" s="103" t="n"/>
      <c r="O50" s="103" t="n"/>
      <c r="P50" s="104" t="n"/>
      <c r="Q50" s="104" t="n"/>
      <c r="R50" s="103" t="n"/>
      <c r="S50" s="302" t="n"/>
      <c r="T50" s="302" t="n"/>
      <c r="U50" s="302" t="n"/>
      <c r="V50" s="302" t="n"/>
      <c r="W50" s="104" t="n"/>
      <c r="X50" s="104" t="n"/>
      <c r="Y50" s="303" t="n"/>
      <c r="Z50" s="107" t="n"/>
      <c r="AA50" s="302" t="n"/>
      <c r="AB50" s="103" t="n"/>
      <c r="AC50" s="103" t="n"/>
      <c r="AD50" s="117" t="n"/>
      <c r="AE50" s="316" t="n"/>
      <c r="AF50" s="120" t="n"/>
      <c r="AG50" s="121" t="n"/>
      <c r="AH50" s="121" t="n"/>
      <c r="AI50" s="121" t="n"/>
      <c r="AJ50" s="121" t="n"/>
      <c r="AK50" s="121" t="n"/>
      <c r="AL50" s="121" t="n"/>
      <c r="AM50" s="121" t="n"/>
      <c r="AN50" s="121" t="n"/>
      <c r="AO50" s="121" t="n"/>
      <c r="AP50" s="121" t="n"/>
      <c r="AQ50" s="121" t="n"/>
      <c r="AR50" s="121" t="n"/>
      <c r="AS50" s="121" t="n"/>
      <c r="AT50" s="121" t="n"/>
      <c r="AU50" s="121" t="n"/>
      <c r="AV50" s="121" t="n"/>
      <c r="AW50" s="121" t="n"/>
      <c r="AX50" s="121" t="n"/>
      <c r="AY50" s="121" t="n"/>
      <c r="AZ50" s="121" t="n"/>
      <c r="BA50" s="121" t="n"/>
      <c r="BB50" s="121" t="n"/>
      <c r="BC50" s="121" t="n"/>
    </row>
    <row r="51" ht="12" customHeight="1">
      <c r="A51" s="102" t="n"/>
      <c r="B51" s="102" t="n"/>
      <c r="C51" s="102" t="n"/>
      <c r="D51" s="118" t="n"/>
      <c r="E51" s="103" t="n"/>
      <c r="F51" s="103" t="n"/>
      <c r="G51" s="103" t="n"/>
      <c r="H51" s="103" t="n"/>
      <c r="I51" s="103" t="n"/>
      <c r="J51" s="103" t="n"/>
      <c r="K51" s="103" t="n"/>
      <c r="L51" s="103" t="n"/>
      <c r="M51" s="103" t="n"/>
      <c r="N51" s="103" t="n"/>
      <c r="O51" s="103" t="n"/>
      <c r="P51" s="104" t="n"/>
      <c r="Q51" s="104" t="n"/>
      <c r="R51" s="103" t="n"/>
      <c r="S51" s="302" t="n"/>
      <c r="T51" s="302" t="n"/>
      <c r="U51" s="302" t="n"/>
      <c r="V51" s="302" t="n"/>
      <c r="W51" s="104" t="n"/>
      <c r="X51" s="104" t="n"/>
      <c r="Y51" s="303" t="n"/>
      <c r="Z51" s="107" t="n"/>
      <c r="AA51" s="302" t="n"/>
      <c r="AB51" s="103" t="n"/>
      <c r="AC51" s="103" t="n"/>
      <c r="AD51" s="117" t="n"/>
      <c r="AE51" s="316" t="n"/>
      <c r="AF51" s="120" t="n"/>
      <c r="AG51" s="121" t="n"/>
      <c r="AH51" s="121" t="n"/>
      <c r="AI51" s="121" t="n"/>
      <c r="AJ51" s="121" t="n"/>
      <c r="AK51" s="121" t="n"/>
      <c r="AL51" s="121" t="n"/>
      <c r="AM51" s="121" t="n"/>
      <c r="AN51" s="121" t="n"/>
      <c r="AO51" s="121" t="n"/>
      <c r="AP51" s="121" t="n"/>
      <c r="AQ51" s="121" t="n"/>
      <c r="AR51" s="121" t="n"/>
      <c r="AS51" s="121" t="n"/>
      <c r="AT51" s="121" t="n"/>
      <c r="AU51" s="121" t="n"/>
      <c r="AV51" s="121" t="n"/>
      <c r="AW51" s="121" t="n"/>
      <c r="AX51" s="121" t="n"/>
      <c r="AY51" s="121" t="n"/>
      <c r="AZ51" s="121" t="n"/>
      <c r="BA51" s="121" t="n"/>
      <c r="BB51" s="121" t="n"/>
      <c r="BC51" s="121" t="n"/>
    </row>
    <row r="52" ht="12" customHeight="1">
      <c r="A52" s="102" t="n"/>
      <c r="B52" s="102" t="n"/>
      <c r="C52" s="102" t="n"/>
      <c r="D52" s="118" t="n"/>
      <c r="E52" s="103" t="n"/>
      <c r="F52" s="103" t="n"/>
      <c r="G52" s="103" t="n"/>
      <c r="H52" s="103" t="n"/>
      <c r="I52" s="103" t="n"/>
      <c r="J52" s="103" t="n"/>
      <c r="K52" s="103" t="n"/>
      <c r="L52" s="103" t="n"/>
      <c r="M52" s="103" t="n"/>
      <c r="N52" s="103" t="n"/>
      <c r="O52" s="103" t="n"/>
      <c r="P52" s="104" t="n"/>
      <c r="Q52" s="104" t="n"/>
      <c r="R52" s="103" t="n"/>
      <c r="S52" s="302" t="n"/>
      <c r="T52" s="302" t="n"/>
      <c r="U52" s="302" t="n"/>
      <c r="V52" s="302" t="n"/>
      <c r="W52" s="104" t="n"/>
      <c r="X52" s="104" t="n"/>
      <c r="Y52" s="303" t="n"/>
      <c r="Z52" s="107" t="n"/>
      <c r="AA52" s="302" t="n"/>
      <c r="AB52" s="103" t="n"/>
      <c r="AC52" s="103" t="n"/>
      <c r="AD52" s="117" t="n"/>
      <c r="AE52" s="316" t="n"/>
      <c r="AF52" s="120" t="n"/>
      <c r="AG52" s="121" t="n"/>
      <c r="AH52" s="121" t="n"/>
      <c r="AI52" s="121" t="n"/>
      <c r="AJ52" s="121" t="n"/>
      <c r="AK52" s="121" t="n"/>
      <c r="AL52" s="121" t="n"/>
      <c r="AM52" s="121" t="n"/>
      <c r="AN52" s="121" t="n"/>
      <c r="AO52" s="121" t="n"/>
      <c r="AP52" s="121" t="n"/>
      <c r="AQ52" s="121" t="n"/>
      <c r="AR52" s="121" t="n"/>
      <c r="AS52" s="121" t="n"/>
      <c r="AT52" s="121" t="n"/>
      <c r="AU52" s="121" t="n"/>
      <c r="AV52" s="121" t="n"/>
      <c r="AW52" s="121" t="n"/>
      <c r="AX52" s="121" t="n"/>
      <c r="AY52" s="121" t="n"/>
      <c r="AZ52" s="121" t="n"/>
      <c r="BA52" s="121" t="n"/>
      <c r="BB52" s="121" t="n"/>
      <c r="BC52" s="121" t="n"/>
    </row>
    <row r="53" ht="12" customHeight="1">
      <c r="A53" s="102" t="n"/>
      <c r="B53" s="102" t="n"/>
      <c r="C53" s="102" t="n"/>
      <c r="D53" s="118" t="n"/>
      <c r="E53" s="103" t="n"/>
      <c r="F53" s="103" t="n"/>
      <c r="G53" s="103" t="n"/>
      <c r="H53" s="103" t="n"/>
      <c r="I53" s="103" t="n"/>
      <c r="J53" s="103" t="n"/>
      <c r="K53" s="103" t="n"/>
      <c r="L53" s="103" t="n"/>
      <c r="M53" s="103" t="n"/>
      <c r="N53" s="103" t="n"/>
      <c r="O53" s="103" t="n"/>
      <c r="P53" s="104" t="n"/>
      <c r="Q53" s="104" t="n"/>
      <c r="R53" s="103" t="n"/>
      <c r="S53" s="302" t="n"/>
      <c r="T53" s="302" t="n"/>
      <c r="U53" s="302" t="n"/>
      <c r="V53" s="302" t="n"/>
      <c r="W53" s="104" t="n"/>
      <c r="X53" s="104" t="n"/>
      <c r="Y53" s="303" t="n"/>
      <c r="Z53" s="107" t="n"/>
      <c r="AA53" s="302" t="n"/>
      <c r="AB53" s="103" t="n"/>
      <c r="AC53" s="103" t="n"/>
      <c r="AD53" s="117" t="n"/>
      <c r="AE53" s="316" t="n"/>
      <c r="AF53" s="120" t="n"/>
      <c r="AG53" s="121" t="n"/>
      <c r="AH53" s="121" t="n"/>
      <c r="AI53" s="121" t="n"/>
      <c r="AJ53" s="121" t="n"/>
      <c r="AK53" s="121" t="n"/>
      <c r="AL53" s="121" t="n"/>
      <c r="AM53" s="121" t="n"/>
      <c r="AN53" s="121" t="n"/>
      <c r="AO53" s="121" t="n"/>
      <c r="AP53" s="121" t="n"/>
      <c r="AQ53" s="121" t="n"/>
      <c r="AR53" s="121" t="n"/>
      <c r="AS53" s="121" t="n"/>
      <c r="AT53" s="121" t="n"/>
      <c r="AU53" s="121" t="n"/>
      <c r="AV53" s="121" t="n"/>
      <c r="AW53" s="121" t="n"/>
      <c r="AX53" s="121" t="n"/>
      <c r="AY53" s="121" t="n"/>
      <c r="AZ53" s="121" t="n"/>
      <c r="BA53" s="121" t="n"/>
      <c r="BB53" s="121" t="n"/>
      <c r="BC53" s="121" t="n"/>
    </row>
    <row r="54" ht="12" customHeight="1">
      <c r="A54" s="102" t="n"/>
      <c r="B54" s="102" t="n"/>
      <c r="C54" s="102" t="n"/>
      <c r="D54" s="118" t="n"/>
      <c r="E54" s="103" t="n"/>
      <c r="F54" s="103" t="n"/>
      <c r="G54" s="103" t="n"/>
      <c r="H54" s="103" t="n"/>
      <c r="I54" s="103" t="n"/>
      <c r="J54" s="103" t="n"/>
      <c r="K54" s="103" t="n"/>
      <c r="L54" s="103" t="n"/>
      <c r="M54" s="103" t="n"/>
      <c r="N54" s="103" t="n"/>
      <c r="O54" s="103" t="n"/>
      <c r="P54" s="104" t="n"/>
      <c r="Q54" s="104" t="n"/>
      <c r="R54" s="103" t="n"/>
      <c r="S54" s="302" t="n"/>
      <c r="T54" s="302" t="n"/>
      <c r="U54" s="302" t="n"/>
      <c r="V54" s="302" t="n"/>
      <c r="W54" s="104" t="n"/>
      <c r="X54" s="104" t="n"/>
      <c r="Y54" s="303" t="n"/>
      <c r="Z54" s="107" t="n"/>
      <c r="AA54" s="302" t="n"/>
      <c r="AB54" s="103" t="n"/>
      <c r="AC54" s="103" t="n"/>
      <c r="AD54" s="117" t="n"/>
      <c r="AE54" s="316" t="n"/>
      <c r="AF54" s="120" t="n"/>
      <c r="AG54" s="121" t="n"/>
      <c r="AH54" s="121" t="n"/>
      <c r="AI54" s="121" t="n"/>
      <c r="AJ54" s="121" t="n"/>
      <c r="AK54" s="121" t="n"/>
      <c r="AL54" s="121" t="n"/>
      <c r="AM54" s="121" t="n"/>
      <c r="AN54" s="121" t="n"/>
      <c r="AO54" s="121" t="n"/>
      <c r="AP54" s="121" t="n"/>
      <c r="AQ54" s="121" t="n"/>
      <c r="AR54" s="121" t="n"/>
      <c r="AS54" s="121" t="n"/>
      <c r="AT54" s="121" t="n"/>
      <c r="AU54" s="121" t="n"/>
      <c r="AV54" s="121" t="n"/>
      <c r="AW54" s="121" t="n"/>
      <c r="AX54" s="121" t="n"/>
      <c r="AY54" s="121" t="n"/>
      <c r="AZ54" s="121" t="n"/>
      <c r="BA54" s="121" t="n"/>
      <c r="BB54" s="121" t="n"/>
      <c r="BC54" s="121" t="n"/>
    </row>
    <row r="55" ht="12" customHeight="1">
      <c r="A55" s="102" t="n"/>
      <c r="B55" s="102" t="n"/>
      <c r="C55" s="102" t="n"/>
      <c r="D55" s="118" t="n"/>
      <c r="E55" s="103" t="n"/>
      <c r="F55" s="103" t="n"/>
      <c r="G55" s="103" t="n"/>
      <c r="H55" s="103" t="n"/>
      <c r="I55" s="103" t="n"/>
      <c r="J55" s="103" t="n"/>
      <c r="K55" s="103" t="n"/>
      <c r="L55" s="103" t="n"/>
      <c r="M55" s="103" t="n"/>
      <c r="N55" s="103" t="n"/>
      <c r="O55" s="103" t="n"/>
      <c r="P55" s="104" t="n"/>
      <c r="Q55" s="104" t="n"/>
      <c r="R55" s="103" t="n"/>
      <c r="S55" s="302" t="n"/>
      <c r="T55" s="302" t="n"/>
      <c r="U55" s="302" t="n"/>
      <c r="V55" s="302" t="n"/>
      <c r="W55" s="104" t="n"/>
      <c r="X55" s="104" t="n"/>
      <c r="Y55" s="303" t="n"/>
      <c r="Z55" s="107" t="n"/>
      <c r="AA55" s="302" t="n"/>
      <c r="AB55" s="103" t="n"/>
      <c r="AC55" s="103" t="n"/>
      <c r="AD55" s="117" t="n"/>
      <c r="AE55" s="316" t="n"/>
      <c r="AF55" s="120" t="n"/>
      <c r="AG55" s="121" t="n"/>
      <c r="AH55" s="121" t="n"/>
      <c r="AI55" s="121" t="n"/>
      <c r="AJ55" s="121" t="n"/>
      <c r="AK55" s="121" t="n"/>
      <c r="AL55" s="121" t="n"/>
      <c r="AM55" s="121" t="n"/>
      <c r="AN55" s="121" t="n"/>
      <c r="AO55" s="121" t="n"/>
      <c r="AP55" s="121" t="n"/>
      <c r="AQ55" s="121" t="n"/>
      <c r="AR55" s="121" t="n"/>
      <c r="AS55" s="121" t="n"/>
      <c r="AT55" s="121" t="n"/>
      <c r="AU55" s="121" t="n"/>
      <c r="AV55" s="121" t="n"/>
      <c r="AW55" s="121" t="n"/>
      <c r="AX55" s="121" t="n"/>
      <c r="AY55" s="121" t="n"/>
      <c r="AZ55" s="121" t="n"/>
      <c r="BA55" s="121" t="n"/>
      <c r="BB55" s="121" t="n"/>
      <c r="BC55" s="121" t="n"/>
    </row>
    <row r="56" ht="12" customHeight="1">
      <c r="A56" s="102" t="n"/>
      <c r="B56" s="102" t="n"/>
      <c r="C56" s="102" t="n"/>
      <c r="D56" s="118" t="n"/>
      <c r="E56" s="103" t="n"/>
      <c r="F56" s="103" t="n"/>
      <c r="G56" s="103" t="n"/>
      <c r="H56" s="103" t="n"/>
      <c r="I56" s="103" t="n"/>
      <c r="J56" s="103" t="n"/>
      <c r="K56" s="103" t="n"/>
      <c r="L56" s="103" t="n"/>
      <c r="M56" s="103" t="n"/>
      <c r="N56" s="103" t="n"/>
      <c r="O56" s="103" t="n"/>
      <c r="P56" s="104" t="n"/>
      <c r="Q56" s="104" t="n"/>
      <c r="R56" s="103" t="n"/>
      <c r="S56" s="302" t="n"/>
      <c r="T56" s="302" t="n"/>
      <c r="U56" s="302" t="n"/>
      <c r="V56" s="302" t="n"/>
      <c r="W56" s="104" t="n"/>
      <c r="X56" s="104" t="n"/>
      <c r="Y56" s="303" t="n"/>
      <c r="Z56" s="107" t="n"/>
      <c r="AA56" s="302" t="n"/>
      <c r="AB56" s="103" t="n"/>
      <c r="AC56" s="103" t="n"/>
      <c r="AD56" s="117" t="n"/>
      <c r="AE56" s="316" t="n"/>
      <c r="AF56" s="120" t="n"/>
      <c r="AG56" s="121" t="n"/>
      <c r="AH56" s="121" t="n"/>
      <c r="AI56" s="121" t="n"/>
      <c r="AJ56" s="121" t="n"/>
      <c r="AK56" s="121" t="n"/>
      <c r="AL56" s="121" t="n"/>
      <c r="AM56" s="121" t="n"/>
      <c r="AN56" s="121" t="n"/>
      <c r="AO56" s="121" t="n"/>
      <c r="AP56" s="121" t="n"/>
      <c r="AQ56" s="121" t="n"/>
      <c r="AR56" s="121" t="n"/>
      <c r="AS56" s="121" t="n"/>
      <c r="AT56" s="121" t="n"/>
      <c r="AU56" s="121" t="n"/>
      <c r="AV56" s="121" t="n"/>
      <c r="AW56" s="121" t="n"/>
      <c r="AX56" s="121" t="n"/>
      <c r="AY56" s="121" t="n"/>
      <c r="AZ56" s="121" t="n"/>
      <c r="BA56" s="121" t="n"/>
      <c r="BB56" s="121" t="n"/>
      <c r="BC56" s="121" t="n"/>
    </row>
    <row r="57" ht="12" customHeight="1">
      <c r="A57" s="152" t="n"/>
      <c r="B57" s="152" t="n"/>
      <c r="C57" s="152" t="n"/>
      <c r="D57" s="153" t="n"/>
      <c r="E57" s="154" t="n"/>
      <c r="F57" s="154" t="n"/>
      <c r="G57" s="154" t="n"/>
      <c r="H57" s="154" t="n"/>
      <c r="I57" s="154" t="n"/>
      <c r="J57" s="154" t="n"/>
      <c r="K57" s="154" t="n"/>
      <c r="L57" s="154" t="n"/>
      <c r="M57" s="154" t="n"/>
      <c r="N57" s="154" t="n"/>
      <c r="O57" s="154" t="n"/>
      <c r="P57" s="155" t="n"/>
      <c r="Q57" s="155" t="n"/>
      <c r="R57" s="154" t="n"/>
      <c r="S57" s="304" t="n"/>
      <c r="T57" s="304" t="n"/>
      <c r="U57" s="304" t="n"/>
      <c r="V57" s="304" t="n"/>
      <c r="W57" s="155" t="n"/>
      <c r="X57" s="155" t="n"/>
      <c r="Y57" s="305" t="n"/>
      <c r="Z57" s="158" t="n"/>
      <c r="AA57" s="304" t="n"/>
      <c r="AB57" s="154" t="n"/>
      <c r="AC57" s="154" t="n"/>
      <c r="AD57" s="159" t="n"/>
      <c r="AE57" s="160" t="n"/>
      <c r="AF57" s="119" t="n"/>
      <c r="AG57" s="119" t="n"/>
      <c r="AH57" s="119" t="n"/>
      <c r="AI57" s="119" t="n"/>
      <c r="AJ57" s="119" t="n"/>
      <c r="AK57" s="119" t="n"/>
      <c r="AL57" s="119" t="n"/>
      <c r="AM57" s="119" t="n"/>
      <c r="AN57" s="119" t="n"/>
      <c r="AO57" s="119" t="n"/>
      <c r="AP57" s="119" t="n"/>
      <c r="AQ57" s="119" t="n"/>
      <c r="AR57" s="119" t="n"/>
      <c r="AS57" s="119" t="n"/>
      <c r="AT57" s="119" t="n"/>
      <c r="AU57" s="119" t="n"/>
      <c r="AV57" s="119" t="n"/>
      <c r="AW57" s="119" t="n"/>
      <c r="AX57" s="119" t="n"/>
      <c r="AY57" s="119" t="n"/>
      <c r="AZ57" s="119" t="n"/>
      <c r="BA57" s="119" t="n"/>
      <c r="BB57" s="119" t="n"/>
      <c r="BC57" s="119" t="n"/>
    </row>
  </sheetData>
  <mergeCells count="34">
    <mergeCell ref="AC3:AC4"/>
    <mergeCell ref="B3:B4"/>
    <mergeCell ref="AE3:AE4"/>
    <mergeCell ref="AZ3:BC3"/>
    <mergeCell ref="X3:X4"/>
    <mergeCell ref="AR2:AU2"/>
    <mergeCell ref="Z3:Z4"/>
    <mergeCell ref="AZ2:BC2"/>
    <mergeCell ref="AR3:AU3"/>
    <mergeCell ref="A3:A4"/>
    <mergeCell ref="AF3:AI3"/>
    <mergeCell ref="AN3:AQ3"/>
    <mergeCell ref="U3:U4"/>
    <mergeCell ref="D3:D4"/>
    <mergeCell ref="W3:W4"/>
    <mergeCell ref="AJ2:AM2"/>
    <mergeCell ref="AA3:AA4"/>
    <mergeCell ref="P3:P4"/>
    <mergeCell ref="AV3:AY3"/>
    <mergeCell ref="R3:R4"/>
    <mergeCell ref="T3:T4"/>
    <mergeCell ref="AB3:AB4"/>
    <mergeCell ref="AV2:AY2"/>
    <mergeCell ref="AD3:AD4"/>
    <mergeCell ref="C3:C4"/>
    <mergeCell ref="O3:O4"/>
    <mergeCell ref="V3:V4"/>
    <mergeCell ref="AJ3:AM3"/>
    <mergeCell ref="Q3:Q4"/>
    <mergeCell ref="E3:N4"/>
    <mergeCell ref="Y3:Y4"/>
    <mergeCell ref="S3:S4"/>
    <mergeCell ref="AF2:AI2"/>
    <mergeCell ref="AN2:AQ2"/>
  </mergeCells>
  <conditionalFormatting sqref="D5:AD56">
    <cfRule type="expression" priority="1" dxfId="0">
      <formula>($B5="G")</formula>
    </cfRule>
  </conditionalFormatting>
  <hyperlinks>
    <hyperlink xmlns:r="http://schemas.openxmlformats.org/officeDocument/2006/relationships" ref="AF1" display="https://xlworks.net/xlgantt-project-scheduler/" r:id="rId1"/>
    <hyperlink xmlns:r="http://schemas.openxmlformats.org/officeDocument/2006/relationships" ref="AG1" display="https://xlworks.net/xlgantt-project-scheduler/" r:id="rId2"/>
    <hyperlink xmlns:r="http://schemas.openxmlformats.org/officeDocument/2006/relationships" ref="AH1" display="https://xlworks.net/xlgantt-project-scheduler/" r:id="rId3"/>
    <hyperlink xmlns:r="http://schemas.openxmlformats.org/officeDocument/2006/relationships" ref="AI1" display="https://xlworks.net/xlgantt-project-scheduler/" r:id="rId4"/>
    <hyperlink xmlns:r="http://schemas.openxmlformats.org/officeDocument/2006/relationships" ref="AJ1" display="https://xlworks.net/xlgantt-project-scheduler/" r:id="rId5"/>
    <hyperlink xmlns:r="http://schemas.openxmlformats.org/officeDocument/2006/relationships" ref="AK1" display="https://xlworks.net/xlgantt-project-scheduler/" r:id="rId6"/>
    <hyperlink xmlns:r="http://schemas.openxmlformats.org/officeDocument/2006/relationships" ref="AL1" display="https://xlworks.net/xlgantt-project-scheduler/" r:id="rId7"/>
    <hyperlink xmlns:r="http://schemas.openxmlformats.org/officeDocument/2006/relationships" ref="AM1" display="https://xlworks.net/xlgantt-project-scheduler/" r:id="rId8"/>
    <hyperlink xmlns:r="http://schemas.openxmlformats.org/officeDocument/2006/relationships" ref="AN1" display="https://xlworks.net/xlgantt-project-scheduler/" r:id="rId9"/>
    <hyperlink xmlns:r="http://schemas.openxmlformats.org/officeDocument/2006/relationships" ref="AO1" display="https://xlworks.net/xlgantt-project-scheduler/" r:id="rId10"/>
    <hyperlink xmlns:r="http://schemas.openxmlformats.org/officeDocument/2006/relationships" ref="AP1" display="https://xlworks.net/xlgantt-project-scheduler/" r:id="rId11"/>
    <hyperlink xmlns:r="http://schemas.openxmlformats.org/officeDocument/2006/relationships" ref="AQ1" display="https://xlworks.net/xlgantt-project-scheduler/" r:id="rId12"/>
    <hyperlink xmlns:r="http://schemas.openxmlformats.org/officeDocument/2006/relationships" ref="AR1" display="https://xlworks.net/xlgantt-project-scheduler/" r:id="rId13"/>
    <hyperlink xmlns:r="http://schemas.openxmlformats.org/officeDocument/2006/relationships" ref="AS1" display="https://xlworks.net/xlgantt-project-scheduler/" r:id="rId14"/>
    <hyperlink xmlns:r="http://schemas.openxmlformats.org/officeDocument/2006/relationships" ref="AT1" display="https://xlworks.net/xlgantt-project-scheduler/" r:id="rId15"/>
    <hyperlink xmlns:r="http://schemas.openxmlformats.org/officeDocument/2006/relationships" ref="AU1" display="https://xlworks.net/xlgantt-project-scheduler/" r:id="rId16"/>
    <hyperlink xmlns:r="http://schemas.openxmlformats.org/officeDocument/2006/relationships" ref="AV1" display="https://xlworks.net/xlgantt-project-scheduler/" r:id="rId17"/>
    <hyperlink xmlns:r="http://schemas.openxmlformats.org/officeDocument/2006/relationships" ref="AW1" display="https://xlworks.net/xlgantt-project-scheduler/" r:id="rId18"/>
    <hyperlink xmlns:r="http://schemas.openxmlformats.org/officeDocument/2006/relationships" ref="AX1" display="https://xlworks.net/xlgantt-project-scheduler/" r:id="rId19"/>
    <hyperlink xmlns:r="http://schemas.openxmlformats.org/officeDocument/2006/relationships" ref="AY1" display="https://xlworks.net/xlgantt-project-scheduler/" r:id="rId20"/>
    <hyperlink xmlns:r="http://schemas.openxmlformats.org/officeDocument/2006/relationships" ref="AZ1" display="https://xlworks.net/xlgantt-project-scheduler/" r:id="rId21"/>
    <hyperlink xmlns:r="http://schemas.openxmlformats.org/officeDocument/2006/relationships" ref="BA1" display="https://xlworks.net/xlgantt-project-scheduler/" r:id="rId22"/>
    <hyperlink xmlns:r="http://schemas.openxmlformats.org/officeDocument/2006/relationships" ref="BB1" display="https://xlworks.net/xlgantt-project-scheduler/" r:id="rId23"/>
    <hyperlink xmlns:r="http://schemas.openxmlformats.org/officeDocument/2006/relationships" ref="BC1" display="https://xlworks.net/xlgantt-project-scheduler/" r:id="rId24"/>
    <hyperlink xmlns:r="http://schemas.openxmlformats.org/officeDocument/2006/relationships" ref="BD1" display="https://xlworks.net/xlgantt-project-scheduler/" r:id="rId25"/>
    <hyperlink xmlns:r="http://schemas.openxmlformats.org/officeDocument/2006/relationships" ref="BE1" display="https://xlworks.net/xlgantt-project-scheduler/" r:id="rId26"/>
    <hyperlink xmlns:r="http://schemas.openxmlformats.org/officeDocument/2006/relationships" ref="BF1" display="https://xlworks.net/xlgantt-project-scheduler/" r:id="rId27"/>
    <hyperlink xmlns:r="http://schemas.openxmlformats.org/officeDocument/2006/relationships" ref="BG1" display="https://xlworks.net/xlgantt-project-scheduler/" r:id="rId28"/>
    <hyperlink xmlns:r="http://schemas.openxmlformats.org/officeDocument/2006/relationships" ref="BH1" display="https://xlworks.net/xlgantt-project-scheduler/" r:id="rId29"/>
    <hyperlink xmlns:r="http://schemas.openxmlformats.org/officeDocument/2006/relationships" ref="BI1" display="https://xlworks.net/xlgantt-project-scheduler/" r:id="rId30"/>
    <hyperlink xmlns:r="http://schemas.openxmlformats.org/officeDocument/2006/relationships" ref="BJ1" display="https://xlworks.net/xlgantt-project-scheduler/" r:id="rId31"/>
  </hyperlinks>
  <pageMargins left="0.1968503937007874" right="0.2362204724409449" top="0.4330708661417323" bottom="0.2362204724409449" header="0.2362204724409449" footer="0.1968503937007874"/>
  <pageSetup orientation="landscape" paperSize="9" scale="65"/>
  <headerFooter alignWithMargins="0">
    <oddHeader/>
    <oddFooter>&amp;L&amp;"-,보통"&amp;9 XLGantt ©http://xlworks.net&amp;C&amp;"-,보통"&amp;9 &amp;P/&amp;N</oddFooter>
    <evenHeader/>
    <evenFooter/>
    <firstHeader/>
    <firstFooter/>
  </headerFooter>
</worksheet>
</file>

<file path=xl/worksheets/sheet3.xml><?xml version="1.0" encoding="utf-8"?>
<worksheet xmlns="http://schemas.openxmlformats.org/spreadsheetml/2006/main">
  <sheetPr codeName="Sheet12">
    <tabColor rgb="FFFF6600"/>
    <outlinePr summaryBelow="1" summaryRight="1"/>
    <pageSetUpPr fitToPage="1"/>
  </sheetPr>
  <dimension ref="A1:Q30"/>
  <sheetViews>
    <sheetView showGridLines="0" zoomScaleNormal="100" workbookViewId="0">
      <pane ySplit="1" topLeftCell="A2" activePane="bottomLeft" state="frozenSplit"/>
      <selection pane="bottomLeft" activeCell="A1" sqref="A1"/>
    </sheetView>
  </sheetViews>
  <sheetFormatPr baseColWidth="8" defaultColWidth="10" defaultRowHeight="15"/>
  <cols>
    <col width="40.625" customWidth="1" style="57" min="1" max="1"/>
    <col width="13.25" customWidth="1" style="55" min="2" max="2"/>
    <col width="9.875" customWidth="1" style="59" min="3" max="3"/>
    <col width="31.375" customWidth="1" style="59" min="4" max="4"/>
    <col width="14.125" customWidth="1" style="59" min="5" max="6"/>
    <col width="28.375" customWidth="1" style="59" min="7" max="7"/>
    <col width="10" customWidth="1" style="59" min="8" max="9"/>
    <col width="8.875" bestFit="1" customWidth="1" style="59" min="10" max="10"/>
    <col width="10" customWidth="1" style="59" min="11" max="19"/>
    <col width="10" customWidth="1" style="59" min="20" max="22"/>
    <col hidden="1" width="10" customWidth="1" style="59" min="23" max="23"/>
    <col width="10" customWidth="1" style="59" min="24" max="26"/>
    <col hidden="1" width="13" customWidth="1" style="59" min="27" max="27"/>
    <col width="10" customWidth="1" style="59" min="28" max="16384"/>
  </cols>
  <sheetData>
    <row r="1" ht="36.95" customFormat="1" customHeight="1" s="4">
      <c r="A1" s="225" t="inlineStr">
        <is>
          <t>프로젝트 진척률 - 일정변경 관리하지 않을때</t>
        </is>
      </c>
      <c r="B1" s="2" t="n"/>
      <c r="C1" s="2" t="n"/>
      <c r="D1" s="2" t="n"/>
      <c r="E1" s="2" t="n"/>
      <c r="F1" s="2" t="n"/>
      <c r="G1" s="2" t="n"/>
      <c r="H1" s="2" t="n"/>
      <c r="I1" s="2" t="n"/>
      <c r="J1" s="2" t="n"/>
      <c r="K1" s="2" t="n"/>
      <c r="L1" s="277" t="n"/>
      <c r="O1" s="3" t="n"/>
      <c r="P1" s="3" t="n"/>
      <c r="Q1" s="3" t="n"/>
    </row>
    <row r="2" ht="12.75" customFormat="1" customHeight="1" s="7">
      <c r="A2" s="5" t="inlineStr">
        <is>
          <t>* 프로젝트 작업량과 진척률을 보여줍니다.</t>
        </is>
      </c>
      <c r="B2" s="6" t="n"/>
    </row>
    <row r="3" ht="12.75" customFormat="1" customHeight="1" s="7">
      <c r="A3" s="5" t="inlineStr">
        <is>
          <t>* "스케줄업데이트" 버튼 클릭 시 아래 항목이 자동계산됩니다.</t>
        </is>
      </c>
      <c r="B3" s="6" t="n"/>
    </row>
    <row r="4" ht="12.75" customFormat="1" customHeight="1" s="7">
      <c r="A4" s="279" t="n"/>
      <c r="C4" s="306" t="n"/>
      <c r="D4" s="9" t="n"/>
      <c r="E4" s="9" t="n"/>
      <c r="F4" s="9" t="n"/>
    </row>
    <row r="5" ht="12.75" customFormat="1" customHeight="1" s="15">
      <c r="A5" s="10" t="n"/>
      <c r="B5" s="11" t="n"/>
      <c r="C5" s="12" t="n"/>
      <c r="D5" s="13" t="n"/>
      <c r="E5" s="14" t="n"/>
      <c r="F5" s="14" t="n"/>
      <c r="G5" s="14" t="n"/>
    </row>
    <row r="6" ht="12.75" customFormat="1" customHeight="1" s="15">
      <c r="A6" s="16" t="inlineStr">
        <is>
          <t>프로젝트 전체 작업량</t>
        </is>
      </c>
      <c r="B6" s="307" t="n">
        <v>253.7</v>
      </c>
      <c r="C6" s="15" t="inlineStr">
        <is>
          <t>Man/Day</t>
        </is>
      </c>
      <c r="D6" s="276" t="inlineStr">
        <is>
          <t>프로젝트 전체의 작업량을 Man/Day로 표시, 자원수를 적용한 값</t>
        </is>
      </c>
      <c r="E6" s="308" t="n"/>
      <c r="F6" s="308" t="n"/>
      <c r="G6" s="308" t="n"/>
    </row>
    <row r="7" ht="12.75" customFormat="1" customHeight="1" s="15">
      <c r="A7" s="18" t="n"/>
      <c r="B7" s="19" t="n"/>
      <c r="C7" s="20" t="n"/>
      <c r="D7" s="21" t="n"/>
      <c r="E7" s="21" t="n"/>
      <c r="F7" s="21" t="n"/>
      <c r="G7" s="21" t="n"/>
    </row>
    <row r="8" ht="12.75" customFormat="1" customHeight="1" s="15">
      <c r="A8" s="22" t="n"/>
      <c r="B8" s="23" t="n"/>
      <c r="D8" s="24" t="n"/>
      <c r="E8" s="24" t="n"/>
      <c r="F8" s="24" t="n"/>
      <c r="G8" s="24" t="n"/>
      <c r="J8" s="25" t="n"/>
    </row>
    <row r="9" ht="12.75" customFormat="1" customHeight="1" s="15">
      <c r="A9" s="16" t="inlineStr">
        <is>
          <t>현재일까지 계획된 작업량</t>
        </is>
      </c>
      <c r="B9" s="307" t="n">
        <v>249.7</v>
      </c>
      <c r="C9" s="15" t="inlineStr">
        <is>
          <t>Man/Day</t>
        </is>
      </c>
      <c r="D9" s="280" t="inlineStr">
        <is>
          <t>프로젝트 시작일부터 현재일까지의 작업량(현재 날짜까지 진행되었어야 할 작업량) (PV)</t>
        </is>
      </c>
      <c r="E9" s="308" t="n"/>
      <c r="F9" s="308" t="n"/>
      <c r="G9" s="308" t="n"/>
    </row>
    <row r="10" ht="12.75" customFormat="1" customHeight="1" s="15">
      <c r="A10" s="26" t="n"/>
      <c r="B10" s="19" t="n"/>
      <c r="C10" s="20" t="n"/>
      <c r="D10" s="27" t="n"/>
      <c r="E10" s="27" t="n"/>
      <c r="F10" s="27" t="n"/>
      <c r="G10" s="27" t="n"/>
    </row>
    <row r="11" ht="13.5" customFormat="1" customHeight="1" s="15">
      <c r="A11" s="28" t="n"/>
      <c r="B11" s="23" t="n"/>
      <c r="D11" s="24" t="n"/>
      <c r="E11" s="24" t="n"/>
      <c r="F11" s="24" t="n"/>
      <c r="G11" s="24" t="n"/>
    </row>
    <row r="12" ht="12.75" customFormat="1" customHeight="1" s="15">
      <c r="A12" s="29" t="inlineStr">
        <is>
          <t>실적기성</t>
        </is>
      </c>
      <c r="B12" s="307" t="n">
        <v>59.47</v>
      </c>
      <c r="C12" s="15" t="inlineStr">
        <is>
          <t>Man/Day</t>
        </is>
      </c>
      <c r="D12" s="280" t="inlineStr">
        <is>
          <t>실적기성(프로젝트 전체 작업량 x 실적 진척률) (EV)</t>
        </is>
      </c>
      <c r="E12" s="308" t="n"/>
      <c r="F12" s="308" t="n"/>
      <c r="G12" s="308" t="n"/>
    </row>
    <row r="13" ht="12.75" customFormat="1" customHeight="1" s="32">
      <c r="A13" s="30" t="n"/>
      <c r="B13" s="19" t="n"/>
      <c r="C13" s="31" t="n"/>
      <c r="D13" s="27" t="n"/>
      <c r="E13" s="27" t="n"/>
      <c r="F13" s="27" t="n"/>
      <c r="G13" s="27" t="n"/>
      <c r="K13" s="33" t="n"/>
    </row>
    <row r="14" ht="14.25" customFormat="1" customHeight="1" s="32">
      <c r="A14" s="28" t="n"/>
      <c r="B14" s="34" t="n"/>
      <c r="C14" s="35" t="n"/>
      <c r="D14" s="24" t="n"/>
      <c r="E14" s="24" t="n"/>
      <c r="F14" s="24" t="n"/>
      <c r="G14" s="24" t="n"/>
    </row>
    <row r="15" ht="12.75" customFormat="1" customHeight="1" s="15">
      <c r="A15" s="29" t="inlineStr">
        <is>
          <t>실제 투입된 작업량</t>
        </is>
      </c>
      <c r="B15" s="307" t="n"/>
      <c r="C15" s="15" t="inlineStr">
        <is>
          <t>Man/Day</t>
        </is>
      </c>
      <c r="D15" s="275" t="inlineStr">
        <is>
          <t>일정변경 관리할 때 현재까지 실제로 투입된 작업량을 표시함 (AC)</t>
        </is>
      </c>
      <c r="E15" s="308" t="n"/>
      <c r="F15" s="308" t="n"/>
      <c r="G15" s="308" t="n"/>
    </row>
    <row r="16" ht="12.75" customFormat="1" customHeight="1" s="15">
      <c r="A16" s="30" t="n"/>
      <c r="B16" s="36" t="n"/>
      <c r="C16" s="37" t="n"/>
      <c r="D16" s="27" t="n"/>
      <c r="E16" s="27" t="n"/>
      <c r="F16" s="27" t="n"/>
      <c r="G16" s="27" t="n"/>
    </row>
    <row r="17" ht="12.75" customFormat="1" customHeight="1" s="32">
      <c r="A17" s="38" t="n"/>
      <c r="B17" s="34" t="n"/>
      <c r="C17" s="35" t="n"/>
      <c r="D17" s="24" t="n"/>
      <c r="E17" s="24" t="n"/>
      <c r="F17" s="24" t="n"/>
      <c r="G17" s="24" t="n"/>
    </row>
    <row r="18" ht="12.75" customFormat="1" customHeight="1" s="15">
      <c r="A18" s="16" t="inlineStr">
        <is>
          <t>계획 진척률(A)</t>
        </is>
      </c>
      <c r="B18" s="39" t="n">
        <v>0.9842333464722113</v>
      </c>
      <c r="D18" s="275" t="inlineStr">
        <is>
          <t>현재날짜까지 계획된 진척률, WBS의 "계획진척률"의 전체 합계 진척률을 표시</t>
        </is>
      </c>
      <c r="E18" s="308" t="n"/>
      <c r="F18" s="308" t="n"/>
      <c r="G18" s="308" t="n"/>
    </row>
    <row r="19" ht="12.75" customFormat="1" customHeight="1" s="15">
      <c r="A19" s="40" t="n"/>
      <c r="B19" s="36" t="n"/>
      <c r="C19" s="37" t="n"/>
      <c r="D19" s="27" t="n"/>
      <c r="E19" s="27" t="n"/>
      <c r="F19" s="27" t="n"/>
      <c r="G19" s="27" t="n"/>
    </row>
    <row r="20" ht="12.75" customFormat="1" customHeight="1" s="15">
      <c r="A20" s="41" t="n"/>
      <c r="B20" s="11" t="n"/>
      <c r="C20" s="12" t="n"/>
      <c r="D20" s="24" t="n"/>
      <c r="E20" s="24" t="n"/>
      <c r="F20" s="24" t="n"/>
      <c r="G20" s="24" t="n"/>
    </row>
    <row r="21" ht="12.75" customFormat="1" customHeight="1" s="15">
      <c r="A21" s="16" t="inlineStr">
        <is>
          <t>실적 진척률(B)</t>
        </is>
      </c>
      <c r="B21" s="39" t="n">
        <v>0.2344107213243989</v>
      </c>
      <c r="D21" s="275" t="inlineStr">
        <is>
          <t>현재날짜까지 실제로 진행된 진척률, WBS의 "실적진척률"의 전체 합계 진척률을 표시</t>
        </is>
      </c>
      <c r="E21" s="308" t="n"/>
      <c r="F21" s="308" t="n"/>
      <c r="G21" s="308" t="n"/>
    </row>
    <row r="22" ht="12.75" customFormat="1" customHeight="1" s="15">
      <c r="A22" s="42" t="n"/>
      <c r="B22" s="43" t="n"/>
      <c r="C22" s="44" t="n"/>
      <c r="D22" s="27" t="n"/>
      <c r="E22" s="27" t="n"/>
      <c r="F22" s="27" t="n"/>
      <c r="G22" s="27" t="n"/>
    </row>
    <row r="23" ht="13.5" customFormat="1" customHeight="1" s="15">
      <c r="A23" s="45" t="n"/>
      <c r="B23" s="46" t="n"/>
      <c r="C23" s="47" t="n"/>
      <c r="D23" s="48" t="n"/>
      <c r="E23" s="48" t="n"/>
      <c r="F23" s="48" t="n"/>
      <c r="G23" s="48" t="n"/>
    </row>
    <row r="24" ht="12.75" customFormat="1" customHeight="1" s="15">
      <c r="A24" s="16" t="inlineStr">
        <is>
          <t>차이(B-A)</t>
        </is>
      </c>
      <c r="B24" s="49">
        <f>ACTUAL_RATE-PLANNED_RATE</f>
        <v/>
      </c>
      <c r="D24" s="276" t="inlineStr">
        <is>
          <t>양수이면 계획보다 빨리 진행, 음수이면 지연</t>
        </is>
      </c>
      <c r="E24" s="308" t="n"/>
      <c r="F24" s="308" t="n"/>
      <c r="G24" s="308" t="n"/>
    </row>
    <row r="25" ht="12.75" customFormat="1" customHeight="1" s="15">
      <c r="A25" s="50" t="n"/>
      <c r="B25" s="51" t="n"/>
      <c r="C25" s="52" t="n"/>
      <c r="D25" s="53" t="n"/>
      <c r="E25" s="53" t="n"/>
      <c r="F25" s="53" t="n"/>
      <c r="G25" s="53" t="n"/>
    </row>
    <row r="26" customFormat="1" s="56">
      <c r="A26" s="54" t="n"/>
      <c r="B26" s="55" t="n"/>
    </row>
    <row r="27">
      <c r="B27" s="309" t="n"/>
      <c r="G27" s="57" t="n"/>
    </row>
    <row r="28">
      <c r="B28" s="195" t="n"/>
    </row>
    <row r="29">
      <c r="B29" s="60" t="n"/>
    </row>
    <row r="30">
      <c r="B30" s="310" t="n"/>
    </row>
  </sheetData>
  <mergeCells count="9">
    <mergeCell ref="A4:B4"/>
    <mergeCell ref="L1:N1"/>
    <mergeCell ref="D18:G18"/>
    <mergeCell ref="D9:G9"/>
    <mergeCell ref="D12:G12"/>
    <mergeCell ref="D6:G6"/>
    <mergeCell ref="D21:G21"/>
    <mergeCell ref="D24:G24"/>
    <mergeCell ref="D15:G15"/>
  </mergeCells>
  <conditionalFormatting sqref="J1">
    <cfRule type="expression" priority="4" dxfId="1">
      <formula>$J1="Yes"</formula>
    </cfRule>
  </conditionalFormatting>
  <conditionalFormatting sqref="B18">
    <cfRule type="dataBar" priority="3">
      <dataBar>
        <cfvo type="num" val="0"/>
        <cfvo type="num" val="1"/>
        <color rgb="FF008AEF"/>
      </dataBar>
    </cfRule>
  </conditionalFormatting>
  <conditionalFormatting sqref="B21">
    <cfRule type="dataBar" priority="2">
      <dataBar>
        <cfvo type="num" val="0"/>
        <cfvo type="num" val="1"/>
        <color rgb="FF63C384"/>
      </dataBar>
    </cfRule>
  </conditionalFormatting>
  <pageMargins left="0.7086614173228347" right="0.7086614173228347" top="0.7480314960629921" bottom="0.7480314960629921" header="0.3149606299212598" footer="0.3149606299212598"/>
  <pageSetup orientation="portrait" paperSize="9" scale="32"/>
</worksheet>
</file>

<file path=xl/worksheets/sheet4.xml><?xml version="1.0" encoding="utf-8"?>
<worksheet xmlns="http://schemas.openxmlformats.org/spreadsheetml/2006/main">
  <sheetPr codeName="Sheet2">
    <tabColor rgb="FF198CFF"/>
    <outlinePr summaryBelow="1" summaryRight="1"/>
    <pageSetUpPr/>
  </sheetPr>
  <dimension ref="B1:L29"/>
  <sheetViews>
    <sheetView showGridLines="0" zoomScale="85" zoomScaleNormal="85" workbookViewId="0">
      <pane ySplit="1" topLeftCell="A2" activePane="bottomLeft" state="frozen"/>
      <selection pane="bottomLeft" activeCell="A1" sqref="A1"/>
    </sheetView>
  </sheetViews>
  <sheetFormatPr baseColWidth="8" defaultColWidth="9.125" defaultRowHeight="15"/>
  <cols>
    <col width="1.625" customWidth="1" style="223" min="1" max="1"/>
    <col width="10" bestFit="1" customWidth="1" style="223" min="2" max="3"/>
    <col width="9.125" customWidth="1" style="223" min="4" max="4"/>
    <col width="9" bestFit="1" customWidth="1" style="223" min="5" max="5"/>
    <col width="9" bestFit="1" customWidth="1" style="224" min="6" max="6"/>
    <col width="9" bestFit="1" customWidth="1" style="223" min="7" max="10"/>
    <col width="9.375" bestFit="1" customWidth="1" style="223" min="11" max="11"/>
    <col width="9" bestFit="1" customWidth="1" style="223" min="12" max="12"/>
    <col width="9.125" customWidth="1" style="223" min="13" max="16384"/>
  </cols>
  <sheetData>
    <row r="1" ht="36.95" customHeight="1">
      <c r="B1" s="225" t="inlineStr">
        <is>
          <t>프로젝트 진척률(주별)</t>
        </is>
      </c>
    </row>
    <row r="2">
      <c r="B2" s="223" t="inlineStr">
        <is>
          <t>* 주별로 프로젝트 진척률을 보여줍니다.</t>
        </is>
      </c>
    </row>
    <row r="3">
      <c r="B3" s="223" t="inlineStr">
        <is>
          <t>* "진척률(주별)" 메뉴를 클릭해야 갱신됨</t>
        </is>
      </c>
    </row>
    <row r="6" ht="60" customHeight="1">
      <c r="B6" s="200" t="inlineStr">
        <is>
          <t>시작일</t>
        </is>
      </c>
      <c r="C6" s="201" t="inlineStr">
        <is>
          <t>완료일</t>
        </is>
      </c>
      <c r="D6" s="201" t="inlineStr">
        <is>
          <t>계획작업량(Man-Day)</t>
        </is>
      </c>
      <c r="E6" s="201" t="inlineStr">
        <is>
          <t>계획작업량 누적(Man-Day)</t>
        </is>
      </c>
      <c r="F6" s="218" t="inlineStr">
        <is>
          <t>계획작업량 진척률</t>
        </is>
      </c>
      <c r="G6" s="201" t="inlineStr">
        <is>
          <t>실적기성(Man-Day)</t>
        </is>
      </c>
      <c r="H6" s="201" t="inlineStr">
        <is>
          <t>실적기성 누적(Man-Day)</t>
        </is>
      </c>
      <c r="I6" s="201" t="inlineStr">
        <is>
          <t>실적기성 진척률</t>
        </is>
      </c>
      <c r="J6" s="201" t="inlineStr">
        <is>
          <t>실제투입작업량(Man-Day)</t>
        </is>
      </c>
      <c r="K6" s="201" t="inlineStr">
        <is>
          <t>실제투입작업량 누적(Man-Day)</t>
        </is>
      </c>
      <c r="L6" s="219" t="inlineStr">
        <is>
          <t>실제투입작업량 진척률</t>
        </is>
      </c>
    </row>
    <row r="7">
      <c r="B7" s="226" t="n">
        <v>46086</v>
      </c>
      <c r="C7" s="226" t="n">
        <v>46088</v>
      </c>
      <c r="D7" s="227" t="n">
        <v>4</v>
      </c>
      <c r="E7" s="227" t="n">
        <v>4</v>
      </c>
      <c r="F7" s="230" t="n">
        <v>0.01576665352778873</v>
      </c>
      <c r="G7" s="227" t="n">
        <v>4</v>
      </c>
      <c r="H7" s="227" t="n">
        <v>4</v>
      </c>
      <c r="I7" s="230" t="n">
        <v>0.01576665352778873</v>
      </c>
      <c r="J7" s="227" t="n">
        <v>0</v>
      </c>
      <c r="K7" s="227" t="n">
        <v>0</v>
      </c>
      <c r="L7" s="230" t="n">
        <v>0</v>
      </c>
    </row>
    <row r="8">
      <c r="B8" s="228" t="n">
        <v>46089</v>
      </c>
      <c r="C8" s="228" t="n">
        <v>46095</v>
      </c>
      <c r="D8" s="229" t="n">
        <v>7</v>
      </c>
      <c r="E8" s="229" t="n">
        <v>11</v>
      </c>
      <c r="F8" s="231" t="n">
        <v>0.043358297201419</v>
      </c>
      <c r="G8" s="229" t="n">
        <v>7</v>
      </c>
      <c r="H8" s="229" t="n">
        <v>11</v>
      </c>
      <c r="I8" s="231" t="n">
        <v>0.043358297201419</v>
      </c>
      <c r="J8" s="229" t="n">
        <v>0</v>
      </c>
      <c r="K8" s="229" t="n">
        <v>0</v>
      </c>
      <c r="L8" s="231" t="n">
        <v>0</v>
      </c>
    </row>
    <row r="9">
      <c r="B9" s="228" t="n">
        <v>46096</v>
      </c>
      <c r="C9" s="228" t="n">
        <v>46102</v>
      </c>
      <c r="D9" s="229" t="n">
        <v>8</v>
      </c>
      <c r="E9" s="229" t="n">
        <v>19</v>
      </c>
      <c r="F9" s="231" t="n">
        <v>0.07489160425699645</v>
      </c>
      <c r="G9" s="229" t="n">
        <v>8</v>
      </c>
      <c r="H9" s="229" t="n">
        <v>19</v>
      </c>
      <c r="I9" s="231" t="n">
        <v>0.07489160425699645</v>
      </c>
      <c r="J9" s="229" t="n">
        <v>0</v>
      </c>
      <c r="K9" s="229" t="n">
        <v>0</v>
      </c>
      <c r="L9" s="231" t="n">
        <v>0</v>
      </c>
    </row>
    <row r="10">
      <c r="B10" s="228" t="n">
        <v>46103</v>
      </c>
      <c r="C10" s="228" t="n">
        <v>46109</v>
      </c>
      <c r="D10" s="229" t="n">
        <v>16.4</v>
      </c>
      <c r="E10" s="229" t="n">
        <v>35.4</v>
      </c>
      <c r="F10" s="231" t="n">
        <v>0.1395348837209302</v>
      </c>
      <c r="G10" s="229" t="n">
        <v>15.38</v>
      </c>
      <c r="H10" s="229" t="n">
        <v>34.38</v>
      </c>
      <c r="I10" s="231" t="n">
        <v>0.1355143870713441</v>
      </c>
      <c r="J10" s="229" t="n">
        <v>0</v>
      </c>
      <c r="K10" s="229" t="n">
        <v>0</v>
      </c>
      <c r="L10" s="231" t="n">
        <v>0</v>
      </c>
    </row>
    <row r="11">
      <c r="B11" s="228" t="n">
        <v>46110</v>
      </c>
      <c r="C11" s="228" t="n">
        <v>46116</v>
      </c>
      <c r="D11" s="229" t="n">
        <v>10.9</v>
      </c>
      <c r="E11" s="229" t="n">
        <v>46.3</v>
      </c>
      <c r="F11" s="231" t="n">
        <v>0.1824990145841545</v>
      </c>
      <c r="G11" s="229" t="n">
        <v>12.39</v>
      </c>
      <c r="H11" s="229" t="n">
        <v>46.77</v>
      </c>
      <c r="I11" s="231" t="n">
        <v>0.1843515963736697</v>
      </c>
      <c r="J11" s="229" t="n">
        <v>0</v>
      </c>
      <c r="K11" s="229" t="n">
        <v>0</v>
      </c>
      <c r="L11" s="231" t="n">
        <v>0</v>
      </c>
    </row>
    <row r="12">
      <c r="B12" s="228" t="n">
        <v>46117</v>
      </c>
      <c r="C12" s="228" t="n">
        <v>46123</v>
      </c>
      <c r="D12" s="229" t="n">
        <v>11</v>
      </c>
      <c r="E12" s="229" t="n">
        <v>57.3</v>
      </c>
      <c r="F12" s="231" t="n">
        <v>0.2258573117855735</v>
      </c>
      <c r="G12" s="229" t="n">
        <v>12.7</v>
      </c>
      <c r="H12" s="229" t="n">
        <v>59.47</v>
      </c>
      <c r="I12" s="231" t="n">
        <v>0.2344107213243989</v>
      </c>
      <c r="J12" s="229" t="n">
        <v>0</v>
      </c>
      <c r="K12" s="229" t="n">
        <v>0</v>
      </c>
      <c r="L12" s="231" t="n">
        <v>0</v>
      </c>
    </row>
    <row r="13">
      <c r="B13" s="228" t="n">
        <v>46124</v>
      </c>
      <c r="C13" s="228" t="n">
        <v>46130</v>
      </c>
      <c r="D13" s="229" t="n">
        <v>6</v>
      </c>
      <c r="E13" s="229" t="n">
        <v>63.3</v>
      </c>
      <c r="F13" s="231" t="n">
        <v>0.2495072920772566</v>
      </c>
      <c r="G13" s="229" t="n">
        <v>0</v>
      </c>
      <c r="H13" s="229" t="n">
        <v>59.47</v>
      </c>
      <c r="I13" s="231" t="n">
        <v>0.2344107213243989</v>
      </c>
      <c r="J13" s="229" t="n">
        <v>0</v>
      </c>
      <c r="K13" s="229" t="n">
        <v>0</v>
      </c>
      <c r="L13" s="231" t="n">
        <v>0</v>
      </c>
    </row>
    <row r="14">
      <c r="B14" s="228" t="n">
        <v>46131</v>
      </c>
      <c r="C14" s="228" t="n">
        <v>46137</v>
      </c>
      <c r="D14" s="229" t="n">
        <v>5</v>
      </c>
      <c r="E14" s="229" t="n">
        <v>68.3</v>
      </c>
      <c r="F14" s="231" t="n">
        <v>0.2692156089869925</v>
      </c>
      <c r="G14" s="229" t="n">
        <v>0</v>
      </c>
      <c r="H14" s="229" t="n">
        <v>59.47</v>
      </c>
      <c r="I14" s="231" t="n">
        <v>0.2344107213243989</v>
      </c>
      <c r="J14" s="229" t="n">
        <v>0</v>
      </c>
      <c r="K14" s="229" t="n">
        <v>0</v>
      </c>
      <c r="L14" s="231" t="n">
        <v>0</v>
      </c>
    </row>
    <row r="15">
      <c r="B15" s="228" t="n">
        <v>46138</v>
      </c>
      <c r="C15" s="228" t="n">
        <v>46144</v>
      </c>
      <c r="D15" s="229" t="n">
        <v>3.2</v>
      </c>
      <c r="E15" s="229" t="n">
        <v>71.5</v>
      </c>
      <c r="F15" s="231" t="n">
        <v>0.2818289318092235</v>
      </c>
      <c r="G15" s="229" t="n">
        <v>0</v>
      </c>
      <c r="H15" s="229" t="n">
        <v>59.47</v>
      </c>
      <c r="I15" s="231" t="n">
        <v>0.2344107213243989</v>
      </c>
      <c r="J15" s="229" t="n">
        <v>0</v>
      </c>
      <c r="K15" s="229" t="n">
        <v>0</v>
      </c>
      <c r="L15" s="231" t="n">
        <v>0</v>
      </c>
    </row>
    <row r="16">
      <c r="B16" s="228" t="n">
        <v>46145</v>
      </c>
      <c r="C16" s="228" t="n">
        <v>46151</v>
      </c>
      <c r="D16" s="229" t="n">
        <v>15</v>
      </c>
      <c r="E16" s="229" t="n">
        <v>86.5</v>
      </c>
      <c r="F16" s="231" t="n">
        <v>0.3409538825384312</v>
      </c>
      <c r="G16" s="229" t="n">
        <v>0</v>
      </c>
      <c r="H16" s="229" t="n">
        <v>59.47</v>
      </c>
      <c r="I16" s="231" t="n">
        <v>0.2344107213243989</v>
      </c>
      <c r="J16" s="229" t="n">
        <v>0</v>
      </c>
      <c r="K16" s="229" t="n">
        <v>0</v>
      </c>
      <c r="L16" s="231" t="n">
        <v>0</v>
      </c>
    </row>
    <row r="17">
      <c r="B17" s="228" t="n">
        <v>46152</v>
      </c>
      <c r="C17" s="228" t="n">
        <v>46158</v>
      </c>
      <c r="D17" s="229" t="n">
        <v>15</v>
      </c>
      <c r="E17" s="229" t="n">
        <v>101.5</v>
      </c>
      <c r="F17" s="231" t="n">
        <v>0.400078833267639</v>
      </c>
      <c r="G17" s="229" t="n">
        <v>0</v>
      </c>
      <c r="H17" s="229" t="n">
        <v>59.47</v>
      </c>
      <c r="I17" s="231" t="n">
        <v>0.2344107213243989</v>
      </c>
      <c r="J17" s="229" t="n">
        <v>0</v>
      </c>
      <c r="K17" s="229" t="n">
        <v>0</v>
      </c>
      <c r="L17" s="231" t="n">
        <v>0</v>
      </c>
    </row>
    <row r="18">
      <c r="B18" s="228" t="n">
        <v>46159</v>
      </c>
      <c r="C18" s="228" t="n">
        <v>46165</v>
      </c>
      <c r="D18" s="229" t="n">
        <v>18</v>
      </c>
      <c r="E18" s="229" t="n">
        <v>119.5</v>
      </c>
      <c r="F18" s="231" t="n">
        <v>0.4710287741426882</v>
      </c>
      <c r="G18" s="229" t="n">
        <v>0</v>
      </c>
      <c r="H18" s="229" t="n">
        <v>59.47</v>
      </c>
      <c r="I18" s="231" t="n">
        <v>0.2344107213243989</v>
      </c>
      <c r="J18" s="229" t="n">
        <v>0</v>
      </c>
      <c r="K18" s="229" t="n">
        <v>0</v>
      </c>
      <c r="L18" s="231" t="n">
        <v>0</v>
      </c>
    </row>
    <row r="19">
      <c r="B19" s="228" t="n">
        <v>46166</v>
      </c>
      <c r="C19" s="228" t="n">
        <v>46172</v>
      </c>
      <c r="D19" s="229" t="n">
        <v>16</v>
      </c>
      <c r="E19" s="229" t="n">
        <v>135.5</v>
      </c>
      <c r="F19" s="231" t="n">
        <v>0.5340953882538432</v>
      </c>
      <c r="G19" s="229" t="n">
        <v>0</v>
      </c>
      <c r="H19" s="229" t="n">
        <v>59.47</v>
      </c>
      <c r="I19" s="231" t="n">
        <v>0.2344107213243989</v>
      </c>
      <c r="J19" s="229" t="n">
        <v>0</v>
      </c>
      <c r="K19" s="229" t="n">
        <v>0</v>
      </c>
      <c r="L19" s="231" t="n">
        <v>0</v>
      </c>
    </row>
    <row r="20">
      <c r="B20" s="228" t="n">
        <v>46173</v>
      </c>
      <c r="C20" s="228" t="n">
        <v>46179</v>
      </c>
      <c r="D20" s="229" t="n">
        <v>16.2</v>
      </c>
      <c r="E20" s="229" t="n">
        <v>151.7</v>
      </c>
      <c r="F20" s="231" t="n">
        <v>0.5979503350413874</v>
      </c>
      <c r="G20" s="229" t="n">
        <v>0</v>
      </c>
      <c r="H20" s="229" t="n">
        <v>59.47</v>
      </c>
      <c r="I20" s="231" t="n">
        <v>0.2344107213243989</v>
      </c>
      <c r="J20" s="229" t="n">
        <v>0</v>
      </c>
      <c r="K20" s="229" t="n">
        <v>0</v>
      </c>
      <c r="L20" s="231" t="n">
        <v>0</v>
      </c>
    </row>
    <row r="21">
      <c r="B21" s="228" t="n">
        <v>46180</v>
      </c>
      <c r="C21" s="228" t="n">
        <v>46186</v>
      </c>
      <c r="D21" s="229" t="n">
        <v>20</v>
      </c>
      <c r="E21" s="229" t="n">
        <v>171.7</v>
      </c>
      <c r="F21" s="231" t="n">
        <v>0.6767836026803311</v>
      </c>
      <c r="G21" s="229" t="n">
        <v>0</v>
      </c>
      <c r="H21" s="229" t="n">
        <v>59.47</v>
      </c>
      <c r="I21" s="231" t="n">
        <v>0.2344107213243989</v>
      </c>
      <c r="J21" s="229" t="n">
        <v>0</v>
      </c>
      <c r="K21" s="229" t="n">
        <v>0</v>
      </c>
      <c r="L21" s="231" t="n">
        <v>0</v>
      </c>
    </row>
    <row r="22">
      <c r="B22" s="228" t="n">
        <v>46187</v>
      </c>
      <c r="C22" s="228" t="n">
        <v>46193</v>
      </c>
      <c r="D22" s="229" t="n">
        <v>22</v>
      </c>
      <c r="E22" s="229" t="n">
        <v>193.7</v>
      </c>
      <c r="F22" s="231" t="n">
        <v>0.7635001970831691</v>
      </c>
      <c r="G22" s="229" t="n">
        <v>0</v>
      </c>
      <c r="H22" s="229" t="n">
        <v>59.47</v>
      </c>
      <c r="I22" s="231" t="n">
        <v>0.2344107213243989</v>
      </c>
      <c r="J22" s="229" t="n">
        <v>0</v>
      </c>
      <c r="K22" s="229" t="n">
        <v>0</v>
      </c>
      <c r="L22" s="231" t="n">
        <v>0</v>
      </c>
    </row>
    <row r="23">
      <c r="B23" s="228" t="n">
        <v>46194</v>
      </c>
      <c r="C23" s="228" t="n">
        <v>46200</v>
      </c>
      <c r="D23" s="229" t="n">
        <v>24</v>
      </c>
      <c r="E23" s="229" t="n">
        <v>217.7</v>
      </c>
      <c r="F23" s="231" t="n">
        <v>0.8581001182499014</v>
      </c>
      <c r="G23" s="229" t="n">
        <v>0</v>
      </c>
      <c r="H23" s="229" t="n">
        <v>59.47</v>
      </c>
      <c r="I23" s="231" t="n">
        <v>0.2344107213243989</v>
      </c>
      <c r="J23" s="229" t="n">
        <v>0</v>
      </c>
      <c r="K23" s="229" t="n">
        <v>0</v>
      </c>
      <c r="L23" s="231" t="n">
        <v>0</v>
      </c>
    </row>
    <row r="24">
      <c r="B24" s="228" t="n">
        <v>46201</v>
      </c>
      <c r="C24" s="228" t="n">
        <v>46207</v>
      </c>
      <c r="D24" s="229" t="n">
        <v>8</v>
      </c>
      <c r="E24" s="229" t="n">
        <v>225.7</v>
      </c>
      <c r="F24" s="231" t="n">
        <v>0.889633425305479</v>
      </c>
      <c r="G24" s="229" t="n">
        <v>0</v>
      </c>
      <c r="H24" s="229" t="n">
        <v>59.47</v>
      </c>
      <c r="I24" s="231" t="n">
        <v>0.2344107213243989</v>
      </c>
      <c r="J24" s="229" t="n">
        <v>0</v>
      </c>
      <c r="K24" s="229" t="n">
        <v>0</v>
      </c>
      <c r="L24" s="231" t="n">
        <v>0</v>
      </c>
    </row>
    <row r="25">
      <c r="B25" s="228" t="n">
        <v>46208</v>
      </c>
      <c r="C25" s="228" t="n">
        <v>46214</v>
      </c>
      <c r="D25" s="229" t="n">
        <v>7</v>
      </c>
      <c r="E25" s="229" t="n">
        <v>232.7</v>
      </c>
      <c r="F25" s="231" t="n">
        <v>0.9172250689791092</v>
      </c>
      <c r="G25" s="229" t="n">
        <v>0</v>
      </c>
      <c r="H25" s="229" t="n">
        <v>59.47</v>
      </c>
      <c r="I25" s="231" t="n">
        <v>0.2344107213243989</v>
      </c>
      <c r="J25" s="229" t="n">
        <v>0</v>
      </c>
      <c r="K25" s="229" t="n">
        <v>0</v>
      </c>
      <c r="L25" s="231" t="n">
        <v>0</v>
      </c>
    </row>
    <row r="26">
      <c r="B26" s="228" t="n">
        <v>46215</v>
      </c>
      <c r="C26" s="228" t="n">
        <v>46221</v>
      </c>
      <c r="D26" s="229" t="n">
        <v>5</v>
      </c>
      <c r="E26" s="229" t="n">
        <v>237.7</v>
      </c>
      <c r="F26" s="231" t="n">
        <v>0.9369333858888451</v>
      </c>
      <c r="G26" s="229" t="n">
        <v>0</v>
      </c>
      <c r="H26" s="229" t="n">
        <v>59.47</v>
      </c>
      <c r="I26" s="231" t="n">
        <v>0.2344107213243989</v>
      </c>
      <c r="J26" s="229" t="n">
        <v>0</v>
      </c>
      <c r="K26" s="229" t="n">
        <v>0</v>
      </c>
      <c r="L26" s="231" t="n">
        <v>0</v>
      </c>
    </row>
    <row r="27">
      <c r="B27" s="228" t="n">
        <v>46222</v>
      </c>
      <c r="C27" s="228" t="n">
        <v>46228</v>
      </c>
      <c r="D27" s="229" t="n">
        <v>7</v>
      </c>
      <c r="E27" s="229" t="n">
        <v>244.7</v>
      </c>
      <c r="F27" s="231" t="n">
        <v>0.9645250295624753</v>
      </c>
      <c r="G27" s="229" t="n">
        <v>0</v>
      </c>
      <c r="H27" s="229" t="n">
        <v>59.47</v>
      </c>
      <c r="I27" s="231" t="n">
        <v>0.2344107213243989</v>
      </c>
      <c r="J27" s="229" t="n">
        <v>0</v>
      </c>
      <c r="K27" s="229" t="n">
        <v>0</v>
      </c>
      <c r="L27" s="231" t="n">
        <v>0</v>
      </c>
    </row>
    <row r="28">
      <c r="B28" s="228" t="n">
        <v>46229</v>
      </c>
      <c r="C28" s="228" t="n">
        <v>46235</v>
      </c>
      <c r="D28" s="229" t="n">
        <v>6</v>
      </c>
      <c r="E28" s="229" t="n">
        <v>250.7</v>
      </c>
      <c r="F28" s="231" t="n">
        <v>0.9881750098541584</v>
      </c>
      <c r="G28" s="229" t="n">
        <v>0</v>
      </c>
      <c r="H28" s="229" t="n">
        <v>59.47</v>
      </c>
      <c r="I28" s="231" t="n">
        <v>0.2344107213243989</v>
      </c>
      <c r="J28" s="229" t="n">
        <v>0</v>
      </c>
      <c r="K28" s="229" t="n">
        <v>0</v>
      </c>
      <c r="L28" s="231" t="n">
        <v>0</v>
      </c>
    </row>
    <row r="29">
      <c r="B29" s="228" t="n">
        <v>46236</v>
      </c>
      <c r="C29" s="228" t="n">
        <v>46240</v>
      </c>
      <c r="D29" s="229" t="n">
        <v>3</v>
      </c>
      <c r="E29" s="229" t="n">
        <v>253.7</v>
      </c>
      <c r="F29" s="231" t="n">
        <v>1</v>
      </c>
      <c r="G29" s="229" t="n">
        <v>0</v>
      </c>
      <c r="H29" s="229" t="n">
        <v>59.47</v>
      </c>
      <c r="I29" s="231" t="n">
        <v>0.2344107213243989</v>
      </c>
      <c r="J29" s="229" t="n">
        <v>0</v>
      </c>
      <c r="K29" s="229" t="n">
        <v>0</v>
      </c>
      <c r="L29" s="231" t="n">
        <v>0</v>
      </c>
    </row>
  </sheetData>
  <pageMargins left="0.7" right="0.7" top="0.75" bottom="0.75" header="0.3" footer="0.3"/>
  <pageSetup orientation="portrait" paperSize="9" verticalDpi="300"/>
  <drawing xmlns:r="http://schemas.openxmlformats.org/officeDocument/2006/relationships" r:id="rId1"/>
</worksheet>
</file>

<file path=xl/worksheets/sheet5.xml><?xml version="1.0" encoding="utf-8"?>
<worksheet xmlns="http://schemas.openxmlformats.org/spreadsheetml/2006/main">
  <sheetPr codeName="Sheet7">
    <tabColor theme="2" tint="-0.09997863704336681"/>
    <outlinePr summaryBelow="1" summaryRight="1"/>
    <pageSetUpPr/>
  </sheetPr>
  <dimension ref="A1:K156"/>
  <sheetViews>
    <sheetView zoomScale="85" zoomScaleNormal="85" workbookViewId="0">
      <selection activeCell="A1" sqref="A1"/>
    </sheetView>
  </sheetViews>
  <sheetFormatPr baseColWidth="8" defaultRowHeight="16.5"/>
  <cols>
    <col width="11.625" bestFit="1" customWidth="1" min="1" max="1"/>
    <col width="5.5" bestFit="1" customWidth="1" min="2" max="2"/>
    <col width="26.375" bestFit="1" customWidth="1" min="3" max="4"/>
    <col width="18.125" bestFit="1" customWidth="1" min="5" max="5"/>
    <col width="24.25" bestFit="1" customWidth="1" min="6" max="7"/>
    <col width="16.125" bestFit="1" customWidth="1" min="8" max="8"/>
    <col width="30.5" bestFit="1" customWidth="1" min="9" max="10"/>
    <col width="22.25" bestFit="1" customWidth="1" min="11" max="11"/>
  </cols>
  <sheetData>
    <row r="1">
      <c r="A1" s="202" t="inlineStr">
        <is>
          <t>날짜</t>
        </is>
      </c>
      <c r="B1" s="202" t="inlineStr">
        <is>
          <t>주차</t>
        </is>
      </c>
      <c r="C1" s="202" t="inlineStr">
        <is>
          <t>일일 계획작업량(Man-Day)</t>
        </is>
      </c>
      <c r="D1" s="202" t="inlineStr">
        <is>
          <t>계획작업량 누적(Man-Day)</t>
        </is>
      </c>
      <c r="E1" s="202" t="inlineStr">
        <is>
          <t>계획작업량 진척률</t>
        </is>
      </c>
      <c r="F1" s="202" t="inlineStr">
        <is>
          <t>일일 실적기성(Man-Day)</t>
        </is>
      </c>
      <c r="G1" s="202" t="inlineStr">
        <is>
          <t>실적기성 누적(Man-Day)</t>
        </is>
      </c>
      <c r="H1" s="202" t="inlineStr">
        <is>
          <t>실적기성 진척률</t>
        </is>
      </c>
      <c r="I1" s="202" t="inlineStr">
        <is>
          <t>일일 실제투입작업량(Man-Day)</t>
        </is>
      </c>
      <c r="J1" s="202" t="inlineStr">
        <is>
          <t>실제투입작업량 누적(Man-Day)</t>
        </is>
      </c>
      <c r="K1" s="202" t="inlineStr">
        <is>
          <t>실제투입작업량 진척률</t>
        </is>
      </c>
    </row>
    <row r="2">
      <c r="A2" s="311" t="n">
        <v>46086</v>
      </c>
      <c r="B2" s="204" t="n">
        <v>10</v>
      </c>
      <c r="C2" s="205" t="n">
        <v>3</v>
      </c>
      <c r="D2" s="205" t="n">
        <v>3</v>
      </c>
      <c r="E2" s="194" t="n">
        <v>0.01182499014584155</v>
      </c>
      <c r="F2" s="205" t="n">
        <v>3</v>
      </c>
      <c r="G2" s="205" t="n">
        <v>3</v>
      </c>
      <c r="H2" s="194" t="n">
        <v>0.01182499014584155</v>
      </c>
      <c r="I2" s="205" t="n">
        <v>0</v>
      </c>
      <c r="J2" s="205" t="n">
        <v>0</v>
      </c>
      <c r="K2" s="194" t="n">
        <v>0</v>
      </c>
    </row>
    <row r="3">
      <c r="A3" s="311" t="n">
        <v>46087</v>
      </c>
      <c r="B3" s="204" t="n">
        <v>10</v>
      </c>
      <c r="C3" s="205" t="n">
        <v>1</v>
      </c>
      <c r="D3" s="205" t="n">
        <v>4</v>
      </c>
      <c r="E3" s="194" t="n">
        <v>0.01576665352778873</v>
      </c>
      <c r="F3" s="205" t="n">
        <v>1</v>
      </c>
      <c r="G3" s="205" t="n">
        <v>4</v>
      </c>
      <c r="H3" s="194" t="n">
        <v>0.01576665352778873</v>
      </c>
      <c r="I3" s="205" t="n">
        <v>0</v>
      </c>
      <c r="J3" s="205" t="n">
        <v>0</v>
      </c>
      <c r="K3" s="194" t="n">
        <v>0</v>
      </c>
    </row>
    <row r="4">
      <c r="A4" s="311" t="n">
        <v>46088</v>
      </c>
      <c r="B4" s="204" t="n">
        <v>10</v>
      </c>
      <c r="C4" s="205" t="n">
        <v>0</v>
      </c>
      <c r="D4" s="205" t="n">
        <v>4</v>
      </c>
      <c r="E4" s="194" t="n">
        <v>0.01576665352778873</v>
      </c>
      <c r="F4" s="205" t="n">
        <v>0</v>
      </c>
      <c r="G4" s="205" t="n">
        <v>4</v>
      </c>
      <c r="H4" s="194" t="n">
        <v>0.01576665352778873</v>
      </c>
      <c r="I4" s="205" t="n">
        <v>0</v>
      </c>
      <c r="J4" s="205" t="n">
        <v>0</v>
      </c>
      <c r="K4" s="194" t="n">
        <v>0</v>
      </c>
    </row>
    <row r="5">
      <c r="A5" s="311" t="n">
        <v>46089</v>
      </c>
      <c r="B5" s="204" t="n">
        <v>11</v>
      </c>
      <c r="C5" s="205" t="n">
        <v>0</v>
      </c>
      <c r="D5" s="205" t="n">
        <v>4</v>
      </c>
      <c r="E5" s="194" t="n">
        <v>0.01576665352778873</v>
      </c>
      <c r="F5" s="205" t="n">
        <v>0</v>
      </c>
      <c r="G5" s="205" t="n">
        <v>4</v>
      </c>
      <c r="H5" s="194" t="n">
        <v>0.01576665352778873</v>
      </c>
      <c r="I5" s="205" t="n">
        <v>0</v>
      </c>
      <c r="J5" s="205" t="n">
        <v>0</v>
      </c>
      <c r="K5" s="194" t="n">
        <v>0</v>
      </c>
    </row>
    <row r="6">
      <c r="A6" s="311" t="n">
        <v>46090</v>
      </c>
      <c r="B6" s="204" t="n">
        <v>11</v>
      </c>
      <c r="C6" s="205" t="n">
        <v>1</v>
      </c>
      <c r="D6" s="205" t="n">
        <v>5</v>
      </c>
      <c r="E6" s="194" t="n">
        <v>0.01970831690973591</v>
      </c>
      <c r="F6" s="205" t="n">
        <v>1</v>
      </c>
      <c r="G6" s="205" t="n">
        <v>5</v>
      </c>
      <c r="H6" s="194" t="n">
        <v>0.01970831690973591</v>
      </c>
      <c r="I6" s="205" t="n">
        <v>0</v>
      </c>
      <c r="J6" s="205" t="n">
        <v>0</v>
      </c>
      <c r="K6" s="194" t="n">
        <v>0</v>
      </c>
    </row>
    <row r="7">
      <c r="A7" s="311" t="n">
        <v>46091</v>
      </c>
      <c r="B7" s="204" t="n">
        <v>11</v>
      </c>
      <c r="C7" s="205" t="n">
        <v>1</v>
      </c>
      <c r="D7" s="205" t="n">
        <v>6</v>
      </c>
      <c r="E7" s="194" t="n">
        <v>0.02364998029168309</v>
      </c>
      <c r="F7" s="205" t="n">
        <v>1</v>
      </c>
      <c r="G7" s="205" t="n">
        <v>6</v>
      </c>
      <c r="H7" s="194" t="n">
        <v>0.02364998029168309</v>
      </c>
      <c r="I7" s="205" t="n">
        <v>0</v>
      </c>
      <c r="J7" s="205" t="n">
        <v>0</v>
      </c>
      <c r="K7" s="194" t="n">
        <v>0</v>
      </c>
    </row>
    <row r="8">
      <c r="A8" s="311" t="n">
        <v>46092</v>
      </c>
      <c r="B8" s="204" t="n">
        <v>11</v>
      </c>
      <c r="C8" s="205" t="n">
        <v>1</v>
      </c>
      <c r="D8" s="205" t="n">
        <v>7</v>
      </c>
      <c r="E8" s="194" t="n">
        <v>0.02759164367363027</v>
      </c>
      <c r="F8" s="205" t="n">
        <v>1</v>
      </c>
      <c r="G8" s="205" t="n">
        <v>7</v>
      </c>
      <c r="H8" s="194" t="n">
        <v>0.02759164367363027</v>
      </c>
      <c r="I8" s="205" t="n">
        <v>0</v>
      </c>
      <c r="J8" s="205" t="n">
        <v>0</v>
      </c>
      <c r="K8" s="194" t="n">
        <v>0</v>
      </c>
    </row>
    <row r="9">
      <c r="A9" s="311" t="n">
        <v>46093</v>
      </c>
      <c r="B9" s="204" t="n">
        <v>11</v>
      </c>
      <c r="C9" s="205" t="n">
        <v>2</v>
      </c>
      <c r="D9" s="205" t="n">
        <v>9</v>
      </c>
      <c r="E9" s="194" t="n">
        <v>0.03547497043752464</v>
      </c>
      <c r="F9" s="205" t="n">
        <v>2</v>
      </c>
      <c r="G9" s="205" t="n">
        <v>9</v>
      </c>
      <c r="H9" s="194" t="n">
        <v>0.03547497043752464</v>
      </c>
      <c r="I9" s="205" t="n">
        <v>0</v>
      </c>
      <c r="J9" s="205" t="n">
        <v>0</v>
      </c>
      <c r="K9" s="194" t="n">
        <v>0</v>
      </c>
    </row>
    <row r="10">
      <c r="A10" s="311" t="n">
        <v>46094</v>
      </c>
      <c r="B10" s="204" t="n">
        <v>11</v>
      </c>
      <c r="C10" s="205" t="n">
        <v>2</v>
      </c>
      <c r="D10" s="205" t="n">
        <v>11</v>
      </c>
      <c r="E10" s="194" t="n">
        <v>0.043358297201419</v>
      </c>
      <c r="F10" s="205" t="n">
        <v>2</v>
      </c>
      <c r="G10" s="205" t="n">
        <v>11</v>
      </c>
      <c r="H10" s="194" t="n">
        <v>0.043358297201419</v>
      </c>
      <c r="I10" s="205" t="n">
        <v>0</v>
      </c>
      <c r="J10" s="205" t="n">
        <v>0</v>
      </c>
      <c r="K10" s="194" t="n">
        <v>0</v>
      </c>
    </row>
    <row r="11">
      <c r="A11" s="311" t="n">
        <v>46095</v>
      </c>
      <c r="B11" s="204" t="n">
        <v>11</v>
      </c>
      <c r="C11" s="205" t="n">
        <v>0</v>
      </c>
      <c r="D11" s="205" t="n">
        <v>11</v>
      </c>
      <c r="E11" s="194" t="n">
        <v>0.043358297201419</v>
      </c>
      <c r="F11" s="205" t="n">
        <v>0</v>
      </c>
      <c r="G11" s="205" t="n">
        <v>11</v>
      </c>
      <c r="H11" s="194" t="n">
        <v>0.043358297201419</v>
      </c>
      <c r="I11" s="205" t="n">
        <v>0</v>
      </c>
      <c r="J11" s="205" t="n">
        <v>0</v>
      </c>
      <c r="K11" s="194" t="n">
        <v>0</v>
      </c>
    </row>
    <row r="12">
      <c r="A12" s="311" t="n">
        <v>46096</v>
      </c>
      <c r="B12" s="204" t="n">
        <v>12</v>
      </c>
      <c r="C12" s="205" t="n">
        <v>0</v>
      </c>
      <c r="D12" s="205" t="n">
        <v>11</v>
      </c>
      <c r="E12" s="194" t="n">
        <v>0.043358297201419</v>
      </c>
      <c r="F12" s="205" t="n">
        <v>0</v>
      </c>
      <c r="G12" s="205" t="n">
        <v>11</v>
      </c>
      <c r="H12" s="194" t="n">
        <v>0.043358297201419</v>
      </c>
      <c r="I12" s="205" t="n">
        <v>0</v>
      </c>
      <c r="J12" s="205" t="n">
        <v>0</v>
      </c>
      <c r="K12" s="194" t="n">
        <v>0</v>
      </c>
    </row>
    <row r="13">
      <c r="A13" s="311" t="n">
        <v>46097</v>
      </c>
      <c r="B13" s="204" t="n">
        <v>12</v>
      </c>
      <c r="C13" s="205" t="n">
        <v>2</v>
      </c>
      <c r="D13" s="205" t="n">
        <v>13</v>
      </c>
      <c r="E13" s="194" t="n">
        <v>0.05124162396531336</v>
      </c>
      <c r="F13" s="205" t="n">
        <v>2</v>
      </c>
      <c r="G13" s="205" t="n">
        <v>13</v>
      </c>
      <c r="H13" s="194" t="n">
        <v>0.05124162396531336</v>
      </c>
      <c r="I13" s="205" t="n">
        <v>0</v>
      </c>
      <c r="J13" s="205" t="n">
        <v>0</v>
      </c>
      <c r="K13" s="194" t="n">
        <v>0</v>
      </c>
    </row>
    <row r="14">
      <c r="A14" s="311" t="n">
        <v>46098</v>
      </c>
      <c r="B14" s="204" t="n">
        <v>12</v>
      </c>
      <c r="C14" s="205" t="n">
        <v>1</v>
      </c>
      <c r="D14" s="205" t="n">
        <v>14</v>
      </c>
      <c r="E14" s="194" t="n">
        <v>0.05518328734726054</v>
      </c>
      <c r="F14" s="205" t="n">
        <v>1</v>
      </c>
      <c r="G14" s="205" t="n">
        <v>14</v>
      </c>
      <c r="H14" s="194" t="n">
        <v>0.05518328734726054</v>
      </c>
      <c r="I14" s="205" t="n">
        <v>0</v>
      </c>
      <c r="J14" s="205" t="n">
        <v>0</v>
      </c>
      <c r="K14" s="194" t="n">
        <v>0</v>
      </c>
    </row>
    <row r="15">
      <c r="A15" s="311" t="n">
        <v>46099</v>
      </c>
      <c r="B15" s="204" t="n">
        <v>12</v>
      </c>
      <c r="C15" s="205" t="n">
        <v>1</v>
      </c>
      <c r="D15" s="205" t="n">
        <v>15</v>
      </c>
      <c r="E15" s="194" t="n">
        <v>0.05912495072920773</v>
      </c>
      <c r="F15" s="205" t="n">
        <v>1</v>
      </c>
      <c r="G15" s="205" t="n">
        <v>15</v>
      </c>
      <c r="H15" s="194" t="n">
        <v>0.05912495072920773</v>
      </c>
      <c r="I15" s="205" t="n">
        <v>0</v>
      </c>
      <c r="J15" s="205" t="n">
        <v>0</v>
      </c>
      <c r="K15" s="194" t="n">
        <v>0</v>
      </c>
    </row>
    <row r="16">
      <c r="A16" s="311" t="n">
        <v>46100</v>
      </c>
      <c r="B16" s="204" t="n">
        <v>12</v>
      </c>
      <c r="C16" s="205" t="n">
        <v>2</v>
      </c>
      <c r="D16" s="205" t="n">
        <v>17</v>
      </c>
      <c r="E16" s="194" t="n">
        <v>0.06700827749310209</v>
      </c>
      <c r="F16" s="205" t="n">
        <v>2</v>
      </c>
      <c r="G16" s="205" t="n">
        <v>17</v>
      </c>
      <c r="H16" s="194" t="n">
        <v>0.06700827749310209</v>
      </c>
      <c r="I16" s="205" t="n">
        <v>0</v>
      </c>
      <c r="J16" s="205" t="n">
        <v>0</v>
      </c>
      <c r="K16" s="194" t="n">
        <v>0</v>
      </c>
    </row>
    <row r="17">
      <c r="A17" s="311" t="n">
        <v>46101</v>
      </c>
      <c r="B17" s="204" t="n">
        <v>12</v>
      </c>
      <c r="C17" s="205" t="n">
        <v>2</v>
      </c>
      <c r="D17" s="205" t="n">
        <v>19</v>
      </c>
      <c r="E17" s="194" t="n">
        <v>0.07489160425699645</v>
      </c>
      <c r="F17" s="205" t="n">
        <v>2</v>
      </c>
      <c r="G17" s="205" t="n">
        <v>19</v>
      </c>
      <c r="H17" s="194" t="n">
        <v>0.07489160425699645</v>
      </c>
      <c r="I17" s="205" t="n">
        <v>0</v>
      </c>
      <c r="J17" s="205" t="n">
        <v>0</v>
      </c>
      <c r="K17" s="194" t="n">
        <v>0</v>
      </c>
    </row>
    <row r="18">
      <c r="A18" s="311" t="n">
        <v>46102</v>
      </c>
      <c r="B18" s="204" t="n">
        <v>12</v>
      </c>
      <c r="C18" s="205" t="n">
        <v>0</v>
      </c>
      <c r="D18" s="205" t="n">
        <v>19</v>
      </c>
      <c r="E18" s="194" t="n">
        <v>0.07489160425699645</v>
      </c>
      <c r="F18" s="205" t="n">
        <v>0</v>
      </c>
      <c r="G18" s="205" t="n">
        <v>19</v>
      </c>
      <c r="H18" s="194" t="n">
        <v>0.07489160425699645</v>
      </c>
      <c r="I18" s="205" t="n">
        <v>0</v>
      </c>
      <c r="J18" s="205" t="n">
        <v>0</v>
      </c>
      <c r="K18" s="194" t="n">
        <v>0</v>
      </c>
    </row>
    <row r="19">
      <c r="A19" s="311" t="n">
        <v>46103</v>
      </c>
      <c r="B19" s="204" t="n">
        <v>13</v>
      </c>
      <c r="C19" s="205" t="n">
        <v>0</v>
      </c>
      <c r="D19" s="205" t="n">
        <v>19</v>
      </c>
      <c r="E19" s="194" t="n">
        <v>0.07489160425699645</v>
      </c>
      <c r="F19" s="205" t="n">
        <v>0</v>
      </c>
      <c r="G19" s="205" t="n">
        <v>19</v>
      </c>
      <c r="H19" s="194" t="n">
        <v>0.07489160425699645</v>
      </c>
      <c r="I19" s="205" t="n">
        <v>0</v>
      </c>
      <c r="J19" s="205" t="n">
        <v>0</v>
      </c>
      <c r="K19" s="194" t="n">
        <v>0</v>
      </c>
    </row>
    <row r="20">
      <c r="A20" s="311" t="n">
        <v>46104</v>
      </c>
      <c r="B20" s="204" t="n">
        <v>13</v>
      </c>
      <c r="C20" s="205" t="n">
        <v>2</v>
      </c>
      <c r="D20" s="205" t="n">
        <v>21</v>
      </c>
      <c r="E20" s="194" t="n">
        <v>0.08277493102089081</v>
      </c>
      <c r="F20" s="205" t="n">
        <v>2</v>
      </c>
      <c r="G20" s="205" t="n">
        <v>21</v>
      </c>
      <c r="H20" s="194" t="n">
        <v>0.08277493102089081</v>
      </c>
      <c r="I20" s="205" t="n">
        <v>0</v>
      </c>
      <c r="J20" s="205" t="n">
        <v>0</v>
      </c>
      <c r="K20" s="194" t="n">
        <v>0</v>
      </c>
    </row>
    <row r="21">
      <c r="A21" s="311" t="n">
        <v>46105</v>
      </c>
      <c r="B21" s="204" t="n">
        <v>13</v>
      </c>
      <c r="C21" s="205" t="n">
        <v>2</v>
      </c>
      <c r="D21" s="205" t="n">
        <v>23</v>
      </c>
      <c r="E21" s="194" t="n">
        <v>0.09065825778478519</v>
      </c>
      <c r="F21" s="205" t="n">
        <v>2</v>
      </c>
      <c r="G21" s="205" t="n">
        <v>23</v>
      </c>
      <c r="H21" s="194" t="n">
        <v>0.09065825778478519</v>
      </c>
      <c r="I21" s="205" t="n">
        <v>0</v>
      </c>
      <c r="J21" s="205" t="n">
        <v>0</v>
      </c>
      <c r="K21" s="194" t="n">
        <v>0</v>
      </c>
    </row>
    <row r="22">
      <c r="A22" s="311" t="n">
        <v>46106</v>
      </c>
      <c r="B22" s="204" t="n">
        <v>13</v>
      </c>
      <c r="C22" s="205" t="n">
        <v>2</v>
      </c>
      <c r="D22" s="205" t="n">
        <v>25</v>
      </c>
      <c r="E22" s="194" t="n">
        <v>0.09854158454867955</v>
      </c>
      <c r="F22" s="205" t="n">
        <v>2</v>
      </c>
      <c r="G22" s="205" t="n">
        <v>25</v>
      </c>
      <c r="H22" s="194" t="n">
        <v>0.09854158454867955</v>
      </c>
      <c r="I22" s="205" t="n">
        <v>0</v>
      </c>
      <c r="J22" s="205" t="n">
        <v>0</v>
      </c>
      <c r="K22" s="194" t="n">
        <v>0</v>
      </c>
    </row>
    <row r="23">
      <c r="A23" s="311" t="n">
        <v>46107</v>
      </c>
      <c r="B23" s="204" t="n">
        <v>13</v>
      </c>
      <c r="C23" s="205" t="n">
        <v>5.7</v>
      </c>
      <c r="D23" s="205" t="n">
        <v>30.7</v>
      </c>
      <c r="E23" s="194" t="n">
        <v>0.1210090658257785</v>
      </c>
      <c r="F23" s="205" t="n">
        <v>5.19</v>
      </c>
      <c r="G23" s="205" t="n">
        <v>30.19</v>
      </c>
      <c r="H23" s="194" t="n">
        <v>0.1189988175009854</v>
      </c>
      <c r="I23" s="205" t="n">
        <v>0</v>
      </c>
      <c r="J23" s="205" t="n">
        <v>0</v>
      </c>
      <c r="K23" s="194" t="n">
        <v>0</v>
      </c>
    </row>
    <row r="24">
      <c r="A24" s="311" t="n">
        <v>46108</v>
      </c>
      <c r="B24" s="204" t="n">
        <v>13</v>
      </c>
      <c r="C24" s="205" t="n">
        <v>4.7</v>
      </c>
      <c r="D24" s="205" t="n">
        <v>35.4</v>
      </c>
      <c r="E24" s="194" t="n">
        <v>0.1395348837209302</v>
      </c>
      <c r="F24" s="205" t="n">
        <v>4.19</v>
      </c>
      <c r="G24" s="205" t="n">
        <v>34.38</v>
      </c>
      <c r="H24" s="194" t="n">
        <v>0.1355143870713441</v>
      </c>
      <c r="I24" s="205" t="n">
        <v>0</v>
      </c>
      <c r="J24" s="205" t="n">
        <v>0</v>
      </c>
      <c r="K24" s="194" t="n">
        <v>0</v>
      </c>
    </row>
    <row r="25">
      <c r="A25" s="311" t="n">
        <v>46109</v>
      </c>
      <c r="B25" s="204" t="n">
        <v>13</v>
      </c>
      <c r="C25" s="205" t="n">
        <v>0</v>
      </c>
      <c r="D25" s="205" t="n">
        <v>35.4</v>
      </c>
      <c r="E25" s="194" t="n">
        <v>0.1395348837209302</v>
      </c>
      <c r="F25" s="205" t="n">
        <v>0</v>
      </c>
      <c r="G25" s="205" t="n">
        <v>34.38</v>
      </c>
      <c r="H25" s="194" t="n">
        <v>0.1355143870713441</v>
      </c>
      <c r="I25" s="205" t="n">
        <v>0</v>
      </c>
      <c r="J25" s="205" t="n">
        <v>0</v>
      </c>
      <c r="K25" s="194" t="n">
        <v>0</v>
      </c>
    </row>
    <row r="26">
      <c r="A26" s="311" t="n">
        <v>46110</v>
      </c>
      <c r="B26" s="204" t="n">
        <v>14</v>
      </c>
      <c r="C26" s="205" t="n">
        <v>0</v>
      </c>
      <c r="D26" s="205" t="n">
        <v>35.4</v>
      </c>
      <c r="E26" s="194" t="n">
        <v>0.1395348837209302</v>
      </c>
      <c r="F26" s="205" t="n">
        <v>0</v>
      </c>
      <c r="G26" s="205" t="n">
        <v>34.38</v>
      </c>
      <c r="H26" s="194" t="n">
        <v>0.1355143870713441</v>
      </c>
      <c r="I26" s="205" t="n">
        <v>0</v>
      </c>
      <c r="J26" s="205" t="n">
        <v>0</v>
      </c>
      <c r="K26" s="194" t="n">
        <v>0</v>
      </c>
    </row>
    <row r="27">
      <c r="A27" s="311" t="n">
        <v>46111</v>
      </c>
      <c r="B27" s="204" t="n">
        <v>14</v>
      </c>
      <c r="C27" s="205" t="n">
        <v>4.7</v>
      </c>
      <c r="D27" s="205" t="n">
        <v>40.1</v>
      </c>
      <c r="E27" s="194" t="n">
        <v>0.158060701616082</v>
      </c>
      <c r="F27" s="205" t="n">
        <v>4.19</v>
      </c>
      <c r="G27" s="205" t="n">
        <v>38.57</v>
      </c>
      <c r="H27" s="194" t="n">
        <v>0.1520299566417028</v>
      </c>
      <c r="I27" s="205" t="n">
        <v>0</v>
      </c>
      <c r="J27" s="205" t="n">
        <v>0</v>
      </c>
      <c r="K27" s="194" t="n">
        <v>0</v>
      </c>
    </row>
    <row r="28">
      <c r="A28" s="311" t="n">
        <v>46112</v>
      </c>
      <c r="B28" s="204" t="n">
        <v>14</v>
      </c>
      <c r="C28" s="205" t="n">
        <v>1</v>
      </c>
      <c r="D28" s="205" t="n">
        <v>41.1</v>
      </c>
      <c r="E28" s="194" t="n">
        <v>0.1620023649980292</v>
      </c>
      <c r="F28" s="205" t="n">
        <v>1</v>
      </c>
      <c r="G28" s="205" t="n">
        <v>39.57</v>
      </c>
      <c r="H28" s="194" t="n">
        <v>0.1559716200236499</v>
      </c>
      <c r="I28" s="205" t="n">
        <v>0</v>
      </c>
      <c r="J28" s="205" t="n">
        <v>0</v>
      </c>
      <c r="K28" s="194" t="n">
        <v>0</v>
      </c>
    </row>
    <row r="29">
      <c r="A29" s="311" t="n">
        <v>46113</v>
      </c>
      <c r="B29" s="204" t="n">
        <v>14</v>
      </c>
      <c r="C29" s="205" t="n">
        <v>1</v>
      </c>
      <c r="D29" s="205" t="n">
        <v>42.1</v>
      </c>
      <c r="E29" s="194" t="n">
        <v>0.1659440283799763</v>
      </c>
      <c r="F29" s="205" t="n">
        <v>1</v>
      </c>
      <c r="G29" s="205" t="n">
        <v>40.57</v>
      </c>
      <c r="H29" s="194" t="n">
        <v>0.1599132834055971</v>
      </c>
      <c r="I29" s="205" t="n">
        <v>0</v>
      </c>
      <c r="J29" s="205" t="n">
        <v>0</v>
      </c>
      <c r="K29" s="194" t="n">
        <v>0</v>
      </c>
    </row>
    <row r="30">
      <c r="A30" s="311" t="n">
        <v>46114</v>
      </c>
      <c r="B30" s="204" t="n">
        <v>14</v>
      </c>
      <c r="C30" s="205" t="n">
        <v>2.2</v>
      </c>
      <c r="D30" s="205" t="n">
        <v>44.3</v>
      </c>
      <c r="E30" s="194" t="n">
        <v>0.1746156878202602</v>
      </c>
      <c r="F30" s="205" t="n">
        <v>3.2</v>
      </c>
      <c r="G30" s="205" t="n">
        <v>43.77</v>
      </c>
      <c r="H30" s="194" t="n">
        <v>0.1725266062278281</v>
      </c>
      <c r="I30" s="205" t="n">
        <v>0</v>
      </c>
      <c r="J30" s="205" t="n">
        <v>0</v>
      </c>
      <c r="K30" s="194" t="n">
        <v>0</v>
      </c>
    </row>
    <row r="31">
      <c r="A31" s="311" t="n">
        <v>46115</v>
      </c>
      <c r="B31" s="204" t="n">
        <v>14</v>
      </c>
      <c r="C31" s="205" t="n">
        <v>2</v>
      </c>
      <c r="D31" s="205" t="n">
        <v>46.3</v>
      </c>
      <c r="E31" s="194" t="n">
        <v>0.1824990145841545</v>
      </c>
      <c r="F31" s="205" t="n">
        <v>3</v>
      </c>
      <c r="G31" s="205" t="n">
        <v>46.77</v>
      </c>
      <c r="H31" s="194" t="n">
        <v>0.1843515963736697</v>
      </c>
      <c r="I31" s="205" t="n">
        <v>0</v>
      </c>
      <c r="J31" s="205" t="n">
        <v>0</v>
      </c>
      <c r="K31" s="194" t="n">
        <v>0</v>
      </c>
    </row>
    <row r="32">
      <c r="A32" s="311" t="n">
        <v>46116</v>
      </c>
      <c r="B32" s="204" t="n">
        <v>14</v>
      </c>
      <c r="C32" s="205" t="n">
        <v>0</v>
      </c>
      <c r="D32" s="205" t="n">
        <v>46.3</v>
      </c>
      <c r="E32" s="194" t="n">
        <v>0.1824990145841545</v>
      </c>
      <c r="F32" s="205" t="n">
        <v>0</v>
      </c>
      <c r="G32" s="205" t="n">
        <v>46.77</v>
      </c>
      <c r="H32" s="194" t="n">
        <v>0.1843515963736697</v>
      </c>
      <c r="I32" s="205" t="n">
        <v>0</v>
      </c>
      <c r="J32" s="205" t="n">
        <v>0</v>
      </c>
      <c r="K32" s="194" t="n">
        <v>0</v>
      </c>
    </row>
    <row r="33">
      <c r="A33" s="311" t="n">
        <v>46117</v>
      </c>
      <c r="B33" s="204" t="n">
        <v>15</v>
      </c>
      <c r="C33" s="205" t="n">
        <v>0</v>
      </c>
      <c r="D33" s="205" t="n">
        <v>46.3</v>
      </c>
      <c r="E33" s="194" t="n">
        <v>0.1824990145841545</v>
      </c>
      <c r="F33" s="205" t="n">
        <v>0</v>
      </c>
      <c r="G33" s="205" t="n">
        <v>46.77</v>
      </c>
      <c r="H33" s="194" t="n">
        <v>0.1843515963736697</v>
      </c>
      <c r="I33" s="205" t="n">
        <v>0</v>
      </c>
      <c r="J33" s="205" t="n">
        <v>0</v>
      </c>
      <c r="K33" s="194" t="n">
        <v>0</v>
      </c>
    </row>
    <row r="34">
      <c r="A34" s="311" t="n">
        <v>46118</v>
      </c>
      <c r="B34" s="204" t="n">
        <v>15</v>
      </c>
      <c r="C34" s="205" t="n">
        <v>3</v>
      </c>
      <c r="D34" s="205" t="n">
        <v>49.3</v>
      </c>
      <c r="E34" s="194" t="n">
        <v>0.1943240047299961</v>
      </c>
      <c r="F34" s="205" t="n">
        <v>3</v>
      </c>
      <c r="G34" s="205" t="n">
        <v>49.77</v>
      </c>
      <c r="H34" s="194" t="n">
        <v>0.1961765865195112</v>
      </c>
      <c r="I34" s="205" t="n">
        <v>0</v>
      </c>
      <c r="J34" s="205" t="n">
        <v>0</v>
      </c>
      <c r="K34" s="194" t="n">
        <v>0</v>
      </c>
    </row>
    <row r="35">
      <c r="A35" s="311" t="n">
        <v>46119</v>
      </c>
      <c r="B35" s="204" t="n">
        <v>15</v>
      </c>
      <c r="C35" s="205" t="n">
        <v>2</v>
      </c>
      <c r="D35" s="205" t="n">
        <v>51.3</v>
      </c>
      <c r="E35" s="194" t="n">
        <v>0.2022073314938904</v>
      </c>
      <c r="F35" s="205" t="n">
        <v>9.699999999999999</v>
      </c>
      <c r="G35" s="205" t="n">
        <v>59.47</v>
      </c>
      <c r="H35" s="194" t="n">
        <v>0.2344107213243989</v>
      </c>
      <c r="I35" s="205" t="n">
        <v>0</v>
      </c>
      <c r="J35" s="205" t="n">
        <v>0</v>
      </c>
      <c r="K35" s="194" t="n">
        <v>0</v>
      </c>
    </row>
    <row r="36">
      <c r="A36" s="311" t="n">
        <v>46120</v>
      </c>
      <c r="B36" s="204" t="n">
        <v>15</v>
      </c>
      <c r="C36" s="205" t="n">
        <v>2</v>
      </c>
      <c r="D36" s="205" t="n">
        <v>53.3</v>
      </c>
      <c r="E36" s="194" t="n">
        <v>0.2100906582577848</v>
      </c>
      <c r="F36" s="205" t="n">
        <v>0</v>
      </c>
      <c r="G36" s="205" t="n">
        <v>59.47</v>
      </c>
      <c r="H36" s="194" t="n">
        <v>0.2344107213243989</v>
      </c>
      <c r="I36" s="205" t="n">
        <v>0</v>
      </c>
      <c r="J36" s="205" t="n">
        <v>0</v>
      </c>
      <c r="K36" s="194" t="n">
        <v>0</v>
      </c>
    </row>
    <row r="37">
      <c r="A37" s="311" t="n">
        <v>46121</v>
      </c>
      <c r="B37" s="204" t="n">
        <v>15</v>
      </c>
      <c r="C37" s="205" t="n">
        <v>2</v>
      </c>
      <c r="D37" s="205" t="n">
        <v>55.3</v>
      </c>
      <c r="E37" s="194" t="n">
        <v>0.2179739850216792</v>
      </c>
      <c r="F37" s="205" t="n">
        <v>0</v>
      </c>
      <c r="G37" s="205" t="n">
        <v>59.47</v>
      </c>
      <c r="H37" s="194" t="n">
        <v>0.2344107213243989</v>
      </c>
      <c r="I37" s="205" t="n">
        <v>0</v>
      </c>
      <c r="J37" s="205" t="n">
        <v>0</v>
      </c>
      <c r="K37" s="194" t="n">
        <v>0</v>
      </c>
    </row>
    <row r="38">
      <c r="A38" s="311" t="n">
        <v>46122</v>
      </c>
      <c r="B38" s="204" t="n">
        <v>15</v>
      </c>
      <c r="C38" s="205" t="n">
        <v>2</v>
      </c>
      <c r="D38" s="205" t="n">
        <v>57.3</v>
      </c>
      <c r="E38" s="194" t="n">
        <v>0.2258573117855735</v>
      </c>
      <c r="F38" s="205" t="n">
        <v>0</v>
      </c>
      <c r="G38" s="205" t="n">
        <v>59.47</v>
      </c>
      <c r="H38" s="194" t="n">
        <v>0.2344107213243989</v>
      </c>
      <c r="I38" s="205" t="n">
        <v>0</v>
      </c>
      <c r="J38" s="205" t="n">
        <v>0</v>
      </c>
      <c r="K38" s="194" t="n">
        <v>0</v>
      </c>
    </row>
    <row r="39">
      <c r="A39" s="311" t="n">
        <v>46123</v>
      </c>
      <c r="B39" s="204" t="n">
        <v>15</v>
      </c>
      <c r="C39" s="205" t="n">
        <v>0</v>
      </c>
      <c r="D39" s="205" t="n">
        <v>57.3</v>
      </c>
      <c r="E39" s="194" t="n">
        <v>0.2258573117855735</v>
      </c>
      <c r="F39" s="205" t="n">
        <v>0</v>
      </c>
      <c r="G39" s="205" t="n">
        <v>59.47</v>
      </c>
      <c r="H39" s="194" t="n">
        <v>0.2344107213243989</v>
      </c>
      <c r="I39" s="205" t="n">
        <v>0</v>
      </c>
      <c r="J39" s="205" t="n">
        <v>0</v>
      </c>
      <c r="K39" s="194" t="n">
        <v>0</v>
      </c>
    </row>
    <row r="40">
      <c r="A40" s="311" t="n">
        <v>46124</v>
      </c>
      <c r="B40" s="204" t="n">
        <v>16</v>
      </c>
      <c r="C40" s="205" t="n">
        <v>0</v>
      </c>
      <c r="D40" s="205" t="n">
        <v>57.3</v>
      </c>
      <c r="E40" s="194" t="n">
        <v>0.2258573117855735</v>
      </c>
      <c r="F40" s="205" t="n">
        <v>0</v>
      </c>
      <c r="G40" s="205" t="n">
        <v>59.47</v>
      </c>
      <c r="H40" s="194" t="n">
        <v>0.2344107213243989</v>
      </c>
      <c r="I40" s="205" t="n">
        <v>0</v>
      </c>
      <c r="J40" s="205" t="n">
        <v>0</v>
      </c>
      <c r="K40" s="194" t="n">
        <v>0</v>
      </c>
    </row>
    <row r="41">
      <c r="A41" s="311" t="n">
        <v>46125</v>
      </c>
      <c r="B41" s="204" t="n">
        <v>16</v>
      </c>
      <c r="C41" s="205" t="n">
        <v>2</v>
      </c>
      <c r="D41" s="205" t="n">
        <v>59.3</v>
      </c>
      <c r="E41" s="194" t="n">
        <v>0.2337406385494679</v>
      </c>
      <c r="F41" s="205" t="n">
        <v>0</v>
      </c>
      <c r="G41" s="205" t="n">
        <v>59.47</v>
      </c>
      <c r="H41" s="194" t="n">
        <v>0.2344107213243989</v>
      </c>
      <c r="I41" s="205" t="n">
        <v>0</v>
      </c>
      <c r="J41" s="205" t="n">
        <v>0</v>
      </c>
      <c r="K41" s="194" t="n">
        <v>0</v>
      </c>
    </row>
    <row r="42">
      <c r="A42" s="311" t="n">
        <v>46126</v>
      </c>
      <c r="B42" s="204" t="n">
        <v>16</v>
      </c>
      <c r="C42" s="205" t="n">
        <v>1</v>
      </c>
      <c r="D42" s="205" t="n">
        <v>60.3</v>
      </c>
      <c r="E42" s="194" t="n">
        <v>0.2376823019314151</v>
      </c>
      <c r="F42" s="205" t="n">
        <v>0</v>
      </c>
      <c r="G42" s="205" t="n">
        <v>59.47</v>
      </c>
      <c r="H42" s="194" t="n">
        <v>0.2344107213243989</v>
      </c>
      <c r="I42" s="205" t="n">
        <v>0</v>
      </c>
      <c r="J42" s="205" t="n">
        <v>0</v>
      </c>
      <c r="K42" s="194" t="n">
        <v>0</v>
      </c>
    </row>
    <row r="43">
      <c r="A43" s="311" t="n">
        <v>46127</v>
      </c>
      <c r="B43" s="204" t="n">
        <v>16</v>
      </c>
      <c r="C43" s="205" t="n">
        <v>1</v>
      </c>
      <c r="D43" s="205" t="n">
        <v>61.3</v>
      </c>
      <c r="E43" s="194" t="n">
        <v>0.2416239653133623</v>
      </c>
      <c r="F43" s="205" t="n">
        <v>0</v>
      </c>
      <c r="G43" s="205" t="n">
        <v>59.47</v>
      </c>
      <c r="H43" s="194" t="n">
        <v>0.2344107213243989</v>
      </c>
      <c r="I43" s="205" t="n">
        <v>0</v>
      </c>
      <c r="J43" s="205" t="n">
        <v>0</v>
      </c>
      <c r="K43" s="194" t="n">
        <v>0</v>
      </c>
    </row>
    <row r="44">
      <c r="A44" s="311" t="n">
        <v>46128</v>
      </c>
      <c r="B44" s="204" t="n">
        <v>16</v>
      </c>
      <c r="C44" s="205" t="n">
        <v>1</v>
      </c>
      <c r="D44" s="205" t="n">
        <v>62.3</v>
      </c>
      <c r="E44" s="194" t="n">
        <v>0.2455656286953095</v>
      </c>
      <c r="F44" s="205" t="n">
        <v>0</v>
      </c>
      <c r="G44" s="205" t="n">
        <v>59.47</v>
      </c>
      <c r="H44" s="194" t="n">
        <v>0.2344107213243989</v>
      </c>
      <c r="I44" s="205" t="n">
        <v>0</v>
      </c>
      <c r="J44" s="205" t="n">
        <v>0</v>
      </c>
      <c r="K44" s="194" t="n">
        <v>0</v>
      </c>
    </row>
    <row r="45">
      <c r="A45" s="311" t="n">
        <v>46129</v>
      </c>
      <c r="B45" s="204" t="n">
        <v>16</v>
      </c>
      <c r="C45" s="205" t="n">
        <v>1</v>
      </c>
      <c r="D45" s="205" t="n">
        <v>63.3</v>
      </c>
      <c r="E45" s="194" t="n">
        <v>0.2495072920772566</v>
      </c>
      <c r="F45" s="205" t="n">
        <v>0</v>
      </c>
      <c r="G45" s="205" t="n">
        <v>59.47</v>
      </c>
      <c r="H45" s="194" t="n">
        <v>0.2344107213243989</v>
      </c>
      <c r="I45" s="205" t="n">
        <v>0</v>
      </c>
      <c r="J45" s="205" t="n">
        <v>0</v>
      </c>
      <c r="K45" s="194" t="n">
        <v>0</v>
      </c>
    </row>
    <row r="46">
      <c r="A46" s="311" t="n">
        <v>46130</v>
      </c>
      <c r="B46" s="204" t="n">
        <v>16</v>
      </c>
      <c r="C46" s="205" t="n">
        <v>0</v>
      </c>
      <c r="D46" s="205" t="n">
        <v>63.3</v>
      </c>
      <c r="E46" s="194" t="n">
        <v>0.2495072920772566</v>
      </c>
      <c r="F46" s="205" t="n">
        <v>0</v>
      </c>
      <c r="G46" s="205" t="n">
        <v>59.47</v>
      </c>
      <c r="H46" s="194" t="n">
        <v>0.2344107213243989</v>
      </c>
      <c r="I46" s="205" t="n">
        <v>0</v>
      </c>
      <c r="J46" s="205" t="n">
        <v>0</v>
      </c>
      <c r="K46" s="194" t="n">
        <v>0</v>
      </c>
    </row>
    <row r="47">
      <c r="A47" s="311" t="n">
        <v>46131</v>
      </c>
      <c r="B47" s="204" t="n">
        <v>17</v>
      </c>
      <c r="C47" s="205" t="n">
        <v>0</v>
      </c>
      <c r="D47" s="205" t="n">
        <v>63.3</v>
      </c>
      <c r="E47" s="194" t="n">
        <v>0.2495072920772566</v>
      </c>
      <c r="F47" s="205" t="n">
        <v>0</v>
      </c>
      <c r="G47" s="205" t="n">
        <v>59.47</v>
      </c>
      <c r="H47" s="194" t="n">
        <v>0.2344107213243989</v>
      </c>
      <c r="I47" s="205" t="n">
        <v>0</v>
      </c>
      <c r="J47" s="205" t="n">
        <v>0</v>
      </c>
      <c r="K47" s="194" t="n">
        <v>0</v>
      </c>
    </row>
    <row r="48">
      <c r="A48" s="311" t="n">
        <v>46132</v>
      </c>
      <c r="B48" s="204" t="n">
        <v>17</v>
      </c>
      <c r="C48" s="205" t="n">
        <v>1</v>
      </c>
      <c r="D48" s="205" t="n">
        <v>64.3</v>
      </c>
      <c r="E48" s="194" t="n">
        <v>0.2534489554592038</v>
      </c>
      <c r="F48" s="205" t="n">
        <v>0</v>
      </c>
      <c r="G48" s="205" t="n">
        <v>59.47</v>
      </c>
      <c r="H48" s="194" t="n">
        <v>0.2344107213243989</v>
      </c>
      <c r="I48" s="205" t="n">
        <v>0</v>
      </c>
      <c r="J48" s="205" t="n">
        <v>0</v>
      </c>
      <c r="K48" s="194" t="n">
        <v>0</v>
      </c>
    </row>
    <row r="49">
      <c r="A49" s="311" t="n">
        <v>46133</v>
      </c>
      <c r="B49" s="204" t="n">
        <v>17</v>
      </c>
      <c r="C49" s="205" t="n">
        <v>1</v>
      </c>
      <c r="D49" s="205" t="n">
        <v>65.3</v>
      </c>
      <c r="E49" s="194" t="n">
        <v>0.257390618841151</v>
      </c>
      <c r="F49" s="205" t="n">
        <v>0</v>
      </c>
      <c r="G49" s="205" t="n">
        <v>59.47</v>
      </c>
      <c r="H49" s="194" t="n">
        <v>0.2344107213243989</v>
      </c>
      <c r="I49" s="205" t="n">
        <v>0</v>
      </c>
      <c r="J49" s="205" t="n">
        <v>0</v>
      </c>
      <c r="K49" s="194" t="n">
        <v>0</v>
      </c>
    </row>
    <row r="50">
      <c r="A50" s="311" t="n">
        <v>46134</v>
      </c>
      <c r="B50" s="204" t="n">
        <v>17</v>
      </c>
      <c r="C50" s="205" t="n">
        <v>1</v>
      </c>
      <c r="D50" s="205" t="n">
        <v>66.3</v>
      </c>
      <c r="E50" s="194" t="n">
        <v>0.2613322822230982</v>
      </c>
      <c r="F50" s="205" t="n">
        <v>0</v>
      </c>
      <c r="G50" s="205" t="n">
        <v>59.47</v>
      </c>
      <c r="H50" s="194" t="n">
        <v>0.2344107213243989</v>
      </c>
      <c r="I50" s="205" t="n">
        <v>0</v>
      </c>
      <c r="J50" s="205" t="n">
        <v>0</v>
      </c>
      <c r="K50" s="194" t="n">
        <v>0</v>
      </c>
    </row>
    <row r="51">
      <c r="A51" s="311" t="n">
        <v>46135</v>
      </c>
      <c r="B51" s="204" t="n">
        <v>17</v>
      </c>
      <c r="C51" s="205" t="n">
        <v>1</v>
      </c>
      <c r="D51" s="205" t="n">
        <v>67.3</v>
      </c>
      <c r="E51" s="194" t="n">
        <v>0.2652739456050454</v>
      </c>
      <c r="F51" s="205" t="n">
        <v>0</v>
      </c>
      <c r="G51" s="205" t="n">
        <v>59.47</v>
      </c>
      <c r="H51" s="194" t="n">
        <v>0.2344107213243989</v>
      </c>
      <c r="I51" s="205" t="n">
        <v>0</v>
      </c>
      <c r="J51" s="205" t="n">
        <v>0</v>
      </c>
      <c r="K51" s="194" t="n">
        <v>0</v>
      </c>
    </row>
    <row r="52">
      <c r="A52" s="311" t="n">
        <v>46136</v>
      </c>
      <c r="B52" s="204" t="n">
        <v>17</v>
      </c>
      <c r="C52" s="205" t="n">
        <v>1</v>
      </c>
      <c r="D52" s="205" t="n">
        <v>68.3</v>
      </c>
      <c r="E52" s="194" t="n">
        <v>0.2692156089869926</v>
      </c>
      <c r="F52" s="205" t="n">
        <v>0</v>
      </c>
      <c r="G52" s="205" t="n">
        <v>59.47</v>
      </c>
      <c r="H52" s="194" t="n">
        <v>0.2344107213243989</v>
      </c>
      <c r="I52" s="205" t="n">
        <v>0</v>
      </c>
      <c r="J52" s="205" t="n">
        <v>0</v>
      </c>
      <c r="K52" s="194" t="n">
        <v>0</v>
      </c>
    </row>
    <row r="53">
      <c r="A53" s="311" t="n">
        <v>46137</v>
      </c>
      <c r="B53" s="204" t="n">
        <v>17</v>
      </c>
      <c r="C53" s="205" t="n">
        <v>0</v>
      </c>
      <c r="D53" s="205" t="n">
        <v>68.3</v>
      </c>
      <c r="E53" s="194" t="n">
        <v>0.2692156089869926</v>
      </c>
      <c r="F53" s="205" t="n">
        <v>0</v>
      </c>
      <c r="G53" s="205" t="n">
        <v>59.47</v>
      </c>
      <c r="H53" s="194" t="n">
        <v>0.2344107213243989</v>
      </c>
      <c r="I53" s="205" t="n">
        <v>0</v>
      </c>
      <c r="J53" s="205" t="n">
        <v>0</v>
      </c>
      <c r="K53" s="194" t="n">
        <v>0</v>
      </c>
    </row>
    <row r="54">
      <c r="A54" s="311" t="n">
        <v>46138</v>
      </c>
      <c r="B54" s="204" t="n">
        <v>18</v>
      </c>
      <c r="C54" s="205" t="n">
        <v>0</v>
      </c>
      <c r="D54" s="205" t="n">
        <v>68.3</v>
      </c>
      <c r="E54" s="194" t="n">
        <v>0.2692156089869926</v>
      </c>
      <c r="F54" s="205" t="n">
        <v>0</v>
      </c>
      <c r="G54" s="205" t="n">
        <v>59.47</v>
      </c>
      <c r="H54" s="194" t="n">
        <v>0.2344107213243989</v>
      </c>
      <c r="I54" s="205" t="n">
        <v>0</v>
      </c>
      <c r="J54" s="205" t="n">
        <v>0</v>
      </c>
      <c r="K54" s="194" t="n">
        <v>0</v>
      </c>
    </row>
    <row r="55">
      <c r="A55" s="311" t="n">
        <v>46139</v>
      </c>
      <c r="B55" s="204" t="n">
        <v>18</v>
      </c>
      <c r="C55" s="205" t="n">
        <v>1</v>
      </c>
      <c r="D55" s="205" t="n">
        <v>69.3</v>
      </c>
      <c r="E55" s="194" t="n">
        <v>0.2731572723689398</v>
      </c>
      <c r="F55" s="205" t="n">
        <v>0</v>
      </c>
      <c r="G55" s="205" t="n">
        <v>59.47</v>
      </c>
      <c r="H55" s="194" t="n">
        <v>0.2344107213243989</v>
      </c>
      <c r="I55" s="205" t="n">
        <v>0</v>
      </c>
      <c r="J55" s="205" t="n">
        <v>0</v>
      </c>
      <c r="K55" s="194" t="n">
        <v>0</v>
      </c>
    </row>
    <row r="56">
      <c r="A56" s="311" t="n">
        <v>46140</v>
      </c>
      <c r="B56" s="204" t="n">
        <v>18</v>
      </c>
      <c r="C56" s="205" t="n">
        <v>0</v>
      </c>
      <c r="D56" s="205" t="n">
        <v>69.3</v>
      </c>
      <c r="E56" s="194" t="n">
        <v>0.2731572723689398</v>
      </c>
      <c r="F56" s="205" t="n">
        <v>0</v>
      </c>
      <c r="G56" s="205" t="n">
        <v>59.47</v>
      </c>
      <c r="H56" s="194" t="n">
        <v>0.2344107213243989</v>
      </c>
      <c r="I56" s="205" t="n">
        <v>0</v>
      </c>
      <c r="J56" s="205" t="n">
        <v>0</v>
      </c>
      <c r="K56" s="194" t="n">
        <v>0</v>
      </c>
    </row>
    <row r="57">
      <c r="A57" s="311" t="n">
        <v>46141</v>
      </c>
      <c r="B57" s="204" t="n">
        <v>18</v>
      </c>
      <c r="C57" s="205" t="n">
        <v>0</v>
      </c>
      <c r="D57" s="205" t="n">
        <v>69.3</v>
      </c>
      <c r="E57" s="194" t="n">
        <v>0.2731572723689398</v>
      </c>
      <c r="F57" s="205" t="n">
        <v>0</v>
      </c>
      <c r="G57" s="205" t="n">
        <v>59.47</v>
      </c>
      <c r="H57" s="194" t="n">
        <v>0.2344107213243989</v>
      </c>
      <c r="I57" s="205" t="n">
        <v>0</v>
      </c>
      <c r="J57" s="205" t="n">
        <v>0</v>
      </c>
      <c r="K57" s="194" t="n">
        <v>0</v>
      </c>
    </row>
    <row r="58">
      <c r="A58" s="311" t="n">
        <v>46142</v>
      </c>
      <c r="B58" s="204" t="n">
        <v>18</v>
      </c>
      <c r="C58" s="205" t="n">
        <v>1.2</v>
      </c>
      <c r="D58" s="205" t="n">
        <v>70.5</v>
      </c>
      <c r="E58" s="194" t="n">
        <v>0.2778872684272764</v>
      </c>
      <c r="F58" s="205" t="n">
        <v>0</v>
      </c>
      <c r="G58" s="205" t="n">
        <v>59.47</v>
      </c>
      <c r="H58" s="194" t="n">
        <v>0.2344107213243989</v>
      </c>
      <c r="I58" s="205" t="n">
        <v>0</v>
      </c>
      <c r="J58" s="205" t="n">
        <v>0</v>
      </c>
      <c r="K58" s="194" t="n">
        <v>0</v>
      </c>
    </row>
    <row r="59">
      <c r="A59" s="311" t="n">
        <v>46143</v>
      </c>
      <c r="B59" s="204" t="n">
        <v>18</v>
      </c>
      <c r="C59" s="205" t="n">
        <v>1</v>
      </c>
      <c r="D59" s="205" t="n">
        <v>71.5</v>
      </c>
      <c r="E59" s="194" t="n">
        <v>0.2818289318092236</v>
      </c>
      <c r="F59" s="205" t="n">
        <v>0</v>
      </c>
      <c r="G59" s="205" t="n">
        <v>59.47</v>
      </c>
      <c r="H59" s="194" t="n">
        <v>0.2344107213243989</v>
      </c>
      <c r="I59" s="205" t="n">
        <v>0</v>
      </c>
      <c r="J59" s="205" t="n">
        <v>0</v>
      </c>
      <c r="K59" s="194" t="n">
        <v>0</v>
      </c>
    </row>
    <row r="60">
      <c r="A60" s="311" t="n">
        <v>46144</v>
      </c>
      <c r="B60" s="204" t="n">
        <v>18</v>
      </c>
      <c r="C60" s="205" t="n">
        <v>0</v>
      </c>
      <c r="D60" s="205" t="n">
        <v>71.5</v>
      </c>
      <c r="E60" s="194" t="n">
        <v>0.2818289318092236</v>
      </c>
      <c r="F60" s="205" t="n">
        <v>0</v>
      </c>
      <c r="G60" s="205" t="n">
        <v>59.47</v>
      </c>
      <c r="H60" s="194" t="n">
        <v>0.2344107213243989</v>
      </c>
      <c r="I60" s="205" t="n">
        <v>0</v>
      </c>
      <c r="J60" s="205" t="n">
        <v>0</v>
      </c>
      <c r="K60" s="194" t="n">
        <v>0</v>
      </c>
    </row>
    <row r="61">
      <c r="A61" s="311" t="n">
        <v>46145</v>
      </c>
      <c r="B61" s="204" t="n">
        <v>19</v>
      </c>
      <c r="C61" s="205" t="n">
        <v>0</v>
      </c>
      <c r="D61" s="205" t="n">
        <v>71.5</v>
      </c>
      <c r="E61" s="194" t="n">
        <v>0.2818289318092236</v>
      </c>
      <c r="F61" s="205" t="n">
        <v>0</v>
      </c>
      <c r="G61" s="205" t="n">
        <v>59.47</v>
      </c>
      <c r="H61" s="194" t="n">
        <v>0.2344107213243989</v>
      </c>
      <c r="I61" s="205" t="n">
        <v>0</v>
      </c>
      <c r="J61" s="205" t="n">
        <v>0</v>
      </c>
      <c r="K61" s="194" t="n">
        <v>0</v>
      </c>
    </row>
    <row r="62">
      <c r="A62" s="311" t="n">
        <v>46146</v>
      </c>
      <c r="B62" s="204" t="n">
        <v>19</v>
      </c>
      <c r="C62" s="205" t="n">
        <v>3</v>
      </c>
      <c r="D62" s="205" t="n">
        <v>74.5</v>
      </c>
      <c r="E62" s="194" t="n">
        <v>0.2936539219550651</v>
      </c>
      <c r="F62" s="205" t="n">
        <v>0</v>
      </c>
      <c r="G62" s="205" t="n">
        <v>59.47</v>
      </c>
      <c r="H62" s="194" t="n">
        <v>0.2344107213243989</v>
      </c>
      <c r="I62" s="205" t="n">
        <v>0</v>
      </c>
      <c r="J62" s="205" t="n">
        <v>0</v>
      </c>
      <c r="K62" s="194" t="n">
        <v>0</v>
      </c>
    </row>
    <row r="63">
      <c r="A63" s="311" t="n">
        <v>46147</v>
      </c>
      <c r="B63" s="204" t="n">
        <v>19</v>
      </c>
      <c r="C63" s="205" t="n">
        <v>0</v>
      </c>
      <c r="D63" s="205" t="n">
        <v>74.5</v>
      </c>
      <c r="E63" s="194" t="n">
        <v>0.2936539219550651</v>
      </c>
      <c r="F63" s="205" t="n">
        <v>0</v>
      </c>
      <c r="G63" s="205" t="n">
        <v>59.47</v>
      </c>
      <c r="H63" s="194" t="n">
        <v>0.2344107213243989</v>
      </c>
      <c r="I63" s="205" t="n">
        <v>0</v>
      </c>
      <c r="J63" s="205" t="n">
        <v>0</v>
      </c>
      <c r="K63" s="194" t="n">
        <v>0</v>
      </c>
    </row>
    <row r="64">
      <c r="A64" s="311" t="n">
        <v>46148</v>
      </c>
      <c r="B64" s="204" t="n">
        <v>19</v>
      </c>
      <c r="C64" s="205" t="n">
        <v>3</v>
      </c>
      <c r="D64" s="205" t="n">
        <v>77.5</v>
      </c>
      <c r="E64" s="194" t="n">
        <v>0.3054789121009067</v>
      </c>
      <c r="F64" s="205" t="n">
        <v>0</v>
      </c>
      <c r="G64" s="205" t="n">
        <v>59.47</v>
      </c>
      <c r="H64" s="194" t="n">
        <v>0.2344107213243989</v>
      </c>
      <c r="I64" s="205" t="n">
        <v>0</v>
      </c>
      <c r="J64" s="205" t="n">
        <v>0</v>
      </c>
      <c r="K64" s="194" t="n">
        <v>0</v>
      </c>
    </row>
    <row r="65">
      <c r="A65" s="311" t="n">
        <v>46149</v>
      </c>
      <c r="B65" s="204" t="n">
        <v>19</v>
      </c>
      <c r="C65" s="205" t="n">
        <v>5</v>
      </c>
      <c r="D65" s="205" t="n">
        <v>82.5</v>
      </c>
      <c r="E65" s="194" t="n">
        <v>0.3251872290106426</v>
      </c>
      <c r="F65" s="205" t="n">
        <v>0</v>
      </c>
      <c r="G65" s="205" t="n">
        <v>59.47</v>
      </c>
      <c r="H65" s="194" t="n">
        <v>0.2344107213243989</v>
      </c>
      <c r="I65" s="205" t="n">
        <v>0</v>
      </c>
      <c r="J65" s="205" t="n">
        <v>0</v>
      </c>
      <c r="K65" s="194" t="n">
        <v>0</v>
      </c>
    </row>
    <row r="66">
      <c r="A66" s="311" t="n">
        <v>46150</v>
      </c>
      <c r="B66" s="204" t="n">
        <v>19</v>
      </c>
      <c r="C66" s="205" t="n">
        <v>4</v>
      </c>
      <c r="D66" s="205" t="n">
        <v>86.5</v>
      </c>
      <c r="E66" s="194" t="n">
        <v>0.3409538825384313</v>
      </c>
      <c r="F66" s="205" t="n">
        <v>0</v>
      </c>
      <c r="G66" s="205" t="n">
        <v>59.47</v>
      </c>
      <c r="H66" s="194" t="n">
        <v>0.2344107213243989</v>
      </c>
      <c r="I66" s="205" t="n">
        <v>0</v>
      </c>
      <c r="J66" s="205" t="n">
        <v>0</v>
      </c>
      <c r="K66" s="194" t="n">
        <v>0</v>
      </c>
    </row>
    <row r="67">
      <c r="A67" s="311" t="n">
        <v>46151</v>
      </c>
      <c r="B67" s="204" t="n">
        <v>19</v>
      </c>
      <c r="C67" s="205" t="n">
        <v>0</v>
      </c>
      <c r="D67" s="205" t="n">
        <v>86.5</v>
      </c>
      <c r="E67" s="194" t="n">
        <v>0.3409538825384313</v>
      </c>
      <c r="F67" s="205" t="n">
        <v>0</v>
      </c>
      <c r="G67" s="205" t="n">
        <v>59.47</v>
      </c>
      <c r="H67" s="194" t="n">
        <v>0.2344107213243989</v>
      </c>
      <c r="I67" s="205" t="n">
        <v>0</v>
      </c>
      <c r="J67" s="205" t="n">
        <v>0</v>
      </c>
      <c r="K67" s="194" t="n">
        <v>0</v>
      </c>
    </row>
    <row r="68">
      <c r="A68" s="311" t="n">
        <v>46152</v>
      </c>
      <c r="B68" s="204" t="n">
        <v>20</v>
      </c>
      <c r="C68" s="205" t="n">
        <v>0</v>
      </c>
      <c r="D68" s="205" t="n">
        <v>86.5</v>
      </c>
      <c r="E68" s="194" t="n">
        <v>0.3409538825384313</v>
      </c>
      <c r="F68" s="205" t="n">
        <v>0</v>
      </c>
      <c r="G68" s="205" t="n">
        <v>59.47</v>
      </c>
      <c r="H68" s="194" t="n">
        <v>0.2344107213243989</v>
      </c>
      <c r="I68" s="205" t="n">
        <v>0</v>
      </c>
      <c r="J68" s="205" t="n">
        <v>0</v>
      </c>
      <c r="K68" s="194" t="n">
        <v>0</v>
      </c>
    </row>
    <row r="69">
      <c r="A69" s="311" t="n">
        <v>46153</v>
      </c>
      <c r="B69" s="204" t="n">
        <v>20</v>
      </c>
      <c r="C69" s="205" t="n">
        <v>3</v>
      </c>
      <c r="D69" s="205" t="n">
        <v>89.5</v>
      </c>
      <c r="E69" s="194" t="n">
        <v>0.3527788726842728</v>
      </c>
      <c r="F69" s="205" t="n">
        <v>0</v>
      </c>
      <c r="G69" s="205" t="n">
        <v>59.47</v>
      </c>
      <c r="H69" s="194" t="n">
        <v>0.2344107213243989</v>
      </c>
      <c r="I69" s="205" t="n">
        <v>0</v>
      </c>
      <c r="J69" s="205" t="n">
        <v>0</v>
      </c>
      <c r="K69" s="194" t="n">
        <v>0</v>
      </c>
    </row>
    <row r="70">
      <c r="A70" s="311" t="n">
        <v>46154</v>
      </c>
      <c r="B70" s="204" t="n">
        <v>20</v>
      </c>
      <c r="C70" s="205" t="n">
        <v>3</v>
      </c>
      <c r="D70" s="205" t="n">
        <v>92.5</v>
      </c>
      <c r="E70" s="194" t="n">
        <v>0.3646038628301144</v>
      </c>
      <c r="F70" s="205" t="n">
        <v>0</v>
      </c>
      <c r="G70" s="205" t="n">
        <v>59.47</v>
      </c>
      <c r="H70" s="194" t="n">
        <v>0.2344107213243989</v>
      </c>
      <c r="I70" s="205" t="n">
        <v>0</v>
      </c>
      <c r="J70" s="205" t="n">
        <v>0</v>
      </c>
      <c r="K70" s="194" t="n">
        <v>0</v>
      </c>
    </row>
    <row r="71">
      <c r="A71" s="311" t="n">
        <v>46155</v>
      </c>
      <c r="B71" s="204" t="n">
        <v>20</v>
      </c>
      <c r="C71" s="205" t="n">
        <v>3</v>
      </c>
      <c r="D71" s="205" t="n">
        <v>95.5</v>
      </c>
      <c r="E71" s="194" t="n">
        <v>0.3764288529759559</v>
      </c>
      <c r="F71" s="205" t="n">
        <v>0</v>
      </c>
      <c r="G71" s="205" t="n">
        <v>59.47</v>
      </c>
      <c r="H71" s="194" t="n">
        <v>0.2344107213243989</v>
      </c>
      <c r="I71" s="205" t="n">
        <v>0</v>
      </c>
      <c r="J71" s="205" t="n">
        <v>0</v>
      </c>
      <c r="K71" s="194" t="n">
        <v>0</v>
      </c>
    </row>
    <row r="72">
      <c r="A72" s="311" t="n">
        <v>46156</v>
      </c>
      <c r="B72" s="204" t="n">
        <v>20</v>
      </c>
      <c r="C72" s="205" t="n">
        <v>3</v>
      </c>
      <c r="D72" s="205" t="n">
        <v>98.5</v>
      </c>
      <c r="E72" s="194" t="n">
        <v>0.3882538431217974</v>
      </c>
      <c r="F72" s="205" t="n">
        <v>0</v>
      </c>
      <c r="G72" s="205" t="n">
        <v>59.47</v>
      </c>
      <c r="H72" s="194" t="n">
        <v>0.2344107213243989</v>
      </c>
      <c r="I72" s="205" t="n">
        <v>0</v>
      </c>
      <c r="J72" s="205" t="n">
        <v>0</v>
      </c>
      <c r="K72" s="194" t="n">
        <v>0</v>
      </c>
    </row>
    <row r="73">
      <c r="A73" s="311" t="n">
        <v>46157</v>
      </c>
      <c r="B73" s="204" t="n">
        <v>20</v>
      </c>
      <c r="C73" s="205" t="n">
        <v>3</v>
      </c>
      <c r="D73" s="205" t="n">
        <v>101.5</v>
      </c>
      <c r="E73" s="194" t="n">
        <v>0.400078833267639</v>
      </c>
      <c r="F73" s="205" t="n">
        <v>0</v>
      </c>
      <c r="G73" s="205" t="n">
        <v>59.47</v>
      </c>
      <c r="H73" s="194" t="n">
        <v>0.2344107213243989</v>
      </c>
      <c r="I73" s="205" t="n">
        <v>0</v>
      </c>
      <c r="J73" s="205" t="n">
        <v>0</v>
      </c>
      <c r="K73" s="194" t="n">
        <v>0</v>
      </c>
    </row>
    <row r="74">
      <c r="A74" s="311" t="n">
        <v>46158</v>
      </c>
      <c r="B74" s="204" t="n">
        <v>20</v>
      </c>
      <c r="C74" s="205" t="n">
        <v>0</v>
      </c>
      <c r="D74" s="205" t="n">
        <v>101.5</v>
      </c>
      <c r="E74" s="194" t="n">
        <v>0.400078833267639</v>
      </c>
      <c r="F74" s="205" t="n">
        <v>0</v>
      </c>
      <c r="G74" s="205" t="n">
        <v>59.47</v>
      </c>
      <c r="H74" s="194" t="n">
        <v>0.2344107213243989</v>
      </c>
      <c r="I74" s="205" t="n">
        <v>0</v>
      </c>
      <c r="J74" s="205" t="n">
        <v>0</v>
      </c>
      <c r="K74" s="194" t="n">
        <v>0</v>
      </c>
    </row>
    <row r="75">
      <c r="A75" s="311" t="n">
        <v>46159</v>
      </c>
      <c r="B75" s="204" t="n">
        <v>21</v>
      </c>
      <c r="C75" s="205" t="n">
        <v>0</v>
      </c>
      <c r="D75" s="205" t="n">
        <v>101.5</v>
      </c>
      <c r="E75" s="194" t="n">
        <v>0.400078833267639</v>
      </c>
      <c r="F75" s="205" t="n">
        <v>0</v>
      </c>
      <c r="G75" s="205" t="n">
        <v>59.47</v>
      </c>
      <c r="H75" s="194" t="n">
        <v>0.2344107213243989</v>
      </c>
      <c r="I75" s="205" t="n">
        <v>0</v>
      </c>
      <c r="J75" s="205" t="n">
        <v>0</v>
      </c>
      <c r="K75" s="194" t="n">
        <v>0</v>
      </c>
    </row>
    <row r="76">
      <c r="A76" s="311" t="n">
        <v>46160</v>
      </c>
      <c r="B76" s="204" t="n">
        <v>21</v>
      </c>
      <c r="C76" s="205" t="n">
        <v>4</v>
      </c>
      <c r="D76" s="205" t="n">
        <v>105.5</v>
      </c>
      <c r="E76" s="194" t="n">
        <v>0.4158454867954278</v>
      </c>
      <c r="F76" s="205" t="n">
        <v>0</v>
      </c>
      <c r="G76" s="205" t="n">
        <v>59.47</v>
      </c>
      <c r="H76" s="194" t="n">
        <v>0.2344107213243989</v>
      </c>
      <c r="I76" s="205" t="n">
        <v>0</v>
      </c>
      <c r="J76" s="205" t="n">
        <v>0</v>
      </c>
      <c r="K76" s="194" t="n">
        <v>0</v>
      </c>
    </row>
    <row r="77">
      <c r="A77" s="311" t="n">
        <v>46161</v>
      </c>
      <c r="B77" s="204" t="n">
        <v>21</v>
      </c>
      <c r="C77" s="205" t="n">
        <v>3</v>
      </c>
      <c r="D77" s="205" t="n">
        <v>108.5</v>
      </c>
      <c r="E77" s="194" t="n">
        <v>0.4276704769412693</v>
      </c>
      <c r="F77" s="205" t="n">
        <v>0</v>
      </c>
      <c r="G77" s="205" t="n">
        <v>59.47</v>
      </c>
      <c r="H77" s="194" t="n">
        <v>0.2344107213243989</v>
      </c>
      <c r="I77" s="205" t="n">
        <v>0</v>
      </c>
      <c r="J77" s="205" t="n">
        <v>0</v>
      </c>
      <c r="K77" s="194" t="n">
        <v>0</v>
      </c>
    </row>
    <row r="78">
      <c r="A78" s="311" t="n">
        <v>46162</v>
      </c>
      <c r="B78" s="204" t="n">
        <v>21</v>
      </c>
      <c r="C78" s="205" t="n">
        <v>3</v>
      </c>
      <c r="D78" s="205" t="n">
        <v>111.5</v>
      </c>
      <c r="E78" s="194" t="n">
        <v>0.4394954670871108</v>
      </c>
      <c r="F78" s="205" t="n">
        <v>0</v>
      </c>
      <c r="G78" s="205" t="n">
        <v>59.47</v>
      </c>
      <c r="H78" s="194" t="n">
        <v>0.2344107213243989</v>
      </c>
      <c r="I78" s="205" t="n">
        <v>0</v>
      </c>
      <c r="J78" s="205" t="n">
        <v>0</v>
      </c>
      <c r="K78" s="194" t="n">
        <v>0</v>
      </c>
    </row>
    <row r="79">
      <c r="A79" s="311" t="n">
        <v>46163</v>
      </c>
      <c r="B79" s="204" t="n">
        <v>21</v>
      </c>
      <c r="C79" s="205" t="n">
        <v>4</v>
      </c>
      <c r="D79" s="205" t="n">
        <v>115.5</v>
      </c>
      <c r="E79" s="194" t="n">
        <v>0.4552621206148996</v>
      </c>
      <c r="F79" s="205" t="n">
        <v>0</v>
      </c>
      <c r="G79" s="205" t="n">
        <v>59.47</v>
      </c>
      <c r="H79" s="194" t="n">
        <v>0.2344107213243989</v>
      </c>
      <c r="I79" s="205" t="n">
        <v>0</v>
      </c>
      <c r="J79" s="205" t="n">
        <v>0</v>
      </c>
      <c r="K79" s="194" t="n">
        <v>0</v>
      </c>
    </row>
    <row r="80">
      <c r="A80" s="311" t="n">
        <v>46164</v>
      </c>
      <c r="B80" s="204" t="n">
        <v>21</v>
      </c>
      <c r="C80" s="205" t="n">
        <v>4</v>
      </c>
      <c r="D80" s="205" t="n">
        <v>119.5</v>
      </c>
      <c r="E80" s="194" t="n">
        <v>0.4710287741426883</v>
      </c>
      <c r="F80" s="205" t="n">
        <v>0</v>
      </c>
      <c r="G80" s="205" t="n">
        <v>59.47</v>
      </c>
      <c r="H80" s="194" t="n">
        <v>0.2344107213243989</v>
      </c>
      <c r="I80" s="205" t="n">
        <v>0</v>
      </c>
      <c r="J80" s="205" t="n">
        <v>0</v>
      </c>
      <c r="K80" s="194" t="n">
        <v>0</v>
      </c>
    </row>
    <row r="81">
      <c r="A81" s="311" t="n">
        <v>46165</v>
      </c>
      <c r="B81" s="204" t="n">
        <v>21</v>
      </c>
      <c r="C81" s="205" t="n">
        <v>0</v>
      </c>
      <c r="D81" s="205" t="n">
        <v>119.5</v>
      </c>
      <c r="E81" s="194" t="n">
        <v>0.4710287741426883</v>
      </c>
      <c r="F81" s="205" t="n">
        <v>0</v>
      </c>
      <c r="G81" s="205" t="n">
        <v>59.47</v>
      </c>
      <c r="H81" s="194" t="n">
        <v>0.2344107213243989</v>
      </c>
      <c r="I81" s="205" t="n">
        <v>0</v>
      </c>
      <c r="J81" s="205" t="n">
        <v>0</v>
      </c>
      <c r="K81" s="194" t="n">
        <v>0</v>
      </c>
    </row>
    <row r="82">
      <c r="A82" s="311" t="n">
        <v>46166</v>
      </c>
      <c r="B82" s="204" t="n">
        <v>22</v>
      </c>
      <c r="C82" s="205" t="n">
        <v>0</v>
      </c>
      <c r="D82" s="205" t="n">
        <v>119.5</v>
      </c>
      <c r="E82" s="194" t="n">
        <v>0.4710287741426883</v>
      </c>
      <c r="F82" s="205" t="n">
        <v>0</v>
      </c>
      <c r="G82" s="205" t="n">
        <v>59.47</v>
      </c>
      <c r="H82" s="194" t="n">
        <v>0.2344107213243989</v>
      </c>
      <c r="I82" s="205" t="n">
        <v>0</v>
      </c>
      <c r="J82" s="205" t="n">
        <v>0</v>
      </c>
      <c r="K82" s="194" t="n">
        <v>0</v>
      </c>
    </row>
    <row r="83">
      <c r="A83" s="311" t="n">
        <v>46167</v>
      </c>
      <c r="B83" s="204" t="n">
        <v>22</v>
      </c>
      <c r="C83" s="205" t="n">
        <v>0</v>
      </c>
      <c r="D83" s="205" t="n">
        <v>119.5</v>
      </c>
      <c r="E83" s="194" t="n">
        <v>0.4710287741426883</v>
      </c>
      <c r="F83" s="205" t="n">
        <v>0</v>
      </c>
      <c r="G83" s="205" t="n">
        <v>59.47</v>
      </c>
      <c r="H83" s="194" t="n">
        <v>0.2344107213243989</v>
      </c>
      <c r="I83" s="205" t="n">
        <v>0</v>
      </c>
      <c r="J83" s="205" t="n">
        <v>0</v>
      </c>
      <c r="K83" s="194" t="n">
        <v>0</v>
      </c>
    </row>
    <row r="84">
      <c r="A84" s="311" t="n">
        <v>46168</v>
      </c>
      <c r="B84" s="204" t="n">
        <v>22</v>
      </c>
      <c r="C84" s="205" t="n">
        <v>4</v>
      </c>
      <c r="D84" s="205" t="n">
        <v>123.5</v>
      </c>
      <c r="E84" s="194" t="n">
        <v>0.486795427670477</v>
      </c>
      <c r="F84" s="205" t="n">
        <v>0</v>
      </c>
      <c r="G84" s="205" t="n">
        <v>59.47</v>
      </c>
      <c r="H84" s="194" t="n">
        <v>0.2344107213243989</v>
      </c>
      <c r="I84" s="205" t="n">
        <v>0</v>
      </c>
      <c r="J84" s="205" t="n">
        <v>0</v>
      </c>
      <c r="K84" s="194" t="n">
        <v>0</v>
      </c>
    </row>
    <row r="85">
      <c r="A85" s="311" t="n">
        <v>46169</v>
      </c>
      <c r="B85" s="204" t="n">
        <v>22</v>
      </c>
      <c r="C85" s="205" t="n">
        <v>4</v>
      </c>
      <c r="D85" s="205" t="n">
        <v>127.5</v>
      </c>
      <c r="E85" s="194" t="n">
        <v>0.5025620811982657</v>
      </c>
      <c r="F85" s="205" t="n">
        <v>0</v>
      </c>
      <c r="G85" s="205" t="n">
        <v>59.47</v>
      </c>
      <c r="H85" s="194" t="n">
        <v>0.2344107213243989</v>
      </c>
      <c r="I85" s="205" t="n">
        <v>0</v>
      </c>
      <c r="J85" s="205" t="n">
        <v>0</v>
      </c>
      <c r="K85" s="194" t="n">
        <v>0</v>
      </c>
    </row>
    <row r="86">
      <c r="A86" s="311" t="n">
        <v>46170</v>
      </c>
      <c r="B86" s="204" t="n">
        <v>22</v>
      </c>
      <c r="C86" s="205" t="n">
        <v>4</v>
      </c>
      <c r="D86" s="205" t="n">
        <v>131.5</v>
      </c>
      <c r="E86" s="194" t="n">
        <v>0.5183287347260545</v>
      </c>
      <c r="F86" s="205" t="n">
        <v>0</v>
      </c>
      <c r="G86" s="205" t="n">
        <v>59.47</v>
      </c>
      <c r="H86" s="194" t="n">
        <v>0.2344107213243989</v>
      </c>
      <c r="I86" s="205" t="n">
        <v>0</v>
      </c>
      <c r="J86" s="205" t="n">
        <v>0</v>
      </c>
      <c r="K86" s="194" t="n">
        <v>0</v>
      </c>
    </row>
    <row r="87">
      <c r="A87" s="311" t="n">
        <v>46171</v>
      </c>
      <c r="B87" s="204" t="n">
        <v>22</v>
      </c>
      <c r="C87" s="205" t="n">
        <v>4</v>
      </c>
      <c r="D87" s="205" t="n">
        <v>135.5</v>
      </c>
      <c r="E87" s="194" t="n">
        <v>0.5340953882538432</v>
      </c>
      <c r="F87" s="205" t="n">
        <v>0</v>
      </c>
      <c r="G87" s="205" t="n">
        <v>59.47</v>
      </c>
      <c r="H87" s="194" t="n">
        <v>0.2344107213243989</v>
      </c>
      <c r="I87" s="205" t="n">
        <v>0</v>
      </c>
      <c r="J87" s="205" t="n">
        <v>0</v>
      </c>
      <c r="K87" s="194" t="n">
        <v>0</v>
      </c>
    </row>
    <row r="88">
      <c r="A88" s="311" t="n">
        <v>46172</v>
      </c>
      <c r="B88" s="204" t="n">
        <v>22</v>
      </c>
      <c r="C88" s="205" t="n">
        <v>0</v>
      </c>
      <c r="D88" s="205" t="n">
        <v>135.5</v>
      </c>
      <c r="E88" s="194" t="n">
        <v>0.5340953882538432</v>
      </c>
      <c r="F88" s="205" t="n">
        <v>0</v>
      </c>
      <c r="G88" s="205" t="n">
        <v>59.47</v>
      </c>
      <c r="H88" s="194" t="n">
        <v>0.2344107213243989</v>
      </c>
      <c r="I88" s="205" t="n">
        <v>0</v>
      </c>
      <c r="J88" s="205" t="n">
        <v>0</v>
      </c>
      <c r="K88" s="194" t="n">
        <v>0</v>
      </c>
    </row>
    <row r="89">
      <c r="A89" s="311" t="n">
        <v>46173</v>
      </c>
      <c r="B89" s="204" t="n">
        <v>23</v>
      </c>
      <c r="C89" s="205" t="n">
        <v>0</v>
      </c>
      <c r="D89" s="205" t="n">
        <v>135.5</v>
      </c>
      <c r="E89" s="194" t="n">
        <v>0.5340953882538432</v>
      </c>
      <c r="F89" s="205" t="n">
        <v>0</v>
      </c>
      <c r="G89" s="205" t="n">
        <v>59.47</v>
      </c>
      <c r="H89" s="194" t="n">
        <v>0.2344107213243989</v>
      </c>
      <c r="I89" s="205" t="n">
        <v>0</v>
      </c>
      <c r="J89" s="205" t="n">
        <v>0</v>
      </c>
      <c r="K89" s="194" t="n">
        <v>0</v>
      </c>
    </row>
    <row r="90">
      <c r="A90" s="311" t="n">
        <v>46174</v>
      </c>
      <c r="B90" s="204" t="n">
        <v>23</v>
      </c>
      <c r="C90" s="205" t="n">
        <v>4</v>
      </c>
      <c r="D90" s="205" t="n">
        <v>139.5</v>
      </c>
      <c r="E90" s="194" t="n">
        <v>0.5498620417816319</v>
      </c>
      <c r="F90" s="205" t="n">
        <v>0</v>
      </c>
      <c r="G90" s="205" t="n">
        <v>59.47</v>
      </c>
      <c r="H90" s="194" t="n">
        <v>0.2344107213243989</v>
      </c>
      <c r="I90" s="205" t="n">
        <v>0</v>
      </c>
      <c r="J90" s="205" t="n">
        <v>0</v>
      </c>
      <c r="K90" s="194" t="n">
        <v>0</v>
      </c>
    </row>
    <row r="91">
      <c r="A91" s="311" t="n">
        <v>46175</v>
      </c>
      <c r="B91" s="204" t="n">
        <v>23</v>
      </c>
      <c r="C91" s="205" t="n">
        <v>4</v>
      </c>
      <c r="D91" s="205" t="n">
        <v>143.5</v>
      </c>
      <c r="E91" s="194" t="n">
        <v>0.5656286953094206</v>
      </c>
      <c r="F91" s="205" t="n">
        <v>0</v>
      </c>
      <c r="G91" s="205" t="n">
        <v>59.47</v>
      </c>
      <c r="H91" s="194" t="n">
        <v>0.2344107213243989</v>
      </c>
      <c r="I91" s="205" t="n">
        <v>0</v>
      </c>
      <c r="J91" s="205" t="n">
        <v>0</v>
      </c>
      <c r="K91" s="194" t="n">
        <v>0</v>
      </c>
    </row>
    <row r="92">
      <c r="A92" s="311" t="n">
        <v>46176</v>
      </c>
      <c r="B92" s="204" t="n">
        <v>23</v>
      </c>
      <c r="C92" s="205" t="n">
        <v>0</v>
      </c>
      <c r="D92" s="205" t="n">
        <v>143.5</v>
      </c>
      <c r="E92" s="194" t="n">
        <v>0.5656286953094206</v>
      </c>
      <c r="F92" s="205" t="n">
        <v>0</v>
      </c>
      <c r="G92" s="205" t="n">
        <v>59.47</v>
      </c>
      <c r="H92" s="194" t="n">
        <v>0.2344107213243989</v>
      </c>
      <c r="I92" s="205" t="n">
        <v>0</v>
      </c>
      <c r="J92" s="205" t="n">
        <v>0</v>
      </c>
      <c r="K92" s="194" t="n">
        <v>0</v>
      </c>
    </row>
    <row r="93">
      <c r="A93" s="311" t="n">
        <v>46177</v>
      </c>
      <c r="B93" s="204" t="n">
        <v>23</v>
      </c>
      <c r="C93" s="205" t="n">
        <v>4.2</v>
      </c>
      <c r="D93" s="205" t="n">
        <v>147.7</v>
      </c>
      <c r="E93" s="194" t="n">
        <v>0.5821836815135987</v>
      </c>
      <c r="F93" s="205" t="n">
        <v>0</v>
      </c>
      <c r="G93" s="205" t="n">
        <v>59.47</v>
      </c>
      <c r="H93" s="194" t="n">
        <v>0.2344107213243989</v>
      </c>
      <c r="I93" s="205" t="n">
        <v>0</v>
      </c>
      <c r="J93" s="205" t="n">
        <v>0</v>
      </c>
      <c r="K93" s="194" t="n">
        <v>0</v>
      </c>
    </row>
    <row r="94">
      <c r="A94" s="311" t="n">
        <v>46178</v>
      </c>
      <c r="B94" s="204" t="n">
        <v>23</v>
      </c>
      <c r="C94" s="205" t="n">
        <v>4</v>
      </c>
      <c r="D94" s="205" t="n">
        <v>151.7</v>
      </c>
      <c r="E94" s="194" t="n">
        <v>0.5979503350413874</v>
      </c>
      <c r="F94" s="205" t="n">
        <v>0</v>
      </c>
      <c r="G94" s="205" t="n">
        <v>59.47</v>
      </c>
      <c r="H94" s="194" t="n">
        <v>0.2344107213243989</v>
      </c>
      <c r="I94" s="205" t="n">
        <v>0</v>
      </c>
      <c r="J94" s="205" t="n">
        <v>0</v>
      </c>
      <c r="K94" s="194" t="n">
        <v>0</v>
      </c>
    </row>
    <row r="95">
      <c r="A95" s="311" t="n">
        <v>46179</v>
      </c>
      <c r="B95" s="204" t="n">
        <v>23</v>
      </c>
      <c r="C95" s="205" t="n">
        <v>0</v>
      </c>
      <c r="D95" s="205" t="n">
        <v>151.7</v>
      </c>
      <c r="E95" s="194" t="n">
        <v>0.5979503350413874</v>
      </c>
      <c r="F95" s="205" t="n">
        <v>0</v>
      </c>
      <c r="G95" s="205" t="n">
        <v>59.47</v>
      </c>
      <c r="H95" s="194" t="n">
        <v>0.2344107213243989</v>
      </c>
      <c r="I95" s="205" t="n">
        <v>0</v>
      </c>
      <c r="J95" s="205" t="n">
        <v>0</v>
      </c>
      <c r="K95" s="194" t="n">
        <v>0</v>
      </c>
    </row>
    <row r="96">
      <c r="A96" s="311" t="n">
        <v>46180</v>
      </c>
      <c r="B96" s="204" t="n">
        <v>24</v>
      </c>
      <c r="C96" s="205" t="n">
        <v>0</v>
      </c>
      <c r="D96" s="205" t="n">
        <v>151.7</v>
      </c>
      <c r="E96" s="194" t="n">
        <v>0.5979503350413874</v>
      </c>
      <c r="F96" s="205" t="n">
        <v>0</v>
      </c>
      <c r="G96" s="205" t="n">
        <v>59.47</v>
      </c>
      <c r="H96" s="194" t="n">
        <v>0.2344107213243989</v>
      </c>
      <c r="I96" s="205" t="n">
        <v>0</v>
      </c>
      <c r="J96" s="205" t="n">
        <v>0</v>
      </c>
      <c r="K96" s="194" t="n">
        <v>0</v>
      </c>
    </row>
    <row r="97">
      <c r="A97" s="311" t="n">
        <v>46181</v>
      </c>
      <c r="B97" s="204" t="n">
        <v>24</v>
      </c>
      <c r="C97" s="205" t="n">
        <v>4</v>
      </c>
      <c r="D97" s="205" t="n">
        <v>155.7</v>
      </c>
      <c r="E97" s="194" t="n">
        <v>0.6137169885691762</v>
      </c>
      <c r="F97" s="205" t="n">
        <v>0</v>
      </c>
      <c r="G97" s="205" t="n">
        <v>59.47</v>
      </c>
      <c r="H97" s="194" t="n">
        <v>0.2344107213243989</v>
      </c>
      <c r="I97" s="205" t="n">
        <v>0</v>
      </c>
      <c r="J97" s="205" t="n">
        <v>0</v>
      </c>
      <c r="K97" s="194" t="n">
        <v>0</v>
      </c>
    </row>
    <row r="98">
      <c r="A98" s="311" t="n">
        <v>46182</v>
      </c>
      <c r="B98" s="204" t="n">
        <v>24</v>
      </c>
      <c r="C98" s="205" t="n">
        <v>4</v>
      </c>
      <c r="D98" s="205" t="n">
        <v>159.7</v>
      </c>
      <c r="E98" s="194" t="n">
        <v>0.6294836420969649</v>
      </c>
      <c r="F98" s="205" t="n">
        <v>0</v>
      </c>
      <c r="G98" s="205" t="n">
        <v>59.47</v>
      </c>
      <c r="H98" s="194" t="n">
        <v>0.2344107213243989</v>
      </c>
      <c r="I98" s="205" t="n">
        <v>0</v>
      </c>
      <c r="J98" s="205" t="n">
        <v>0</v>
      </c>
      <c r="K98" s="194" t="n">
        <v>0</v>
      </c>
    </row>
    <row r="99">
      <c r="A99" s="311" t="n">
        <v>46183</v>
      </c>
      <c r="B99" s="204" t="n">
        <v>24</v>
      </c>
      <c r="C99" s="205" t="n">
        <v>4</v>
      </c>
      <c r="D99" s="205" t="n">
        <v>163.7</v>
      </c>
      <c r="E99" s="194" t="n">
        <v>0.6452502956247537</v>
      </c>
      <c r="F99" s="205" t="n">
        <v>0</v>
      </c>
      <c r="G99" s="205" t="n">
        <v>59.47</v>
      </c>
      <c r="H99" s="194" t="n">
        <v>0.2344107213243989</v>
      </c>
      <c r="I99" s="205" t="n">
        <v>0</v>
      </c>
      <c r="J99" s="205" t="n">
        <v>0</v>
      </c>
      <c r="K99" s="194" t="n">
        <v>0</v>
      </c>
    </row>
    <row r="100">
      <c r="A100" s="311" t="n">
        <v>46184</v>
      </c>
      <c r="B100" s="204" t="n">
        <v>24</v>
      </c>
      <c r="C100" s="205" t="n">
        <v>4</v>
      </c>
      <c r="D100" s="205" t="n">
        <v>167.7</v>
      </c>
      <c r="E100" s="194" t="n">
        <v>0.6610169491525424</v>
      </c>
      <c r="F100" s="205" t="n">
        <v>0</v>
      </c>
      <c r="G100" s="205" t="n">
        <v>59.47</v>
      </c>
      <c r="H100" s="194" t="n">
        <v>0.2344107213243989</v>
      </c>
      <c r="I100" s="205" t="n">
        <v>0</v>
      </c>
      <c r="J100" s="205" t="n">
        <v>0</v>
      </c>
      <c r="K100" s="194" t="n">
        <v>0</v>
      </c>
    </row>
    <row r="101">
      <c r="A101" s="311" t="n">
        <v>46185</v>
      </c>
      <c r="B101" s="204" t="n">
        <v>24</v>
      </c>
      <c r="C101" s="205" t="n">
        <v>4</v>
      </c>
      <c r="D101" s="205" t="n">
        <v>171.7</v>
      </c>
      <c r="E101" s="194" t="n">
        <v>0.6767836026803311</v>
      </c>
      <c r="F101" s="205" t="n">
        <v>0</v>
      </c>
      <c r="G101" s="205" t="n">
        <v>59.47</v>
      </c>
      <c r="H101" s="194" t="n">
        <v>0.2344107213243989</v>
      </c>
      <c r="I101" s="205" t="n">
        <v>0</v>
      </c>
      <c r="J101" s="205" t="n">
        <v>0</v>
      </c>
      <c r="K101" s="194" t="n">
        <v>0</v>
      </c>
    </row>
    <row r="102">
      <c r="A102" s="311" t="n">
        <v>46186</v>
      </c>
      <c r="B102" s="204" t="n">
        <v>24</v>
      </c>
      <c r="C102" s="205" t="n">
        <v>0</v>
      </c>
      <c r="D102" s="205" t="n">
        <v>171.7</v>
      </c>
      <c r="E102" s="194" t="n">
        <v>0.6767836026803311</v>
      </c>
      <c r="F102" s="205" t="n">
        <v>0</v>
      </c>
      <c r="G102" s="205" t="n">
        <v>59.47</v>
      </c>
      <c r="H102" s="194" t="n">
        <v>0.2344107213243989</v>
      </c>
      <c r="I102" s="205" t="n">
        <v>0</v>
      </c>
      <c r="J102" s="205" t="n">
        <v>0</v>
      </c>
      <c r="K102" s="194" t="n">
        <v>0</v>
      </c>
    </row>
    <row r="103">
      <c r="A103" s="311" t="n">
        <v>46187</v>
      </c>
      <c r="B103" s="204" t="n">
        <v>25</v>
      </c>
      <c r="C103" s="205" t="n">
        <v>0</v>
      </c>
      <c r="D103" s="205" t="n">
        <v>171.7</v>
      </c>
      <c r="E103" s="194" t="n">
        <v>0.6767836026803311</v>
      </c>
      <c r="F103" s="205" t="n">
        <v>0</v>
      </c>
      <c r="G103" s="205" t="n">
        <v>59.47</v>
      </c>
      <c r="H103" s="194" t="n">
        <v>0.2344107213243989</v>
      </c>
      <c r="I103" s="205" t="n">
        <v>0</v>
      </c>
      <c r="J103" s="205" t="n">
        <v>0</v>
      </c>
      <c r="K103" s="194" t="n">
        <v>0</v>
      </c>
    </row>
    <row r="104">
      <c r="A104" s="311" t="n">
        <v>46188</v>
      </c>
      <c r="B104" s="204" t="n">
        <v>25</v>
      </c>
      <c r="C104" s="205" t="n">
        <v>4</v>
      </c>
      <c r="D104" s="205" t="n">
        <v>175.7</v>
      </c>
      <c r="E104" s="194" t="n">
        <v>0.6925502562081198</v>
      </c>
      <c r="F104" s="205" t="n">
        <v>0</v>
      </c>
      <c r="G104" s="205" t="n">
        <v>59.47</v>
      </c>
      <c r="H104" s="194" t="n">
        <v>0.2344107213243989</v>
      </c>
      <c r="I104" s="205" t="n">
        <v>0</v>
      </c>
      <c r="J104" s="205" t="n">
        <v>0</v>
      </c>
      <c r="K104" s="194" t="n">
        <v>0</v>
      </c>
    </row>
    <row r="105">
      <c r="A105" s="311" t="n">
        <v>46189</v>
      </c>
      <c r="B105" s="204" t="n">
        <v>25</v>
      </c>
      <c r="C105" s="205" t="n">
        <v>4</v>
      </c>
      <c r="D105" s="205" t="n">
        <v>179.7</v>
      </c>
      <c r="E105" s="194" t="n">
        <v>0.7083169097359086</v>
      </c>
      <c r="F105" s="205" t="n">
        <v>0</v>
      </c>
      <c r="G105" s="205" t="n">
        <v>59.47</v>
      </c>
      <c r="H105" s="194" t="n">
        <v>0.2344107213243989</v>
      </c>
      <c r="I105" s="205" t="n">
        <v>0</v>
      </c>
      <c r="J105" s="205" t="n">
        <v>0</v>
      </c>
      <c r="K105" s="194" t="n">
        <v>0</v>
      </c>
    </row>
    <row r="106">
      <c r="A106" s="311" t="n">
        <v>46190</v>
      </c>
      <c r="B106" s="204" t="n">
        <v>25</v>
      </c>
      <c r="C106" s="205" t="n">
        <v>4</v>
      </c>
      <c r="D106" s="205" t="n">
        <v>183.7</v>
      </c>
      <c r="E106" s="194" t="n">
        <v>0.7240835632636973</v>
      </c>
      <c r="F106" s="205" t="n">
        <v>0</v>
      </c>
      <c r="G106" s="205" t="n">
        <v>59.47</v>
      </c>
      <c r="H106" s="194" t="n">
        <v>0.2344107213243989</v>
      </c>
      <c r="I106" s="205" t="n">
        <v>0</v>
      </c>
      <c r="J106" s="205" t="n">
        <v>0</v>
      </c>
      <c r="K106" s="194" t="n">
        <v>0</v>
      </c>
    </row>
    <row r="107">
      <c r="A107" s="311" t="n">
        <v>46191</v>
      </c>
      <c r="B107" s="204" t="n">
        <v>25</v>
      </c>
      <c r="C107" s="205" t="n">
        <v>5</v>
      </c>
      <c r="D107" s="205" t="n">
        <v>188.7</v>
      </c>
      <c r="E107" s="194" t="n">
        <v>0.7437918801734332</v>
      </c>
      <c r="F107" s="205" t="n">
        <v>0</v>
      </c>
      <c r="G107" s="205" t="n">
        <v>59.47</v>
      </c>
      <c r="H107" s="194" t="n">
        <v>0.2344107213243989</v>
      </c>
      <c r="I107" s="205" t="n">
        <v>0</v>
      </c>
      <c r="J107" s="205" t="n">
        <v>0</v>
      </c>
      <c r="K107" s="194" t="n">
        <v>0</v>
      </c>
    </row>
    <row r="108">
      <c r="A108" s="311" t="n">
        <v>46192</v>
      </c>
      <c r="B108" s="204" t="n">
        <v>25</v>
      </c>
      <c r="C108" s="205" t="n">
        <v>5</v>
      </c>
      <c r="D108" s="205" t="n">
        <v>193.7</v>
      </c>
      <c r="E108" s="194" t="n">
        <v>0.7635001970831691</v>
      </c>
      <c r="F108" s="205" t="n">
        <v>0</v>
      </c>
      <c r="G108" s="205" t="n">
        <v>59.47</v>
      </c>
      <c r="H108" s="194" t="n">
        <v>0.2344107213243989</v>
      </c>
      <c r="I108" s="205" t="n">
        <v>0</v>
      </c>
      <c r="J108" s="205" t="n">
        <v>0</v>
      </c>
      <c r="K108" s="194" t="n">
        <v>0</v>
      </c>
    </row>
    <row r="109">
      <c r="A109" s="311" t="n">
        <v>46193</v>
      </c>
      <c r="B109" s="204" t="n">
        <v>25</v>
      </c>
      <c r="C109" s="205" t="n">
        <v>0</v>
      </c>
      <c r="D109" s="205" t="n">
        <v>193.7</v>
      </c>
      <c r="E109" s="194" t="n">
        <v>0.7635001970831691</v>
      </c>
      <c r="F109" s="205" t="n">
        <v>0</v>
      </c>
      <c r="G109" s="205" t="n">
        <v>59.47</v>
      </c>
      <c r="H109" s="194" t="n">
        <v>0.2344107213243989</v>
      </c>
      <c r="I109" s="205" t="n">
        <v>0</v>
      </c>
      <c r="J109" s="205" t="n">
        <v>0</v>
      </c>
      <c r="K109" s="194" t="n">
        <v>0</v>
      </c>
    </row>
    <row r="110">
      <c r="A110" s="311" t="n">
        <v>46194</v>
      </c>
      <c r="B110" s="204" t="n">
        <v>26</v>
      </c>
      <c r="C110" s="205" t="n">
        <v>0</v>
      </c>
      <c r="D110" s="205" t="n">
        <v>193.7</v>
      </c>
      <c r="E110" s="194" t="n">
        <v>0.7635001970831691</v>
      </c>
      <c r="F110" s="205" t="n">
        <v>0</v>
      </c>
      <c r="G110" s="205" t="n">
        <v>59.47</v>
      </c>
      <c r="H110" s="194" t="n">
        <v>0.2344107213243989</v>
      </c>
      <c r="I110" s="205" t="n">
        <v>0</v>
      </c>
      <c r="J110" s="205" t="n">
        <v>0</v>
      </c>
      <c r="K110" s="194" t="n">
        <v>0</v>
      </c>
    </row>
    <row r="111">
      <c r="A111" s="311" t="n">
        <v>46195</v>
      </c>
      <c r="B111" s="204" t="n">
        <v>26</v>
      </c>
      <c r="C111" s="205" t="n">
        <v>5</v>
      </c>
      <c r="D111" s="205" t="n">
        <v>198.7</v>
      </c>
      <c r="E111" s="194" t="n">
        <v>0.783208513992905</v>
      </c>
      <c r="F111" s="205" t="n">
        <v>0</v>
      </c>
      <c r="G111" s="205" t="n">
        <v>59.47</v>
      </c>
      <c r="H111" s="194" t="n">
        <v>0.2344107213243989</v>
      </c>
      <c r="I111" s="205" t="n">
        <v>0</v>
      </c>
      <c r="J111" s="205" t="n">
        <v>0</v>
      </c>
      <c r="K111" s="194" t="n">
        <v>0</v>
      </c>
    </row>
    <row r="112">
      <c r="A112" s="311" t="n">
        <v>46196</v>
      </c>
      <c r="B112" s="204" t="n">
        <v>26</v>
      </c>
      <c r="C112" s="205" t="n">
        <v>5</v>
      </c>
      <c r="D112" s="205" t="n">
        <v>203.7</v>
      </c>
      <c r="E112" s="194" t="n">
        <v>0.8029168309026409</v>
      </c>
      <c r="F112" s="205" t="n">
        <v>0</v>
      </c>
      <c r="G112" s="205" t="n">
        <v>59.47</v>
      </c>
      <c r="H112" s="194" t="n">
        <v>0.2344107213243989</v>
      </c>
      <c r="I112" s="205" t="n">
        <v>0</v>
      </c>
      <c r="J112" s="205" t="n">
        <v>0</v>
      </c>
      <c r="K112" s="194" t="n">
        <v>0</v>
      </c>
    </row>
    <row r="113">
      <c r="A113" s="311" t="n">
        <v>46197</v>
      </c>
      <c r="B113" s="204" t="n">
        <v>26</v>
      </c>
      <c r="C113" s="205" t="n">
        <v>5</v>
      </c>
      <c r="D113" s="205" t="n">
        <v>208.7</v>
      </c>
      <c r="E113" s="194" t="n">
        <v>0.8226251478123768</v>
      </c>
      <c r="F113" s="205" t="n">
        <v>0</v>
      </c>
      <c r="G113" s="205" t="n">
        <v>59.47</v>
      </c>
      <c r="H113" s="194" t="n">
        <v>0.2344107213243989</v>
      </c>
      <c r="I113" s="205" t="n">
        <v>0</v>
      </c>
      <c r="J113" s="205" t="n">
        <v>0</v>
      </c>
      <c r="K113" s="194" t="n">
        <v>0</v>
      </c>
    </row>
    <row r="114">
      <c r="A114" s="311" t="n">
        <v>46198</v>
      </c>
      <c r="B114" s="204" t="n">
        <v>26</v>
      </c>
      <c r="C114" s="205" t="n">
        <v>5</v>
      </c>
      <c r="D114" s="205" t="n">
        <v>213.7</v>
      </c>
      <c r="E114" s="194" t="n">
        <v>0.8423334647221127</v>
      </c>
      <c r="F114" s="205" t="n">
        <v>0</v>
      </c>
      <c r="G114" s="205" t="n">
        <v>59.47</v>
      </c>
      <c r="H114" s="194" t="n">
        <v>0.2344107213243989</v>
      </c>
      <c r="I114" s="205" t="n">
        <v>0</v>
      </c>
      <c r="J114" s="205" t="n">
        <v>0</v>
      </c>
      <c r="K114" s="194" t="n">
        <v>0</v>
      </c>
    </row>
    <row r="115">
      <c r="A115" s="311" t="n">
        <v>46199</v>
      </c>
      <c r="B115" s="204" t="n">
        <v>26</v>
      </c>
      <c r="C115" s="205" t="n">
        <v>4</v>
      </c>
      <c r="D115" s="205" t="n">
        <v>217.7</v>
      </c>
      <c r="E115" s="194" t="n">
        <v>0.8581001182499014</v>
      </c>
      <c r="F115" s="205" t="n">
        <v>0</v>
      </c>
      <c r="G115" s="205" t="n">
        <v>59.47</v>
      </c>
      <c r="H115" s="194" t="n">
        <v>0.2344107213243989</v>
      </c>
      <c r="I115" s="205" t="n">
        <v>0</v>
      </c>
      <c r="J115" s="205" t="n">
        <v>0</v>
      </c>
      <c r="K115" s="194" t="n">
        <v>0</v>
      </c>
    </row>
    <row r="116">
      <c r="A116" s="311" t="n">
        <v>46200</v>
      </c>
      <c r="B116" s="204" t="n">
        <v>26</v>
      </c>
      <c r="C116" s="205" t="n">
        <v>0</v>
      </c>
      <c r="D116" s="205" t="n">
        <v>217.7</v>
      </c>
      <c r="E116" s="194" t="n">
        <v>0.8581001182499014</v>
      </c>
      <c r="F116" s="205" t="n">
        <v>0</v>
      </c>
      <c r="G116" s="205" t="n">
        <v>59.47</v>
      </c>
      <c r="H116" s="194" t="n">
        <v>0.2344107213243989</v>
      </c>
      <c r="I116" s="205" t="n">
        <v>0</v>
      </c>
      <c r="J116" s="205" t="n">
        <v>0</v>
      </c>
      <c r="K116" s="194" t="n">
        <v>0</v>
      </c>
    </row>
    <row r="117">
      <c r="A117" s="311" t="n">
        <v>46201</v>
      </c>
      <c r="B117" s="204" t="n">
        <v>27</v>
      </c>
      <c r="C117" s="205" t="n">
        <v>0</v>
      </c>
      <c r="D117" s="205" t="n">
        <v>217.7</v>
      </c>
      <c r="E117" s="194" t="n">
        <v>0.8581001182499014</v>
      </c>
      <c r="F117" s="205" t="n">
        <v>0</v>
      </c>
      <c r="G117" s="205" t="n">
        <v>59.47</v>
      </c>
      <c r="H117" s="194" t="n">
        <v>0.2344107213243989</v>
      </c>
      <c r="I117" s="205" t="n">
        <v>0</v>
      </c>
      <c r="J117" s="205" t="n">
        <v>0</v>
      </c>
      <c r="K117" s="194" t="n">
        <v>0</v>
      </c>
    </row>
    <row r="118">
      <c r="A118" s="311" t="n">
        <v>46202</v>
      </c>
      <c r="B118" s="204" t="n">
        <v>27</v>
      </c>
      <c r="C118" s="205" t="n">
        <v>4</v>
      </c>
      <c r="D118" s="205" t="n">
        <v>221.7</v>
      </c>
      <c r="E118" s="194" t="n">
        <v>0.8738667717776902</v>
      </c>
      <c r="F118" s="205" t="n">
        <v>0</v>
      </c>
      <c r="G118" s="205" t="n">
        <v>59.47</v>
      </c>
      <c r="H118" s="194" t="n">
        <v>0.2344107213243989</v>
      </c>
      <c r="I118" s="205" t="n">
        <v>0</v>
      </c>
      <c r="J118" s="205" t="n">
        <v>0</v>
      </c>
      <c r="K118" s="194" t="n">
        <v>0</v>
      </c>
    </row>
    <row r="119">
      <c r="A119" s="311" t="n">
        <v>46203</v>
      </c>
      <c r="B119" s="204" t="n">
        <v>27</v>
      </c>
      <c r="C119" s="205" t="n">
        <v>1</v>
      </c>
      <c r="D119" s="205" t="n">
        <v>222.7</v>
      </c>
      <c r="E119" s="194" t="n">
        <v>0.8778084351596374</v>
      </c>
      <c r="F119" s="205" t="n">
        <v>0</v>
      </c>
      <c r="G119" s="205" t="n">
        <v>59.47</v>
      </c>
      <c r="H119" s="194" t="n">
        <v>0.2344107213243989</v>
      </c>
      <c r="I119" s="205" t="n">
        <v>0</v>
      </c>
      <c r="J119" s="205" t="n">
        <v>0</v>
      </c>
      <c r="K119" s="194" t="n">
        <v>0</v>
      </c>
    </row>
    <row r="120">
      <c r="A120" s="311" t="n">
        <v>46204</v>
      </c>
      <c r="B120" s="204" t="n">
        <v>27</v>
      </c>
      <c r="C120" s="205" t="n">
        <v>1</v>
      </c>
      <c r="D120" s="205" t="n">
        <v>223.7</v>
      </c>
      <c r="E120" s="194" t="n">
        <v>0.8817500985415846</v>
      </c>
      <c r="F120" s="205" t="n">
        <v>0</v>
      </c>
      <c r="G120" s="205" t="n">
        <v>59.47</v>
      </c>
      <c r="H120" s="194" t="n">
        <v>0.2344107213243989</v>
      </c>
      <c r="I120" s="205" t="n">
        <v>0</v>
      </c>
      <c r="J120" s="205" t="n">
        <v>0</v>
      </c>
      <c r="K120" s="194" t="n">
        <v>0</v>
      </c>
    </row>
    <row r="121">
      <c r="A121" s="311" t="n">
        <v>46205</v>
      </c>
      <c r="B121" s="204" t="n">
        <v>27</v>
      </c>
      <c r="C121" s="205" t="n">
        <v>1</v>
      </c>
      <c r="D121" s="205" t="n">
        <v>224.7</v>
      </c>
      <c r="E121" s="194" t="n">
        <v>0.8856917619235317</v>
      </c>
      <c r="F121" s="205" t="n">
        <v>0</v>
      </c>
      <c r="G121" s="205" t="n">
        <v>59.47</v>
      </c>
      <c r="H121" s="194" t="n">
        <v>0.2344107213243989</v>
      </c>
      <c r="I121" s="205" t="n">
        <v>0</v>
      </c>
      <c r="J121" s="205" t="n">
        <v>0</v>
      </c>
      <c r="K121" s="194" t="n">
        <v>0</v>
      </c>
    </row>
    <row r="122">
      <c r="A122" s="311" t="n">
        <v>46206</v>
      </c>
      <c r="B122" s="204" t="n">
        <v>27</v>
      </c>
      <c r="C122" s="205" t="n">
        <v>1</v>
      </c>
      <c r="D122" s="205" t="n">
        <v>225.7</v>
      </c>
      <c r="E122" s="194" t="n">
        <v>0.889633425305479</v>
      </c>
      <c r="F122" s="205" t="n">
        <v>0</v>
      </c>
      <c r="G122" s="205" t="n">
        <v>59.47</v>
      </c>
      <c r="H122" s="194" t="n">
        <v>0.2344107213243989</v>
      </c>
      <c r="I122" s="205" t="n">
        <v>0</v>
      </c>
      <c r="J122" s="205" t="n">
        <v>0</v>
      </c>
      <c r="K122" s="194" t="n">
        <v>0</v>
      </c>
    </row>
    <row r="123">
      <c r="A123" s="311" t="n">
        <v>46207</v>
      </c>
      <c r="B123" s="204" t="n">
        <v>27</v>
      </c>
      <c r="C123" s="205" t="n">
        <v>0</v>
      </c>
      <c r="D123" s="205" t="n">
        <v>225.7</v>
      </c>
      <c r="E123" s="194" t="n">
        <v>0.889633425305479</v>
      </c>
      <c r="F123" s="205" t="n">
        <v>0</v>
      </c>
      <c r="G123" s="205" t="n">
        <v>59.47</v>
      </c>
      <c r="H123" s="194" t="n">
        <v>0.2344107213243989</v>
      </c>
      <c r="I123" s="205" t="n">
        <v>0</v>
      </c>
      <c r="J123" s="205" t="n">
        <v>0</v>
      </c>
      <c r="K123" s="194" t="n">
        <v>0</v>
      </c>
    </row>
    <row r="124">
      <c r="A124" s="311" t="n">
        <v>46208</v>
      </c>
      <c r="B124" s="204" t="n">
        <v>28</v>
      </c>
      <c r="C124" s="205" t="n">
        <v>0</v>
      </c>
      <c r="D124" s="205" t="n">
        <v>225.7</v>
      </c>
      <c r="E124" s="194" t="n">
        <v>0.889633425305479</v>
      </c>
      <c r="F124" s="205" t="n">
        <v>0</v>
      </c>
      <c r="G124" s="205" t="n">
        <v>59.47</v>
      </c>
      <c r="H124" s="194" t="n">
        <v>0.2344107213243989</v>
      </c>
      <c r="I124" s="205" t="n">
        <v>0</v>
      </c>
      <c r="J124" s="205" t="n">
        <v>0</v>
      </c>
      <c r="K124" s="194" t="n">
        <v>0</v>
      </c>
    </row>
    <row r="125">
      <c r="A125" s="311" t="n">
        <v>46209</v>
      </c>
      <c r="B125" s="204" t="n">
        <v>28</v>
      </c>
      <c r="C125" s="205" t="n">
        <v>1</v>
      </c>
      <c r="D125" s="205" t="n">
        <v>226.7</v>
      </c>
      <c r="E125" s="194" t="n">
        <v>0.8935750886874261</v>
      </c>
      <c r="F125" s="205" t="n">
        <v>0</v>
      </c>
      <c r="G125" s="205" t="n">
        <v>59.47</v>
      </c>
      <c r="H125" s="194" t="n">
        <v>0.2344107213243989</v>
      </c>
      <c r="I125" s="205" t="n">
        <v>0</v>
      </c>
      <c r="J125" s="205" t="n">
        <v>0</v>
      </c>
      <c r="K125" s="194" t="n">
        <v>0</v>
      </c>
    </row>
    <row r="126">
      <c r="A126" s="311" t="n">
        <v>46210</v>
      </c>
      <c r="B126" s="204" t="n">
        <v>28</v>
      </c>
      <c r="C126" s="205" t="n">
        <v>0</v>
      </c>
      <c r="D126" s="205" t="n">
        <v>226.7</v>
      </c>
      <c r="E126" s="194" t="n">
        <v>0.8935750886874261</v>
      </c>
      <c r="F126" s="205" t="n">
        <v>0</v>
      </c>
      <c r="G126" s="205" t="n">
        <v>59.47</v>
      </c>
      <c r="H126" s="194" t="n">
        <v>0.2344107213243989</v>
      </c>
      <c r="I126" s="205" t="n">
        <v>0</v>
      </c>
      <c r="J126" s="205" t="n">
        <v>0</v>
      </c>
      <c r="K126" s="194" t="n">
        <v>0</v>
      </c>
    </row>
    <row r="127">
      <c r="A127" s="311" t="n">
        <v>46211</v>
      </c>
      <c r="B127" s="204" t="n">
        <v>28</v>
      </c>
      <c r="C127" s="205" t="n">
        <v>0</v>
      </c>
      <c r="D127" s="205" t="n">
        <v>226.7</v>
      </c>
      <c r="E127" s="194" t="n">
        <v>0.8935750886874261</v>
      </c>
      <c r="F127" s="205" t="n">
        <v>0</v>
      </c>
      <c r="G127" s="205" t="n">
        <v>59.47</v>
      </c>
      <c r="H127" s="194" t="n">
        <v>0.2344107213243989</v>
      </c>
      <c r="I127" s="205" t="n">
        <v>0</v>
      </c>
      <c r="J127" s="205" t="n">
        <v>0</v>
      </c>
      <c r="K127" s="194" t="n">
        <v>0</v>
      </c>
    </row>
    <row r="128">
      <c r="A128" s="311" t="n">
        <v>46212</v>
      </c>
      <c r="B128" s="204" t="n">
        <v>28</v>
      </c>
      <c r="C128" s="205" t="n">
        <v>3</v>
      </c>
      <c r="D128" s="205" t="n">
        <v>229.7</v>
      </c>
      <c r="E128" s="194" t="n">
        <v>0.9054000788332677</v>
      </c>
      <c r="F128" s="205" t="n">
        <v>0</v>
      </c>
      <c r="G128" s="205" t="n">
        <v>59.47</v>
      </c>
      <c r="H128" s="194" t="n">
        <v>0.2344107213243989</v>
      </c>
      <c r="I128" s="205" t="n">
        <v>0</v>
      </c>
      <c r="J128" s="205" t="n">
        <v>0</v>
      </c>
      <c r="K128" s="194" t="n">
        <v>0</v>
      </c>
    </row>
    <row r="129">
      <c r="A129" s="311" t="n">
        <v>46213</v>
      </c>
      <c r="B129" s="204" t="n">
        <v>28</v>
      </c>
      <c r="C129" s="205" t="n">
        <v>3</v>
      </c>
      <c r="D129" s="205" t="n">
        <v>232.7</v>
      </c>
      <c r="E129" s="194" t="n">
        <v>0.9172250689791092</v>
      </c>
      <c r="F129" s="205" t="n">
        <v>0</v>
      </c>
      <c r="G129" s="205" t="n">
        <v>59.47</v>
      </c>
      <c r="H129" s="194" t="n">
        <v>0.2344107213243989</v>
      </c>
      <c r="I129" s="205" t="n">
        <v>0</v>
      </c>
      <c r="J129" s="205" t="n">
        <v>0</v>
      </c>
      <c r="K129" s="194" t="n">
        <v>0</v>
      </c>
    </row>
    <row r="130">
      <c r="A130" s="311" t="n">
        <v>46214</v>
      </c>
      <c r="B130" s="204" t="n">
        <v>28</v>
      </c>
      <c r="C130" s="205" t="n">
        <v>0</v>
      </c>
      <c r="D130" s="205" t="n">
        <v>232.7</v>
      </c>
      <c r="E130" s="194" t="n">
        <v>0.9172250689791092</v>
      </c>
      <c r="F130" s="205" t="n">
        <v>0</v>
      </c>
      <c r="G130" s="205" t="n">
        <v>59.47</v>
      </c>
      <c r="H130" s="194" t="n">
        <v>0.2344107213243989</v>
      </c>
      <c r="I130" s="205" t="n">
        <v>0</v>
      </c>
      <c r="J130" s="205" t="n">
        <v>0</v>
      </c>
      <c r="K130" s="194" t="n">
        <v>0</v>
      </c>
    </row>
    <row r="131">
      <c r="A131" s="311" t="n">
        <v>46215</v>
      </c>
      <c r="B131" s="204" t="n">
        <v>29</v>
      </c>
      <c r="C131" s="205" t="n">
        <v>0</v>
      </c>
      <c r="D131" s="205" t="n">
        <v>232.7</v>
      </c>
      <c r="E131" s="194" t="n">
        <v>0.9172250689791092</v>
      </c>
      <c r="F131" s="205" t="n">
        <v>0</v>
      </c>
      <c r="G131" s="205" t="n">
        <v>59.47</v>
      </c>
      <c r="H131" s="194" t="n">
        <v>0.2344107213243989</v>
      </c>
      <c r="I131" s="205" t="n">
        <v>0</v>
      </c>
      <c r="J131" s="205" t="n">
        <v>0</v>
      </c>
      <c r="K131" s="194" t="n">
        <v>0</v>
      </c>
    </row>
    <row r="132">
      <c r="A132" s="311" t="n">
        <v>46216</v>
      </c>
      <c r="B132" s="204" t="n">
        <v>29</v>
      </c>
      <c r="C132" s="205" t="n">
        <v>3</v>
      </c>
      <c r="D132" s="205" t="n">
        <v>235.7</v>
      </c>
      <c r="E132" s="194" t="n">
        <v>0.9290500591249508</v>
      </c>
      <c r="F132" s="205" t="n">
        <v>0</v>
      </c>
      <c r="G132" s="205" t="n">
        <v>59.47</v>
      </c>
      <c r="H132" s="194" t="n">
        <v>0.2344107213243989</v>
      </c>
      <c r="I132" s="205" t="n">
        <v>0</v>
      </c>
      <c r="J132" s="205" t="n">
        <v>0</v>
      </c>
      <c r="K132" s="194" t="n">
        <v>0</v>
      </c>
    </row>
    <row r="133">
      <c r="A133" s="311" t="n">
        <v>46217</v>
      </c>
      <c r="B133" s="204" t="n">
        <v>29</v>
      </c>
      <c r="C133" s="205" t="n">
        <v>0</v>
      </c>
      <c r="D133" s="205" t="n">
        <v>235.7</v>
      </c>
      <c r="E133" s="194" t="n">
        <v>0.9290500591249508</v>
      </c>
      <c r="F133" s="205" t="n">
        <v>0</v>
      </c>
      <c r="G133" s="205" t="n">
        <v>59.47</v>
      </c>
      <c r="H133" s="194" t="n">
        <v>0.2344107213243989</v>
      </c>
      <c r="I133" s="205" t="n">
        <v>0</v>
      </c>
      <c r="J133" s="205" t="n">
        <v>0</v>
      </c>
      <c r="K133" s="194" t="n">
        <v>0</v>
      </c>
    </row>
    <row r="134">
      <c r="A134" s="311" t="n">
        <v>46218</v>
      </c>
      <c r="B134" s="204" t="n">
        <v>29</v>
      </c>
      <c r="C134" s="205" t="n">
        <v>0</v>
      </c>
      <c r="D134" s="205" t="n">
        <v>235.7</v>
      </c>
      <c r="E134" s="194" t="n">
        <v>0.9290500591249508</v>
      </c>
      <c r="F134" s="205" t="n">
        <v>0</v>
      </c>
      <c r="G134" s="205" t="n">
        <v>59.47</v>
      </c>
      <c r="H134" s="194" t="n">
        <v>0.2344107213243989</v>
      </c>
      <c r="I134" s="205" t="n">
        <v>0</v>
      </c>
      <c r="J134" s="205" t="n">
        <v>0</v>
      </c>
      <c r="K134" s="194" t="n">
        <v>0</v>
      </c>
    </row>
    <row r="135">
      <c r="A135" s="311" t="n">
        <v>46219</v>
      </c>
      <c r="B135" s="204" t="n">
        <v>29</v>
      </c>
      <c r="C135" s="205" t="n">
        <v>2</v>
      </c>
      <c r="D135" s="205" t="n">
        <v>237.7</v>
      </c>
      <c r="E135" s="194" t="n">
        <v>0.9369333858888451</v>
      </c>
      <c r="F135" s="205" t="n">
        <v>0</v>
      </c>
      <c r="G135" s="205" t="n">
        <v>59.47</v>
      </c>
      <c r="H135" s="194" t="n">
        <v>0.2344107213243989</v>
      </c>
      <c r="I135" s="205" t="n">
        <v>0</v>
      </c>
      <c r="J135" s="205" t="n">
        <v>0</v>
      </c>
      <c r="K135" s="194" t="n">
        <v>0</v>
      </c>
    </row>
    <row r="136">
      <c r="A136" s="311" t="n">
        <v>46220</v>
      </c>
      <c r="B136" s="204" t="n">
        <v>29</v>
      </c>
      <c r="C136" s="205" t="n">
        <v>0</v>
      </c>
      <c r="D136" s="205" t="n">
        <v>237.7</v>
      </c>
      <c r="E136" s="194" t="n">
        <v>0.9369333858888451</v>
      </c>
      <c r="F136" s="205" t="n">
        <v>0</v>
      </c>
      <c r="G136" s="205" t="n">
        <v>59.47</v>
      </c>
      <c r="H136" s="194" t="n">
        <v>0.2344107213243989</v>
      </c>
      <c r="I136" s="205" t="n">
        <v>0</v>
      </c>
      <c r="J136" s="205" t="n">
        <v>0</v>
      </c>
      <c r="K136" s="194" t="n">
        <v>0</v>
      </c>
    </row>
    <row r="137">
      <c r="A137" s="311" t="n">
        <v>46221</v>
      </c>
      <c r="B137" s="204" t="n">
        <v>29</v>
      </c>
      <c r="C137" s="205" t="n">
        <v>0</v>
      </c>
      <c r="D137" s="205" t="n">
        <v>237.7</v>
      </c>
      <c r="E137" s="194" t="n">
        <v>0.9369333858888451</v>
      </c>
      <c r="F137" s="205" t="n">
        <v>0</v>
      </c>
      <c r="G137" s="205" t="n">
        <v>59.47</v>
      </c>
      <c r="H137" s="194" t="n">
        <v>0.2344107213243989</v>
      </c>
      <c r="I137" s="205" t="n">
        <v>0</v>
      </c>
      <c r="J137" s="205" t="n">
        <v>0</v>
      </c>
      <c r="K137" s="194" t="n">
        <v>0</v>
      </c>
    </row>
    <row r="138">
      <c r="A138" s="311" t="n">
        <v>46222</v>
      </c>
      <c r="B138" s="204" t="n">
        <v>30</v>
      </c>
      <c r="C138" s="205" t="n">
        <v>0</v>
      </c>
      <c r="D138" s="205" t="n">
        <v>237.7</v>
      </c>
      <c r="E138" s="194" t="n">
        <v>0.9369333858888451</v>
      </c>
      <c r="F138" s="205" t="n">
        <v>0</v>
      </c>
      <c r="G138" s="205" t="n">
        <v>59.47</v>
      </c>
      <c r="H138" s="194" t="n">
        <v>0.2344107213243989</v>
      </c>
      <c r="I138" s="205" t="n">
        <v>0</v>
      </c>
      <c r="J138" s="205" t="n">
        <v>0</v>
      </c>
      <c r="K138" s="194" t="n">
        <v>0</v>
      </c>
    </row>
    <row r="139">
      <c r="A139" s="311" t="n">
        <v>46223</v>
      </c>
      <c r="B139" s="204" t="n">
        <v>30</v>
      </c>
      <c r="C139" s="205" t="n">
        <v>1</v>
      </c>
      <c r="D139" s="205" t="n">
        <v>238.7</v>
      </c>
      <c r="E139" s="194" t="n">
        <v>0.9408750492707922</v>
      </c>
      <c r="F139" s="205" t="n">
        <v>0</v>
      </c>
      <c r="G139" s="205" t="n">
        <v>59.47</v>
      </c>
      <c r="H139" s="194" t="n">
        <v>0.2344107213243989</v>
      </c>
      <c r="I139" s="205" t="n">
        <v>0</v>
      </c>
      <c r="J139" s="205" t="n">
        <v>0</v>
      </c>
      <c r="K139" s="194" t="n">
        <v>0</v>
      </c>
    </row>
    <row r="140">
      <c r="A140" s="311" t="n">
        <v>46224</v>
      </c>
      <c r="B140" s="204" t="n">
        <v>30</v>
      </c>
      <c r="C140" s="205" t="n">
        <v>1</v>
      </c>
      <c r="D140" s="205" t="n">
        <v>239.7</v>
      </c>
      <c r="E140" s="194" t="n">
        <v>0.9448167126527395</v>
      </c>
      <c r="F140" s="205" t="n">
        <v>0</v>
      </c>
      <c r="G140" s="205" t="n">
        <v>59.47</v>
      </c>
      <c r="H140" s="194" t="n">
        <v>0.2344107213243989</v>
      </c>
      <c r="I140" s="205" t="n">
        <v>0</v>
      </c>
      <c r="J140" s="205" t="n">
        <v>0</v>
      </c>
      <c r="K140" s="194" t="n">
        <v>0</v>
      </c>
    </row>
    <row r="141">
      <c r="A141" s="311" t="n">
        <v>46225</v>
      </c>
      <c r="B141" s="204" t="n">
        <v>30</v>
      </c>
      <c r="C141" s="205" t="n">
        <v>1</v>
      </c>
      <c r="D141" s="205" t="n">
        <v>240.7</v>
      </c>
      <c r="E141" s="194" t="n">
        <v>0.9487583760346866</v>
      </c>
      <c r="F141" s="205" t="n">
        <v>0</v>
      </c>
      <c r="G141" s="205" t="n">
        <v>59.47</v>
      </c>
      <c r="H141" s="194" t="n">
        <v>0.2344107213243989</v>
      </c>
      <c r="I141" s="205" t="n">
        <v>0</v>
      </c>
      <c r="J141" s="205" t="n">
        <v>0</v>
      </c>
      <c r="K141" s="194" t="n">
        <v>0</v>
      </c>
    </row>
    <row r="142">
      <c r="A142" s="311" t="n">
        <v>46226</v>
      </c>
      <c r="B142" s="204" t="n">
        <v>30</v>
      </c>
      <c r="C142" s="205" t="n">
        <v>2</v>
      </c>
      <c r="D142" s="205" t="n">
        <v>242.7</v>
      </c>
      <c r="E142" s="194" t="n">
        <v>0.956641702798581</v>
      </c>
      <c r="F142" s="205" t="n">
        <v>0</v>
      </c>
      <c r="G142" s="205" t="n">
        <v>59.47</v>
      </c>
      <c r="H142" s="194" t="n">
        <v>0.2344107213243989</v>
      </c>
      <c r="I142" s="205" t="n">
        <v>0</v>
      </c>
      <c r="J142" s="205" t="n">
        <v>0</v>
      </c>
      <c r="K142" s="194" t="n">
        <v>0</v>
      </c>
    </row>
    <row r="143">
      <c r="A143" s="311" t="n">
        <v>46227</v>
      </c>
      <c r="B143" s="204" t="n">
        <v>30</v>
      </c>
      <c r="C143" s="205" t="n">
        <v>2</v>
      </c>
      <c r="D143" s="205" t="n">
        <v>244.7</v>
      </c>
      <c r="E143" s="194" t="n">
        <v>0.9645250295624753</v>
      </c>
      <c r="F143" s="205" t="n">
        <v>0</v>
      </c>
      <c r="G143" s="205" t="n">
        <v>59.47</v>
      </c>
      <c r="H143" s="194" t="n">
        <v>0.2344107213243989</v>
      </c>
      <c r="I143" s="205" t="n">
        <v>0</v>
      </c>
      <c r="J143" s="205" t="n">
        <v>0</v>
      </c>
      <c r="K143" s="194" t="n">
        <v>0</v>
      </c>
    </row>
    <row r="144">
      <c r="A144" s="311" t="n">
        <v>46228</v>
      </c>
      <c r="B144" s="204" t="n">
        <v>30</v>
      </c>
      <c r="C144" s="205" t="n">
        <v>0</v>
      </c>
      <c r="D144" s="205" t="n">
        <v>244.7</v>
      </c>
      <c r="E144" s="194" t="n">
        <v>0.9645250295624753</v>
      </c>
      <c r="F144" s="205" t="n">
        <v>0</v>
      </c>
      <c r="G144" s="205" t="n">
        <v>59.47</v>
      </c>
      <c r="H144" s="194" t="n">
        <v>0.2344107213243989</v>
      </c>
      <c r="I144" s="205" t="n">
        <v>0</v>
      </c>
      <c r="J144" s="205" t="n">
        <v>0</v>
      </c>
      <c r="K144" s="194" t="n">
        <v>0</v>
      </c>
    </row>
    <row r="145">
      <c r="A145" s="311" t="n">
        <v>46229</v>
      </c>
      <c r="B145" s="204" t="n">
        <v>31</v>
      </c>
      <c r="C145" s="205" t="n">
        <v>0</v>
      </c>
      <c r="D145" s="205" t="n">
        <v>244.7</v>
      </c>
      <c r="E145" s="194" t="n">
        <v>0.9645250295624753</v>
      </c>
      <c r="F145" s="205" t="n">
        <v>0</v>
      </c>
      <c r="G145" s="205" t="n">
        <v>59.47</v>
      </c>
      <c r="H145" s="194" t="n">
        <v>0.2344107213243989</v>
      </c>
      <c r="I145" s="205" t="n">
        <v>0</v>
      </c>
      <c r="J145" s="205" t="n">
        <v>0</v>
      </c>
      <c r="K145" s="194" t="n">
        <v>0</v>
      </c>
    </row>
    <row r="146">
      <c r="A146" s="311" t="n">
        <v>46230</v>
      </c>
      <c r="B146" s="204" t="n">
        <v>31</v>
      </c>
      <c r="C146" s="205" t="n">
        <v>2</v>
      </c>
      <c r="D146" s="205" t="n">
        <v>246.7</v>
      </c>
      <c r="E146" s="194" t="n">
        <v>0.9724083563263697</v>
      </c>
      <c r="F146" s="205" t="n">
        <v>0</v>
      </c>
      <c r="G146" s="205" t="n">
        <v>59.47</v>
      </c>
      <c r="H146" s="194" t="n">
        <v>0.2344107213243989</v>
      </c>
      <c r="I146" s="205" t="n">
        <v>0</v>
      </c>
      <c r="J146" s="205" t="n">
        <v>0</v>
      </c>
      <c r="K146" s="194" t="n">
        <v>0</v>
      </c>
    </row>
    <row r="147">
      <c r="A147" s="311" t="n">
        <v>46231</v>
      </c>
      <c r="B147" s="204" t="n">
        <v>31</v>
      </c>
      <c r="C147" s="205" t="n">
        <v>1</v>
      </c>
      <c r="D147" s="205" t="n">
        <v>247.7</v>
      </c>
      <c r="E147" s="194" t="n">
        <v>0.9763500197083169</v>
      </c>
      <c r="F147" s="205" t="n">
        <v>0</v>
      </c>
      <c r="G147" s="205" t="n">
        <v>59.47</v>
      </c>
      <c r="H147" s="194" t="n">
        <v>0.2344107213243989</v>
      </c>
      <c r="I147" s="205" t="n">
        <v>0</v>
      </c>
      <c r="J147" s="205" t="n">
        <v>0</v>
      </c>
      <c r="K147" s="194" t="n">
        <v>0</v>
      </c>
    </row>
    <row r="148">
      <c r="A148" s="311" t="n">
        <v>46232</v>
      </c>
      <c r="B148" s="204" t="n">
        <v>31</v>
      </c>
      <c r="C148" s="205" t="n">
        <v>1</v>
      </c>
      <c r="D148" s="205" t="n">
        <v>248.7</v>
      </c>
      <c r="E148" s="194" t="n">
        <v>0.980291683090264</v>
      </c>
      <c r="F148" s="205" t="n">
        <v>0</v>
      </c>
      <c r="G148" s="205" t="n">
        <v>59.47</v>
      </c>
      <c r="H148" s="194" t="n">
        <v>0.2344107213243989</v>
      </c>
      <c r="I148" s="205" t="n">
        <v>0</v>
      </c>
      <c r="J148" s="205" t="n">
        <v>0</v>
      </c>
      <c r="K148" s="194" t="n">
        <v>0</v>
      </c>
    </row>
    <row r="149">
      <c r="A149" s="311" t="n">
        <v>46233</v>
      </c>
      <c r="B149" s="204" t="n">
        <v>31</v>
      </c>
      <c r="C149" s="205" t="n">
        <v>1</v>
      </c>
      <c r="D149" s="205" t="n">
        <v>249.7</v>
      </c>
      <c r="E149" s="194" t="n">
        <v>0.9842333464722113</v>
      </c>
      <c r="F149" s="205" t="n">
        <v>0</v>
      </c>
      <c r="G149" s="205" t="n">
        <v>59.47</v>
      </c>
      <c r="H149" s="194" t="n">
        <v>0.2344107213243989</v>
      </c>
      <c r="I149" s="205" t="n">
        <v>0</v>
      </c>
      <c r="J149" s="205" t="n">
        <v>0</v>
      </c>
      <c r="K149" s="194" t="n">
        <v>0</v>
      </c>
    </row>
    <row r="150">
      <c r="A150" s="311" t="n">
        <v>46234</v>
      </c>
      <c r="B150" s="204" t="n">
        <v>31</v>
      </c>
      <c r="C150" s="205" t="n">
        <v>1</v>
      </c>
      <c r="D150" s="205" t="n">
        <v>250.7</v>
      </c>
      <c r="E150" s="194" t="n">
        <v>0.9881750098541584</v>
      </c>
      <c r="F150" s="205" t="n">
        <v>0</v>
      </c>
      <c r="G150" s="205" t="n">
        <v>59.47</v>
      </c>
      <c r="H150" s="194" t="n">
        <v>0.2344107213243989</v>
      </c>
      <c r="I150" s="205" t="n">
        <v>0</v>
      </c>
      <c r="J150" s="205" t="n">
        <v>0</v>
      </c>
      <c r="K150" s="194" t="n">
        <v>0</v>
      </c>
    </row>
    <row r="151">
      <c r="A151" s="311" t="n">
        <v>46235</v>
      </c>
      <c r="B151" s="204" t="n">
        <v>31</v>
      </c>
      <c r="C151" s="205" t="n">
        <v>0</v>
      </c>
      <c r="D151" s="205" t="n">
        <v>250.7</v>
      </c>
      <c r="E151" s="194" t="n">
        <v>0.9881750098541584</v>
      </c>
      <c r="F151" s="205" t="n">
        <v>0</v>
      </c>
      <c r="G151" s="205" t="n">
        <v>59.47</v>
      </c>
      <c r="H151" s="194" t="n">
        <v>0.2344107213243989</v>
      </c>
      <c r="I151" s="205" t="n">
        <v>0</v>
      </c>
      <c r="J151" s="205" t="n">
        <v>0</v>
      </c>
      <c r="K151" s="194" t="n">
        <v>0</v>
      </c>
    </row>
    <row r="152">
      <c r="A152" s="311" t="n">
        <v>46236</v>
      </c>
      <c r="B152" s="204" t="n">
        <v>32</v>
      </c>
      <c r="C152" s="205" t="n">
        <v>0</v>
      </c>
      <c r="D152" s="205" t="n">
        <v>250.7</v>
      </c>
      <c r="E152" s="194" t="n">
        <v>0.9881750098541584</v>
      </c>
      <c r="F152" s="205" t="n">
        <v>0</v>
      </c>
      <c r="G152" s="205" t="n">
        <v>59.47</v>
      </c>
      <c r="H152" s="194" t="n">
        <v>0.2344107213243989</v>
      </c>
      <c r="I152" s="205" t="n">
        <v>0</v>
      </c>
      <c r="J152" s="205" t="n">
        <v>0</v>
      </c>
      <c r="K152" s="194" t="n">
        <v>0</v>
      </c>
    </row>
    <row r="153">
      <c r="A153" s="311" t="n">
        <v>46237</v>
      </c>
      <c r="B153" s="204" t="n">
        <v>32</v>
      </c>
      <c r="C153" s="205" t="n">
        <v>3</v>
      </c>
      <c r="D153" s="205" t="n">
        <v>253.7</v>
      </c>
      <c r="E153" s="194" t="n">
        <v>1</v>
      </c>
      <c r="F153" s="205" t="n">
        <v>0</v>
      </c>
      <c r="G153" s="205" t="n">
        <v>59.47</v>
      </c>
      <c r="H153" s="194" t="n">
        <v>0.2344107213243989</v>
      </c>
      <c r="I153" s="205" t="n">
        <v>0</v>
      </c>
      <c r="J153" s="205" t="n">
        <v>0</v>
      </c>
      <c r="K153" s="194" t="n">
        <v>0</v>
      </c>
    </row>
    <row r="154">
      <c r="A154" s="311" t="n">
        <v>46238</v>
      </c>
      <c r="B154" s="204" t="n">
        <v>32</v>
      </c>
      <c r="C154" s="205" t="n">
        <v>0</v>
      </c>
      <c r="D154" s="205" t="n">
        <v>253.7</v>
      </c>
      <c r="E154" s="194" t="n">
        <v>1</v>
      </c>
      <c r="F154" s="205" t="n">
        <v>0</v>
      </c>
      <c r="G154" s="205" t="n">
        <v>59.47</v>
      </c>
      <c r="H154" s="194" t="n">
        <v>0.2344107213243989</v>
      </c>
      <c r="I154" s="205" t="n">
        <v>0</v>
      </c>
      <c r="J154" s="205" t="n">
        <v>0</v>
      </c>
      <c r="K154" s="194" t="n">
        <v>0</v>
      </c>
    </row>
    <row r="155">
      <c r="A155" s="311" t="n">
        <v>46239</v>
      </c>
      <c r="B155" s="204" t="n">
        <v>32</v>
      </c>
      <c r="C155" s="205" t="n">
        <v>0</v>
      </c>
      <c r="D155" s="205" t="n">
        <v>253.7</v>
      </c>
      <c r="E155" s="194" t="n">
        <v>1</v>
      </c>
      <c r="F155" s="205" t="n">
        <v>0</v>
      </c>
      <c r="G155" s="205" t="n">
        <v>59.47</v>
      </c>
      <c r="H155" s="194" t="n">
        <v>0.2344107213243989</v>
      </c>
      <c r="I155" s="205" t="n">
        <v>0</v>
      </c>
      <c r="J155" s="205" t="n">
        <v>0</v>
      </c>
      <c r="K155" s="194" t="n">
        <v>0</v>
      </c>
    </row>
    <row r="156">
      <c r="A156" s="311" t="n">
        <v>46240</v>
      </c>
      <c r="B156" s="204" t="n">
        <v>32</v>
      </c>
      <c r="C156" s="205" t="n">
        <v>0</v>
      </c>
      <c r="D156" s="205" t="n">
        <v>253.7</v>
      </c>
      <c r="E156" s="194" t="n">
        <v>1</v>
      </c>
      <c r="F156" s="205" t="n">
        <v>0</v>
      </c>
      <c r="G156" s="205" t="n">
        <v>59.47</v>
      </c>
      <c r="H156" s="194" t="n">
        <v>0.2344107213243989</v>
      </c>
      <c r="I156" s="205" t="n">
        <v>0</v>
      </c>
      <c r="J156" s="205" t="n">
        <v>0</v>
      </c>
      <c r="K156" s="194" t="n">
        <v>0</v>
      </c>
    </row>
  </sheetData>
  <pageMargins left="0.7" right="0.7" top="0.75" bottom="0.75" header="0.3" footer="0.3"/>
</worksheet>
</file>

<file path=xl/worksheets/sheet6.xml><?xml version="1.0" encoding="utf-8"?>
<worksheet xmlns="http://schemas.openxmlformats.org/spreadsheetml/2006/main">
  <sheetPr codeName="Sheet3">
    <tabColor rgb="FFFFC000"/>
    <outlinePr summaryBelow="1" summaryRight="1"/>
    <pageSetUpPr/>
  </sheetPr>
  <dimension ref="A1:J305"/>
  <sheetViews>
    <sheetView showGridLines="0" zoomScale="85" zoomScaleNormal="85" workbookViewId="0">
      <pane ySplit="1" topLeftCell="A2" activePane="bottomLeft" state="frozenSplit"/>
      <selection pane="bottomLeft" activeCell="A1" sqref="A1"/>
    </sheetView>
  </sheetViews>
  <sheetFormatPr baseColWidth="8" defaultColWidth="10" defaultRowHeight="15"/>
  <cols>
    <col width="31.625" customWidth="1" style="62" min="1" max="1"/>
    <col width="14.5" customWidth="1" style="62" min="2" max="2"/>
    <col width="7.625" customWidth="1" style="62" min="3" max="3"/>
    <col width="21.5" customWidth="1" style="62" min="4" max="4"/>
    <col width="14.125" customWidth="1" style="62" min="5" max="5"/>
    <col width="11.625" bestFit="1" customWidth="1" style="62" min="6" max="6"/>
    <col width="24.25" customWidth="1" style="62" min="7" max="7"/>
    <col width="18.375" bestFit="1" customWidth="1" style="62" min="8" max="8"/>
    <col width="11.125" bestFit="1" customWidth="1" style="62" min="9" max="9"/>
    <col width="27.375" bestFit="1" customWidth="1" style="62" min="10" max="10"/>
    <col width="10" customWidth="1" style="62" min="11" max="19"/>
    <col width="10" customWidth="1" style="62" min="20" max="23"/>
    <col width="10" customWidth="1" style="62" min="24" max="26"/>
    <col hidden="1" width="13" customWidth="1" style="62" min="27" max="27"/>
    <col width="10" customWidth="1" style="62" min="28" max="16384"/>
  </cols>
  <sheetData>
    <row r="1" ht="36.95" customHeight="1">
      <c r="A1" s="225" t="inlineStr">
        <is>
          <t xml:space="preserve"> 프로젝트 휴무일 Calendar 설정</t>
        </is>
      </c>
      <c r="B1" s="225" t="n"/>
      <c r="C1" s="225" t="n"/>
      <c r="D1" s="225" t="n"/>
      <c r="E1" s="225" t="n"/>
      <c r="F1" s="225" t="n"/>
      <c r="G1" s="225" t="n"/>
      <c r="H1" s="225" t="n"/>
    </row>
    <row r="2" ht="78.75" customFormat="1" customHeight="1" s="63">
      <c r="A2" s="281" t="inlineStr">
        <is>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is>
      </c>
    </row>
    <row r="3" ht="24.75" customFormat="1" customHeight="1" s="63">
      <c r="A3" s="283" t="inlineStr">
        <is>
          <t>표준캘린더</t>
        </is>
      </c>
      <c r="B3" s="312" t="n"/>
      <c r="D3" s="283" t="inlineStr">
        <is>
          <t>사용자정의 캘린더1</t>
        </is>
      </c>
      <c r="E3" s="312" t="n"/>
      <c r="G3" s="283" t="inlineStr">
        <is>
          <t>사용자정의 캘린더2</t>
        </is>
      </c>
      <c r="H3" s="312" t="n"/>
    </row>
    <row r="4" ht="19.5" customFormat="1" customHeight="1" s="65">
      <c r="A4" s="64" t="inlineStr">
        <is>
          <t>휴무일명</t>
        </is>
      </c>
      <c r="B4" s="64" t="inlineStr">
        <is>
          <t>휴무일자</t>
        </is>
      </c>
      <c r="D4" s="64" t="inlineStr">
        <is>
          <t>휴무일명</t>
        </is>
      </c>
      <c r="E4" s="64" t="inlineStr">
        <is>
          <t>휴무일자</t>
        </is>
      </c>
      <c r="G4" s="64" t="inlineStr">
        <is>
          <t>휴무일명</t>
        </is>
      </c>
      <c r="H4" s="64" t="inlineStr">
        <is>
          <t>휴무일자</t>
        </is>
      </c>
    </row>
    <row r="5" ht="16.5" customFormat="1" customHeight="1" s="73">
      <c r="A5" s="71" t="inlineStr">
        <is>
          <t>2025년 신정</t>
        </is>
      </c>
      <c r="B5" s="72" t="n">
        <v>45658</v>
      </c>
      <c r="C5" s="73">
        <f>IF(B5&gt;0,TEXT(B5,"(aaa)"),"")</f>
        <v/>
      </c>
      <c r="D5" s="71" t="n"/>
      <c r="E5" s="72" t="n"/>
      <c r="F5" s="73">
        <f>IF(E5&gt;0,TEXT(E5,"(aaa)"),"")</f>
        <v/>
      </c>
      <c r="G5" s="71" t="n"/>
      <c r="H5" s="72" t="n"/>
      <c r="I5" s="73">
        <f>IF(H5&gt;0,TEXT(H5,"(aaa)"),"")</f>
        <v/>
      </c>
    </row>
    <row r="6" ht="16.5" customFormat="1" customHeight="1" s="73">
      <c r="A6" s="71" t="inlineStr">
        <is>
          <t>2025년 임시공휴일</t>
        </is>
      </c>
      <c r="B6" s="72" t="n">
        <v>45684</v>
      </c>
      <c r="C6" s="73">
        <f>IF(B6&gt;0,TEXT(B6,"(aaa)"),"")</f>
        <v/>
      </c>
      <c r="D6" s="71" t="n"/>
      <c r="E6" s="72" t="n"/>
      <c r="F6" s="73">
        <f>IF(E6&gt;0,TEXT(E6,"(aaa)"),"")</f>
        <v/>
      </c>
      <c r="G6" s="71" t="n"/>
      <c r="H6" s="72" t="n"/>
      <c r="I6" s="73">
        <f>IF(H6&gt;0,TEXT(H6,"(aaa)"),"")</f>
        <v/>
      </c>
    </row>
    <row r="7" ht="16.5" customFormat="1" customHeight="1" s="73">
      <c r="A7" s="71" t="inlineStr">
        <is>
          <t>2025년 설 연휴</t>
        </is>
      </c>
      <c r="B7" s="72" t="n">
        <v>45685</v>
      </c>
      <c r="C7" s="73">
        <f>IF(B7&gt;0,TEXT(B7,"(aaa)"),"")</f>
        <v/>
      </c>
      <c r="D7" s="71" t="n"/>
      <c r="E7" s="72" t="n"/>
      <c r="F7" s="73">
        <f>IF(E7&gt;0,TEXT(E7,"(aaa)"),"")</f>
        <v/>
      </c>
      <c r="G7" s="71" t="n"/>
      <c r="H7" s="72" t="n"/>
      <c r="I7" s="73">
        <f>IF(H7&gt;0,TEXT(H7,"(aaa)"),"")</f>
        <v/>
      </c>
    </row>
    <row r="8" ht="16.5" customFormat="1" customHeight="1" s="73">
      <c r="A8" s="71" t="inlineStr">
        <is>
          <t>2025년 설날</t>
        </is>
      </c>
      <c r="B8" s="72" t="n">
        <v>45686</v>
      </c>
      <c r="C8" s="73">
        <f>IF(B8&gt;0,TEXT(B8,"(aaa)"),"")</f>
        <v/>
      </c>
      <c r="D8" s="71" t="n"/>
      <c r="E8" s="72" t="n"/>
      <c r="F8" s="73">
        <f>IF(E8&gt;0,TEXT(E8,"(aaa)"),"")</f>
        <v/>
      </c>
      <c r="G8" s="71" t="n"/>
      <c r="H8" s="72" t="n"/>
      <c r="I8" s="73">
        <f>IF(H8&gt;0,TEXT(H8,"(aaa)"),"")</f>
        <v/>
      </c>
    </row>
    <row r="9" ht="16.5" customFormat="1" customHeight="1" s="73">
      <c r="A9" s="71" t="inlineStr">
        <is>
          <t>2025년 설 연휴</t>
        </is>
      </c>
      <c r="B9" s="72" t="n">
        <v>45687</v>
      </c>
      <c r="C9" s="73">
        <f>IF(B9&gt;0,TEXT(B9,"(aaa)"),"")</f>
        <v/>
      </c>
      <c r="D9" s="71" t="n"/>
      <c r="E9" s="72" t="n"/>
      <c r="F9" s="73">
        <f>IF(E9&gt;0,TEXT(E9,"(aaa)"),"")</f>
        <v/>
      </c>
      <c r="G9" s="71" t="n"/>
      <c r="H9" s="72" t="n"/>
      <c r="I9" s="73">
        <f>IF(H9&gt;0,TEXT(H9,"(aaa)"),"")</f>
        <v/>
      </c>
    </row>
    <row r="10" ht="16.5" customFormat="1" customHeight="1" s="73">
      <c r="A10" s="71" t="inlineStr">
        <is>
          <t>2025년 대체공휴일(삼일절)</t>
        </is>
      </c>
      <c r="B10" s="72" t="n">
        <v>45719</v>
      </c>
      <c r="C10" s="73">
        <f>IF(B10&gt;0,TEXT(B10,"(aaa)"),"")</f>
        <v/>
      </c>
      <c r="D10" s="71" t="n"/>
      <c r="E10" s="72" t="n"/>
      <c r="F10" s="73">
        <f>IF(E10&gt;0,TEXT(E10,"(aaa)"),"")</f>
        <v/>
      </c>
      <c r="G10" s="71" t="n"/>
      <c r="H10" s="72" t="n"/>
      <c r="I10" s="73">
        <f>IF(H10&gt;0,TEXT(H10,"(aaa)"),"")</f>
        <v/>
      </c>
    </row>
    <row r="11" ht="16.5" customFormat="1" customHeight="1" s="73">
      <c r="A11" s="71" t="inlineStr">
        <is>
          <t>2025년 어린이날</t>
        </is>
      </c>
      <c r="B11" s="72" t="n">
        <v>45782</v>
      </c>
      <c r="C11" s="73">
        <f>IF(B11&gt;0,TEXT(B11,"(aaa)"),"")</f>
        <v/>
      </c>
      <c r="D11" s="71" t="n"/>
      <c r="E11" s="72" t="n"/>
      <c r="F11" s="73">
        <f>IF(E11&gt;0,TEXT(E11,"(aaa)"),"")</f>
        <v/>
      </c>
      <c r="G11" s="71" t="n"/>
      <c r="H11" s="72" t="n"/>
      <c r="I11" s="73">
        <f>IF(H11&gt;0,TEXT(H11,"(aaa)"),"")</f>
        <v/>
      </c>
    </row>
    <row r="12" ht="16.5" customFormat="1" customHeight="1" s="73">
      <c r="A12" s="71" t="inlineStr">
        <is>
          <t>2025년 대체공휴일</t>
        </is>
      </c>
      <c r="B12" s="72" t="n">
        <v>45783</v>
      </c>
      <c r="C12" s="73">
        <f>IF(B12&gt;0,TEXT(B12,"(aaa)"),"")</f>
        <v/>
      </c>
      <c r="D12" s="71" t="n"/>
      <c r="E12" s="72" t="n"/>
      <c r="F12" s="73">
        <f>IF(E12&gt;0,TEXT(E12,"(aaa)"),"")</f>
        <v/>
      </c>
      <c r="G12" s="71" t="n"/>
      <c r="H12" s="72" t="n"/>
      <c r="I12" s="73">
        <f>IF(H12&gt;0,TEXT(H12,"(aaa)"),"")</f>
        <v/>
      </c>
    </row>
    <row r="13" ht="16.5" customFormat="1" customHeight="1" s="73">
      <c r="A13" s="71" t="inlineStr">
        <is>
          <t>21대 대통령 선거일</t>
        </is>
      </c>
      <c r="B13" s="72" t="n">
        <v>45811</v>
      </c>
      <c r="C13" s="73">
        <f>IF(B13&gt;0,TEXT(B13,"(aaa)"),"")</f>
        <v/>
      </c>
      <c r="D13" s="71" t="n"/>
      <c r="E13" s="72" t="n"/>
      <c r="F13" s="73">
        <f>IF(E13&gt;0,TEXT(E13,"(aaa)"),"")</f>
        <v/>
      </c>
      <c r="G13" s="71" t="n"/>
      <c r="H13" s="72" t="n"/>
      <c r="I13" s="73">
        <f>IF(H13&gt;0,TEXT(H13,"(aaa)"),"")</f>
        <v/>
      </c>
    </row>
    <row r="14" ht="16.5" customFormat="1" customHeight="1" s="73">
      <c r="A14" s="71" t="inlineStr">
        <is>
          <t>2025년 현충일</t>
        </is>
      </c>
      <c r="B14" s="72" t="n">
        <v>45814</v>
      </c>
      <c r="C14" s="73">
        <f>IF(B14&gt;0,TEXT(B14,"(aaa)"),"")</f>
        <v/>
      </c>
      <c r="D14" s="71" t="n"/>
      <c r="E14" s="72" t="n"/>
      <c r="F14" s="73">
        <f>IF(E14&gt;0,TEXT(E14,"(aaa)"),"")</f>
        <v/>
      </c>
      <c r="G14" s="71" t="n"/>
      <c r="H14" s="72" t="n"/>
      <c r="I14" s="73">
        <f>IF(H14&gt;0,TEXT(H14,"(aaa)"),"")</f>
        <v/>
      </c>
    </row>
    <row r="15" ht="16.5" customFormat="1" customHeight="1" s="73">
      <c r="A15" s="71" t="inlineStr">
        <is>
          <t>2025년 광복절</t>
        </is>
      </c>
      <c r="B15" s="72" t="n">
        <v>45884</v>
      </c>
      <c r="C15" s="73">
        <f>IF(B15&gt;0,TEXT(B15,"(aaa)"),"")</f>
        <v/>
      </c>
      <c r="D15" s="71" t="n"/>
      <c r="E15" s="72" t="n"/>
      <c r="F15" s="73">
        <f>IF(E15&gt;0,TEXT(E15,"(aaa)"),"")</f>
        <v/>
      </c>
      <c r="G15" s="71" t="n"/>
      <c r="H15" s="72" t="n"/>
      <c r="I15" s="73">
        <f>IF(H15&gt;0,TEXT(H15,"(aaa)"),"")</f>
        <v/>
      </c>
    </row>
    <row r="16" ht="16.5" customFormat="1" customHeight="1" s="73">
      <c r="A16" s="71" t="inlineStr">
        <is>
          <t>2025년 개천절</t>
        </is>
      </c>
      <c r="B16" s="72" t="n">
        <v>45933</v>
      </c>
      <c r="C16" s="73">
        <f>IF(B16&gt;0,TEXT(B16,"(aaa)"),"")</f>
        <v/>
      </c>
      <c r="D16" s="71" t="n"/>
      <c r="E16" s="72" t="n"/>
      <c r="F16" s="73">
        <f>IF(E16&gt;0,TEXT(E16,"(aaa)"),"")</f>
        <v/>
      </c>
      <c r="G16" s="71" t="n"/>
      <c r="H16" s="72" t="n"/>
      <c r="I16" s="73">
        <f>IF(H16&gt;0,TEXT(H16,"(aaa)"),"")</f>
        <v/>
      </c>
    </row>
    <row r="17" ht="16.5" customFormat="1" customHeight="1" s="73">
      <c r="A17" s="71" t="inlineStr">
        <is>
          <t>2025년 추석</t>
        </is>
      </c>
      <c r="B17" s="72" t="n">
        <v>45936</v>
      </c>
      <c r="C17" s="73">
        <f>IF(B17&gt;0,TEXT(B17,"(aaa)"),"")</f>
        <v/>
      </c>
      <c r="D17" s="71" t="n"/>
      <c r="E17" s="72" t="n"/>
      <c r="F17" s="73">
        <f>IF(E17&gt;0,TEXT(E17,"(aaa)"),"")</f>
        <v/>
      </c>
      <c r="G17" s="71" t="n"/>
      <c r="H17" s="72" t="n"/>
      <c r="I17" s="73">
        <f>IF(H17&gt;0,TEXT(H17,"(aaa)"),"")</f>
        <v/>
      </c>
    </row>
    <row r="18" ht="16.5" customFormat="1" customHeight="1" s="73">
      <c r="A18" s="71" t="inlineStr">
        <is>
          <t>2025년 추석 연휴</t>
        </is>
      </c>
      <c r="B18" s="72" t="n">
        <v>45937</v>
      </c>
      <c r="C18" s="73">
        <f>IF(B18&gt;0,TEXT(B18,"(aaa)"),"")</f>
        <v/>
      </c>
      <c r="D18" s="71" t="n"/>
      <c r="E18" s="72" t="n"/>
      <c r="F18" s="73">
        <f>IF(E18&gt;0,TEXT(E18,"(aaa)"),"")</f>
        <v/>
      </c>
      <c r="G18" s="71" t="n"/>
      <c r="H18" s="72" t="n"/>
      <c r="I18" s="73">
        <f>IF(H18&gt;0,TEXT(H18,"(aaa)"),"")</f>
        <v/>
      </c>
    </row>
    <row r="19" ht="17.25" customFormat="1" customHeight="1" s="73">
      <c r="A19" s="71" t="inlineStr">
        <is>
          <t>2025년 대체공휴일(추석)</t>
        </is>
      </c>
      <c r="B19" s="72" t="n">
        <v>45938</v>
      </c>
      <c r="C19" s="73">
        <f>IF(B19&gt;0,TEXT(B19,"(aaa)"),"")</f>
        <v/>
      </c>
      <c r="D19" s="71" t="n"/>
      <c r="E19" s="72" t="n"/>
      <c r="F19" s="73">
        <f>IF(E19&gt;0,TEXT(E19,"(aaa)"),"")</f>
        <v/>
      </c>
      <c r="G19" s="71" t="n"/>
      <c r="H19" s="72" t="n"/>
      <c r="I19" s="73">
        <f>IF(H19&gt;0,TEXT(H19,"(aaa)"),"")</f>
        <v/>
      </c>
      <c r="J19" s="74" t="n"/>
    </row>
    <row r="20" ht="17.25" customFormat="1" customHeight="1" s="73">
      <c r="A20" s="71" t="inlineStr">
        <is>
          <t>2025년 한글날</t>
        </is>
      </c>
      <c r="B20" s="72" t="n">
        <v>45939</v>
      </c>
      <c r="C20" s="73">
        <f>IF(B20&gt;0,TEXT(B20,"(aaa)"),"")</f>
        <v/>
      </c>
      <c r="D20" s="71" t="n"/>
      <c r="E20" s="72" t="n"/>
      <c r="F20" s="73">
        <f>IF(E20&gt;0,TEXT(E20,"(aaa)"),"")</f>
        <v/>
      </c>
      <c r="G20" s="71" t="n"/>
      <c r="H20" s="72" t="n"/>
      <c r="I20" s="73">
        <f>IF(H20&gt;0,TEXT(H20,"(aaa)"),"")</f>
        <v/>
      </c>
      <c r="J20" s="74" t="n"/>
    </row>
    <row r="21" ht="16.5" customFormat="1" customHeight="1" s="73">
      <c r="A21" s="71" t="inlineStr">
        <is>
          <t>2025년 성탄절</t>
        </is>
      </c>
      <c r="B21" s="72" t="n">
        <v>46016</v>
      </c>
      <c r="C21" s="73">
        <f>IF(B21&gt;0,TEXT(B21,"(aaa)"),"")</f>
        <v/>
      </c>
      <c r="D21" s="71" t="n"/>
      <c r="E21" s="72" t="n"/>
      <c r="F21" s="73">
        <f>IF(E21&gt;0,TEXT(E21,"(aaa)"),"")</f>
        <v/>
      </c>
      <c r="G21" s="71" t="n"/>
      <c r="H21" s="72" t="n"/>
      <c r="I21" s="73">
        <f>IF(H21&gt;0,TEXT(H21,"(aaa)"),"")</f>
        <v/>
      </c>
    </row>
    <row r="22" ht="16.5" customFormat="1" customHeight="1" s="73">
      <c r="A22" s="71" t="inlineStr">
        <is>
          <t>2026년 신정</t>
        </is>
      </c>
      <c r="B22" s="72" t="n">
        <v>46023</v>
      </c>
      <c r="C22" s="73">
        <f>IF(B22&gt;0,TEXT(B22,"(aaa)"),"")</f>
        <v/>
      </c>
      <c r="D22" s="71" t="n"/>
      <c r="E22" s="72" t="n"/>
      <c r="F22" s="73">
        <f>IF(E22&gt;0,TEXT(E22,"(aaa)"),"")</f>
        <v/>
      </c>
      <c r="G22" s="71" t="n"/>
      <c r="H22" s="72" t="n"/>
      <c r="I22" s="73">
        <f>IF(H22&gt;0,TEXT(H22,"(aaa)"),"")</f>
        <v/>
      </c>
    </row>
    <row r="23" ht="16.5" customFormat="1" customHeight="1" s="73">
      <c r="A23" s="71" t="inlineStr">
        <is>
          <t>2026년 설 연휴</t>
        </is>
      </c>
      <c r="B23" s="72" t="n">
        <v>46069</v>
      </c>
      <c r="C23" s="73">
        <f>IF(B23&gt;0,TEXT(B23,"(aaa)"),"")</f>
        <v/>
      </c>
      <c r="D23" s="71" t="n"/>
      <c r="E23" s="72" t="n"/>
      <c r="F23" s="73">
        <f>IF(E23&gt;0,TEXT(E23,"(aaa)"),"")</f>
        <v/>
      </c>
      <c r="G23" s="71" t="n"/>
      <c r="H23" s="72" t="n"/>
      <c r="I23" s="73">
        <f>IF(H23&gt;0,TEXT(H23,"(aaa)"),"")</f>
        <v/>
      </c>
    </row>
    <row r="24" ht="16.5" customFormat="1" customHeight="1" s="73">
      <c r="A24" s="71" t="inlineStr">
        <is>
          <t>2026년 설날</t>
        </is>
      </c>
      <c r="B24" s="72" t="n">
        <v>46070</v>
      </c>
      <c r="C24" s="73">
        <f>IF(B24&gt;0,TEXT(B24,"(aaa)"),"")</f>
        <v/>
      </c>
      <c r="D24" s="71" t="n"/>
      <c r="E24" s="72" t="n"/>
      <c r="F24" s="73">
        <f>IF(E24&gt;0,TEXT(E24,"(aaa)"),"")</f>
        <v/>
      </c>
      <c r="G24" s="71" t="n"/>
      <c r="H24" s="72" t="n"/>
      <c r="I24" s="73">
        <f>IF(H24&gt;0,TEXT(H24,"(aaa)"),"")</f>
        <v/>
      </c>
    </row>
    <row r="25" ht="16.5" customFormat="1" customHeight="1" s="73">
      <c r="A25" s="71" t="inlineStr">
        <is>
          <t>2026년 설 연휴</t>
        </is>
      </c>
      <c r="B25" s="72" t="n">
        <v>46071</v>
      </c>
      <c r="C25" s="73">
        <f>IF(B25&gt;0,TEXT(B25,"(aaa)"),"")</f>
        <v/>
      </c>
      <c r="D25" s="71" t="n"/>
      <c r="E25" s="72" t="n"/>
      <c r="F25" s="73">
        <f>IF(E25&gt;0,TEXT(E25,"(aaa)"),"")</f>
        <v/>
      </c>
      <c r="G25" s="71" t="n"/>
      <c r="H25" s="72" t="n"/>
      <c r="I25" s="73">
        <f>IF(H25&gt;0,TEXT(H25,"(aaa)"),"")</f>
        <v/>
      </c>
    </row>
    <row r="26" ht="16.5" customFormat="1" customHeight="1" s="73">
      <c r="A26" s="71" t="inlineStr">
        <is>
          <t>2026년 대체공휴일(삼일절)</t>
        </is>
      </c>
      <c r="B26" s="72" t="n">
        <v>46083</v>
      </c>
      <c r="C26" s="73">
        <f>IF(B26&gt;0,TEXT(B26,"(aaa)"),"")</f>
        <v/>
      </c>
      <c r="D26" s="71" t="n"/>
      <c r="E26" s="72" t="n"/>
      <c r="F26" s="73">
        <f>IF(E26&gt;0,TEXT(E26,"(aaa)"),"")</f>
        <v/>
      </c>
      <c r="G26" s="71" t="n"/>
      <c r="H26" s="72" t="n"/>
      <c r="I26" s="73">
        <f>IF(H26&gt;0,TEXT(H26,"(aaa)"),"")</f>
        <v/>
      </c>
    </row>
    <row r="27" ht="16.5" customFormat="1" customHeight="1" s="73">
      <c r="A27" s="71" t="inlineStr">
        <is>
          <t>2026년 어린이날</t>
        </is>
      </c>
      <c r="B27" s="72" t="n">
        <v>46147</v>
      </c>
      <c r="C27" s="73">
        <f>IF(B27&gt;0,TEXT(B27,"(aaa)"),"")</f>
        <v/>
      </c>
      <c r="D27" s="71" t="n"/>
      <c r="E27" s="72" t="n"/>
      <c r="F27" s="73">
        <f>IF(E27&gt;0,TEXT(E27,"(aaa)"),"")</f>
        <v/>
      </c>
      <c r="G27" s="71" t="n"/>
      <c r="H27" s="72" t="n"/>
      <c r="I27" s="73">
        <f>IF(H27&gt;0,TEXT(H27,"(aaa)"),"")</f>
        <v/>
      </c>
    </row>
    <row r="28" ht="16.5" customFormat="1" customHeight="1" s="73">
      <c r="A28" s="71" t="inlineStr">
        <is>
          <t>2026년 대체공휴일(부처님오신날)</t>
        </is>
      </c>
      <c r="B28" s="72" t="n">
        <v>46167</v>
      </c>
      <c r="C28" s="73">
        <f>IF(B28&gt;0,TEXT(B28,"(aaa)"),"")</f>
        <v/>
      </c>
      <c r="D28" s="71" t="n"/>
      <c r="E28" s="72" t="n"/>
      <c r="F28" s="73">
        <f>IF(E28&gt;0,TEXT(E28,"(aaa)"),"")</f>
        <v/>
      </c>
      <c r="G28" s="71" t="n"/>
      <c r="H28" s="72" t="n"/>
      <c r="I28" s="73">
        <f>IF(H28&gt;0,TEXT(H28,"(aaa)"),"")</f>
        <v/>
      </c>
    </row>
    <row r="29" ht="16.5" customFormat="1" customHeight="1" s="73">
      <c r="A29" s="71" t="inlineStr">
        <is>
          <t>2026년 전국동시지방선거</t>
        </is>
      </c>
      <c r="B29" s="72" t="n">
        <v>46176</v>
      </c>
      <c r="C29" s="73">
        <f>IF(B29&gt;0,TEXT(B29,"(aaa)"),"")</f>
        <v/>
      </c>
      <c r="D29" s="71" t="n"/>
      <c r="E29" s="72" t="n"/>
      <c r="F29" s="73">
        <f>IF(E29&gt;0,TEXT(E29,"(aaa)"),"")</f>
        <v/>
      </c>
      <c r="G29" s="71" t="n"/>
      <c r="H29" s="72" t="n"/>
      <c r="I29" s="73">
        <f>IF(H29&gt;0,TEXT(H29,"(aaa)"),"")</f>
        <v/>
      </c>
    </row>
    <row r="30" ht="16.5" customFormat="1" customHeight="1" s="73">
      <c r="A30" s="71" t="inlineStr">
        <is>
          <t>2026년 제헌절</t>
        </is>
      </c>
      <c r="B30" s="72" t="n">
        <v>46220</v>
      </c>
      <c r="C30" s="73">
        <f>IF(B30&gt;0,TEXT(B30,"(aaa)"),"")</f>
        <v/>
      </c>
      <c r="D30" s="71" t="n"/>
      <c r="E30" s="72" t="n"/>
      <c r="F30" s="73">
        <f>IF(E30&gt;0,TEXT(E30,"(aaa)"),"")</f>
        <v/>
      </c>
      <c r="G30" s="71" t="n"/>
      <c r="H30" s="72" t="n"/>
      <c r="I30" s="73">
        <f>IF(H30&gt;0,TEXT(H30,"(aaa)"),"")</f>
        <v/>
      </c>
    </row>
    <row r="31" ht="16.5" customFormat="1" customHeight="1" s="73">
      <c r="A31" s="71" t="inlineStr">
        <is>
          <t>2026년 대체공휴일(광복절)</t>
        </is>
      </c>
      <c r="B31" s="72" t="n">
        <v>46251</v>
      </c>
      <c r="C31" s="73">
        <f>IF(B31&gt;0,TEXT(B31,"(aaa)"),"")</f>
        <v/>
      </c>
      <c r="D31" s="71" t="n"/>
      <c r="E31" s="72" t="n"/>
      <c r="F31" s="73">
        <f>IF(E31&gt;0,TEXT(E31,"(aaa)"),"")</f>
        <v/>
      </c>
      <c r="G31" s="71" t="n"/>
      <c r="H31" s="72" t="n"/>
      <c r="I31" s="73">
        <f>IF(H31&gt;0,TEXT(H31,"(aaa)"),"")</f>
        <v/>
      </c>
    </row>
    <row r="32" ht="16.5" customFormat="1" customHeight="1" s="73">
      <c r="A32" s="71" t="inlineStr">
        <is>
          <t>2026년 추석 연휴</t>
        </is>
      </c>
      <c r="B32" s="72" t="n">
        <v>46289</v>
      </c>
      <c r="C32" s="73">
        <f>IF(B32&gt;0,TEXT(B32,"(aaa)"),"")</f>
        <v/>
      </c>
      <c r="D32" s="71" t="n"/>
      <c r="E32" s="72" t="n"/>
      <c r="F32" s="73">
        <f>IF(E32&gt;0,TEXT(E32,"(aaa)"),"")</f>
        <v/>
      </c>
      <c r="G32" s="71" t="n"/>
      <c r="H32" s="72" t="n"/>
      <c r="I32" s="73">
        <f>IF(H32&gt;0,TEXT(H32,"(aaa)"),"")</f>
        <v/>
      </c>
    </row>
    <row r="33" ht="16.5" customFormat="1" customHeight="1" s="73">
      <c r="A33" s="71" t="inlineStr">
        <is>
          <t>2026년 추석</t>
        </is>
      </c>
      <c r="B33" s="72" t="n">
        <v>46290</v>
      </c>
      <c r="C33" s="73">
        <f>IF(B33&gt;0,TEXT(B33,"(aaa)"),"")</f>
        <v/>
      </c>
      <c r="D33" s="71" t="n"/>
      <c r="E33" s="72" t="n"/>
      <c r="F33" s="73">
        <f>IF(E33&gt;0,TEXT(E33,"(aaa)"),"")</f>
        <v/>
      </c>
      <c r="G33" s="71" t="n"/>
      <c r="H33" s="72" t="n"/>
      <c r="I33" s="73">
        <f>IF(H33&gt;0,TEXT(H33,"(aaa)"),"")</f>
        <v/>
      </c>
    </row>
    <row r="34" ht="16.5" customFormat="1" customHeight="1" s="73">
      <c r="A34" s="71" t="inlineStr">
        <is>
          <t>2026년 대체공휴일(개천절)</t>
        </is>
      </c>
      <c r="B34" s="72" t="n">
        <v>46300</v>
      </c>
      <c r="C34" s="73">
        <f>IF(B34&gt;0,TEXT(B34,"(aaa)"),"")</f>
        <v/>
      </c>
      <c r="D34" s="71" t="n"/>
      <c r="E34" s="72" t="n"/>
      <c r="F34" s="73">
        <f>IF(E34&gt;0,TEXT(E34,"(aaa)"),"")</f>
        <v/>
      </c>
      <c r="G34" s="71" t="n"/>
      <c r="H34" s="72" t="n"/>
      <c r="I34" s="73">
        <f>IF(H34&gt;0,TEXT(H34,"(aaa)"),"")</f>
        <v/>
      </c>
    </row>
    <row r="35" ht="16.5" customFormat="1" customHeight="1" s="73">
      <c r="A35" s="71" t="inlineStr">
        <is>
          <t>2026년 한글날</t>
        </is>
      </c>
      <c r="B35" s="72" t="n">
        <v>46304</v>
      </c>
      <c r="C35" s="73">
        <f>IF(B35&gt;0,TEXT(B35,"(aaa)"),"")</f>
        <v/>
      </c>
      <c r="D35" s="71" t="n"/>
      <c r="E35" s="72" t="n"/>
      <c r="F35" s="73">
        <f>IF(E35&gt;0,TEXT(E35,"(aaa)"),"")</f>
        <v/>
      </c>
      <c r="G35" s="71" t="n"/>
      <c r="H35" s="72" t="n"/>
      <c r="I35" s="73">
        <f>IF(H35&gt;0,TEXT(H35,"(aaa)"),"")</f>
        <v/>
      </c>
    </row>
    <row r="36" ht="16.5" customFormat="1" customHeight="1" s="73">
      <c r="A36" s="71" t="inlineStr">
        <is>
          <t>2026년 성탄절</t>
        </is>
      </c>
      <c r="B36" s="72" t="n">
        <v>46381</v>
      </c>
      <c r="C36" s="73">
        <f>IF(B36&gt;0,TEXT(B36,"(aaa)"),"")</f>
        <v/>
      </c>
      <c r="D36" s="71" t="n"/>
      <c r="E36" s="72" t="n"/>
      <c r="F36" s="73">
        <f>IF(E36&gt;0,TEXT(E36,"(aaa)"),"")</f>
        <v/>
      </c>
      <c r="G36" s="71" t="n"/>
      <c r="H36" s="72" t="n"/>
      <c r="I36" s="73">
        <f>IF(H36&gt;0,TEXT(H36,"(aaa)"),"")</f>
        <v/>
      </c>
    </row>
    <row r="37" ht="16.5" customFormat="1" customHeight="1" s="73">
      <c r="A37" s="71" t="inlineStr">
        <is>
          <t>2027년 신정</t>
        </is>
      </c>
      <c r="B37" s="72" t="n">
        <v>46388</v>
      </c>
      <c r="C37" s="73">
        <f>IF(B37&gt;0,TEXT(B37,"(aaa)"),"")</f>
        <v/>
      </c>
      <c r="D37" s="71" t="n"/>
      <c r="E37" s="72" t="n"/>
      <c r="F37" s="73">
        <f>IF(E37&gt;0,TEXT(E37,"(aaa)"),"")</f>
        <v/>
      </c>
      <c r="G37" s="71" t="n"/>
      <c r="H37" s="72" t="n"/>
      <c r="I37" s="73">
        <f>IF(H37&gt;0,TEXT(H37,"(aaa)"),"")</f>
        <v/>
      </c>
    </row>
    <row r="38" ht="16.5" customFormat="1" customHeight="1" s="73">
      <c r="A38" s="71" t="inlineStr">
        <is>
          <t>2027년 설 연휴</t>
        </is>
      </c>
      <c r="B38" s="72" t="n">
        <v>46426</v>
      </c>
      <c r="C38" s="73">
        <f>IF(B38&gt;0,TEXT(B38,"(aaa)"),"")</f>
        <v/>
      </c>
      <c r="D38" s="71" t="n"/>
      <c r="E38" s="72" t="n"/>
      <c r="F38" s="73">
        <f>IF(E38&gt;0,TEXT(E38,"(aaa)"),"")</f>
        <v/>
      </c>
      <c r="G38" s="71" t="n"/>
      <c r="H38" s="72" t="n"/>
      <c r="I38" s="73">
        <f>IF(H38&gt;0,TEXT(H38,"(aaa)"),"")</f>
        <v/>
      </c>
    </row>
    <row r="39" ht="16.5" customFormat="1" customHeight="1" s="73">
      <c r="A39" s="71" t="inlineStr">
        <is>
          <t>2027년 대체공휴일(설날)</t>
        </is>
      </c>
      <c r="B39" s="72" t="n">
        <v>46427</v>
      </c>
      <c r="C39" s="73">
        <f>IF(B39&gt;0,TEXT(B39,"(aaa)"),"")</f>
        <v/>
      </c>
      <c r="D39" s="71" t="n"/>
      <c r="E39" s="72" t="n"/>
      <c r="F39" s="73">
        <f>IF(E39&gt;0,TEXT(E39,"(aaa)"),"")</f>
        <v/>
      </c>
      <c r="G39" s="71" t="n"/>
      <c r="H39" s="72" t="n"/>
      <c r="I39" s="73">
        <f>IF(H39&gt;0,TEXT(H39,"(aaa)"),"")</f>
        <v/>
      </c>
    </row>
    <row r="40" ht="16.5" customFormat="1" customHeight="1" s="73">
      <c r="A40" s="71" t="inlineStr">
        <is>
          <t>2027년 삼일절</t>
        </is>
      </c>
      <c r="B40" s="72" t="n">
        <v>46447</v>
      </c>
      <c r="C40" s="73">
        <f>IF(B40&gt;0,TEXT(B40,"(aaa)"),"")</f>
        <v/>
      </c>
      <c r="D40" s="71" t="n"/>
      <c r="E40" s="72" t="n"/>
      <c r="F40" s="73">
        <f>IF(E40&gt;0,TEXT(E40,"(aaa)"),"")</f>
        <v/>
      </c>
      <c r="G40" s="71" t="n"/>
      <c r="H40" s="72" t="n"/>
      <c r="I40" s="73">
        <f>IF(H40&gt;0,TEXT(H40,"(aaa)"),"")</f>
        <v/>
      </c>
    </row>
    <row r="41" ht="16.5" customFormat="1" customHeight="1" s="73">
      <c r="A41" s="71" t="inlineStr">
        <is>
          <t>2027년 어린이날</t>
        </is>
      </c>
      <c r="B41" s="72" t="n">
        <v>46512</v>
      </c>
      <c r="C41" s="73">
        <f>IF(B41&gt;0,TEXT(B41,"(aaa)"),"")</f>
        <v/>
      </c>
      <c r="D41" s="71" t="n"/>
      <c r="E41" s="72" t="n"/>
      <c r="F41" s="73">
        <f>IF(E41&gt;0,TEXT(E41,"(aaa)"),"")</f>
        <v/>
      </c>
      <c r="G41" s="71" t="n"/>
      <c r="H41" s="72" t="n"/>
      <c r="I41" s="73">
        <f>IF(H41&gt;0,TEXT(H41,"(aaa)"),"")</f>
        <v/>
      </c>
    </row>
    <row r="42" ht="16.5" customFormat="1" customHeight="1" s="73">
      <c r="A42" s="71" t="inlineStr">
        <is>
          <t>2027년 부처님오신날</t>
        </is>
      </c>
      <c r="B42" s="72" t="n">
        <v>46520</v>
      </c>
      <c r="C42" s="73">
        <f>IF(B42&gt;0,TEXT(B42,"(aaa)"),"")</f>
        <v/>
      </c>
      <c r="D42" s="71" t="n"/>
      <c r="E42" s="72" t="n"/>
      <c r="F42" s="73">
        <f>IF(E42&gt;0,TEXT(E42,"(aaa)"),"")</f>
        <v/>
      </c>
      <c r="G42" s="71" t="n"/>
      <c r="H42" s="72" t="n"/>
      <c r="I42" s="73">
        <f>IF(H42&gt;0,TEXT(H42,"(aaa)"),"")</f>
        <v/>
      </c>
    </row>
    <row r="43" ht="16.5" customFormat="1" customHeight="1" s="73">
      <c r="A43" s="71" t="inlineStr">
        <is>
          <t>2027년 대체공휴일(광복절)</t>
        </is>
      </c>
      <c r="B43" s="72" t="n">
        <v>46615</v>
      </c>
      <c r="C43" s="73">
        <f>IF(B43&gt;0,TEXT(B43,"(aaa)"),"")</f>
        <v/>
      </c>
      <c r="D43" s="71" t="n"/>
      <c r="E43" s="72" t="n"/>
      <c r="F43" s="73">
        <f>IF(E43&gt;0,TEXT(E43,"(aaa)"),"")</f>
        <v/>
      </c>
      <c r="G43" s="71" t="n"/>
      <c r="H43" s="72" t="n"/>
      <c r="I43" s="73">
        <f>IF(H43&gt;0,TEXT(H43,"(aaa)"),"")</f>
        <v/>
      </c>
    </row>
    <row r="44" ht="16.5" customFormat="1" customHeight="1" s="73">
      <c r="A44" s="71" t="inlineStr">
        <is>
          <t>2027년 추석연휴</t>
        </is>
      </c>
      <c r="B44" s="72" t="n">
        <v>46644</v>
      </c>
      <c r="C44" s="73">
        <f>IF(B44&gt;0,TEXT(B44,"(aaa)"),"")</f>
        <v/>
      </c>
      <c r="D44" s="71" t="n"/>
      <c r="E44" s="72" t="n"/>
      <c r="F44" s="73">
        <f>IF(E44&gt;0,TEXT(E44,"(aaa)"),"")</f>
        <v/>
      </c>
      <c r="G44" s="71" t="n"/>
      <c r="H44" s="72" t="n"/>
      <c r="I44" s="73">
        <f>IF(H44&gt;0,TEXT(H44,"(aaa)"),"")</f>
        <v/>
      </c>
    </row>
    <row r="45" ht="16.5" customFormat="1" customHeight="1" s="73">
      <c r="A45" s="71" t="inlineStr">
        <is>
          <t>2027년 추석</t>
        </is>
      </c>
      <c r="B45" s="72" t="n">
        <v>46645</v>
      </c>
      <c r="C45" s="73">
        <f>IF(B45&gt;0,TEXT(B45,"(aaa)"),"")</f>
        <v/>
      </c>
      <c r="D45" s="71" t="n"/>
      <c r="E45" s="72" t="n"/>
      <c r="F45" s="73">
        <f>IF(E45&gt;0,TEXT(E45,"(aaa)"),"")</f>
        <v/>
      </c>
      <c r="G45" s="71" t="n"/>
      <c r="H45" s="72" t="n"/>
      <c r="I45" s="73">
        <f>IF(H45&gt;0,TEXT(H45,"(aaa)"),"")</f>
        <v/>
      </c>
    </row>
    <row r="46" ht="16.5" customFormat="1" customHeight="1" s="73">
      <c r="A46" s="71" t="inlineStr">
        <is>
          <t>2027년 추석연휴</t>
        </is>
      </c>
      <c r="B46" s="72" t="n">
        <v>46646</v>
      </c>
      <c r="C46" s="73">
        <f>IF(B46&gt;0,TEXT(B46,"(aaa)"),"")</f>
        <v/>
      </c>
      <c r="D46" s="71" t="n"/>
      <c r="E46" s="72" t="n"/>
      <c r="F46" s="73">
        <f>IF(E46&gt;0,TEXT(E46,"(aaa)"),"")</f>
        <v/>
      </c>
      <c r="G46" s="71" t="n"/>
      <c r="H46" s="72" t="n"/>
      <c r="I46" s="73">
        <f>IF(H46&gt;0,TEXT(H46,"(aaa)"),"")</f>
        <v/>
      </c>
    </row>
    <row r="47" ht="16.5" customFormat="1" customHeight="1" s="73">
      <c r="A47" s="71" t="inlineStr">
        <is>
          <t>2027년 대체공휴일(개천절)</t>
        </is>
      </c>
      <c r="B47" s="73" t="n">
        <v>46664</v>
      </c>
      <c r="C47" s="73">
        <f>IF(B47&gt;0,TEXT(B47,"(aaa)"),"")</f>
        <v/>
      </c>
      <c r="D47" s="71" t="n"/>
      <c r="E47" s="72" t="n"/>
      <c r="F47" s="73">
        <f>IF(E47&gt;0,TEXT(E47,"(aaa)"),"")</f>
        <v/>
      </c>
      <c r="G47" s="71" t="n"/>
      <c r="H47" s="72" t="n"/>
      <c r="I47" s="73">
        <f>IF(H47&gt;0,TEXT(H47,"(aaa)"),"")</f>
        <v/>
      </c>
    </row>
    <row r="48" ht="16.5" customFormat="1" customHeight="1" s="73">
      <c r="A48" s="71" t="inlineStr">
        <is>
          <t>2027년 대체공휴일(한글날)</t>
        </is>
      </c>
      <c r="B48" s="72" t="n">
        <v>46671</v>
      </c>
      <c r="C48" s="73">
        <f>IF(B48&gt;0,TEXT(B48,"(aaa)"),"")</f>
        <v/>
      </c>
      <c r="D48" s="71" t="n"/>
      <c r="E48" s="72" t="n"/>
      <c r="F48" s="73">
        <f>IF(E48&gt;0,TEXT(E48,"(aaa)"),"")</f>
        <v/>
      </c>
      <c r="G48" s="71" t="n"/>
      <c r="H48" s="72" t="n"/>
      <c r="I48" s="73">
        <f>IF(H48&gt;0,TEXT(H48,"(aaa)"),"")</f>
        <v/>
      </c>
    </row>
    <row r="49" ht="16.5" customFormat="1" customHeight="1" s="73">
      <c r="A49" s="71" t="inlineStr">
        <is>
          <t>2027년 대체공휴일(성탄절)</t>
        </is>
      </c>
      <c r="B49" s="72" t="n">
        <v>46748</v>
      </c>
      <c r="C49" s="73">
        <f>IF(B49&gt;0,TEXT(B49,"(aaa)"),"")</f>
        <v/>
      </c>
      <c r="D49" s="71" t="n"/>
      <c r="E49" s="72" t="n"/>
      <c r="F49" s="73">
        <f>IF(E49&gt;0,TEXT(E49,"(aaa)"),"")</f>
        <v/>
      </c>
      <c r="G49" s="71" t="n"/>
      <c r="H49" s="72" t="n"/>
      <c r="I49" s="73">
        <f>IF(H49&gt;0,TEXT(H49,"(aaa)"),"")</f>
        <v/>
      </c>
    </row>
    <row r="50" ht="16.5" customFormat="1" customHeight="1" s="73">
      <c r="A50" s="71" t="n"/>
      <c r="B50" s="72" t="n"/>
      <c r="C50" s="73">
        <f>IF(B50&gt;0,TEXT(B50,"(aaa)"),"")</f>
        <v/>
      </c>
      <c r="D50" s="71" t="n"/>
      <c r="E50" s="72" t="n"/>
      <c r="F50" s="73">
        <f>IF(E50&gt;0,TEXT(E50,"(aaa)"),"")</f>
        <v/>
      </c>
      <c r="G50" s="71" t="n"/>
      <c r="H50" s="72" t="n"/>
      <c r="I50" s="73">
        <f>IF(H50&gt;0,TEXT(H50,"(aaa)"),"")</f>
        <v/>
      </c>
    </row>
    <row r="51" ht="16.5" customFormat="1" customHeight="1" s="73">
      <c r="A51" s="71" t="n"/>
      <c r="B51" s="72" t="n"/>
      <c r="C51" s="73">
        <f>IF(B51&gt;0,TEXT(B51,"(aaa)"),"")</f>
        <v/>
      </c>
      <c r="D51" s="71" t="n"/>
      <c r="E51" s="72" t="n"/>
      <c r="F51" s="73">
        <f>IF(E51&gt;0,TEXT(E51,"(aaa)"),"")</f>
        <v/>
      </c>
      <c r="G51" s="71" t="n"/>
      <c r="H51" s="72" t="n"/>
      <c r="I51" s="73">
        <f>IF(H51&gt;0,TEXT(H51,"(aaa)"),"")</f>
        <v/>
      </c>
    </row>
    <row r="52" ht="16.5" customFormat="1" customHeight="1" s="73">
      <c r="A52" s="71" t="n"/>
      <c r="B52" s="72" t="n"/>
      <c r="C52" s="73">
        <f>IF(B52&gt;0,TEXT(B52,"(aaa)"),"")</f>
        <v/>
      </c>
      <c r="D52" s="71" t="n"/>
      <c r="E52" s="72" t="n"/>
      <c r="F52" s="73">
        <f>IF(E52&gt;0,TEXT(E52,"(aaa)"),"")</f>
        <v/>
      </c>
      <c r="G52" s="71" t="n"/>
      <c r="H52" s="72" t="n"/>
      <c r="I52" s="73">
        <f>IF(H52&gt;0,TEXT(H52,"(aaa)"),"")</f>
        <v/>
      </c>
    </row>
    <row r="53" ht="16.5" customFormat="1" customHeight="1" s="73">
      <c r="A53" s="71" t="n"/>
      <c r="B53" s="72" t="n"/>
      <c r="C53" s="73">
        <f>IF(B53&gt;0,TEXT(B53,"(aaa)"),"")</f>
        <v/>
      </c>
      <c r="D53" s="71" t="n"/>
      <c r="E53" s="72" t="n"/>
      <c r="F53" s="73">
        <f>IF(E53&gt;0,TEXT(E53,"(aaa)"),"")</f>
        <v/>
      </c>
      <c r="G53" s="71" t="n"/>
      <c r="H53" s="72" t="n"/>
      <c r="I53" s="73">
        <f>IF(H53&gt;0,TEXT(H53,"(aaa)"),"")</f>
        <v/>
      </c>
    </row>
    <row r="54" ht="16.5" customFormat="1" customHeight="1" s="73">
      <c r="A54" s="71" t="n"/>
      <c r="B54" s="72" t="n"/>
      <c r="C54" s="73">
        <f>IF(B54&gt;0,TEXT(B54,"(aaa)"),"")</f>
        <v/>
      </c>
      <c r="D54" s="71" t="n"/>
      <c r="E54" s="72" t="n"/>
      <c r="F54" s="73">
        <f>IF(E54&gt;0,TEXT(E54,"(aaa)"),"")</f>
        <v/>
      </c>
      <c r="G54" s="71" t="n"/>
      <c r="H54" s="72" t="n"/>
      <c r="I54" s="73">
        <f>IF(H54&gt;0,TEXT(H54,"(aaa)"),"")</f>
        <v/>
      </c>
    </row>
    <row r="55" ht="16.5" customFormat="1" customHeight="1" s="73">
      <c r="A55" s="71" t="n"/>
      <c r="B55" s="72" t="n"/>
      <c r="C55" s="73">
        <f>IF(B55&gt;0,TEXT(B55,"(aaa)"),"")</f>
        <v/>
      </c>
      <c r="D55" s="71" t="n"/>
      <c r="E55" s="72" t="n"/>
      <c r="F55" s="73">
        <f>IF(E55&gt;0,TEXT(E55,"(aaa)"),"")</f>
        <v/>
      </c>
      <c r="G55" s="71" t="n"/>
      <c r="H55" s="72" t="n"/>
      <c r="I55" s="73">
        <f>IF(H55&gt;0,TEXT(H55,"(aaa)"),"")</f>
        <v/>
      </c>
    </row>
    <row r="56" ht="16.5" customFormat="1" customHeight="1" s="73">
      <c r="A56" s="71" t="n"/>
      <c r="B56" s="72" t="n"/>
      <c r="C56" s="73">
        <f>IF(B56&gt;0,TEXT(B56,"(aaa)"),"")</f>
        <v/>
      </c>
      <c r="D56" s="71" t="n"/>
      <c r="E56" s="72" t="n"/>
      <c r="F56" s="73">
        <f>IF(E56&gt;0,TEXT(E56,"(aaa)"),"")</f>
        <v/>
      </c>
      <c r="G56" s="71" t="n"/>
      <c r="H56" s="72" t="n"/>
      <c r="I56" s="73">
        <f>IF(H56&gt;0,TEXT(H56,"(aaa)"),"")</f>
        <v/>
      </c>
    </row>
    <row r="57" ht="16.5" customFormat="1" customHeight="1" s="73">
      <c r="A57" s="71" t="n"/>
      <c r="B57" s="72" t="n"/>
      <c r="C57" s="73">
        <f>IF(B57&gt;0,TEXT(B57,"(aaa)"),"")</f>
        <v/>
      </c>
      <c r="D57" s="71" t="n"/>
      <c r="E57" s="72" t="n"/>
      <c r="F57" s="73">
        <f>IF(E57&gt;0,TEXT(E57,"(aaa)"),"")</f>
        <v/>
      </c>
      <c r="G57" s="71" t="n"/>
      <c r="H57" s="72" t="n"/>
      <c r="I57" s="73">
        <f>IF(H57&gt;0,TEXT(H57,"(aaa)"),"")</f>
        <v/>
      </c>
    </row>
    <row r="58" ht="16.5" customFormat="1" customHeight="1" s="73">
      <c r="A58" s="71" t="n"/>
      <c r="B58" s="72" t="n"/>
      <c r="C58" s="73">
        <f>IF(B58&gt;0,TEXT(B58,"(aaa)"),"")</f>
        <v/>
      </c>
      <c r="D58" s="71" t="n"/>
      <c r="E58" s="72" t="n"/>
      <c r="F58" s="73">
        <f>IF(E58&gt;0,TEXT(E58,"(aaa)"),"")</f>
        <v/>
      </c>
      <c r="G58" s="71" t="n"/>
      <c r="H58" s="72" t="n"/>
      <c r="I58" s="73">
        <f>IF(H58&gt;0,TEXT(H58,"(aaa)"),"")</f>
        <v/>
      </c>
    </row>
    <row r="59" ht="16.5" customFormat="1" customHeight="1" s="73">
      <c r="A59" s="71" t="n"/>
      <c r="B59" s="72" t="n"/>
      <c r="C59" s="73">
        <f>IF(B59&gt;0,TEXT(B59,"(aaa)"),"")</f>
        <v/>
      </c>
      <c r="D59" s="71" t="n"/>
      <c r="E59" s="72" t="n"/>
      <c r="F59" s="73">
        <f>IF(E59&gt;0,TEXT(E59,"(aaa)"),"")</f>
        <v/>
      </c>
      <c r="G59" s="71" t="n"/>
      <c r="H59" s="72" t="n"/>
      <c r="I59" s="73">
        <f>IF(H59&gt;0,TEXT(H59,"(aaa)"),"")</f>
        <v/>
      </c>
    </row>
    <row r="60" ht="16.5" customFormat="1" customHeight="1" s="73">
      <c r="A60" s="71" t="n"/>
      <c r="B60" s="72" t="n"/>
      <c r="C60" s="73">
        <f>IF(B60&gt;0,TEXT(B60,"(aaa)"),"")</f>
        <v/>
      </c>
      <c r="D60" s="71" t="n"/>
      <c r="E60" s="72" t="n"/>
      <c r="F60" s="73">
        <f>IF(E60&gt;0,TEXT(E60,"(aaa)"),"")</f>
        <v/>
      </c>
      <c r="G60" s="71" t="n"/>
      <c r="H60" s="72" t="n"/>
      <c r="I60" s="73">
        <f>IF(H60&gt;0,TEXT(H60,"(aaa)"),"")</f>
        <v/>
      </c>
    </row>
    <row r="61" ht="16.5" customFormat="1" customHeight="1" s="73">
      <c r="A61" s="71" t="n"/>
      <c r="B61" s="72" t="n"/>
      <c r="C61" s="73">
        <f>IF(B61&gt;0,TEXT(B61,"(aaa)"),"")</f>
        <v/>
      </c>
      <c r="D61" s="71" t="n"/>
      <c r="E61" s="72" t="n"/>
      <c r="F61" s="73">
        <f>IF(E61&gt;0,TEXT(E61,"(aaa)"),"")</f>
        <v/>
      </c>
      <c r="G61" s="71" t="n"/>
      <c r="H61" s="72" t="n"/>
      <c r="I61" s="73">
        <f>IF(H61&gt;0,TEXT(H61,"(aaa)"),"")</f>
        <v/>
      </c>
    </row>
    <row r="62" ht="16.5" customFormat="1" customHeight="1" s="73">
      <c r="A62" s="71" t="n"/>
      <c r="B62" s="72" t="n"/>
      <c r="C62" s="73">
        <f>IF(B62&gt;0,TEXT(B62,"(aaa)"),"")</f>
        <v/>
      </c>
      <c r="D62" s="71" t="n"/>
      <c r="E62" s="72" t="n"/>
      <c r="F62" s="73">
        <f>IF(E62&gt;0,TEXT(E62,"(aaa)"),"")</f>
        <v/>
      </c>
      <c r="G62" s="71" t="n"/>
      <c r="H62" s="72" t="n"/>
      <c r="I62" s="73">
        <f>IF(H62&gt;0,TEXT(H62,"(aaa)"),"")</f>
        <v/>
      </c>
    </row>
    <row r="63" ht="16.5" customFormat="1" customHeight="1" s="73">
      <c r="A63" s="71" t="n"/>
      <c r="B63" s="72" t="n"/>
      <c r="C63" s="73">
        <f>IF(B63&gt;0,TEXT(B63,"(aaa)"),"")</f>
        <v/>
      </c>
      <c r="D63" s="71" t="n"/>
      <c r="E63" s="72" t="n"/>
      <c r="F63" s="73">
        <f>IF(E63&gt;0,TEXT(E63,"(aaa)"),"")</f>
        <v/>
      </c>
      <c r="G63" s="71" t="n"/>
      <c r="H63" s="72" t="n"/>
      <c r="I63" s="73">
        <f>IF(H63&gt;0,TEXT(H63,"(aaa)"),"")</f>
        <v/>
      </c>
    </row>
    <row r="64" ht="16.5" customFormat="1" customHeight="1" s="73">
      <c r="A64" s="71" t="n"/>
      <c r="B64" s="72" t="n"/>
      <c r="C64" s="73">
        <f>IF(B64&gt;0,TEXT(B64,"(aaa)"),"")</f>
        <v/>
      </c>
      <c r="D64" s="71" t="n"/>
      <c r="E64" s="72" t="n"/>
      <c r="F64" s="73">
        <f>IF(E64&gt;0,TEXT(E64,"(aaa)"),"")</f>
        <v/>
      </c>
      <c r="G64" s="71" t="n"/>
      <c r="H64" s="72" t="n"/>
      <c r="I64" s="73">
        <f>IF(H64&gt;0,TEXT(H64,"(aaa)"),"")</f>
        <v/>
      </c>
    </row>
    <row r="65" ht="16.5" customFormat="1" customHeight="1" s="73">
      <c r="A65" s="71" t="n"/>
      <c r="B65" s="72" t="n"/>
      <c r="C65" s="73">
        <f>IF(B65&gt;0,TEXT(B65,"(aaa)"),"")</f>
        <v/>
      </c>
      <c r="D65" s="71" t="n"/>
      <c r="E65" s="72" t="n"/>
      <c r="F65" s="73">
        <f>IF(E65&gt;0,TEXT(E65,"(aaa)"),"")</f>
        <v/>
      </c>
      <c r="G65" s="71" t="n"/>
      <c r="H65" s="72" t="n"/>
      <c r="I65" s="73">
        <f>IF(H65&gt;0,TEXT(H65,"(aaa)"),"")</f>
        <v/>
      </c>
    </row>
    <row r="66" ht="16.5" customFormat="1" customHeight="1" s="73">
      <c r="A66" s="71" t="n"/>
      <c r="B66" s="72" t="n"/>
      <c r="C66" s="73">
        <f>IF(B66&gt;0,TEXT(B66,"(aaa)"),"")</f>
        <v/>
      </c>
      <c r="D66" s="71" t="n"/>
      <c r="E66" s="72" t="n"/>
      <c r="F66" s="73">
        <f>IF(E66&gt;0,TEXT(E66,"(aaa)"),"")</f>
        <v/>
      </c>
      <c r="G66" s="71" t="n"/>
      <c r="H66" s="72" t="n"/>
      <c r="I66" s="73">
        <f>IF(H66&gt;0,TEXT(H66,"(aaa)"),"")</f>
        <v/>
      </c>
    </row>
    <row r="67" ht="16.5" customFormat="1" customHeight="1" s="73">
      <c r="A67" s="71" t="n"/>
      <c r="B67" s="72" t="n"/>
      <c r="C67" s="73">
        <f>IF(B67&gt;0,TEXT(B67,"(aaa)"),"")</f>
        <v/>
      </c>
      <c r="D67" s="71" t="n"/>
      <c r="E67" s="72" t="n"/>
      <c r="F67" s="73">
        <f>IF(E67&gt;0,TEXT(E67,"(aaa)"),"")</f>
        <v/>
      </c>
      <c r="G67" s="71" t="n"/>
      <c r="H67" s="72" t="n"/>
      <c r="I67" s="73">
        <f>IF(H67&gt;0,TEXT(H67,"(aaa)"),"")</f>
        <v/>
      </c>
    </row>
    <row r="68" ht="16.5" customFormat="1" customHeight="1" s="73">
      <c r="A68" s="71" t="n"/>
      <c r="B68" s="72" t="n"/>
      <c r="C68" s="73">
        <f>IF(B68&gt;0,TEXT(B68,"(aaa)"),"")</f>
        <v/>
      </c>
      <c r="D68" s="71" t="n"/>
      <c r="E68" s="72" t="n"/>
      <c r="F68" s="73">
        <f>IF(E68&gt;0,TEXT(E68,"(aaa)"),"")</f>
        <v/>
      </c>
      <c r="G68" s="71" t="n"/>
      <c r="H68" s="72" t="n"/>
      <c r="I68" s="73">
        <f>IF(H68&gt;0,TEXT(H68,"(aaa)"),"")</f>
        <v/>
      </c>
    </row>
    <row r="69" ht="16.5" customFormat="1" customHeight="1" s="73">
      <c r="A69" s="71" t="n"/>
      <c r="B69" s="72" t="n"/>
      <c r="C69" s="73">
        <f>IF(B69&gt;0,TEXT(B69,"(aaa)"),"")</f>
        <v/>
      </c>
      <c r="D69" s="71" t="n"/>
      <c r="E69" s="72" t="n"/>
      <c r="F69" s="73">
        <f>IF(E69&gt;0,TEXT(E69,"(aaa)"),"")</f>
        <v/>
      </c>
      <c r="G69" s="71" t="n"/>
      <c r="H69" s="72" t="n"/>
      <c r="I69" s="73">
        <f>IF(H69&gt;0,TEXT(H69,"(aaa)"),"")</f>
        <v/>
      </c>
    </row>
    <row r="70" ht="16.5" customFormat="1" customHeight="1" s="73">
      <c r="A70" s="71" t="n"/>
      <c r="B70" s="72" t="n"/>
      <c r="C70" s="73">
        <f>IF(B70&gt;0,TEXT(B70,"(aaa)"),"")</f>
        <v/>
      </c>
      <c r="D70" s="71" t="n"/>
      <c r="E70" s="72" t="n"/>
      <c r="F70" s="73">
        <f>IF(E70&gt;0,TEXT(E70,"(aaa)"),"")</f>
        <v/>
      </c>
      <c r="G70" s="71" t="n"/>
      <c r="H70" s="72" t="n"/>
      <c r="I70" s="73">
        <f>IF(H70&gt;0,TEXT(H70,"(aaa)"),"")</f>
        <v/>
      </c>
    </row>
    <row r="71" ht="16.5" customFormat="1" customHeight="1" s="73">
      <c r="A71" s="71" t="n"/>
      <c r="B71" s="72" t="n"/>
      <c r="C71" s="73">
        <f>IF(B71&gt;0,TEXT(B71,"(aaa)"),"")</f>
        <v/>
      </c>
      <c r="D71" s="71" t="n"/>
      <c r="E71" s="72" t="n"/>
      <c r="F71" s="73">
        <f>IF(E71&gt;0,TEXT(E71,"(aaa)"),"")</f>
        <v/>
      </c>
      <c r="G71" s="71" t="n"/>
      <c r="H71" s="72" t="n"/>
      <c r="I71" s="73">
        <f>IF(H71&gt;0,TEXT(H71,"(aaa)"),"")</f>
        <v/>
      </c>
    </row>
    <row r="72" ht="16.5" customFormat="1" customHeight="1" s="73">
      <c r="A72" s="71" t="n"/>
      <c r="B72" s="72" t="n"/>
      <c r="C72" s="73">
        <f>IF(B72&gt;0,TEXT(B72,"(aaa)"),"")</f>
        <v/>
      </c>
      <c r="D72" s="71" t="n"/>
      <c r="E72" s="72" t="n"/>
      <c r="F72" s="73">
        <f>IF(E72&gt;0,TEXT(E72,"(aaa)"),"")</f>
        <v/>
      </c>
      <c r="G72" s="71" t="n"/>
      <c r="H72" s="72" t="n"/>
      <c r="I72" s="73">
        <f>IF(H72&gt;0,TEXT(H72,"(aaa)"),"")</f>
        <v/>
      </c>
    </row>
    <row r="73" ht="16.5" customFormat="1" customHeight="1" s="73">
      <c r="A73" s="71" t="n"/>
      <c r="B73" s="72" t="n"/>
      <c r="C73" s="73">
        <f>IF(B73&gt;0,TEXT(B73,"(aaa)"),"")</f>
        <v/>
      </c>
      <c r="D73" s="71" t="n"/>
      <c r="E73" s="72" t="n"/>
      <c r="F73" s="73">
        <f>IF(E73&gt;0,TEXT(E73,"(aaa)"),"")</f>
        <v/>
      </c>
      <c r="G73" s="71" t="n"/>
      <c r="H73" s="72" t="n"/>
      <c r="I73" s="73">
        <f>IF(H73&gt;0,TEXT(H73,"(aaa)"),"")</f>
        <v/>
      </c>
    </row>
    <row r="74" ht="16.5" customFormat="1" customHeight="1" s="73">
      <c r="A74" s="71" t="n"/>
      <c r="B74" s="72" t="n"/>
      <c r="C74" s="73">
        <f>IF(B74&gt;0,TEXT(B74,"(aaa)"),"")</f>
        <v/>
      </c>
      <c r="D74" s="71" t="n"/>
      <c r="E74" s="72" t="n"/>
      <c r="F74" s="73">
        <f>IF(E74&gt;0,TEXT(E74,"(aaa)"),"")</f>
        <v/>
      </c>
      <c r="G74" s="71" t="n"/>
      <c r="H74" s="72" t="n"/>
      <c r="I74" s="73">
        <f>IF(H74&gt;0,TEXT(H74,"(aaa)"),"")</f>
        <v/>
      </c>
    </row>
    <row r="75" ht="16.5" customFormat="1" customHeight="1" s="73">
      <c r="A75" s="71" t="n"/>
      <c r="B75" s="72" t="n"/>
      <c r="C75" s="73">
        <f>IF(B75&gt;0,TEXT(B75,"(aaa)"),"")</f>
        <v/>
      </c>
      <c r="D75" s="71" t="n"/>
      <c r="E75" s="72" t="n"/>
      <c r="F75" s="73">
        <f>IF(E75&gt;0,TEXT(E75,"(aaa)"),"")</f>
        <v/>
      </c>
      <c r="G75" s="71" t="n"/>
      <c r="H75" s="72" t="n"/>
      <c r="I75" s="73">
        <f>IF(H75&gt;0,TEXT(H75,"(aaa)"),"")</f>
        <v/>
      </c>
    </row>
    <row r="76" ht="16.5" customFormat="1" customHeight="1" s="73">
      <c r="A76" s="71" t="n"/>
      <c r="B76" s="72" t="n"/>
      <c r="C76" s="73">
        <f>IF(B76&gt;0,TEXT(B76,"(aaa)"),"")</f>
        <v/>
      </c>
      <c r="D76" s="71" t="n"/>
      <c r="E76" s="72" t="n"/>
      <c r="F76" s="73">
        <f>IF(E76&gt;0,TEXT(E76,"(aaa)"),"")</f>
        <v/>
      </c>
      <c r="G76" s="71" t="n"/>
      <c r="H76" s="72" t="n"/>
      <c r="I76" s="73">
        <f>IF(H76&gt;0,TEXT(H76,"(aaa)"),"")</f>
        <v/>
      </c>
    </row>
    <row r="77" ht="16.5" customFormat="1" customHeight="1" s="73">
      <c r="A77" s="71" t="n"/>
      <c r="B77" s="72" t="n"/>
      <c r="C77" s="73">
        <f>IF(B77&gt;0,TEXT(B77,"(aaa)"),"")</f>
        <v/>
      </c>
      <c r="D77" s="71" t="n"/>
      <c r="E77" s="72" t="n"/>
      <c r="F77" s="73">
        <f>IF(E77&gt;0,TEXT(E77,"(aaa)"),"")</f>
        <v/>
      </c>
      <c r="G77" s="71" t="n"/>
      <c r="H77" s="72" t="n"/>
      <c r="I77" s="73">
        <f>IF(H77&gt;0,TEXT(H77,"(aaa)"),"")</f>
        <v/>
      </c>
    </row>
    <row r="78" ht="16.5" customFormat="1" customHeight="1" s="73">
      <c r="A78" s="71" t="n"/>
      <c r="B78" s="72" t="n"/>
      <c r="C78" s="73">
        <f>IF(B78&gt;0,TEXT(B78,"(aaa)"),"")</f>
        <v/>
      </c>
      <c r="D78" s="71" t="n"/>
      <c r="E78" s="72" t="n"/>
      <c r="F78" s="73">
        <f>IF(E78&gt;0,TEXT(E78,"(aaa)"),"")</f>
        <v/>
      </c>
      <c r="G78" s="71" t="n"/>
      <c r="H78" s="72" t="n"/>
      <c r="I78" s="73">
        <f>IF(H78&gt;0,TEXT(H78,"(aaa)"),"")</f>
        <v/>
      </c>
    </row>
    <row r="79" ht="16.5" customFormat="1" customHeight="1" s="73">
      <c r="A79" s="71" t="n"/>
      <c r="B79" s="72" t="n"/>
      <c r="C79" s="73">
        <f>IF(B79&gt;0,TEXT(B79,"(aaa)"),"")</f>
        <v/>
      </c>
      <c r="D79" s="71" t="n"/>
      <c r="E79" s="72" t="n"/>
      <c r="F79" s="73">
        <f>IF(E79&gt;0,TEXT(E79,"(aaa)"),"")</f>
        <v/>
      </c>
      <c r="G79" s="71" t="n"/>
      <c r="H79" s="72" t="n"/>
      <c r="I79" s="73">
        <f>IF(H79&gt;0,TEXT(H79,"(aaa)"),"")</f>
        <v/>
      </c>
    </row>
    <row r="80" ht="16.5" customFormat="1" customHeight="1" s="73">
      <c r="A80" s="71" t="n"/>
      <c r="B80" s="72" t="n"/>
      <c r="C80" s="73">
        <f>IF(B80&gt;0,TEXT(B80,"(aaa)"),"")</f>
        <v/>
      </c>
      <c r="D80" s="71" t="n"/>
      <c r="E80" s="72" t="n"/>
      <c r="F80" s="73">
        <f>IF(E80&gt;0,TEXT(E80,"(aaa)"),"")</f>
        <v/>
      </c>
      <c r="G80" s="71" t="n"/>
      <c r="H80" s="72" t="n"/>
      <c r="I80" s="73">
        <f>IF(H80&gt;0,TEXT(H80,"(aaa)"),"")</f>
        <v/>
      </c>
    </row>
    <row r="81" ht="16.5" customFormat="1" customHeight="1" s="73">
      <c r="A81" s="71" t="n"/>
      <c r="B81" s="72" t="n"/>
      <c r="C81" s="73">
        <f>IF(B81&gt;0,TEXT(B81,"(aaa)"),"")</f>
        <v/>
      </c>
      <c r="D81" s="71" t="n"/>
      <c r="E81" s="72" t="n"/>
      <c r="F81" s="73">
        <f>IF(E81&gt;0,TEXT(E81,"(aaa)"),"")</f>
        <v/>
      </c>
      <c r="G81" s="71" t="n"/>
      <c r="H81" s="72" t="n"/>
      <c r="I81" s="73">
        <f>IF(H81&gt;0,TEXT(H81,"(aaa)"),"")</f>
        <v/>
      </c>
    </row>
    <row r="82" ht="16.5" customFormat="1" customHeight="1" s="73">
      <c r="A82" s="71" t="n"/>
      <c r="B82" s="72" t="n"/>
      <c r="C82" s="73">
        <f>IF(B82&gt;0,TEXT(B82,"(aaa)"),"")</f>
        <v/>
      </c>
      <c r="D82" s="71" t="n"/>
      <c r="E82" s="72" t="n"/>
      <c r="F82" s="73">
        <f>IF(E82&gt;0,TEXT(E82,"(aaa)"),"")</f>
        <v/>
      </c>
      <c r="G82" s="71" t="n"/>
      <c r="H82" s="72" t="n"/>
      <c r="I82" s="73">
        <f>IF(H82&gt;0,TEXT(H82,"(aaa)"),"")</f>
        <v/>
      </c>
    </row>
    <row r="83" ht="16.5" customFormat="1" customHeight="1" s="73">
      <c r="A83" s="71" t="n"/>
      <c r="B83" s="72" t="n"/>
      <c r="C83" s="73">
        <f>IF(B83&gt;0,TEXT(B83,"(aaa)"),"")</f>
        <v/>
      </c>
      <c r="D83" s="71" t="n"/>
      <c r="E83" s="72" t="n"/>
      <c r="F83" s="73">
        <f>IF(E83&gt;0,TEXT(E83,"(aaa)"),"")</f>
        <v/>
      </c>
      <c r="G83" s="71" t="n"/>
      <c r="H83" s="72" t="n"/>
      <c r="I83" s="73">
        <f>IF(H83&gt;0,TEXT(H83,"(aaa)"),"")</f>
        <v/>
      </c>
    </row>
    <row r="84" ht="16.5" customFormat="1" customHeight="1" s="73">
      <c r="A84" s="71" t="n"/>
      <c r="B84" s="72" t="n"/>
      <c r="C84" s="73">
        <f>IF(B84&gt;0,TEXT(B84,"(aaa)"),"")</f>
        <v/>
      </c>
      <c r="D84" s="71" t="n"/>
      <c r="E84" s="72" t="n"/>
      <c r="F84" s="73">
        <f>IF(E84&gt;0,TEXT(E84,"(aaa)"),"")</f>
        <v/>
      </c>
      <c r="G84" s="71" t="n"/>
      <c r="H84" s="72" t="n"/>
      <c r="I84" s="73">
        <f>IF(H84&gt;0,TEXT(H84,"(aaa)"),"")</f>
        <v/>
      </c>
    </row>
    <row r="85" ht="16.5" customFormat="1" customHeight="1" s="73">
      <c r="A85" s="71" t="n"/>
      <c r="B85" s="72" t="n"/>
      <c r="C85" s="73">
        <f>IF(B85&gt;0,TEXT(B85,"(aaa)"),"")</f>
        <v/>
      </c>
      <c r="D85" s="71" t="n"/>
      <c r="E85" s="72" t="n"/>
      <c r="F85" s="73">
        <f>IF(E85&gt;0,TEXT(E85,"(aaa)"),"")</f>
        <v/>
      </c>
      <c r="G85" s="71" t="n"/>
      <c r="H85" s="72" t="n"/>
      <c r="I85" s="73">
        <f>IF(H85&gt;0,TEXT(H85,"(aaa)"),"")</f>
        <v/>
      </c>
    </row>
    <row r="86" ht="16.5" customFormat="1" customHeight="1" s="73">
      <c r="A86" s="71" t="n"/>
      <c r="B86" s="72" t="n"/>
      <c r="C86" s="73">
        <f>IF(B86&gt;0,TEXT(B86,"(aaa)"),"")</f>
        <v/>
      </c>
      <c r="D86" s="71" t="n"/>
      <c r="E86" s="72" t="n"/>
      <c r="F86" s="73">
        <f>IF(E86&gt;0,TEXT(E86,"(aaa)"),"")</f>
        <v/>
      </c>
      <c r="G86" s="71" t="n"/>
      <c r="H86" s="72" t="n"/>
      <c r="I86" s="73">
        <f>IF(H86&gt;0,TEXT(H86,"(aaa)"),"")</f>
        <v/>
      </c>
    </row>
    <row r="87" ht="16.5" customFormat="1" customHeight="1" s="73">
      <c r="A87" s="71" t="n"/>
      <c r="B87" s="72" t="n"/>
      <c r="C87" s="73">
        <f>IF(B87&gt;0,TEXT(B87,"(aaa)"),"")</f>
        <v/>
      </c>
      <c r="D87" s="71" t="n"/>
      <c r="E87" s="72" t="n"/>
      <c r="F87" s="73">
        <f>IF(E87&gt;0,TEXT(E87,"(aaa)"),"")</f>
        <v/>
      </c>
      <c r="G87" s="71" t="n"/>
      <c r="H87" s="72" t="n"/>
      <c r="I87" s="73">
        <f>IF(H87&gt;0,TEXT(H87,"(aaa)"),"")</f>
        <v/>
      </c>
    </row>
    <row r="88" ht="16.5" customFormat="1" customHeight="1" s="73">
      <c r="A88" s="71" t="n"/>
      <c r="B88" s="72" t="n"/>
      <c r="C88" s="73">
        <f>IF(B88&gt;0,TEXT(B88,"(aaa)"),"")</f>
        <v/>
      </c>
      <c r="D88" s="71" t="n"/>
      <c r="E88" s="72" t="n"/>
      <c r="F88" s="73">
        <f>IF(E88&gt;0,TEXT(E88,"(aaa)"),"")</f>
        <v/>
      </c>
      <c r="G88" s="71" t="n"/>
      <c r="H88" s="72" t="n"/>
      <c r="I88" s="73">
        <f>IF(H88&gt;0,TEXT(H88,"(aaa)"),"")</f>
        <v/>
      </c>
    </row>
    <row r="89" ht="16.5" customFormat="1" customHeight="1" s="73">
      <c r="A89" s="71" t="n"/>
      <c r="B89" s="72" t="n"/>
      <c r="C89" s="73">
        <f>IF(B89&gt;0,TEXT(B89,"(aaa)"),"")</f>
        <v/>
      </c>
      <c r="D89" s="71" t="n"/>
      <c r="E89" s="72" t="n"/>
      <c r="F89" s="73">
        <f>IF(E89&gt;0,TEXT(E89,"(aaa)"),"")</f>
        <v/>
      </c>
      <c r="G89" s="71" t="n"/>
      <c r="H89" s="72" t="n"/>
      <c r="I89" s="73">
        <f>IF(H89&gt;0,TEXT(H89,"(aaa)"),"")</f>
        <v/>
      </c>
    </row>
    <row r="90" ht="16.5" customFormat="1" customHeight="1" s="73">
      <c r="A90" s="71" t="n"/>
      <c r="B90" s="72" t="n"/>
      <c r="C90" s="73">
        <f>IF(B90&gt;0,TEXT(B90,"(aaa)"),"")</f>
        <v/>
      </c>
      <c r="D90" s="71" t="n"/>
      <c r="E90" s="72" t="n"/>
      <c r="F90" s="73">
        <f>IF(E90&gt;0,TEXT(E90,"(aaa)"),"")</f>
        <v/>
      </c>
      <c r="G90" s="71" t="n"/>
      <c r="H90" s="72" t="n"/>
      <c r="I90" s="73">
        <f>IF(H90&gt;0,TEXT(H90,"(aaa)"),"")</f>
        <v/>
      </c>
    </row>
    <row r="91" ht="16.5" customFormat="1" customHeight="1" s="73">
      <c r="A91" s="71" t="n"/>
      <c r="B91" s="72" t="n"/>
      <c r="C91" s="73">
        <f>IF(B91&gt;0,TEXT(B91,"(aaa)"),"")</f>
        <v/>
      </c>
      <c r="D91" s="71" t="n"/>
      <c r="E91" s="72" t="n"/>
      <c r="F91" s="73">
        <f>IF(E91&gt;0,TEXT(E91,"(aaa)"),"")</f>
        <v/>
      </c>
      <c r="G91" s="71" t="n"/>
      <c r="H91" s="72" t="n"/>
      <c r="I91" s="73">
        <f>IF(H91&gt;0,TEXT(H91,"(aaa)"),"")</f>
        <v/>
      </c>
    </row>
    <row r="92" ht="16.5" customFormat="1" customHeight="1" s="73">
      <c r="A92" s="71" t="n"/>
      <c r="B92" s="72" t="n"/>
      <c r="C92" s="73">
        <f>IF(B92&gt;0,TEXT(B92,"(aaa)"),"")</f>
        <v/>
      </c>
      <c r="D92" s="71" t="n"/>
      <c r="E92" s="72" t="n"/>
      <c r="F92" s="73">
        <f>IF(E92&gt;0,TEXT(E92,"(aaa)"),"")</f>
        <v/>
      </c>
      <c r="G92" s="71" t="n"/>
      <c r="H92" s="72" t="n"/>
      <c r="I92" s="73">
        <f>IF(H92&gt;0,TEXT(H92,"(aaa)"),"")</f>
        <v/>
      </c>
    </row>
    <row r="93" ht="16.5" customFormat="1" customHeight="1" s="73">
      <c r="A93" s="71" t="n"/>
      <c r="B93" s="72" t="n"/>
      <c r="C93" s="73">
        <f>IF(B93&gt;0,TEXT(B93,"(aaa)"),"")</f>
        <v/>
      </c>
      <c r="D93" s="71" t="n"/>
      <c r="E93" s="72" t="n"/>
      <c r="F93" s="73">
        <f>IF(E93&gt;0,TEXT(E93,"(aaa)"),"")</f>
        <v/>
      </c>
      <c r="G93" s="71" t="n"/>
      <c r="H93" s="72" t="n"/>
      <c r="I93" s="73">
        <f>IF(H93&gt;0,TEXT(H93,"(aaa)"),"")</f>
        <v/>
      </c>
    </row>
    <row r="94" ht="16.5" customFormat="1" customHeight="1" s="73">
      <c r="A94" s="71" t="n"/>
      <c r="B94" s="72" t="n"/>
      <c r="C94" s="73">
        <f>IF(B94&gt;0,TEXT(B94,"(aaa)"),"")</f>
        <v/>
      </c>
      <c r="D94" s="71" t="n"/>
      <c r="E94" s="72" t="n"/>
      <c r="F94" s="73">
        <f>IF(E94&gt;0,TEXT(E94,"(aaa)"),"")</f>
        <v/>
      </c>
      <c r="G94" s="71" t="n"/>
      <c r="H94" s="72" t="n"/>
      <c r="I94" s="73">
        <f>IF(H94&gt;0,TEXT(H94,"(aaa)"),"")</f>
        <v/>
      </c>
    </row>
    <row r="95" ht="16.5" customFormat="1" customHeight="1" s="73">
      <c r="A95" s="71" t="n"/>
      <c r="B95" s="72" t="n"/>
      <c r="C95" s="73">
        <f>IF(B95&gt;0,TEXT(B95,"(aaa)"),"")</f>
        <v/>
      </c>
      <c r="D95" s="71" t="n"/>
      <c r="E95" s="72" t="n"/>
      <c r="F95" s="73">
        <f>IF(E95&gt;0,TEXT(E95,"(aaa)"),"")</f>
        <v/>
      </c>
      <c r="G95" s="71" t="n"/>
      <c r="H95" s="72" t="n"/>
      <c r="I95" s="73">
        <f>IF(H95&gt;0,TEXT(H95,"(aaa)"),"")</f>
        <v/>
      </c>
    </row>
    <row r="96" ht="16.5" customFormat="1" customHeight="1" s="73">
      <c r="A96" s="71" t="n"/>
      <c r="B96" s="72" t="n"/>
      <c r="C96" s="73">
        <f>IF(B96&gt;0,TEXT(B96,"(aaa)"),"")</f>
        <v/>
      </c>
      <c r="D96" s="71" t="n"/>
      <c r="E96" s="72" t="n"/>
      <c r="F96" s="73">
        <f>IF(E96&gt;0,TEXT(E96,"(aaa)"),"")</f>
        <v/>
      </c>
      <c r="G96" s="71" t="n"/>
      <c r="H96" s="72" t="n"/>
      <c r="I96" s="73">
        <f>IF(H96&gt;0,TEXT(H96,"(aaa)"),"")</f>
        <v/>
      </c>
    </row>
    <row r="97" ht="16.5" customFormat="1" customHeight="1" s="73">
      <c r="A97" s="71" t="n"/>
      <c r="B97" s="72" t="n"/>
      <c r="C97" s="73">
        <f>IF(B97&gt;0,TEXT(B97,"(aaa)"),"")</f>
        <v/>
      </c>
      <c r="D97" s="71" t="n"/>
      <c r="E97" s="72" t="n"/>
      <c r="F97" s="73">
        <f>IF(E97&gt;0,TEXT(E97,"(aaa)"),"")</f>
        <v/>
      </c>
      <c r="G97" s="71" t="n"/>
      <c r="H97" s="72" t="n"/>
      <c r="I97" s="73">
        <f>IF(H97&gt;0,TEXT(H97,"(aaa)"),"")</f>
        <v/>
      </c>
    </row>
    <row r="98" ht="16.5" customFormat="1" customHeight="1" s="73">
      <c r="A98" s="71" t="n"/>
      <c r="B98" s="72" t="n"/>
      <c r="C98" s="73">
        <f>IF(B98&gt;0,TEXT(B98,"(aaa)"),"")</f>
        <v/>
      </c>
      <c r="D98" s="71" t="n"/>
      <c r="E98" s="72" t="n"/>
      <c r="F98" s="73">
        <f>IF(E98&gt;0,TEXT(E98,"(aaa)"),"")</f>
        <v/>
      </c>
      <c r="G98" s="71" t="n"/>
      <c r="H98" s="72" t="n"/>
      <c r="I98" s="73">
        <f>IF(H98&gt;0,TEXT(H98,"(aaa)"),"")</f>
        <v/>
      </c>
    </row>
    <row r="99" ht="16.5" customFormat="1" customHeight="1" s="73">
      <c r="A99" s="71" t="n"/>
      <c r="B99" s="72" t="n"/>
      <c r="C99" s="73">
        <f>IF(B99&gt;0,TEXT(B99,"(aaa)"),"")</f>
        <v/>
      </c>
      <c r="D99" s="71" t="n"/>
      <c r="E99" s="72" t="n"/>
      <c r="F99" s="73">
        <f>IF(E99&gt;0,TEXT(E99,"(aaa)"),"")</f>
        <v/>
      </c>
      <c r="G99" s="71" t="n"/>
      <c r="H99" s="72" t="n"/>
      <c r="I99" s="73">
        <f>IF(H99&gt;0,TEXT(H99,"(aaa)"),"")</f>
        <v/>
      </c>
    </row>
    <row r="100" ht="16.5" customFormat="1" customHeight="1" s="73">
      <c r="A100" s="71" t="n"/>
      <c r="B100" s="72" t="n"/>
      <c r="C100" s="73">
        <f>IF(B100&gt;0,TEXT(B100,"(aaa)"),"")</f>
        <v/>
      </c>
      <c r="D100" s="71" t="n"/>
      <c r="E100" s="72" t="n"/>
      <c r="F100" s="73">
        <f>IF(E100&gt;0,TEXT(E100,"(aaa)"),"")</f>
        <v/>
      </c>
      <c r="G100" s="71" t="n"/>
      <c r="H100" s="72" t="n"/>
      <c r="I100" s="73">
        <f>IF(H100&gt;0,TEXT(H100,"(aaa)"),"")</f>
        <v/>
      </c>
    </row>
    <row r="101" ht="16.5" customFormat="1" customHeight="1" s="73">
      <c r="A101" s="71" t="n"/>
      <c r="B101" s="72" t="n"/>
      <c r="C101" s="73">
        <f>IF(B101&gt;0,TEXT(B101,"(aaa)"),"")</f>
        <v/>
      </c>
      <c r="D101" s="71" t="n"/>
      <c r="E101" s="72" t="n"/>
      <c r="F101" s="73">
        <f>IF(E101&gt;0,TEXT(E101,"(aaa)"),"")</f>
        <v/>
      </c>
      <c r="G101" s="71" t="n"/>
      <c r="H101" s="72" t="n"/>
      <c r="I101" s="73">
        <f>IF(H101&gt;0,TEXT(H101,"(aaa)"),"")</f>
        <v/>
      </c>
    </row>
    <row r="102" ht="16.5" customFormat="1" customHeight="1" s="73">
      <c r="A102" s="71" t="n"/>
      <c r="B102" s="72" t="n"/>
      <c r="C102" s="73">
        <f>IF(B102&gt;0,TEXT(B102,"(aaa)"),"")</f>
        <v/>
      </c>
      <c r="D102" s="71" t="n"/>
      <c r="E102" s="72" t="n"/>
      <c r="F102" s="73">
        <f>IF(E102&gt;0,TEXT(E102,"(aaa)"),"")</f>
        <v/>
      </c>
      <c r="G102" s="71" t="n"/>
      <c r="H102" s="72" t="n"/>
      <c r="I102" s="73">
        <f>IF(H102&gt;0,TEXT(H102,"(aaa)"),"")</f>
        <v/>
      </c>
    </row>
    <row r="103" ht="16.5" customFormat="1" customHeight="1" s="73">
      <c r="A103" s="71" t="n"/>
      <c r="B103" s="72" t="n"/>
      <c r="C103" s="73">
        <f>IF(B103&gt;0,TEXT(B103,"(aaa)"),"")</f>
        <v/>
      </c>
      <c r="D103" s="71" t="n"/>
      <c r="E103" s="72" t="n"/>
      <c r="F103" s="73">
        <f>IF(E103&gt;0,TEXT(E103,"(aaa)"),"")</f>
        <v/>
      </c>
      <c r="G103" s="71" t="n"/>
      <c r="H103" s="72" t="n"/>
      <c r="I103" s="73">
        <f>IF(H103&gt;0,TEXT(H103,"(aaa)"),"")</f>
        <v/>
      </c>
    </row>
    <row r="104" ht="16.5" customFormat="1" customHeight="1" s="73">
      <c r="A104" s="71" t="n"/>
      <c r="B104" s="72" t="n"/>
      <c r="C104" s="73">
        <f>IF(B104&gt;0,TEXT(B104,"(aaa)"),"")</f>
        <v/>
      </c>
      <c r="D104" s="71" t="n"/>
      <c r="E104" s="72" t="n"/>
      <c r="F104" s="73">
        <f>IF(E104&gt;0,TEXT(E104,"(aaa)"),"")</f>
        <v/>
      </c>
      <c r="G104" s="71" t="n"/>
      <c r="H104" s="72" t="n"/>
      <c r="I104" s="73">
        <f>IF(H104&gt;0,TEXT(H104,"(aaa)"),"")</f>
        <v/>
      </c>
    </row>
    <row r="105" ht="16.5" customFormat="1" customHeight="1" s="73">
      <c r="A105" s="71" t="n"/>
      <c r="B105" s="72" t="n"/>
      <c r="C105" s="73">
        <f>IF(B105&gt;0,TEXT(B105,"(aaa)"),"")</f>
        <v/>
      </c>
      <c r="D105" s="71" t="n"/>
      <c r="E105" s="72" t="n"/>
      <c r="F105" s="73">
        <f>IF(E105&gt;0,TEXT(E105,"(aaa)"),"")</f>
        <v/>
      </c>
      <c r="G105" s="71" t="n"/>
      <c r="H105" s="72" t="n"/>
      <c r="I105" s="73">
        <f>IF(H105&gt;0,TEXT(H105,"(aaa)"),"")</f>
        <v/>
      </c>
    </row>
    <row r="106" ht="16.5" customFormat="1" customHeight="1" s="73">
      <c r="A106" s="71" t="n"/>
      <c r="B106" s="72" t="n"/>
      <c r="C106" s="73">
        <f>IF(B106&gt;0,TEXT(B106,"(aaa)"),"")</f>
        <v/>
      </c>
      <c r="D106" s="71" t="n"/>
      <c r="E106" s="72" t="n"/>
      <c r="F106" s="73">
        <f>IF(E106&gt;0,TEXT(E106,"(aaa)"),"")</f>
        <v/>
      </c>
      <c r="G106" s="71" t="n"/>
      <c r="H106" s="72" t="n"/>
      <c r="I106" s="73">
        <f>IF(H106&gt;0,TEXT(H106,"(aaa)"),"")</f>
        <v/>
      </c>
    </row>
    <row r="107" ht="16.5" customFormat="1" customHeight="1" s="73">
      <c r="A107" s="71" t="n"/>
      <c r="B107" s="72" t="n"/>
      <c r="C107" s="73">
        <f>IF(B107&gt;0,TEXT(B107,"(aaa)"),"")</f>
        <v/>
      </c>
      <c r="D107" s="71" t="n"/>
      <c r="E107" s="72" t="n"/>
      <c r="F107" s="73">
        <f>IF(E107&gt;0,TEXT(E107,"(aaa)"),"")</f>
        <v/>
      </c>
      <c r="G107" s="71" t="n"/>
      <c r="H107" s="72" t="n"/>
      <c r="I107" s="73">
        <f>IF(H107&gt;0,TEXT(H107,"(aaa)"),"")</f>
        <v/>
      </c>
    </row>
    <row r="108" ht="16.5" customFormat="1" customHeight="1" s="73">
      <c r="A108" s="71" t="n"/>
      <c r="B108" s="72" t="n"/>
      <c r="C108" s="73">
        <f>IF(B108&gt;0,TEXT(B108,"(aaa)"),"")</f>
        <v/>
      </c>
      <c r="D108" s="71" t="n"/>
      <c r="E108" s="72" t="n"/>
      <c r="F108" s="73">
        <f>IF(E108&gt;0,TEXT(E108,"(aaa)"),"")</f>
        <v/>
      </c>
      <c r="G108" s="71" t="n"/>
      <c r="H108" s="72" t="n"/>
      <c r="I108" s="73">
        <f>IF(H108&gt;0,TEXT(H108,"(aaa)"),"")</f>
        <v/>
      </c>
    </row>
    <row r="109" ht="16.5" customFormat="1" customHeight="1" s="73">
      <c r="A109" s="71" t="n"/>
      <c r="B109" s="72" t="n"/>
      <c r="C109" s="73">
        <f>IF(B109&gt;0,TEXT(B109,"(aaa)"),"")</f>
        <v/>
      </c>
      <c r="D109" s="71" t="n"/>
      <c r="E109" s="72" t="n"/>
      <c r="F109" s="73">
        <f>IF(E109&gt;0,TEXT(E109,"(aaa)"),"")</f>
        <v/>
      </c>
      <c r="G109" s="71" t="n"/>
      <c r="H109" s="72" t="n"/>
      <c r="I109" s="73">
        <f>IF(H109&gt;0,TEXT(H109,"(aaa)"),"")</f>
        <v/>
      </c>
    </row>
    <row r="110" ht="16.5" customFormat="1" customHeight="1" s="73">
      <c r="A110" s="71" t="n"/>
      <c r="B110" s="72" t="n"/>
      <c r="C110" s="73">
        <f>IF(B110&gt;0,TEXT(B110,"(aaa)"),"")</f>
        <v/>
      </c>
      <c r="D110" s="71" t="n"/>
      <c r="E110" s="72" t="n"/>
      <c r="F110" s="73">
        <f>IF(E110&gt;0,TEXT(E110,"(aaa)"),"")</f>
        <v/>
      </c>
      <c r="G110" s="71" t="n"/>
      <c r="H110" s="72" t="n"/>
      <c r="I110" s="73">
        <f>IF(H110&gt;0,TEXT(H110,"(aaa)"),"")</f>
        <v/>
      </c>
    </row>
    <row r="111" ht="16.5" customFormat="1" customHeight="1" s="73">
      <c r="A111" s="71" t="n"/>
      <c r="B111" s="72" t="n"/>
      <c r="C111" s="73">
        <f>IF(B111&gt;0,TEXT(B111,"(aaa)"),"")</f>
        <v/>
      </c>
      <c r="D111" s="71" t="n"/>
      <c r="E111" s="72" t="n"/>
      <c r="F111" s="73">
        <f>IF(E111&gt;0,TEXT(E111,"(aaa)"),"")</f>
        <v/>
      </c>
      <c r="G111" s="71" t="n"/>
      <c r="H111" s="72" t="n"/>
      <c r="I111" s="73">
        <f>IF(H111&gt;0,TEXT(H111,"(aaa)"),"")</f>
        <v/>
      </c>
    </row>
    <row r="112" ht="16.5" customFormat="1" customHeight="1" s="73">
      <c r="A112" s="71" t="n"/>
      <c r="B112" s="72" t="n"/>
      <c r="C112" s="73">
        <f>IF(B112&gt;0,TEXT(B112,"(aaa)"),"")</f>
        <v/>
      </c>
      <c r="D112" s="71" t="n"/>
      <c r="E112" s="72" t="n"/>
      <c r="F112" s="73">
        <f>IF(E112&gt;0,TEXT(E112,"(aaa)"),"")</f>
        <v/>
      </c>
      <c r="G112" s="71" t="n"/>
      <c r="H112" s="72" t="n"/>
      <c r="I112" s="73">
        <f>IF(H112&gt;0,TEXT(H112,"(aaa)"),"")</f>
        <v/>
      </c>
    </row>
    <row r="113" ht="16.5" customFormat="1" customHeight="1" s="73">
      <c r="A113" s="71" t="n"/>
      <c r="B113" s="72" t="n"/>
      <c r="C113" s="73">
        <f>IF(B113&gt;0,TEXT(B113,"(aaa)"),"")</f>
        <v/>
      </c>
      <c r="D113" s="71" t="n"/>
      <c r="E113" s="72" t="n"/>
      <c r="F113" s="73">
        <f>IF(E113&gt;0,TEXT(E113,"(aaa)"),"")</f>
        <v/>
      </c>
      <c r="G113" s="71" t="n"/>
      <c r="H113" s="72" t="n"/>
      <c r="I113" s="73">
        <f>IF(H113&gt;0,TEXT(H113,"(aaa)"),"")</f>
        <v/>
      </c>
    </row>
    <row r="114" ht="16.5" customFormat="1" customHeight="1" s="73">
      <c r="A114" s="71" t="n"/>
      <c r="B114" s="72" t="n"/>
      <c r="C114" s="73">
        <f>IF(B114&gt;0,TEXT(B114,"(aaa)"),"")</f>
        <v/>
      </c>
      <c r="D114" s="71" t="n"/>
      <c r="E114" s="72" t="n"/>
      <c r="F114" s="73">
        <f>IF(E114&gt;0,TEXT(E114,"(aaa)"),"")</f>
        <v/>
      </c>
      <c r="G114" s="71" t="n"/>
      <c r="H114" s="72" t="n"/>
      <c r="I114" s="73">
        <f>IF(H114&gt;0,TEXT(H114,"(aaa)"),"")</f>
        <v/>
      </c>
    </row>
    <row r="115" ht="16.5" customFormat="1" customHeight="1" s="73">
      <c r="A115" s="71" t="n"/>
      <c r="B115" s="72" t="n"/>
      <c r="C115" s="73">
        <f>IF(B115&gt;0,TEXT(B115,"(aaa)"),"")</f>
        <v/>
      </c>
      <c r="D115" s="71" t="n"/>
      <c r="E115" s="72" t="n"/>
      <c r="F115" s="73">
        <f>IF(E115&gt;0,TEXT(E115,"(aaa)"),"")</f>
        <v/>
      </c>
      <c r="G115" s="71" t="n"/>
      <c r="H115" s="72" t="n"/>
      <c r="I115" s="73">
        <f>IF(H115&gt;0,TEXT(H115,"(aaa)"),"")</f>
        <v/>
      </c>
    </row>
    <row r="116" ht="16.5" customFormat="1" customHeight="1" s="73">
      <c r="A116" s="71" t="n"/>
      <c r="B116" s="72" t="n"/>
      <c r="C116" s="73">
        <f>IF(B116&gt;0,TEXT(B116,"(aaa)"),"")</f>
        <v/>
      </c>
      <c r="D116" s="71" t="n"/>
      <c r="E116" s="72" t="n"/>
      <c r="F116" s="73">
        <f>IF(E116&gt;0,TEXT(E116,"(aaa)"),"")</f>
        <v/>
      </c>
      <c r="G116" s="71" t="n"/>
      <c r="H116" s="72" t="n"/>
      <c r="I116" s="73">
        <f>IF(H116&gt;0,TEXT(H116,"(aaa)"),"")</f>
        <v/>
      </c>
    </row>
    <row r="117" ht="16.5" customFormat="1" customHeight="1" s="73">
      <c r="A117" s="71" t="n"/>
      <c r="B117" s="72" t="n"/>
      <c r="C117" s="73">
        <f>IF(B117&gt;0,TEXT(B117,"(aaa)"),"")</f>
        <v/>
      </c>
      <c r="D117" s="71" t="n"/>
      <c r="E117" s="72" t="n"/>
      <c r="F117" s="73">
        <f>IF(E117&gt;0,TEXT(E117,"(aaa)"),"")</f>
        <v/>
      </c>
      <c r="G117" s="71" t="n"/>
      <c r="H117" s="72" t="n"/>
      <c r="I117" s="73">
        <f>IF(H117&gt;0,TEXT(H117,"(aaa)"),"")</f>
        <v/>
      </c>
    </row>
    <row r="118" ht="16.5" customFormat="1" customHeight="1" s="73">
      <c r="A118" s="71" t="n"/>
      <c r="B118" s="72" t="n"/>
      <c r="C118" s="73">
        <f>IF(B118&gt;0,TEXT(B118,"(aaa)"),"")</f>
        <v/>
      </c>
      <c r="D118" s="71" t="n"/>
      <c r="E118" s="72" t="n"/>
      <c r="F118" s="73">
        <f>IF(E118&gt;0,TEXT(E118,"(aaa)"),"")</f>
        <v/>
      </c>
      <c r="G118" s="71" t="n"/>
      <c r="H118" s="72" t="n"/>
      <c r="I118" s="73">
        <f>IF(H118&gt;0,TEXT(H118,"(aaa)"),"")</f>
        <v/>
      </c>
    </row>
    <row r="119" ht="16.5" customFormat="1" customHeight="1" s="73">
      <c r="A119" s="71" t="n"/>
      <c r="B119" s="72" t="n"/>
      <c r="C119" s="73">
        <f>IF(B119&gt;0,TEXT(B119,"(aaa)"),"")</f>
        <v/>
      </c>
      <c r="D119" s="71" t="n"/>
      <c r="E119" s="72" t="n"/>
      <c r="F119" s="73">
        <f>IF(E119&gt;0,TEXT(E119,"(aaa)"),"")</f>
        <v/>
      </c>
      <c r="G119" s="71" t="n"/>
      <c r="H119" s="72" t="n"/>
      <c r="I119" s="73">
        <f>IF(H119&gt;0,TEXT(H119,"(aaa)"),"")</f>
        <v/>
      </c>
    </row>
    <row r="120" ht="16.5" customFormat="1" customHeight="1" s="73">
      <c r="A120" s="71" t="n"/>
      <c r="B120" s="72" t="n"/>
      <c r="C120" s="73">
        <f>IF(B120&gt;0,TEXT(B120,"(aaa)"),"")</f>
        <v/>
      </c>
      <c r="D120" s="71" t="n"/>
      <c r="E120" s="72" t="n"/>
      <c r="F120" s="73">
        <f>IF(E120&gt;0,TEXT(E120,"(aaa)"),"")</f>
        <v/>
      </c>
      <c r="G120" s="71" t="n"/>
      <c r="H120" s="72" t="n"/>
      <c r="I120" s="73">
        <f>IF(H120&gt;0,TEXT(H120,"(aaa)"),"")</f>
        <v/>
      </c>
    </row>
    <row r="121" ht="16.5" customFormat="1" customHeight="1" s="73">
      <c r="A121" s="71" t="n"/>
      <c r="B121" s="72" t="n"/>
      <c r="C121" s="73">
        <f>IF(B121&gt;0,TEXT(B121,"(aaa)"),"")</f>
        <v/>
      </c>
      <c r="D121" s="71" t="n"/>
      <c r="E121" s="72" t="n"/>
      <c r="F121" s="73">
        <f>IF(E121&gt;0,TEXT(E121,"(aaa)"),"")</f>
        <v/>
      </c>
      <c r="G121" s="71" t="n"/>
      <c r="H121" s="72" t="n"/>
      <c r="I121" s="73">
        <f>IF(H121&gt;0,TEXT(H121,"(aaa)"),"")</f>
        <v/>
      </c>
    </row>
    <row r="122" ht="16.5" customFormat="1" customHeight="1" s="73">
      <c r="A122" s="71" t="n"/>
      <c r="B122" s="72" t="n"/>
      <c r="C122" s="73">
        <f>IF(B122&gt;0,TEXT(B122,"(aaa)"),"")</f>
        <v/>
      </c>
      <c r="D122" s="71" t="n"/>
      <c r="E122" s="72" t="n"/>
      <c r="F122" s="73">
        <f>IF(E122&gt;0,TEXT(E122,"(aaa)"),"")</f>
        <v/>
      </c>
      <c r="G122" s="71" t="n"/>
      <c r="H122" s="72" t="n"/>
      <c r="I122" s="73">
        <f>IF(H122&gt;0,TEXT(H122,"(aaa)"),"")</f>
        <v/>
      </c>
    </row>
    <row r="123" ht="16.5" customFormat="1" customHeight="1" s="73">
      <c r="A123" s="71" t="n"/>
      <c r="B123" s="72" t="n"/>
      <c r="C123" s="73">
        <f>IF(B123&gt;0,TEXT(B123,"(aaa)"),"")</f>
        <v/>
      </c>
      <c r="D123" s="71" t="n"/>
      <c r="E123" s="72" t="n"/>
      <c r="F123" s="73">
        <f>IF(E123&gt;0,TEXT(E123,"(aaa)"),"")</f>
        <v/>
      </c>
      <c r="G123" s="71" t="n"/>
      <c r="H123" s="72" t="n"/>
      <c r="I123" s="73">
        <f>IF(H123&gt;0,TEXT(H123,"(aaa)"),"")</f>
        <v/>
      </c>
    </row>
    <row r="124" ht="16.5" customFormat="1" customHeight="1" s="73">
      <c r="A124" s="71" t="n"/>
      <c r="B124" s="72" t="n"/>
      <c r="C124" s="73">
        <f>IF(B124&gt;0,TEXT(B124,"(aaa)"),"")</f>
        <v/>
      </c>
      <c r="D124" s="71" t="n"/>
      <c r="E124" s="72" t="n"/>
      <c r="F124" s="73">
        <f>IF(E124&gt;0,TEXT(E124,"(aaa)"),"")</f>
        <v/>
      </c>
      <c r="G124" s="71" t="n"/>
      <c r="H124" s="72" t="n"/>
      <c r="I124" s="73">
        <f>IF(H124&gt;0,TEXT(H124,"(aaa)"),"")</f>
        <v/>
      </c>
    </row>
    <row r="125" ht="16.5" customFormat="1" customHeight="1" s="73">
      <c r="A125" s="71" t="n"/>
      <c r="B125" s="72" t="n"/>
      <c r="C125" s="73">
        <f>IF(B125&gt;0,TEXT(B125,"(aaa)"),"")</f>
        <v/>
      </c>
      <c r="D125" s="71" t="n"/>
      <c r="E125" s="72" t="n"/>
      <c r="F125" s="73">
        <f>IF(E125&gt;0,TEXT(E125,"(aaa)"),"")</f>
        <v/>
      </c>
      <c r="G125" s="71" t="n"/>
      <c r="H125" s="72" t="n"/>
      <c r="I125" s="73">
        <f>IF(H125&gt;0,TEXT(H125,"(aaa)"),"")</f>
        <v/>
      </c>
    </row>
    <row r="126" ht="16.5" customFormat="1" customHeight="1" s="73">
      <c r="A126" s="71" t="n"/>
      <c r="B126" s="72" t="n"/>
      <c r="C126" s="73">
        <f>IF(B126&gt;0,TEXT(B126,"(aaa)"),"")</f>
        <v/>
      </c>
      <c r="D126" s="71" t="n"/>
      <c r="E126" s="72" t="n"/>
      <c r="F126" s="73">
        <f>IF(E126&gt;0,TEXT(E126,"(aaa)"),"")</f>
        <v/>
      </c>
      <c r="G126" s="71" t="n"/>
      <c r="H126" s="72" t="n"/>
      <c r="I126" s="73">
        <f>IF(H126&gt;0,TEXT(H126,"(aaa)"),"")</f>
        <v/>
      </c>
    </row>
    <row r="127" ht="16.5" customFormat="1" customHeight="1" s="73">
      <c r="A127" s="71" t="n"/>
      <c r="B127" s="72" t="n"/>
      <c r="C127" s="73">
        <f>IF(B127&gt;0,TEXT(B127,"(aaa)"),"")</f>
        <v/>
      </c>
      <c r="D127" s="71" t="n"/>
      <c r="E127" s="72" t="n"/>
      <c r="F127" s="73">
        <f>IF(E127&gt;0,TEXT(E127,"(aaa)"),"")</f>
        <v/>
      </c>
      <c r="G127" s="71" t="n"/>
      <c r="H127" s="72" t="n"/>
      <c r="I127" s="73">
        <f>IF(H127&gt;0,TEXT(H127,"(aaa)"),"")</f>
        <v/>
      </c>
    </row>
    <row r="128" ht="16.5" customFormat="1" customHeight="1" s="73">
      <c r="A128" s="71" t="n"/>
      <c r="B128" s="72" t="n"/>
      <c r="C128" s="73">
        <f>IF(B128&gt;0,TEXT(B128,"(aaa)"),"")</f>
        <v/>
      </c>
      <c r="D128" s="71" t="n"/>
      <c r="E128" s="72" t="n"/>
      <c r="F128" s="73">
        <f>IF(E128&gt;0,TEXT(E128,"(aaa)"),"")</f>
        <v/>
      </c>
      <c r="G128" s="71" t="n"/>
      <c r="H128" s="72" t="n"/>
      <c r="I128" s="73">
        <f>IF(H128&gt;0,TEXT(H128,"(aaa)"),"")</f>
        <v/>
      </c>
    </row>
    <row r="129" ht="16.5" customFormat="1" customHeight="1" s="73">
      <c r="A129" s="71" t="n"/>
      <c r="B129" s="72" t="n"/>
      <c r="C129" s="73">
        <f>IF(B129&gt;0,TEXT(B129,"(aaa)"),"")</f>
        <v/>
      </c>
      <c r="D129" s="71" t="n"/>
      <c r="E129" s="72" t="n"/>
      <c r="F129" s="73">
        <f>IF(E129&gt;0,TEXT(E129,"(aaa)"),"")</f>
        <v/>
      </c>
      <c r="G129" s="71" t="n"/>
      <c r="H129" s="72" t="n"/>
      <c r="I129" s="73">
        <f>IF(H129&gt;0,TEXT(H129,"(aaa)"),"")</f>
        <v/>
      </c>
    </row>
    <row r="130" ht="16.5" customFormat="1" customHeight="1" s="73">
      <c r="A130" s="71" t="n"/>
      <c r="B130" s="72" t="n"/>
      <c r="C130" s="73">
        <f>IF(B130&gt;0,TEXT(B130,"(aaa)"),"")</f>
        <v/>
      </c>
      <c r="D130" s="71" t="n"/>
      <c r="E130" s="72" t="n"/>
      <c r="F130" s="73">
        <f>IF(E130&gt;0,TEXT(E130,"(aaa)"),"")</f>
        <v/>
      </c>
      <c r="G130" s="71" t="n"/>
      <c r="H130" s="72" t="n"/>
      <c r="I130" s="73">
        <f>IF(H130&gt;0,TEXT(H130,"(aaa)"),"")</f>
        <v/>
      </c>
    </row>
    <row r="131" ht="16.5" customFormat="1" customHeight="1" s="73">
      <c r="A131" s="71" t="n"/>
      <c r="B131" s="72" t="n"/>
      <c r="C131" s="73">
        <f>IF(B131&gt;0,TEXT(B131,"(aaa)"),"")</f>
        <v/>
      </c>
      <c r="D131" s="71" t="n"/>
      <c r="E131" s="72" t="n"/>
      <c r="F131" s="73">
        <f>IF(E131&gt;0,TEXT(E131,"(aaa)"),"")</f>
        <v/>
      </c>
      <c r="G131" s="71" t="n"/>
      <c r="H131" s="72" t="n"/>
      <c r="I131" s="73">
        <f>IF(H131&gt;0,TEXT(H131,"(aaa)"),"")</f>
        <v/>
      </c>
    </row>
    <row r="132" ht="16.5" customFormat="1" customHeight="1" s="73">
      <c r="A132" s="71" t="n"/>
      <c r="B132" s="72" t="n"/>
      <c r="C132" s="73">
        <f>IF(B132&gt;0,TEXT(B132,"(aaa)"),"")</f>
        <v/>
      </c>
      <c r="D132" s="71" t="n"/>
      <c r="E132" s="72" t="n"/>
      <c r="F132" s="73">
        <f>IF(E132&gt;0,TEXT(E132,"(aaa)"),"")</f>
        <v/>
      </c>
      <c r="G132" s="71" t="n"/>
      <c r="H132" s="72" t="n"/>
      <c r="I132" s="73">
        <f>IF(H132&gt;0,TEXT(H132,"(aaa)"),"")</f>
        <v/>
      </c>
    </row>
    <row r="133" ht="16.5" customFormat="1" customHeight="1" s="73">
      <c r="A133" s="71" t="n"/>
      <c r="B133" s="72" t="n"/>
      <c r="C133" s="73">
        <f>IF(B133&gt;0,TEXT(B133,"(aaa)"),"")</f>
        <v/>
      </c>
      <c r="D133" s="71" t="n"/>
      <c r="E133" s="72" t="n"/>
      <c r="F133" s="73">
        <f>IF(E133&gt;0,TEXT(E133,"(aaa)"),"")</f>
        <v/>
      </c>
      <c r="G133" s="71" t="n"/>
      <c r="H133" s="72" t="n"/>
      <c r="I133" s="73">
        <f>IF(H133&gt;0,TEXT(H133,"(aaa)"),"")</f>
        <v/>
      </c>
    </row>
    <row r="134" ht="16.5" customFormat="1" customHeight="1" s="73">
      <c r="A134" s="71" t="n"/>
      <c r="B134" s="72" t="n"/>
      <c r="C134" s="73">
        <f>IF(B134&gt;0,TEXT(B134,"(aaa)"),"")</f>
        <v/>
      </c>
      <c r="D134" s="71" t="n"/>
      <c r="E134" s="72" t="n"/>
      <c r="F134" s="73">
        <f>IF(E134&gt;0,TEXT(E134,"(aaa)"),"")</f>
        <v/>
      </c>
      <c r="G134" s="71" t="n"/>
      <c r="H134" s="72" t="n"/>
      <c r="I134" s="73">
        <f>IF(H134&gt;0,TEXT(H134,"(aaa)"),"")</f>
        <v/>
      </c>
    </row>
    <row r="135" ht="16.5" customFormat="1" customHeight="1" s="73">
      <c r="A135" s="71" t="n"/>
      <c r="B135" s="72" t="n"/>
      <c r="C135" s="73">
        <f>IF(B135&gt;0,TEXT(B135,"(aaa)"),"")</f>
        <v/>
      </c>
      <c r="D135" s="71" t="n"/>
      <c r="E135" s="72" t="n"/>
      <c r="F135" s="73">
        <f>IF(E135&gt;0,TEXT(E135,"(aaa)"),"")</f>
        <v/>
      </c>
      <c r="G135" s="71" t="n"/>
      <c r="H135" s="72" t="n"/>
      <c r="I135" s="73">
        <f>IF(H135&gt;0,TEXT(H135,"(aaa)"),"")</f>
        <v/>
      </c>
    </row>
    <row r="136" ht="16.5" customFormat="1" customHeight="1" s="73">
      <c r="A136" s="71" t="n"/>
      <c r="B136" s="72" t="n"/>
      <c r="C136" s="73">
        <f>IF(B136&gt;0,TEXT(B136,"(aaa)"),"")</f>
        <v/>
      </c>
      <c r="D136" s="71" t="n"/>
      <c r="E136" s="72" t="n"/>
      <c r="F136" s="73">
        <f>IF(E136&gt;0,TEXT(E136,"(aaa)"),"")</f>
        <v/>
      </c>
      <c r="G136" s="71" t="n"/>
      <c r="H136" s="72" t="n"/>
      <c r="I136" s="73">
        <f>IF(H136&gt;0,TEXT(H136,"(aaa)"),"")</f>
        <v/>
      </c>
    </row>
    <row r="137" ht="16.5" customFormat="1" customHeight="1" s="73">
      <c r="A137" s="71" t="n"/>
      <c r="B137" s="72" t="n"/>
      <c r="C137" s="73">
        <f>IF(B137&gt;0,TEXT(B137,"(aaa)"),"")</f>
        <v/>
      </c>
      <c r="D137" s="71" t="n"/>
      <c r="E137" s="72" t="n"/>
      <c r="F137" s="73">
        <f>IF(E137&gt;0,TEXT(E137,"(aaa)"),"")</f>
        <v/>
      </c>
      <c r="G137" s="71" t="n"/>
      <c r="H137" s="72" t="n"/>
      <c r="I137" s="73">
        <f>IF(H137&gt;0,TEXT(H137,"(aaa)"),"")</f>
        <v/>
      </c>
    </row>
    <row r="138" ht="16.5" customFormat="1" customHeight="1" s="73">
      <c r="A138" s="71" t="n"/>
      <c r="B138" s="72" t="n"/>
      <c r="C138" s="73">
        <f>IF(B138&gt;0,TEXT(B138,"(aaa)"),"")</f>
        <v/>
      </c>
      <c r="D138" s="71" t="n"/>
      <c r="E138" s="72" t="n"/>
      <c r="F138" s="73">
        <f>IF(E138&gt;0,TEXT(E138,"(aaa)"),"")</f>
        <v/>
      </c>
      <c r="G138" s="71" t="n"/>
      <c r="H138" s="72" t="n"/>
      <c r="I138" s="73">
        <f>IF(H138&gt;0,TEXT(H138,"(aaa)"),"")</f>
        <v/>
      </c>
    </row>
    <row r="139" ht="16.5" customFormat="1" customHeight="1" s="73">
      <c r="A139" s="71" t="n"/>
      <c r="B139" s="72" t="n"/>
      <c r="C139" s="73">
        <f>IF(B139&gt;0,TEXT(B139,"(aaa)"),"")</f>
        <v/>
      </c>
      <c r="D139" s="71" t="n"/>
      <c r="E139" s="72" t="n"/>
      <c r="F139" s="73">
        <f>IF(E139&gt;0,TEXT(E139,"(aaa)"),"")</f>
        <v/>
      </c>
      <c r="G139" s="71" t="n"/>
      <c r="H139" s="72" t="n"/>
      <c r="I139" s="73">
        <f>IF(H139&gt;0,TEXT(H139,"(aaa)"),"")</f>
        <v/>
      </c>
    </row>
    <row r="140" ht="16.5" customFormat="1" customHeight="1" s="73">
      <c r="A140" s="71" t="n"/>
      <c r="B140" s="72" t="n"/>
      <c r="C140" s="73">
        <f>IF(B140&gt;0,TEXT(B140,"(aaa)"),"")</f>
        <v/>
      </c>
      <c r="D140" s="71" t="n"/>
      <c r="E140" s="72" t="n"/>
      <c r="F140" s="73">
        <f>IF(E140&gt;0,TEXT(E140,"(aaa)"),"")</f>
        <v/>
      </c>
      <c r="G140" s="71" t="n"/>
      <c r="H140" s="72" t="n"/>
      <c r="I140" s="73">
        <f>IF(H140&gt;0,TEXT(H140,"(aaa)"),"")</f>
        <v/>
      </c>
    </row>
    <row r="141" ht="16.5" customFormat="1" customHeight="1" s="73">
      <c r="A141" s="71" t="n"/>
      <c r="B141" s="72" t="n"/>
      <c r="C141" s="73">
        <f>IF(B141&gt;0,TEXT(B141,"(aaa)"),"")</f>
        <v/>
      </c>
      <c r="D141" s="71" t="n"/>
      <c r="E141" s="72" t="n"/>
      <c r="F141" s="73">
        <f>IF(E141&gt;0,TEXT(E141,"(aaa)"),"")</f>
        <v/>
      </c>
      <c r="G141" s="71" t="n"/>
      <c r="H141" s="72" t="n"/>
      <c r="I141" s="73">
        <f>IF(H141&gt;0,TEXT(H141,"(aaa)"),"")</f>
        <v/>
      </c>
    </row>
    <row r="142" ht="16.5" customFormat="1" customHeight="1" s="73">
      <c r="A142" s="71" t="n"/>
      <c r="B142" s="72" t="n"/>
      <c r="C142" s="73">
        <f>IF(B142&gt;0,TEXT(B142,"(aaa)"),"")</f>
        <v/>
      </c>
      <c r="D142" s="71" t="n"/>
      <c r="E142" s="72" t="n"/>
      <c r="F142" s="73">
        <f>IF(E142&gt;0,TEXT(E142,"(aaa)"),"")</f>
        <v/>
      </c>
      <c r="G142" s="71" t="n"/>
      <c r="H142" s="72" t="n"/>
      <c r="I142" s="73">
        <f>IF(H142&gt;0,TEXT(H142,"(aaa)"),"")</f>
        <v/>
      </c>
    </row>
    <row r="143" ht="16.5" customFormat="1" customHeight="1" s="73">
      <c r="A143" s="71" t="n"/>
      <c r="B143" s="72" t="n"/>
      <c r="C143" s="73">
        <f>IF(B143&gt;0,TEXT(B143,"(aaa)"),"")</f>
        <v/>
      </c>
      <c r="D143" s="71" t="n"/>
      <c r="E143" s="72" t="n"/>
      <c r="F143" s="73">
        <f>IF(E143&gt;0,TEXT(E143,"(aaa)"),"")</f>
        <v/>
      </c>
      <c r="G143" s="71" t="n"/>
      <c r="H143" s="72" t="n"/>
      <c r="I143" s="73">
        <f>IF(H143&gt;0,TEXT(H143,"(aaa)"),"")</f>
        <v/>
      </c>
    </row>
    <row r="144" ht="16.5" customFormat="1" customHeight="1" s="73">
      <c r="A144" s="71" t="n"/>
      <c r="B144" s="72" t="n"/>
      <c r="C144" s="73">
        <f>IF(B144&gt;0,TEXT(B144,"(aaa)"),"")</f>
        <v/>
      </c>
      <c r="D144" s="71" t="n"/>
      <c r="E144" s="72" t="n"/>
      <c r="F144" s="73">
        <f>IF(E144&gt;0,TEXT(E144,"(aaa)"),"")</f>
        <v/>
      </c>
      <c r="G144" s="71" t="n"/>
      <c r="H144" s="72" t="n"/>
      <c r="I144" s="73">
        <f>IF(H144&gt;0,TEXT(H144,"(aaa)"),"")</f>
        <v/>
      </c>
    </row>
    <row r="145" ht="16.5" customFormat="1" customHeight="1" s="73">
      <c r="A145" s="71" t="n"/>
      <c r="B145" s="72" t="n"/>
      <c r="C145" s="73">
        <f>IF(B145&gt;0,TEXT(B145,"(aaa)"),"")</f>
        <v/>
      </c>
      <c r="D145" s="71" t="n"/>
      <c r="E145" s="72" t="n"/>
      <c r="F145" s="73">
        <f>IF(E145&gt;0,TEXT(E145,"(aaa)"),"")</f>
        <v/>
      </c>
      <c r="G145" s="71" t="n"/>
      <c r="H145" s="72" t="n"/>
      <c r="I145" s="73">
        <f>IF(H145&gt;0,TEXT(H145,"(aaa)"),"")</f>
        <v/>
      </c>
    </row>
    <row r="146" ht="16.5" customFormat="1" customHeight="1" s="73">
      <c r="A146" s="71" t="n"/>
      <c r="B146" s="72" t="n"/>
      <c r="C146" s="73">
        <f>IF(B146&gt;0,TEXT(B146,"(aaa)"),"")</f>
        <v/>
      </c>
      <c r="D146" s="71" t="n"/>
      <c r="E146" s="72" t="n"/>
      <c r="F146" s="73">
        <f>IF(E146&gt;0,TEXT(E146,"(aaa)"),"")</f>
        <v/>
      </c>
      <c r="G146" s="71" t="n"/>
      <c r="H146" s="72" t="n"/>
      <c r="I146" s="73">
        <f>IF(H146&gt;0,TEXT(H146,"(aaa)"),"")</f>
        <v/>
      </c>
    </row>
    <row r="147" ht="16.5" customFormat="1" customHeight="1" s="73">
      <c r="A147" s="71" t="n"/>
      <c r="B147" s="72" t="n"/>
      <c r="C147" s="73">
        <f>IF(B147&gt;0,TEXT(B147,"(aaa)"),"")</f>
        <v/>
      </c>
      <c r="D147" s="71" t="n"/>
      <c r="E147" s="72" t="n"/>
      <c r="F147" s="73">
        <f>IF(E147&gt;0,TEXT(E147,"(aaa)"),"")</f>
        <v/>
      </c>
      <c r="G147" s="71" t="n"/>
      <c r="H147" s="72" t="n"/>
      <c r="I147" s="73">
        <f>IF(H147&gt;0,TEXT(H147,"(aaa)"),"")</f>
        <v/>
      </c>
    </row>
    <row r="148" ht="16.5" customFormat="1" customHeight="1" s="73">
      <c r="A148" s="71" t="n"/>
      <c r="B148" s="72" t="n"/>
      <c r="C148" s="73">
        <f>IF(B148&gt;0,TEXT(B148,"(aaa)"),"")</f>
        <v/>
      </c>
      <c r="D148" s="71" t="n"/>
      <c r="E148" s="72" t="n"/>
      <c r="F148" s="73">
        <f>IF(E148&gt;0,TEXT(E148,"(aaa)"),"")</f>
        <v/>
      </c>
      <c r="G148" s="71" t="n"/>
      <c r="H148" s="72" t="n"/>
      <c r="I148" s="73">
        <f>IF(H148&gt;0,TEXT(H148,"(aaa)"),"")</f>
        <v/>
      </c>
    </row>
    <row r="149" ht="16.5" customFormat="1" customHeight="1" s="73">
      <c r="A149" s="71" t="n"/>
      <c r="B149" s="72" t="n"/>
      <c r="C149" s="73">
        <f>IF(B149&gt;0,TEXT(B149,"(aaa)"),"")</f>
        <v/>
      </c>
      <c r="D149" s="71" t="n"/>
      <c r="E149" s="72" t="n"/>
      <c r="F149" s="73">
        <f>IF(E149&gt;0,TEXT(E149,"(aaa)"),"")</f>
        <v/>
      </c>
      <c r="G149" s="71" t="n"/>
      <c r="H149" s="72" t="n"/>
      <c r="I149" s="73">
        <f>IF(H149&gt;0,TEXT(H149,"(aaa)"),"")</f>
        <v/>
      </c>
    </row>
    <row r="150" ht="16.5" customFormat="1" customHeight="1" s="73">
      <c r="A150" s="71" t="n"/>
      <c r="B150" s="72" t="n"/>
      <c r="C150" s="73">
        <f>IF(B150&gt;0,TEXT(B150,"(aaa)"),"")</f>
        <v/>
      </c>
      <c r="D150" s="71" t="n"/>
      <c r="E150" s="72" t="n"/>
      <c r="F150" s="73">
        <f>IF(E150&gt;0,TEXT(E150,"(aaa)"),"")</f>
        <v/>
      </c>
      <c r="G150" s="71" t="n"/>
      <c r="H150" s="72" t="n"/>
      <c r="I150" s="73">
        <f>IF(H150&gt;0,TEXT(H150,"(aaa)"),"")</f>
        <v/>
      </c>
    </row>
    <row r="151" ht="16.5" customFormat="1" customHeight="1" s="73">
      <c r="A151" s="71" t="n"/>
      <c r="B151" s="72" t="n"/>
      <c r="C151" s="73">
        <f>IF(B151&gt;0,TEXT(B151,"(aaa)"),"")</f>
        <v/>
      </c>
      <c r="D151" s="71" t="n"/>
      <c r="E151" s="72" t="n"/>
      <c r="F151" s="73">
        <f>IF(E151&gt;0,TEXT(E151,"(aaa)"),"")</f>
        <v/>
      </c>
      <c r="G151" s="71" t="n"/>
      <c r="H151" s="72" t="n"/>
      <c r="I151" s="73">
        <f>IF(H151&gt;0,TEXT(H151,"(aaa)"),"")</f>
        <v/>
      </c>
    </row>
    <row r="152" ht="16.5" customFormat="1" customHeight="1" s="73">
      <c r="A152" s="71" t="n"/>
      <c r="B152" s="72" t="n"/>
      <c r="C152" s="73">
        <f>IF(B152&gt;0,TEXT(B152,"(aaa)"),"")</f>
        <v/>
      </c>
      <c r="D152" s="71" t="n"/>
      <c r="E152" s="72" t="n"/>
      <c r="F152" s="73">
        <f>IF(E152&gt;0,TEXT(E152,"(aaa)"),"")</f>
        <v/>
      </c>
      <c r="G152" s="71" t="n"/>
      <c r="H152" s="72" t="n"/>
      <c r="I152" s="73">
        <f>IF(H152&gt;0,TEXT(H152,"(aaa)"),"")</f>
        <v/>
      </c>
    </row>
    <row r="153" ht="16.5" customFormat="1" customHeight="1" s="73">
      <c r="A153" s="71" t="n"/>
      <c r="B153" s="72" t="n"/>
      <c r="C153" s="73">
        <f>IF(B153&gt;0,TEXT(B153,"(aaa)"),"")</f>
        <v/>
      </c>
      <c r="D153" s="71" t="n"/>
      <c r="E153" s="72" t="n"/>
      <c r="F153" s="73">
        <f>IF(E153&gt;0,TEXT(E153,"(aaa)"),"")</f>
        <v/>
      </c>
      <c r="G153" s="71" t="n"/>
      <c r="H153" s="72" t="n"/>
      <c r="I153" s="73">
        <f>IF(H153&gt;0,TEXT(H153,"(aaa)"),"")</f>
        <v/>
      </c>
    </row>
    <row r="154" ht="16.5" customFormat="1" customHeight="1" s="73">
      <c r="A154" s="71" t="n"/>
      <c r="B154" s="72" t="n"/>
      <c r="C154" s="73">
        <f>IF(B154&gt;0,TEXT(B154,"(aaa)"),"")</f>
        <v/>
      </c>
      <c r="D154" s="71" t="n"/>
      <c r="E154" s="72" t="n"/>
      <c r="F154" s="73">
        <f>IF(E154&gt;0,TEXT(E154,"(aaa)"),"")</f>
        <v/>
      </c>
      <c r="G154" s="71" t="n"/>
      <c r="H154" s="72" t="n"/>
      <c r="I154" s="73">
        <f>IF(H154&gt;0,TEXT(H154,"(aaa)"),"")</f>
        <v/>
      </c>
    </row>
    <row r="155" ht="16.5" customFormat="1" customHeight="1" s="73">
      <c r="A155" s="71" t="n"/>
      <c r="B155" s="72" t="n"/>
      <c r="C155" s="73">
        <f>IF(B155&gt;0,TEXT(B155,"(aaa)"),"")</f>
        <v/>
      </c>
      <c r="D155" s="71" t="n"/>
      <c r="E155" s="72" t="n"/>
      <c r="F155" s="73">
        <f>IF(E155&gt;0,TEXT(E155,"(aaa)"),"")</f>
        <v/>
      </c>
      <c r="G155" s="71" t="n"/>
      <c r="H155" s="72" t="n"/>
      <c r="I155" s="73">
        <f>IF(H155&gt;0,TEXT(H155,"(aaa)"),"")</f>
        <v/>
      </c>
    </row>
    <row r="156" ht="16.5" customFormat="1" customHeight="1" s="73">
      <c r="A156" s="71" t="n"/>
      <c r="B156" s="72" t="n"/>
      <c r="C156" s="73">
        <f>IF(B156&gt;0,TEXT(B156,"(aaa)"),"")</f>
        <v/>
      </c>
      <c r="D156" s="71" t="n"/>
      <c r="E156" s="72" t="n"/>
      <c r="F156" s="73">
        <f>IF(E156&gt;0,TEXT(E156,"(aaa)"),"")</f>
        <v/>
      </c>
      <c r="G156" s="71" t="n"/>
      <c r="H156" s="72" t="n"/>
      <c r="I156" s="73">
        <f>IF(H156&gt;0,TEXT(H156,"(aaa)"),"")</f>
        <v/>
      </c>
    </row>
    <row r="157" ht="16.5" customFormat="1" customHeight="1" s="73">
      <c r="A157" s="71" t="n"/>
      <c r="B157" s="72" t="n"/>
      <c r="C157" s="73">
        <f>IF(B157&gt;0,TEXT(B157,"(aaa)"),"")</f>
        <v/>
      </c>
      <c r="D157" s="71" t="n"/>
      <c r="E157" s="72" t="n"/>
      <c r="F157" s="73">
        <f>IF(E157&gt;0,TEXT(E157,"(aaa)"),"")</f>
        <v/>
      </c>
      <c r="G157" s="71" t="n"/>
      <c r="H157" s="72" t="n"/>
      <c r="I157" s="73">
        <f>IF(H157&gt;0,TEXT(H157,"(aaa)"),"")</f>
        <v/>
      </c>
    </row>
    <row r="158" ht="16.5" customFormat="1" customHeight="1" s="73">
      <c r="A158" s="71" t="n"/>
      <c r="B158" s="72" t="n"/>
      <c r="C158" s="73">
        <f>IF(B158&gt;0,TEXT(B158,"(aaa)"),"")</f>
        <v/>
      </c>
      <c r="D158" s="71" t="n"/>
      <c r="E158" s="72" t="n"/>
      <c r="F158" s="73">
        <f>IF(E158&gt;0,TEXT(E158,"(aaa)"),"")</f>
        <v/>
      </c>
      <c r="G158" s="71" t="n"/>
      <c r="H158" s="72" t="n"/>
      <c r="I158" s="73">
        <f>IF(H158&gt;0,TEXT(H158,"(aaa)"),"")</f>
        <v/>
      </c>
    </row>
    <row r="159" ht="16.5" customFormat="1" customHeight="1" s="73">
      <c r="A159" s="71" t="n"/>
      <c r="B159" s="72" t="n"/>
      <c r="C159" s="73">
        <f>IF(B159&gt;0,TEXT(B159,"(aaa)"),"")</f>
        <v/>
      </c>
      <c r="D159" s="71" t="n"/>
      <c r="E159" s="72" t="n"/>
      <c r="F159" s="73">
        <f>IF(E159&gt;0,TEXT(E159,"(aaa)"),"")</f>
        <v/>
      </c>
      <c r="G159" s="71" t="n"/>
      <c r="H159" s="72" t="n"/>
      <c r="I159" s="73">
        <f>IF(H159&gt;0,TEXT(H159,"(aaa)"),"")</f>
        <v/>
      </c>
    </row>
    <row r="160" ht="16.5" customFormat="1" customHeight="1" s="73">
      <c r="A160" s="71" t="n"/>
      <c r="B160" s="72" t="n"/>
      <c r="C160" s="73">
        <f>IF(B160&gt;0,TEXT(B160,"(aaa)"),"")</f>
        <v/>
      </c>
      <c r="D160" s="71" t="n"/>
      <c r="E160" s="72" t="n"/>
      <c r="F160" s="73">
        <f>IF(E160&gt;0,TEXT(E160,"(aaa)"),"")</f>
        <v/>
      </c>
      <c r="G160" s="71" t="n"/>
      <c r="H160" s="72" t="n"/>
      <c r="I160" s="73">
        <f>IF(H160&gt;0,TEXT(H160,"(aaa)"),"")</f>
        <v/>
      </c>
    </row>
    <row r="161" ht="16.5" customFormat="1" customHeight="1" s="73">
      <c r="A161" s="71" t="n"/>
      <c r="B161" s="72" t="n"/>
      <c r="C161" s="73">
        <f>IF(B161&gt;0,TEXT(B161,"(aaa)"),"")</f>
        <v/>
      </c>
      <c r="D161" s="71" t="n"/>
      <c r="E161" s="72" t="n"/>
      <c r="F161" s="73">
        <f>IF(E161&gt;0,TEXT(E161,"(aaa)"),"")</f>
        <v/>
      </c>
      <c r="G161" s="71" t="n"/>
      <c r="H161" s="72" t="n"/>
      <c r="I161" s="73">
        <f>IF(H161&gt;0,TEXT(H161,"(aaa)"),"")</f>
        <v/>
      </c>
    </row>
    <row r="162" ht="16.5" customFormat="1" customHeight="1" s="73">
      <c r="A162" s="71" t="n"/>
      <c r="B162" s="72" t="n"/>
      <c r="C162" s="73">
        <f>IF(B162&gt;0,TEXT(B162,"(aaa)"),"")</f>
        <v/>
      </c>
      <c r="D162" s="71" t="n"/>
      <c r="E162" s="72" t="n"/>
      <c r="F162" s="73">
        <f>IF(E162&gt;0,TEXT(E162,"(aaa)"),"")</f>
        <v/>
      </c>
      <c r="G162" s="71" t="n"/>
      <c r="H162" s="72" t="n"/>
      <c r="I162" s="73">
        <f>IF(H162&gt;0,TEXT(H162,"(aaa)"),"")</f>
        <v/>
      </c>
    </row>
    <row r="163" ht="16.5" customFormat="1" customHeight="1" s="73">
      <c r="A163" s="71" t="n"/>
      <c r="B163" s="72" t="n"/>
      <c r="C163" s="73">
        <f>IF(B163&gt;0,TEXT(B163,"(aaa)"),"")</f>
        <v/>
      </c>
      <c r="D163" s="71" t="n"/>
      <c r="E163" s="72" t="n"/>
      <c r="F163" s="73">
        <f>IF(E163&gt;0,TEXT(E163,"(aaa)"),"")</f>
        <v/>
      </c>
      <c r="G163" s="71" t="n"/>
      <c r="H163" s="72" t="n"/>
      <c r="I163" s="73">
        <f>IF(H163&gt;0,TEXT(H163,"(aaa)"),"")</f>
        <v/>
      </c>
    </row>
    <row r="164" ht="16.5" customFormat="1" customHeight="1" s="73">
      <c r="A164" s="71" t="n"/>
      <c r="B164" s="72" t="n"/>
      <c r="C164" s="73">
        <f>IF(B164&gt;0,TEXT(B164,"(aaa)"),"")</f>
        <v/>
      </c>
      <c r="D164" s="71" t="n"/>
      <c r="E164" s="72" t="n"/>
      <c r="F164" s="73">
        <f>IF(E164&gt;0,TEXT(E164,"(aaa)"),"")</f>
        <v/>
      </c>
      <c r="G164" s="71" t="n"/>
      <c r="H164" s="72" t="n"/>
      <c r="I164" s="73">
        <f>IF(H164&gt;0,TEXT(H164,"(aaa)"),"")</f>
        <v/>
      </c>
    </row>
    <row r="165" ht="16.5" customFormat="1" customHeight="1" s="73">
      <c r="A165" s="71" t="n"/>
      <c r="B165" s="72" t="n"/>
      <c r="C165" s="73">
        <f>IF(B165&gt;0,TEXT(B165,"(aaa)"),"")</f>
        <v/>
      </c>
      <c r="D165" s="71" t="n"/>
      <c r="E165" s="72" t="n"/>
      <c r="F165" s="73">
        <f>IF(E165&gt;0,TEXT(E165,"(aaa)"),"")</f>
        <v/>
      </c>
      <c r="G165" s="71" t="n"/>
      <c r="H165" s="72" t="n"/>
      <c r="I165" s="73">
        <f>IF(H165&gt;0,TEXT(H165,"(aaa)"),"")</f>
        <v/>
      </c>
    </row>
    <row r="166" ht="16.5" customFormat="1" customHeight="1" s="73">
      <c r="A166" s="71" t="n"/>
      <c r="B166" s="72" t="n"/>
      <c r="C166" s="73">
        <f>IF(B166&gt;0,TEXT(B166,"(aaa)"),"")</f>
        <v/>
      </c>
      <c r="D166" s="71" t="n"/>
      <c r="E166" s="72" t="n"/>
      <c r="F166" s="73">
        <f>IF(E166&gt;0,TEXT(E166,"(aaa)"),"")</f>
        <v/>
      </c>
      <c r="G166" s="71" t="n"/>
      <c r="H166" s="72" t="n"/>
      <c r="I166" s="73">
        <f>IF(H166&gt;0,TEXT(H166,"(aaa)"),"")</f>
        <v/>
      </c>
    </row>
    <row r="167" ht="16.5" customFormat="1" customHeight="1" s="73">
      <c r="A167" s="71" t="n"/>
      <c r="B167" s="72" t="n"/>
      <c r="C167" s="73">
        <f>IF(B167&gt;0,TEXT(B167,"(aaa)"),"")</f>
        <v/>
      </c>
      <c r="D167" s="71" t="n"/>
      <c r="E167" s="72" t="n"/>
      <c r="F167" s="73">
        <f>IF(E167&gt;0,TEXT(E167,"(aaa)"),"")</f>
        <v/>
      </c>
      <c r="G167" s="71" t="n"/>
      <c r="H167" s="72" t="n"/>
      <c r="I167" s="73">
        <f>IF(H167&gt;0,TEXT(H167,"(aaa)"),"")</f>
        <v/>
      </c>
    </row>
    <row r="168" ht="16.5" customFormat="1" customHeight="1" s="73">
      <c r="A168" s="71" t="n"/>
      <c r="B168" s="72" t="n"/>
      <c r="C168" s="73">
        <f>IF(B168&gt;0,TEXT(B168,"(aaa)"),"")</f>
        <v/>
      </c>
      <c r="D168" s="71" t="n"/>
      <c r="E168" s="72" t="n"/>
      <c r="F168" s="73">
        <f>IF(E168&gt;0,TEXT(E168,"(aaa)"),"")</f>
        <v/>
      </c>
      <c r="G168" s="71" t="n"/>
      <c r="H168" s="72" t="n"/>
      <c r="I168" s="73">
        <f>IF(H168&gt;0,TEXT(H168,"(aaa)"),"")</f>
        <v/>
      </c>
    </row>
    <row r="169" ht="16.5" customFormat="1" customHeight="1" s="73">
      <c r="A169" s="71" t="n"/>
      <c r="B169" s="72" t="n"/>
      <c r="C169" s="73">
        <f>IF(B169&gt;0,TEXT(B169,"(aaa)"),"")</f>
        <v/>
      </c>
      <c r="D169" s="71" t="n"/>
      <c r="E169" s="72" t="n"/>
      <c r="F169" s="73">
        <f>IF(E169&gt;0,TEXT(E169,"(aaa)"),"")</f>
        <v/>
      </c>
      <c r="G169" s="71" t="n"/>
      <c r="H169" s="72" t="n"/>
      <c r="I169" s="73">
        <f>IF(H169&gt;0,TEXT(H169,"(aaa)"),"")</f>
        <v/>
      </c>
    </row>
    <row r="170" ht="16.5" customFormat="1" customHeight="1" s="73">
      <c r="A170" s="71" t="n"/>
      <c r="B170" s="72" t="n"/>
      <c r="C170" s="73">
        <f>IF(B170&gt;0,TEXT(B170,"(aaa)"),"")</f>
        <v/>
      </c>
      <c r="D170" s="71" t="n"/>
      <c r="E170" s="72" t="n"/>
      <c r="F170" s="73">
        <f>IF(E170&gt;0,TEXT(E170,"(aaa)"),"")</f>
        <v/>
      </c>
      <c r="G170" s="71" t="n"/>
      <c r="H170" s="72" t="n"/>
      <c r="I170" s="73">
        <f>IF(H170&gt;0,TEXT(H170,"(aaa)"),"")</f>
        <v/>
      </c>
    </row>
    <row r="171" ht="16.5" customFormat="1" customHeight="1" s="73">
      <c r="A171" s="71" t="n"/>
      <c r="B171" s="72" t="n"/>
      <c r="C171" s="73">
        <f>IF(B171&gt;0,TEXT(B171,"(aaa)"),"")</f>
        <v/>
      </c>
      <c r="D171" s="71" t="n"/>
      <c r="E171" s="72" t="n"/>
      <c r="F171" s="73">
        <f>IF(E171&gt;0,TEXT(E171,"(aaa)"),"")</f>
        <v/>
      </c>
      <c r="G171" s="71" t="n"/>
      <c r="H171" s="72" t="n"/>
      <c r="I171" s="73">
        <f>IF(H171&gt;0,TEXT(H171,"(aaa)"),"")</f>
        <v/>
      </c>
    </row>
    <row r="172" ht="16.5" customFormat="1" customHeight="1" s="73">
      <c r="A172" s="71" t="n"/>
      <c r="B172" s="72" t="n"/>
      <c r="C172" s="73">
        <f>IF(B172&gt;0,TEXT(B172,"(aaa)"),"")</f>
        <v/>
      </c>
      <c r="D172" s="71" t="n"/>
      <c r="E172" s="72" t="n"/>
      <c r="F172" s="73">
        <f>IF(E172&gt;0,TEXT(E172,"(aaa)"),"")</f>
        <v/>
      </c>
      <c r="G172" s="71" t="n"/>
      <c r="H172" s="72" t="n"/>
      <c r="I172" s="73">
        <f>IF(H172&gt;0,TEXT(H172,"(aaa)"),"")</f>
        <v/>
      </c>
    </row>
    <row r="173" ht="16.5" customFormat="1" customHeight="1" s="73">
      <c r="A173" s="71" t="n"/>
      <c r="B173" s="72" t="n"/>
      <c r="C173" s="73">
        <f>IF(B173&gt;0,TEXT(B173,"(aaa)"),"")</f>
        <v/>
      </c>
      <c r="D173" s="71" t="n"/>
      <c r="E173" s="72" t="n"/>
      <c r="F173" s="73">
        <f>IF(E173&gt;0,TEXT(E173,"(aaa)"),"")</f>
        <v/>
      </c>
      <c r="G173" s="71" t="n"/>
      <c r="H173" s="72" t="n"/>
      <c r="I173" s="73">
        <f>IF(H173&gt;0,TEXT(H173,"(aaa)"),"")</f>
        <v/>
      </c>
    </row>
    <row r="174" ht="16.5" customFormat="1" customHeight="1" s="73">
      <c r="A174" s="71" t="n"/>
      <c r="B174" s="72" t="n"/>
      <c r="C174" s="73">
        <f>IF(B174&gt;0,TEXT(B174,"(aaa)"),"")</f>
        <v/>
      </c>
      <c r="D174" s="71" t="n"/>
      <c r="E174" s="72" t="n"/>
      <c r="F174" s="73">
        <f>IF(E174&gt;0,TEXT(E174,"(aaa)"),"")</f>
        <v/>
      </c>
      <c r="G174" s="71" t="n"/>
      <c r="H174" s="72" t="n"/>
      <c r="I174" s="73">
        <f>IF(H174&gt;0,TEXT(H174,"(aaa)"),"")</f>
        <v/>
      </c>
    </row>
    <row r="175" ht="16.5" customFormat="1" customHeight="1" s="73">
      <c r="A175" s="71" t="n"/>
      <c r="B175" s="72" t="n"/>
      <c r="C175" s="73">
        <f>IF(B175&gt;0,TEXT(B175,"(aaa)"),"")</f>
        <v/>
      </c>
      <c r="D175" s="71" t="n"/>
      <c r="E175" s="72" t="n"/>
      <c r="F175" s="73">
        <f>IF(E175&gt;0,TEXT(E175,"(aaa)"),"")</f>
        <v/>
      </c>
      <c r="G175" s="71" t="n"/>
      <c r="H175" s="72" t="n"/>
      <c r="I175" s="73">
        <f>IF(H175&gt;0,TEXT(H175,"(aaa)"),"")</f>
        <v/>
      </c>
    </row>
    <row r="176" ht="16.5" customFormat="1" customHeight="1" s="73">
      <c r="A176" s="71" t="n"/>
      <c r="B176" s="72" t="n"/>
      <c r="C176" s="73">
        <f>IF(B176&gt;0,TEXT(B176,"(aaa)"),"")</f>
        <v/>
      </c>
      <c r="D176" s="71" t="n"/>
      <c r="E176" s="72" t="n"/>
      <c r="F176" s="73">
        <f>IF(E176&gt;0,TEXT(E176,"(aaa)"),"")</f>
        <v/>
      </c>
      <c r="G176" s="71" t="n"/>
      <c r="H176" s="72" t="n"/>
      <c r="I176" s="73">
        <f>IF(H176&gt;0,TEXT(H176,"(aaa)"),"")</f>
        <v/>
      </c>
    </row>
    <row r="177" ht="16.5" customFormat="1" customHeight="1" s="73">
      <c r="A177" s="71" t="n"/>
      <c r="B177" s="72" t="n"/>
      <c r="C177" s="73">
        <f>IF(B177&gt;0,TEXT(B177,"(aaa)"),"")</f>
        <v/>
      </c>
      <c r="D177" s="71" t="n"/>
      <c r="E177" s="72" t="n"/>
      <c r="F177" s="73">
        <f>IF(E177&gt;0,TEXT(E177,"(aaa)"),"")</f>
        <v/>
      </c>
      <c r="G177" s="71" t="n"/>
      <c r="H177" s="72" t="n"/>
      <c r="I177" s="73">
        <f>IF(H177&gt;0,TEXT(H177,"(aaa)"),"")</f>
        <v/>
      </c>
    </row>
    <row r="178" ht="16.5" customFormat="1" customHeight="1" s="73">
      <c r="A178" s="71" t="n"/>
      <c r="B178" s="72" t="n"/>
      <c r="C178" s="73">
        <f>IF(B178&gt;0,TEXT(B178,"(aaa)"),"")</f>
        <v/>
      </c>
      <c r="D178" s="71" t="n"/>
      <c r="E178" s="72" t="n"/>
      <c r="F178" s="73">
        <f>IF(E178&gt;0,TEXT(E178,"(aaa)"),"")</f>
        <v/>
      </c>
      <c r="G178" s="71" t="n"/>
      <c r="H178" s="72" t="n"/>
      <c r="I178" s="73">
        <f>IF(H178&gt;0,TEXT(H178,"(aaa)"),"")</f>
        <v/>
      </c>
    </row>
    <row r="179" ht="16.5" customFormat="1" customHeight="1" s="73">
      <c r="A179" s="71" t="n"/>
      <c r="B179" s="72" t="n"/>
      <c r="C179" s="73">
        <f>IF(B179&gt;0,TEXT(B179,"(aaa)"),"")</f>
        <v/>
      </c>
      <c r="D179" s="71" t="n"/>
      <c r="E179" s="72" t="n"/>
      <c r="F179" s="73">
        <f>IF(E179&gt;0,TEXT(E179,"(aaa)"),"")</f>
        <v/>
      </c>
      <c r="G179" s="71" t="n"/>
      <c r="H179" s="72" t="n"/>
      <c r="I179" s="73">
        <f>IF(H179&gt;0,TEXT(H179,"(aaa)"),"")</f>
        <v/>
      </c>
    </row>
    <row r="180" ht="16.5" customFormat="1" customHeight="1" s="73">
      <c r="A180" s="71" t="n"/>
      <c r="B180" s="72" t="n"/>
      <c r="C180" s="73">
        <f>IF(B180&gt;0,TEXT(B180,"(aaa)"),"")</f>
        <v/>
      </c>
      <c r="D180" s="71" t="n"/>
      <c r="E180" s="72" t="n"/>
      <c r="F180" s="73">
        <f>IF(E180&gt;0,TEXT(E180,"(aaa)"),"")</f>
        <v/>
      </c>
      <c r="G180" s="71" t="n"/>
      <c r="H180" s="72" t="n"/>
      <c r="I180" s="73">
        <f>IF(H180&gt;0,TEXT(H180,"(aaa)"),"")</f>
        <v/>
      </c>
    </row>
    <row r="181" ht="16.5" customFormat="1" customHeight="1" s="73">
      <c r="A181" s="71" t="n"/>
      <c r="B181" s="72" t="n"/>
      <c r="C181" s="73">
        <f>IF(B181&gt;0,TEXT(B181,"(aaa)"),"")</f>
        <v/>
      </c>
      <c r="D181" s="71" t="n"/>
      <c r="E181" s="72" t="n"/>
      <c r="F181" s="73">
        <f>IF(E181&gt;0,TEXT(E181,"(aaa)"),"")</f>
        <v/>
      </c>
      <c r="G181" s="71" t="n"/>
      <c r="H181" s="72" t="n"/>
      <c r="I181" s="73">
        <f>IF(H181&gt;0,TEXT(H181,"(aaa)"),"")</f>
        <v/>
      </c>
    </row>
    <row r="182" ht="16.5" customFormat="1" customHeight="1" s="73">
      <c r="A182" s="71" t="n"/>
      <c r="B182" s="72" t="n"/>
      <c r="C182" s="73">
        <f>IF(B182&gt;0,TEXT(B182,"(aaa)"),"")</f>
        <v/>
      </c>
      <c r="D182" s="71" t="n"/>
      <c r="E182" s="72" t="n"/>
      <c r="F182" s="73">
        <f>IF(E182&gt;0,TEXT(E182,"(aaa)"),"")</f>
        <v/>
      </c>
      <c r="G182" s="71" t="n"/>
      <c r="H182" s="72" t="n"/>
      <c r="I182" s="73">
        <f>IF(H182&gt;0,TEXT(H182,"(aaa)"),"")</f>
        <v/>
      </c>
    </row>
    <row r="183" ht="16.5" customFormat="1" customHeight="1" s="73">
      <c r="A183" s="71" t="n"/>
      <c r="B183" s="72" t="n"/>
      <c r="C183" s="73">
        <f>IF(B183&gt;0,TEXT(B183,"(aaa)"),"")</f>
        <v/>
      </c>
      <c r="D183" s="71" t="n"/>
      <c r="E183" s="72" t="n"/>
      <c r="F183" s="73">
        <f>IF(E183&gt;0,TEXT(E183,"(aaa)"),"")</f>
        <v/>
      </c>
      <c r="G183" s="71" t="n"/>
      <c r="H183" s="72" t="n"/>
      <c r="I183" s="73">
        <f>IF(H183&gt;0,TEXT(H183,"(aaa)"),"")</f>
        <v/>
      </c>
    </row>
    <row r="184" ht="16.5" customFormat="1" customHeight="1" s="73">
      <c r="A184" s="71" t="n"/>
      <c r="B184" s="72" t="n"/>
      <c r="C184" s="73">
        <f>IF(B184&gt;0,TEXT(B184,"(aaa)"),"")</f>
        <v/>
      </c>
      <c r="D184" s="71" t="n"/>
      <c r="E184" s="72" t="n"/>
      <c r="F184" s="73">
        <f>IF(E184&gt;0,TEXT(E184,"(aaa)"),"")</f>
        <v/>
      </c>
      <c r="G184" s="71" t="n"/>
      <c r="H184" s="72" t="n"/>
      <c r="I184" s="73">
        <f>IF(H184&gt;0,TEXT(H184,"(aaa)"),"")</f>
        <v/>
      </c>
    </row>
    <row r="185" ht="16.5" customFormat="1" customHeight="1" s="73">
      <c r="A185" s="71" t="n"/>
      <c r="B185" s="72" t="n"/>
      <c r="C185" s="73">
        <f>IF(B185&gt;0,TEXT(B185,"(aaa)"),"")</f>
        <v/>
      </c>
      <c r="D185" s="71" t="n"/>
      <c r="E185" s="72" t="n"/>
      <c r="F185" s="73">
        <f>IF(E185&gt;0,TEXT(E185,"(aaa)"),"")</f>
        <v/>
      </c>
      <c r="G185" s="71" t="n"/>
      <c r="H185" s="72" t="n"/>
      <c r="I185" s="73">
        <f>IF(H185&gt;0,TEXT(H185,"(aaa)"),"")</f>
        <v/>
      </c>
    </row>
    <row r="186" ht="16.5" customFormat="1" customHeight="1" s="73">
      <c r="A186" s="71" t="n"/>
      <c r="B186" s="72" t="n"/>
      <c r="C186" s="73">
        <f>IF(B186&gt;0,TEXT(B186,"(aaa)"),"")</f>
        <v/>
      </c>
      <c r="D186" s="71" t="n"/>
      <c r="E186" s="72" t="n"/>
      <c r="F186" s="73">
        <f>IF(E186&gt;0,TEXT(E186,"(aaa)"),"")</f>
        <v/>
      </c>
      <c r="G186" s="71" t="n"/>
      <c r="H186" s="72" t="n"/>
      <c r="I186" s="73">
        <f>IF(H186&gt;0,TEXT(H186,"(aaa)"),"")</f>
        <v/>
      </c>
    </row>
    <row r="187" ht="16.5" customFormat="1" customHeight="1" s="73">
      <c r="A187" s="71" t="n"/>
      <c r="B187" s="72" t="n"/>
      <c r="C187" s="73">
        <f>IF(B187&gt;0,TEXT(B187,"(aaa)"),"")</f>
        <v/>
      </c>
      <c r="D187" s="71" t="n"/>
      <c r="E187" s="72" t="n"/>
      <c r="F187" s="73">
        <f>IF(E187&gt;0,TEXT(E187,"(aaa)"),"")</f>
        <v/>
      </c>
      <c r="G187" s="71" t="n"/>
      <c r="H187" s="72" t="n"/>
      <c r="I187" s="73">
        <f>IF(H187&gt;0,TEXT(H187,"(aaa)"),"")</f>
        <v/>
      </c>
    </row>
    <row r="188" ht="16.5" customFormat="1" customHeight="1" s="73">
      <c r="A188" s="71" t="n"/>
      <c r="B188" s="72" t="n"/>
      <c r="C188" s="73">
        <f>IF(B188&gt;0,TEXT(B188,"(aaa)"),"")</f>
        <v/>
      </c>
      <c r="D188" s="71" t="n"/>
      <c r="E188" s="72" t="n"/>
      <c r="F188" s="73">
        <f>IF(E188&gt;0,TEXT(E188,"(aaa)"),"")</f>
        <v/>
      </c>
      <c r="G188" s="71" t="n"/>
      <c r="H188" s="72" t="n"/>
      <c r="I188" s="73">
        <f>IF(H188&gt;0,TEXT(H188,"(aaa)"),"")</f>
        <v/>
      </c>
    </row>
    <row r="189" ht="16.5" customFormat="1" customHeight="1" s="73">
      <c r="A189" s="71" t="n"/>
      <c r="B189" s="72" t="n"/>
      <c r="C189" s="73">
        <f>IF(B189&gt;0,TEXT(B189,"(aaa)"),"")</f>
        <v/>
      </c>
      <c r="D189" s="71" t="n"/>
      <c r="E189" s="72" t="n"/>
      <c r="F189" s="73">
        <f>IF(E189&gt;0,TEXT(E189,"(aaa)"),"")</f>
        <v/>
      </c>
      <c r="G189" s="71" t="n"/>
      <c r="H189" s="72" t="n"/>
      <c r="I189" s="73">
        <f>IF(H189&gt;0,TEXT(H189,"(aaa)"),"")</f>
        <v/>
      </c>
    </row>
    <row r="190" ht="16.5" customFormat="1" customHeight="1" s="73">
      <c r="A190" s="71" t="n"/>
      <c r="B190" s="72" t="n"/>
      <c r="C190" s="73">
        <f>IF(B190&gt;0,TEXT(B190,"(aaa)"),"")</f>
        <v/>
      </c>
      <c r="D190" s="71" t="n"/>
      <c r="E190" s="72" t="n"/>
      <c r="F190" s="73">
        <f>IF(E190&gt;0,TEXT(E190,"(aaa)"),"")</f>
        <v/>
      </c>
      <c r="G190" s="71" t="n"/>
      <c r="H190" s="72" t="n"/>
      <c r="I190" s="73">
        <f>IF(H190&gt;0,TEXT(H190,"(aaa)"),"")</f>
        <v/>
      </c>
    </row>
    <row r="191" ht="16.5" customFormat="1" customHeight="1" s="73">
      <c r="A191" s="71" t="n"/>
      <c r="B191" s="72" t="n"/>
      <c r="C191" s="73">
        <f>IF(B191&gt;0,TEXT(B191,"(aaa)"),"")</f>
        <v/>
      </c>
      <c r="D191" s="71" t="n"/>
      <c r="E191" s="72" t="n"/>
      <c r="F191" s="73">
        <f>IF(E191&gt;0,TEXT(E191,"(aaa)"),"")</f>
        <v/>
      </c>
      <c r="G191" s="71" t="n"/>
      <c r="H191" s="72" t="n"/>
      <c r="I191" s="73">
        <f>IF(H191&gt;0,TEXT(H191,"(aaa)"),"")</f>
        <v/>
      </c>
    </row>
    <row r="192" ht="16.5" customFormat="1" customHeight="1" s="73">
      <c r="A192" s="71" t="n"/>
      <c r="B192" s="72" t="n"/>
      <c r="C192" s="73">
        <f>IF(B192&gt;0,TEXT(B192,"(aaa)"),"")</f>
        <v/>
      </c>
      <c r="D192" s="71" t="n"/>
      <c r="E192" s="72" t="n"/>
      <c r="F192" s="73">
        <f>IF(E192&gt;0,TEXT(E192,"(aaa)"),"")</f>
        <v/>
      </c>
      <c r="G192" s="71" t="n"/>
      <c r="H192" s="72" t="n"/>
      <c r="I192" s="73">
        <f>IF(H192&gt;0,TEXT(H192,"(aaa)"),"")</f>
        <v/>
      </c>
    </row>
    <row r="193" ht="16.5" customFormat="1" customHeight="1" s="73">
      <c r="A193" s="71" t="n"/>
      <c r="B193" s="72" t="n"/>
      <c r="C193" s="73">
        <f>IF(B193&gt;0,TEXT(B193,"(aaa)"),"")</f>
        <v/>
      </c>
      <c r="D193" s="71" t="n"/>
      <c r="E193" s="72" t="n"/>
      <c r="F193" s="73">
        <f>IF(E193&gt;0,TEXT(E193,"(aaa)"),"")</f>
        <v/>
      </c>
      <c r="G193" s="71" t="n"/>
      <c r="H193" s="72" t="n"/>
      <c r="I193" s="73">
        <f>IF(H193&gt;0,TEXT(H193,"(aaa)"),"")</f>
        <v/>
      </c>
    </row>
    <row r="194" ht="16.5" customFormat="1" customHeight="1" s="73">
      <c r="A194" s="71" t="n"/>
      <c r="B194" s="72" t="n"/>
      <c r="C194" s="73">
        <f>IF(B194&gt;0,TEXT(B194,"(aaa)"),"")</f>
        <v/>
      </c>
      <c r="D194" s="71" t="n"/>
      <c r="E194" s="72" t="n"/>
      <c r="F194" s="73">
        <f>IF(E194&gt;0,TEXT(E194,"(aaa)"),"")</f>
        <v/>
      </c>
      <c r="G194" s="71" t="n"/>
      <c r="H194" s="72" t="n"/>
      <c r="I194" s="73">
        <f>IF(H194&gt;0,TEXT(H194,"(aaa)"),"")</f>
        <v/>
      </c>
    </row>
    <row r="195" ht="16.5" customFormat="1" customHeight="1" s="73">
      <c r="A195" s="71" t="n"/>
      <c r="B195" s="72" t="n"/>
      <c r="C195" s="73">
        <f>IF(B195&gt;0,TEXT(B195,"(aaa)"),"")</f>
        <v/>
      </c>
      <c r="D195" s="71" t="n"/>
      <c r="E195" s="72" t="n"/>
      <c r="F195" s="73">
        <f>IF(E195&gt;0,TEXT(E195,"(aaa)"),"")</f>
        <v/>
      </c>
      <c r="G195" s="71" t="n"/>
      <c r="H195" s="72" t="n"/>
      <c r="I195" s="73">
        <f>IF(H195&gt;0,TEXT(H195,"(aaa)"),"")</f>
        <v/>
      </c>
    </row>
    <row r="196" ht="16.5" customFormat="1" customHeight="1" s="73">
      <c r="A196" s="71" t="n"/>
      <c r="B196" s="72" t="n"/>
      <c r="C196" s="73">
        <f>IF(B196&gt;0,TEXT(B196,"(aaa)"),"")</f>
        <v/>
      </c>
      <c r="D196" s="71" t="n"/>
      <c r="E196" s="72" t="n"/>
      <c r="F196" s="73">
        <f>IF(E196&gt;0,TEXT(E196,"(aaa)"),"")</f>
        <v/>
      </c>
      <c r="G196" s="71" t="n"/>
      <c r="H196" s="72" t="n"/>
      <c r="I196" s="73">
        <f>IF(H196&gt;0,TEXT(H196,"(aaa)"),"")</f>
        <v/>
      </c>
    </row>
    <row r="197" ht="16.5" customFormat="1" customHeight="1" s="73">
      <c r="A197" s="71" t="n"/>
      <c r="B197" s="72" t="n"/>
      <c r="C197" s="73">
        <f>IF(B197&gt;0,TEXT(B197,"(aaa)"),"")</f>
        <v/>
      </c>
      <c r="D197" s="71" t="n"/>
      <c r="E197" s="72" t="n"/>
      <c r="F197" s="73">
        <f>IF(E197&gt;0,TEXT(E197,"(aaa)"),"")</f>
        <v/>
      </c>
      <c r="G197" s="71" t="n"/>
      <c r="H197" s="72" t="n"/>
      <c r="I197" s="73">
        <f>IF(H197&gt;0,TEXT(H197,"(aaa)"),"")</f>
        <v/>
      </c>
    </row>
    <row r="198" ht="16.5" customFormat="1" customHeight="1" s="73">
      <c r="A198" s="71" t="n"/>
      <c r="B198" s="72" t="n"/>
      <c r="C198" s="73">
        <f>IF(B198&gt;0,TEXT(B198,"(aaa)"),"")</f>
        <v/>
      </c>
      <c r="D198" s="71" t="n"/>
      <c r="E198" s="72" t="n"/>
      <c r="F198" s="73">
        <f>IF(E198&gt;0,TEXT(E198,"(aaa)"),"")</f>
        <v/>
      </c>
      <c r="G198" s="71" t="n"/>
      <c r="H198" s="72" t="n"/>
      <c r="I198" s="73">
        <f>IF(H198&gt;0,TEXT(H198,"(aaa)"),"")</f>
        <v/>
      </c>
    </row>
    <row r="199" ht="16.5" customFormat="1" customHeight="1" s="73">
      <c r="A199" s="71" t="n"/>
      <c r="B199" s="72" t="n"/>
      <c r="C199" s="73">
        <f>IF(B199&gt;0,TEXT(B199,"(aaa)"),"")</f>
        <v/>
      </c>
      <c r="D199" s="71" t="n"/>
      <c r="E199" s="72" t="n"/>
      <c r="F199" s="73">
        <f>IF(E199&gt;0,TEXT(E199,"(aaa)"),"")</f>
        <v/>
      </c>
      <c r="G199" s="71" t="n"/>
      <c r="H199" s="72" t="n"/>
      <c r="I199" s="73">
        <f>IF(H199&gt;0,TEXT(H199,"(aaa)"),"")</f>
        <v/>
      </c>
    </row>
    <row r="200" ht="16.5" customFormat="1" customHeight="1" s="73">
      <c r="A200" s="71" t="n"/>
      <c r="B200" s="72" t="n"/>
      <c r="C200" s="73">
        <f>IF(B200&gt;0,TEXT(B200,"(aaa)"),"")</f>
        <v/>
      </c>
      <c r="D200" s="71" t="n"/>
      <c r="E200" s="72" t="n"/>
      <c r="F200" s="73">
        <f>IF(E200&gt;0,TEXT(E200,"(aaa)"),"")</f>
        <v/>
      </c>
      <c r="G200" s="71" t="n"/>
      <c r="H200" s="72" t="n"/>
      <c r="I200" s="73">
        <f>IF(H200&gt;0,TEXT(H200,"(aaa)"),"")</f>
        <v/>
      </c>
    </row>
    <row r="201" ht="16.5" customFormat="1" customHeight="1" s="73">
      <c r="A201" s="71" t="n"/>
      <c r="B201" s="72" t="n"/>
      <c r="C201" s="73">
        <f>IF(B201&gt;0,TEXT(B201,"(aaa)"),"")</f>
        <v/>
      </c>
      <c r="D201" s="71" t="n"/>
      <c r="E201" s="72" t="n"/>
      <c r="F201" s="73">
        <f>IF(E201&gt;0,TEXT(E201,"(aaa)"),"")</f>
        <v/>
      </c>
      <c r="G201" s="71" t="n"/>
      <c r="H201" s="72" t="n"/>
      <c r="I201" s="73">
        <f>IF(H201&gt;0,TEXT(H201,"(aaa)"),"")</f>
        <v/>
      </c>
    </row>
    <row r="202" ht="16.5" customFormat="1" customHeight="1" s="73">
      <c r="A202" s="71" t="n"/>
      <c r="B202" s="72" t="n"/>
      <c r="C202" s="73">
        <f>IF(B202&gt;0,TEXT(B202,"(aaa)"),"")</f>
        <v/>
      </c>
      <c r="D202" s="71" t="n"/>
      <c r="E202" s="72" t="n"/>
      <c r="F202" s="73">
        <f>IF(E202&gt;0,TEXT(E202,"(aaa)"),"")</f>
        <v/>
      </c>
      <c r="G202" s="71" t="n"/>
      <c r="H202" s="72" t="n"/>
      <c r="I202" s="73">
        <f>IF(H202&gt;0,TEXT(H202,"(aaa)"),"")</f>
        <v/>
      </c>
    </row>
    <row r="203" ht="16.5" customFormat="1" customHeight="1" s="73">
      <c r="A203" s="71" t="n"/>
      <c r="B203" s="72" t="n"/>
      <c r="C203" s="73">
        <f>IF(B203&gt;0,TEXT(B203,"(aaa)"),"")</f>
        <v/>
      </c>
      <c r="D203" s="71" t="n"/>
      <c r="E203" s="72" t="n"/>
      <c r="F203" s="73">
        <f>IF(E203&gt;0,TEXT(E203,"(aaa)"),"")</f>
        <v/>
      </c>
      <c r="G203" s="71" t="n"/>
      <c r="H203" s="72" t="n"/>
      <c r="I203" s="73">
        <f>IF(H203&gt;0,TEXT(H203,"(aaa)"),"")</f>
        <v/>
      </c>
    </row>
    <row r="204" ht="16.5" customFormat="1" customHeight="1" s="73">
      <c r="A204" s="71" t="n"/>
      <c r="B204" s="72" t="n"/>
      <c r="C204" s="73">
        <f>IF(B204&gt;0,TEXT(B204,"(aaa)"),"")</f>
        <v/>
      </c>
      <c r="D204" s="71" t="n"/>
      <c r="E204" s="72" t="n"/>
      <c r="F204" s="73">
        <f>IF(E204&gt;0,TEXT(E204,"(aaa)"),"")</f>
        <v/>
      </c>
      <c r="G204" s="71" t="n"/>
      <c r="H204" s="72" t="n"/>
      <c r="I204" s="73">
        <f>IF(H204&gt;0,TEXT(H204,"(aaa)"),"")</f>
        <v/>
      </c>
    </row>
    <row r="205" ht="16.5" customFormat="1" customHeight="1" s="73">
      <c r="A205" s="71" t="n"/>
      <c r="B205" s="72" t="n"/>
      <c r="C205" s="73">
        <f>IF(B205&gt;0,TEXT(B205,"(aaa)"),"")</f>
        <v/>
      </c>
      <c r="D205" s="71" t="n"/>
      <c r="E205" s="72" t="n"/>
      <c r="F205" s="73">
        <f>IF(E205&gt;0,TEXT(E205,"(aaa)"),"")</f>
        <v/>
      </c>
      <c r="G205" s="71" t="n"/>
      <c r="H205" s="72" t="n"/>
      <c r="I205" s="73">
        <f>IF(H205&gt;0,TEXT(H205,"(aaa)"),"")</f>
        <v/>
      </c>
    </row>
    <row r="206" ht="16.5" customFormat="1" customHeight="1" s="73">
      <c r="A206" s="71" t="n"/>
      <c r="B206" s="72" t="n"/>
      <c r="C206" s="73">
        <f>IF(B206&gt;0,TEXT(B206,"(aaa)"),"")</f>
        <v/>
      </c>
      <c r="D206" s="71" t="n"/>
      <c r="E206" s="72" t="n"/>
      <c r="F206" s="73">
        <f>IF(E206&gt;0,TEXT(E206,"(aaa)"),"")</f>
        <v/>
      </c>
      <c r="G206" s="71" t="n"/>
      <c r="H206" s="72" t="n"/>
      <c r="I206" s="73">
        <f>IF(H206&gt;0,TEXT(H206,"(aaa)"),"")</f>
        <v/>
      </c>
    </row>
    <row r="207" ht="16.5" customFormat="1" customHeight="1" s="73">
      <c r="A207" s="71" t="n"/>
      <c r="B207" s="72" t="n"/>
      <c r="C207" s="73">
        <f>IF(B207&gt;0,TEXT(B207,"(aaa)"),"")</f>
        <v/>
      </c>
      <c r="D207" s="71" t="n"/>
      <c r="E207" s="72" t="n"/>
      <c r="F207" s="73">
        <f>IF(E207&gt;0,TEXT(E207,"(aaa)"),"")</f>
        <v/>
      </c>
      <c r="G207" s="71" t="n"/>
      <c r="H207" s="72" t="n"/>
      <c r="I207" s="73">
        <f>IF(H207&gt;0,TEXT(H207,"(aaa)"),"")</f>
        <v/>
      </c>
    </row>
    <row r="208" ht="16.5" customFormat="1" customHeight="1" s="73">
      <c r="A208" s="71" t="n"/>
      <c r="B208" s="72" t="n"/>
      <c r="C208" s="73">
        <f>IF(B208&gt;0,TEXT(B208,"(aaa)"),"")</f>
        <v/>
      </c>
      <c r="D208" s="71" t="n"/>
      <c r="E208" s="72" t="n"/>
      <c r="F208" s="73">
        <f>IF(E208&gt;0,TEXT(E208,"(aaa)"),"")</f>
        <v/>
      </c>
      <c r="G208" s="71" t="n"/>
      <c r="H208" s="72" t="n"/>
      <c r="I208" s="73">
        <f>IF(H208&gt;0,TEXT(H208,"(aaa)"),"")</f>
        <v/>
      </c>
    </row>
    <row r="209" ht="16.5" customFormat="1" customHeight="1" s="73">
      <c r="A209" s="71" t="n"/>
      <c r="B209" s="72" t="n"/>
      <c r="C209" s="73">
        <f>IF(B209&gt;0,TEXT(B209,"(aaa)"),"")</f>
        <v/>
      </c>
      <c r="D209" s="71" t="n"/>
      <c r="E209" s="72" t="n"/>
      <c r="F209" s="73">
        <f>IF(E209&gt;0,TEXT(E209,"(aaa)"),"")</f>
        <v/>
      </c>
      <c r="G209" s="71" t="n"/>
      <c r="H209" s="72" t="n"/>
      <c r="I209" s="73">
        <f>IF(H209&gt;0,TEXT(H209,"(aaa)"),"")</f>
        <v/>
      </c>
    </row>
    <row r="210" ht="16.5" customFormat="1" customHeight="1" s="73">
      <c r="A210" s="71" t="n"/>
      <c r="B210" s="72" t="n"/>
      <c r="C210" s="73">
        <f>IF(B210&gt;0,TEXT(B210,"(aaa)"),"")</f>
        <v/>
      </c>
      <c r="D210" s="71" t="n"/>
      <c r="E210" s="72" t="n"/>
      <c r="F210" s="73">
        <f>IF(E210&gt;0,TEXT(E210,"(aaa)"),"")</f>
        <v/>
      </c>
      <c r="G210" s="71" t="n"/>
      <c r="H210" s="72" t="n"/>
      <c r="I210" s="73">
        <f>IF(H210&gt;0,TEXT(H210,"(aaa)"),"")</f>
        <v/>
      </c>
    </row>
    <row r="211" ht="16.5" customFormat="1" customHeight="1" s="73">
      <c r="A211" s="71" t="n"/>
      <c r="B211" s="72" t="n"/>
      <c r="C211" s="73">
        <f>IF(B211&gt;0,TEXT(B211,"(aaa)"),"")</f>
        <v/>
      </c>
      <c r="D211" s="71" t="n"/>
      <c r="E211" s="72" t="n"/>
      <c r="F211" s="73">
        <f>IF(E211&gt;0,TEXT(E211,"(aaa)"),"")</f>
        <v/>
      </c>
      <c r="G211" s="71" t="n"/>
      <c r="H211" s="72" t="n"/>
      <c r="I211" s="73">
        <f>IF(H211&gt;0,TEXT(H211,"(aaa)"),"")</f>
        <v/>
      </c>
    </row>
    <row r="212" ht="16.5" customFormat="1" customHeight="1" s="73">
      <c r="A212" s="71" t="n"/>
      <c r="B212" s="72" t="n"/>
      <c r="C212" s="73">
        <f>IF(B212&gt;0,TEXT(B212,"(aaa)"),"")</f>
        <v/>
      </c>
      <c r="D212" s="71" t="n"/>
      <c r="E212" s="72" t="n"/>
      <c r="F212" s="73">
        <f>IF(E212&gt;0,TEXT(E212,"(aaa)"),"")</f>
        <v/>
      </c>
      <c r="G212" s="71" t="n"/>
      <c r="H212" s="72" t="n"/>
      <c r="I212" s="73">
        <f>IF(H212&gt;0,TEXT(H212,"(aaa)"),"")</f>
        <v/>
      </c>
    </row>
    <row r="213" ht="16.5" customFormat="1" customHeight="1" s="73">
      <c r="A213" s="71" t="n"/>
      <c r="B213" s="72" t="n"/>
      <c r="C213" s="73">
        <f>IF(B213&gt;0,TEXT(B213,"(aaa)"),"")</f>
        <v/>
      </c>
      <c r="D213" s="71" t="n"/>
      <c r="E213" s="72" t="n"/>
      <c r="F213" s="73">
        <f>IF(E213&gt;0,TEXT(E213,"(aaa)"),"")</f>
        <v/>
      </c>
      <c r="G213" s="71" t="n"/>
      <c r="H213" s="72" t="n"/>
      <c r="I213" s="73">
        <f>IF(H213&gt;0,TEXT(H213,"(aaa)"),"")</f>
        <v/>
      </c>
    </row>
    <row r="214" ht="16.5" customFormat="1" customHeight="1" s="73">
      <c r="A214" s="71" t="n"/>
      <c r="B214" s="72" t="n"/>
      <c r="C214" s="73">
        <f>IF(B214&gt;0,TEXT(B214,"(aaa)"),"")</f>
        <v/>
      </c>
      <c r="D214" s="71" t="n"/>
      <c r="E214" s="72" t="n"/>
      <c r="F214" s="73">
        <f>IF(E214&gt;0,TEXT(E214,"(aaa)"),"")</f>
        <v/>
      </c>
      <c r="G214" s="71" t="n"/>
      <c r="H214" s="72" t="n"/>
      <c r="I214" s="73">
        <f>IF(H214&gt;0,TEXT(H214,"(aaa)"),"")</f>
        <v/>
      </c>
    </row>
    <row r="215" ht="16.5" customFormat="1" customHeight="1" s="73">
      <c r="A215" s="71" t="n"/>
      <c r="B215" s="72" t="n"/>
      <c r="C215" s="73">
        <f>IF(B215&gt;0,TEXT(B215,"(aaa)"),"")</f>
        <v/>
      </c>
      <c r="D215" s="71" t="n"/>
      <c r="E215" s="72" t="n"/>
      <c r="F215" s="73">
        <f>IF(E215&gt;0,TEXT(E215,"(aaa)"),"")</f>
        <v/>
      </c>
      <c r="G215" s="71" t="n"/>
      <c r="H215" s="72" t="n"/>
      <c r="I215" s="73">
        <f>IF(H215&gt;0,TEXT(H215,"(aaa)"),"")</f>
        <v/>
      </c>
    </row>
    <row r="216" ht="16.5" customFormat="1" customHeight="1" s="73">
      <c r="A216" s="71" t="n"/>
      <c r="B216" s="72" t="n"/>
      <c r="C216" s="73">
        <f>IF(B216&gt;0,TEXT(B216,"(aaa)"),"")</f>
        <v/>
      </c>
      <c r="D216" s="71" t="n"/>
      <c r="E216" s="72" t="n"/>
      <c r="F216" s="73">
        <f>IF(E216&gt;0,TEXT(E216,"(aaa)"),"")</f>
        <v/>
      </c>
      <c r="G216" s="71" t="n"/>
      <c r="H216" s="72" t="n"/>
      <c r="I216" s="73">
        <f>IF(H216&gt;0,TEXT(H216,"(aaa)"),"")</f>
        <v/>
      </c>
    </row>
    <row r="217" ht="16.5" customFormat="1" customHeight="1" s="73">
      <c r="A217" s="71" t="n"/>
      <c r="B217" s="72" t="n"/>
      <c r="C217" s="73">
        <f>IF(B217&gt;0,TEXT(B217,"(aaa)"),"")</f>
        <v/>
      </c>
      <c r="D217" s="71" t="n"/>
      <c r="E217" s="72" t="n"/>
      <c r="F217" s="73">
        <f>IF(E217&gt;0,TEXT(E217,"(aaa)"),"")</f>
        <v/>
      </c>
      <c r="G217" s="71" t="n"/>
      <c r="H217" s="72" t="n"/>
      <c r="I217" s="73">
        <f>IF(H217&gt;0,TEXT(H217,"(aaa)"),"")</f>
        <v/>
      </c>
    </row>
    <row r="218" ht="16.5" customFormat="1" customHeight="1" s="73">
      <c r="A218" s="71" t="n"/>
      <c r="B218" s="72" t="n"/>
      <c r="C218" s="73">
        <f>IF(B218&gt;0,TEXT(B218,"(aaa)"),"")</f>
        <v/>
      </c>
      <c r="D218" s="71" t="n"/>
      <c r="E218" s="72" t="n"/>
      <c r="F218" s="73">
        <f>IF(E218&gt;0,TEXT(E218,"(aaa)"),"")</f>
        <v/>
      </c>
      <c r="G218" s="71" t="n"/>
      <c r="H218" s="72" t="n"/>
      <c r="I218" s="73">
        <f>IF(H218&gt;0,TEXT(H218,"(aaa)"),"")</f>
        <v/>
      </c>
    </row>
    <row r="219" ht="16.5" customFormat="1" customHeight="1" s="73">
      <c r="A219" s="71" t="n"/>
      <c r="B219" s="72" t="n"/>
      <c r="C219" s="73">
        <f>IF(B219&gt;0,TEXT(B219,"(aaa)"),"")</f>
        <v/>
      </c>
      <c r="D219" s="71" t="n"/>
      <c r="E219" s="72" t="n"/>
      <c r="F219" s="73">
        <f>IF(E219&gt;0,TEXT(E219,"(aaa)"),"")</f>
        <v/>
      </c>
      <c r="G219" s="71" t="n"/>
      <c r="H219" s="72" t="n"/>
      <c r="I219" s="73">
        <f>IF(H219&gt;0,TEXT(H219,"(aaa)"),"")</f>
        <v/>
      </c>
    </row>
    <row r="220" ht="16.5" customFormat="1" customHeight="1" s="73">
      <c r="A220" s="71" t="n"/>
      <c r="B220" s="72" t="n"/>
      <c r="C220" s="73">
        <f>IF(B220&gt;0,TEXT(B220,"(aaa)"),"")</f>
        <v/>
      </c>
      <c r="D220" s="71" t="n"/>
      <c r="E220" s="72" t="n"/>
      <c r="F220" s="73">
        <f>IF(E220&gt;0,TEXT(E220,"(aaa)"),"")</f>
        <v/>
      </c>
      <c r="G220" s="71" t="n"/>
      <c r="H220" s="72" t="n"/>
      <c r="I220" s="73">
        <f>IF(H220&gt;0,TEXT(H220,"(aaa)"),"")</f>
        <v/>
      </c>
    </row>
    <row r="221" ht="16.5" customFormat="1" customHeight="1" s="73">
      <c r="A221" s="71" t="n"/>
      <c r="B221" s="72" t="n"/>
      <c r="C221" s="73">
        <f>IF(B221&gt;0,TEXT(B221,"(aaa)"),"")</f>
        <v/>
      </c>
      <c r="D221" s="71" t="n"/>
      <c r="E221" s="72" t="n"/>
      <c r="F221" s="73">
        <f>IF(E221&gt;0,TEXT(E221,"(aaa)"),"")</f>
        <v/>
      </c>
      <c r="G221" s="71" t="n"/>
      <c r="H221" s="72" t="n"/>
      <c r="I221" s="73">
        <f>IF(H221&gt;0,TEXT(H221,"(aaa)"),"")</f>
        <v/>
      </c>
    </row>
    <row r="222" ht="16.5" customFormat="1" customHeight="1" s="73">
      <c r="A222" s="71" t="n"/>
      <c r="B222" s="72" t="n"/>
      <c r="C222" s="73">
        <f>IF(B222&gt;0,TEXT(B222,"(aaa)"),"")</f>
        <v/>
      </c>
      <c r="D222" s="71" t="n"/>
      <c r="E222" s="72" t="n"/>
      <c r="F222" s="73">
        <f>IF(E222&gt;0,TEXT(E222,"(aaa)"),"")</f>
        <v/>
      </c>
      <c r="G222" s="71" t="n"/>
      <c r="H222" s="72" t="n"/>
      <c r="I222" s="73">
        <f>IF(H222&gt;0,TEXT(H222,"(aaa)"),"")</f>
        <v/>
      </c>
    </row>
    <row r="223" ht="16.5" customFormat="1" customHeight="1" s="73">
      <c r="A223" s="71" t="n"/>
      <c r="B223" s="72" t="n"/>
      <c r="C223" s="73">
        <f>IF(B223&gt;0,TEXT(B223,"(aaa)"),"")</f>
        <v/>
      </c>
      <c r="D223" s="71" t="n"/>
      <c r="E223" s="72" t="n"/>
      <c r="F223" s="73">
        <f>IF(E223&gt;0,TEXT(E223,"(aaa)"),"")</f>
        <v/>
      </c>
      <c r="G223" s="71" t="n"/>
      <c r="H223" s="72" t="n"/>
      <c r="I223" s="73">
        <f>IF(H223&gt;0,TEXT(H223,"(aaa)"),"")</f>
        <v/>
      </c>
    </row>
    <row r="224" ht="16.5" customFormat="1" customHeight="1" s="73">
      <c r="A224" s="71" t="n"/>
      <c r="B224" s="72" t="n"/>
      <c r="C224" s="73">
        <f>IF(B224&gt;0,TEXT(B224,"(aaa)"),"")</f>
        <v/>
      </c>
      <c r="D224" s="71" t="n"/>
      <c r="E224" s="72" t="n"/>
      <c r="F224" s="73">
        <f>IF(E224&gt;0,TEXT(E224,"(aaa)"),"")</f>
        <v/>
      </c>
      <c r="G224" s="71" t="n"/>
      <c r="H224" s="72" t="n"/>
      <c r="I224" s="73">
        <f>IF(H224&gt;0,TEXT(H224,"(aaa)"),"")</f>
        <v/>
      </c>
    </row>
    <row r="225" ht="16.5" customFormat="1" customHeight="1" s="73">
      <c r="A225" s="71" t="n"/>
      <c r="B225" s="72" t="n"/>
      <c r="C225" s="73">
        <f>IF(B225&gt;0,TEXT(B225,"(aaa)"),"")</f>
        <v/>
      </c>
      <c r="D225" s="71" t="n"/>
      <c r="E225" s="72" t="n"/>
      <c r="F225" s="73">
        <f>IF(E225&gt;0,TEXT(E225,"(aaa)"),"")</f>
        <v/>
      </c>
      <c r="G225" s="71" t="n"/>
      <c r="H225" s="72" t="n"/>
      <c r="I225" s="73">
        <f>IF(H225&gt;0,TEXT(H225,"(aaa)"),"")</f>
        <v/>
      </c>
    </row>
    <row r="226" ht="16.5" customFormat="1" customHeight="1" s="73">
      <c r="A226" s="71" t="n"/>
      <c r="B226" s="72" t="n"/>
      <c r="C226" s="73">
        <f>IF(B226&gt;0,TEXT(B226,"(aaa)"),"")</f>
        <v/>
      </c>
      <c r="D226" s="71" t="n"/>
      <c r="E226" s="72" t="n"/>
      <c r="F226" s="73">
        <f>IF(E226&gt;0,TEXT(E226,"(aaa)"),"")</f>
        <v/>
      </c>
      <c r="G226" s="71" t="n"/>
      <c r="H226" s="72" t="n"/>
      <c r="I226" s="73">
        <f>IF(H226&gt;0,TEXT(H226,"(aaa)"),"")</f>
        <v/>
      </c>
    </row>
    <row r="227" ht="16.5" customFormat="1" customHeight="1" s="73">
      <c r="A227" s="71" t="n"/>
      <c r="B227" s="72" t="n"/>
      <c r="C227" s="73">
        <f>IF(B227&gt;0,TEXT(B227,"(aaa)"),"")</f>
        <v/>
      </c>
      <c r="D227" s="71" t="n"/>
      <c r="E227" s="72" t="n"/>
      <c r="F227" s="73">
        <f>IF(E227&gt;0,TEXT(E227,"(aaa)"),"")</f>
        <v/>
      </c>
      <c r="G227" s="71" t="n"/>
      <c r="H227" s="72" t="n"/>
      <c r="I227" s="73">
        <f>IF(H227&gt;0,TEXT(H227,"(aaa)"),"")</f>
        <v/>
      </c>
    </row>
    <row r="228" ht="16.5" customFormat="1" customHeight="1" s="73">
      <c r="A228" s="71" t="n"/>
      <c r="B228" s="72" t="n"/>
      <c r="C228" s="73">
        <f>IF(B228&gt;0,TEXT(B228,"(aaa)"),"")</f>
        <v/>
      </c>
      <c r="D228" s="71" t="n"/>
      <c r="E228" s="72" t="n"/>
      <c r="F228" s="73">
        <f>IF(E228&gt;0,TEXT(E228,"(aaa)"),"")</f>
        <v/>
      </c>
      <c r="G228" s="71" t="n"/>
      <c r="H228" s="72" t="n"/>
      <c r="I228" s="73">
        <f>IF(H228&gt;0,TEXT(H228,"(aaa)"),"")</f>
        <v/>
      </c>
    </row>
    <row r="229" ht="16.5" customFormat="1" customHeight="1" s="73">
      <c r="A229" s="71" t="n"/>
      <c r="B229" s="72" t="n"/>
      <c r="C229" s="73">
        <f>IF(B229&gt;0,TEXT(B229,"(aaa)"),"")</f>
        <v/>
      </c>
      <c r="D229" s="71" t="n"/>
      <c r="E229" s="72" t="n"/>
      <c r="F229" s="73">
        <f>IF(E229&gt;0,TEXT(E229,"(aaa)"),"")</f>
        <v/>
      </c>
      <c r="G229" s="71" t="n"/>
      <c r="H229" s="72" t="n"/>
      <c r="I229" s="73">
        <f>IF(H229&gt;0,TEXT(H229,"(aaa)"),"")</f>
        <v/>
      </c>
    </row>
    <row r="230" ht="16.5" customFormat="1" customHeight="1" s="73">
      <c r="A230" s="71" t="n"/>
      <c r="B230" s="72" t="n"/>
      <c r="C230" s="73">
        <f>IF(B230&gt;0,TEXT(B230,"(aaa)"),"")</f>
        <v/>
      </c>
      <c r="D230" s="71" t="n"/>
      <c r="E230" s="72" t="n"/>
      <c r="F230" s="73">
        <f>IF(E230&gt;0,TEXT(E230,"(aaa)"),"")</f>
        <v/>
      </c>
      <c r="G230" s="71" t="n"/>
      <c r="H230" s="72" t="n"/>
      <c r="I230" s="73">
        <f>IF(H230&gt;0,TEXT(H230,"(aaa)"),"")</f>
        <v/>
      </c>
    </row>
    <row r="231" ht="16.5" customFormat="1" customHeight="1" s="73">
      <c r="A231" s="71" t="n"/>
      <c r="B231" s="72" t="n"/>
      <c r="C231" s="73">
        <f>IF(B231&gt;0,TEXT(B231,"(aaa)"),"")</f>
        <v/>
      </c>
      <c r="D231" s="71" t="n"/>
      <c r="E231" s="72" t="n"/>
      <c r="F231" s="73">
        <f>IF(E231&gt;0,TEXT(E231,"(aaa)"),"")</f>
        <v/>
      </c>
      <c r="G231" s="71" t="n"/>
      <c r="H231" s="72" t="n"/>
      <c r="I231" s="73">
        <f>IF(H231&gt;0,TEXT(H231,"(aaa)"),"")</f>
        <v/>
      </c>
    </row>
    <row r="232" ht="16.5" customFormat="1" customHeight="1" s="73">
      <c r="A232" s="71" t="n"/>
      <c r="B232" s="72" t="n"/>
      <c r="C232" s="73">
        <f>IF(B232&gt;0,TEXT(B232,"(aaa)"),"")</f>
        <v/>
      </c>
      <c r="D232" s="71" t="n"/>
      <c r="E232" s="72" t="n"/>
      <c r="F232" s="73">
        <f>IF(E232&gt;0,TEXT(E232,"(aaa)"),"")</f>
        <v/>
      </c>
      <c r="G232" s="71" t="n"/>
      <c r="H232" s="72" t="n"/>
      <c r="I232" s="73">
        <f>IF(H232&gt;0,TEXT(H232,"(aaa)"),"")</f>
        <v/>
      </c>
    </row>
    <row r="233" ht="16.5" customFormat="1" customHeight="1" s="73">
      <c r="A233" s="71" t="n"/>
      <c r="B233" s="72" t="n"/>
      <c r="C233" s="73">
        <f>IF(B233&gt;0,TEXT(B233,"(aaa)"),"")</f>
        <v/>
      </c>
      <c r="D233" s="71" t="n"/>
      <c r="E233" s="72" t="n"/>
      <c r="F233" s="73">
        <f>IF(E233&gt;0,TEXT(E233,"(aaa)"),"")</f>
        <v/>
      </c>
      <c r="G233" s="71" t="n"/>
      <c r="H233" s="72" t="n"/>
      <c r="I233" s="73">
        <f>IF(H233&gt;0,TEXT(H233,"(aaa)"),"")</f>
        <v/>
      </c>
    </row>
    <row r="234" ht="16.5" customFormat="1" customHeight="1" s="73">
      <c r="A234" s="71" t="n"/>
      <c r="B234" s="72" t="n"/>
      <c r="C234" s="73">
        <f>IF(B234&gt;0,TEXT(B234,"(aaa)"),"")</f>
        <v/>
      </c>
      <c r="D234" s="71" t="n"/>
      <c r="E234" s="72" t="n"/>
      <c r="F234" s="73">
        <f>IF(E234&gt;0,TEXT(E234,"(aaa)"),"")</f>
        <v/>
      </c>
      <c r="G234" s="71" t="n"/>
      <c r="H234" s="72" t="n"/>
      <c r="I234" s="73">
        <f>IF(H234&gt;0,TEXT(H234,"(aaa)"),"")</f>
        <v/>
      </c>
    </row>
    <row r="235" ht="16.5" customFormat="1" customHeight="1" s="73">
      <c r="A235" s="71" t="n"/>
      <c r="B235" s="72" t="n"/>
      <c r="C235" s="73">
        <f>IF(B235&gt;0,TEXT(B235,"(aaa)"),"")</f>
        <v/>
      </c>
      <c r="D235" s="71" t="n"/>
      <c r="E235" s="72" t="n"/>
      <c r="F235" s="73">
        <f>IF(E235&gt;0,TEXT(E235,"(aaa)"),"")</f>
        <v/>
      </c>
      <c r="G235" s="71" t="n"/>
      <c r="H235" s="72" t="n"/>
      <c r="I235" s="73">
        <f>IF(H235&gt;0,TEXT(H235,"(aaa)"),"")</f>
        <v/>
      </c>
    </row>
    <row r="236" ht="16.5" customFormat="1" customHeight="1" s="73">
      <c r="A236" s="71" t="n"/>
      <c r="B236" s="72" t="n"/>
      <c r="C236" s="73">
        <f>IF(B236&gt;0,TEXT(B236,"(aaa)"),"")</f>
        <v/>
      </c>
      <c r="D236" s="71" t="n"/>
      <c r="E236" s="72" t="n"/>
      <c r="F236" s="73">
        <f>IF(E236&gt;0,TEXT(E236,"(aaa)"),"")</f>
        <v/>
      </c>
      <c r="G236" s="71" t="n"/>
      <c r="H236" s="72" t="n"/>
      <c r="I236" s="73">
        <f>IF(H236&gt;0,TEXT(H236,"(aaa)"),"")</f>
        <v/>
      </c>
    </row>
    <row r="237" ht="16.5" customFormat="1" customHeight="1" s="73">
      <c r="A237" s="71" t="n"/>
      <c r="B237" s="72" t="n"/>
      <c r="C237" s="73">
        <f>IF(B237&gt;0,TEXT(B237,"(aaa)"),"")</f>
        <v/>
      </c>
      <c r="D237" s="71" t="n"/>
      <c r="E237" s="72" t="n"/>
      <c r="F237" s="73">
        <f>IF(E237&gt;0,TEXT(E237,"(aaa)"),"")</f>
        <v/>
      </c>
      <c r="G237" s="71" t="n"/>
      <c r="H237" s="72" t="n"/>
      <c r="I237" s="73">
        <f>IF(H237&gt;0,TEXT(H237,"(aaa)"),"")</f>
        <v/>
      </c>
    </row>
    <row r="238" ht="16.5" customFormat="1" customHeight="1" s="73">
      <c r="A238" s="71" t="n"/>
      <c r="B238" s="72" t="n"/>
      <c r="C238" s="73">
        <f>IF(B238&gt;0,TEXT(B238,"(aaa)"),"")</f>
        <v/>
      </c>
      <c r="D238" s="71" t="n"/>
      <c r="E238" s="72" t="n"/>
      <c r="F238" s="73">
        <f>IF(E238&gt;0,TEXT(E238,"(aaa)"),"")</f>
        <v/>
      </c>
      <c r="G238" s="71" t="n"/>
      <c r="H238" s="72" t="n"/>
      <c r="I238" s="73">
        <f>IF(H238&gt;0,TEXT(H238,"(aaa)"),"")</f>
        <v/>
      </c>
    </row>
    <row r="239" ht="16.5" customFormat="1" customHeight="1" s="73">
      <c r="A239" s="71" t="n"/>
      <c r="B239" s="72" t="n"/>
      <c r="C239" s="73">
        <f>IF(B239&gt;0,TEXT(B239,"(aaa)"),"")</f>
        <v/>
      </c>
      <c r="D239" s="71" t="n"/>
      <c r="E239" s="72" t="n"/>
      <c r="F239" s="73">
        <f>IF(E239&gt;0,TEXT(E239,"(aaa)"),"")</f>
        <v/>
      </c>
      <c r="G239" s="71" t="n"/>
      <c r="H239" s="72" t="n"/>
      <c r="I239" s="73">
        <f>IF(H239&gt;0,TEXT(H239,"(aaa)"),"")</f>
        <v/>
      </c>
    </row>
    <row r="240" ht="16.5" customFormat="1" customHeight="1" s="73">
      <c r="A240" s="71" t="n"/>
      <c r="B240" s="72" t="n"/>
      <c r="C240" s="73">
        <f>IF(B240&gt;0,TEXT(B240,"(aaa)"),"")</f>
        <v/>
      </c>
      <c r="D240" s="71" t="n"/>
      <c r="E240" s="72" t="n"/>
      <c r="F240" s="73">
        <f>IF(E240&gt;0,TEXT(E240,"(aaa)"),"")</f>
        <v/>
      </c>
      <c r="G240" s="71" t="n"/>
      <c r="H240" s="72" t="n"/>
      <c r="I240" s="73">
        <f>IF(H240&gt;0,TEXT(H240,"(aaa)"),"")</f>
        <v/>
      </c>
    </row>
    <row r="241" ht="16.5" customFormat="1" customHeight="1" s="73">
      <c r="A241" s="71" t="n"/>
      <c r="B241" s="72" t="n"/>
      <c r="C241" s="73">
        <f>IF(B241&gt;0,TEXT(B241,"(aaa)"),"")</f>
        <v/>
      </c>
      <c r="D241" s="71" t="n"/>
      <c r="E241" s="72" t="n"/>
      <c r="F241" s="73">
        <f>IF(E241&gt;0,TEXT(E241,"(aaa)"),"")</f>
        <v/>
      </c>
      <c r="G241" s="71" t="n"/>
      <c r="H241" s="72" t="n"/>
      <c r="I241" s="73">
        <f>IF(H241&gt;0,TEXT(H241,"(aaa)"),"")</f>
        <v/>
      </c>
    </row>
    <row r="242" ht="16.5" customFormat="1" customHeight="1" s="73">
      <c r="A242" s="71" t="n"/>
      <c r="B242" s="72" t="n"/>
      <c r="C242" s="73">
        <f>IF(B242&gt;0,TEXT(B242,"(aaa)"),"")</f>
        <v/>
      </c>
      <c r="D242" s="71" t="n"/>
      <c r="E242" s="72" t="n"/>
      <c r="F242" s="73">
        <f>IF(E242&gt;0,TEXT(E242,"(aaa)"),"")</f>
        <v/>
      </c>
      <c r="G242" s="71" t="n"/>
      <c r="H242" s="72" t="n"/>
      <c r="I242" s="73">
        <f>IF(H242&gt;0,TEXT(H242,"(aaa)"),"")</f>
        <v/>
      </c>
    </row>
    <row r="243" ht="16.5" customFormat="1" customHeight="1" s="73">
      <c r="A243" s="71" t="n"/>
      <c r="B243" s="72" t="n"/>
      <c r="C243" s="73">
        <f>IF(B243&gt;0,TEXT(B243,"(aaa)"),"")</f>
        <v/>
      </c>
      <c r="D243" s="71" t="n"/>
      <c r="E243" s="72" t="n"/>
      <c r="F243" s="73">
        <f>IF(E243&gt;0,TEXT(E243,"(aaa)"),"")</f>
        <v/>
      </c>
      <c r="G243" s="71" t="n"/>
      <c r="H243" s="72" t="n"/>
      <c r="I243" s="73">
        <f>IF(H243&gt;0,TEXT(H243,"(aaa)"),"")</f>
        <v/>
      </c>
    </row>
    <row r="244" ht="16.5" customFormat="1" customHeight="1" s="73">
      <c r="A244" s="71" t="n"/>
      <c r="B244" s="72" t="n"/>
      <c r="C244" s="73">
        <f>IF(B244&gt;0,TEXT(B244,"(aaa)"),"")</f>
        <v/>
      </c>
      <c r="D244" s="71" t="n"/>
      <c r="E244" s="72" t="n"/>
      <c r="F244" s="73">
        <f>IF(E244&gt;0,TEXT(E244,"(aaa)"),"")</f>
        <v/>
      </c>
      <c r="G244" s="71" t="n"/>
      <c r="H244" s="72" t="n"/>
      <c r="I244" s="73">
        <f>IF(H244&gt;0,TEXT(H244,"(aaa)"),"")</f>
        <v/>
      </c>
    </row>
    <row r="245" ht="16.5" customFormat="1" customHeight="1" s="73">
      <c r="A245" s="71" t="n"/>
      <c r="B245" s="72" t="n"/>
      <c r="C245" s="73">
        <f>IF(B245&gt;0,TEXT(B245,"(aaa)"),"")</f>
        <v/>
      </c>
      <c r="D245" s="71" t="n"/>
      <c r="E245" s="72" t="n"/>
      <c r="F245" s="73">
        <f>IF(E245&gt;0,TEXT(E245,"(aaa)"),"")</f>
        <v/>
      </c>
      <c r="G245" s="71" t="n"/>
      <c r="H245" s="72" t="n"/>
      <c r="I245" s="73">
        <f>IF(H245&gt;0,TEXT(H245,"(aaa)"),"")</f>
        <v/>
      </c>
    </row>
    <row r="246" ht="16.5" customFormat="1" customHeight="1" s="73">
      <c r="A246" s="71" t="n"/>
      <c r="B246" s="72" t="n"/>
      <c r="C246" s="73">
        <f>IF(B246&gt;0,TEXT(B246,"(aaa)"),"")</f>
        <v/>
      </c>
      <c r="D246" s="71" t="n"/>
      <c r="E246" s="72" t="n"/>
      <c r="F246" s="73">
        <f>IF(E246&gt;0,TEXT(E246,"(aaa)"),"")</f>
        <v/>
      </c>
      <c r="G246" s="71" t="n"/>
      <c r="H246" s="72" t="n"/>
      <c r="I246" s="73">
        <f>IF(H246&gt;0,TEXT(H246,"(aaa)"),"")</f>
        <v/>
      </c>
    </row>
    <row r="247" ht="16.5" customFormat="1" customHeight="1" s="73">
      <c r="A247" s="71" t="n"/>
      <c r="B247" s="72" t="n"/>
      <c r="C247" s="73">
        <f>IF(B247&gt;0,TEXT(B247,"(aaa)"),"")</f>
        <v/>
      </c>
      <c r="D247" s="71" t="n"/>
      <c r="E247" s="72" t="n"/>
      <c r="F247" s="73">
        <f>IF(E247&gt;0,TEXT(E247,"(aaa)"),"")</f>
        <v/>
      </c>
      <c r="G247" s="71" t="n"/>
      <c r="H247" s="72" t="n"/>
      <c r="I247" s="73">
        <f>IF(H247&gt;0,TEXT(H247,"(aaa)"),"")</f>
        <v/>
      </c>
    </row>
    <row r="248" ht="16.5" customFormat="1" customHeight="1" s="73">
      <c r="A248" s="71" t="n"/>
      <c r="B248" s="72" t="n"/>
      <c r="C248" s="73">
        <f>IF(B248&gt;0,TEXT(B248,"(aaa)"),"")</f>
        <v/>
      </c>
      <c r="D248" s="71" t="n"/>
      <c r="E248" s="72" t="n"/>
      <c r="F248" s="73">
        <f>IF(E248&gt;0,TEXT(E248,"(aaa)"),"")</f>
        <v/>
      </c>
      <c r="G248" s="71" t="n"/>
      <c r="H248" s="72" t="n"/>
      <c r="I248" s="73">
        <f>IF(H248&gt;0,TEXT(H248,"(aaa)"),"")</f>
        <v/>
      </c>
    </row>
    <row r="249" ht="16.5" customFormat="1" customHeight="1" s="73">
      <c r="A249" s="71" t="n"/>
      <c r="B249" s="72" t="n"/>
      <c r="C249" s="73">
        <f>IF(B249&gt;0,TEXT(B249,"(aaa)"),"")</f>
        <v/>
      </c>
      <c r="D249" s="71" t="n"/>
      <c r="E249" s="72" t="n"/>
      <c r="F249" s="73">
        <f>IF(E249&gt;0,TEXT(E249,"(aaa)"),"")</f>
        <v/>
      </c>
      <c r="G249" s="71" t="n"/>
      <c r="H249" s="72" t="n"/>
      <c r="I249" s="73">
        <f>IF(H249&gt;0,TEXT(H249,"(aaa)"),"")</f>
        <v/>
      </c>
    </row>
    <row r="250" ht="16.5" customFormat="1" customHeight="1" s="73">
      <c r="A250" s="71" t="n"/>
      <c r="B250" s="72" t="n"/>
      <c r="C250" s="73">
        <f>IF(B250&gt;0,TEXT(B250,"(aaa)"),"")</f>
        <v/>
      </c>
      <c r="D250" s="71" t="n"/>
      <c r="E250" s="72" t="n"/>
      <c r="F250" s="73">
        <f>IF(E250&gt;0,TEXT(E250,"(aaa)"),"")</f>
        <v/>
      </c>
      <c r="G250" s="71" t="n"/>
      <c r="H250" s="72" t="n"/>
      <c r="I250" s="73">
        <f>IF(H250&gt;0,TEXT(H250,"(aaa)"),"")</f>
        <v/>
      </c>
    </row>
    <row r="251" ht="16.5" customFormat="1" customHeight="1" s="73">
      <c r="A251" s="71" t="n"/>
      <c r="B251" s="72" t="n"/>
      <c r="C251" s="73">
        <f>IF(B251&gt;0,TEXT(B251,"(aaa)"),"")</f>
        <v/>
      </c>
      <c r="D251" s="71" t="n"/>
      <c r="E251" s="72" t="n"/>
      <c r="F251" s="73">
        <f>IF(E251&gt;0,TEXT(E251,"(aaa)"),"")</f>
        <v/>
      </c>
      <c r="G251" s="71" t="n"/>
      <c r="H251" s="72" t="n"/>
      <c r="I251" s="73">
        <f>IF(H251&gt;0,TEXT(H251,"(aaa)"),"")</f>
        <v/>
      </c>
    </row>
    <row r="252" ht="16.5" customFormat="1" customHeight="1" s="73">
      <c r="A252" s="71" t="n"/>
      <c r="B252" s="72" t="n"/>
      <c r="C252" s="73">
        <f>IF(B252&gt;0,TEXT(B252,"(aaa)"),"")</f>
        <v/>
      </c>
      <c r="D252" s="71" t="n"/>
      <c r="E252" s="72" t="n"/>
      <c r="F252" s="73">
        <f>IF(E252&gt;0,TEXT(E252,"(aaa)"),"")</f>
        <v/>
      </c>
      <c r="G252" s="71" t="n"/>
      <c r="H252" s="72" t="n"/>
      <c r="I252" s="73">
        <f>IF(H252&gt;0,TEXT(H252,"(aaa)"),"")</f>
        <v/>
      </c>
    </row>
    <row r="253" ht="16.5" customFormat="1" customHeight="1" s="73">
      <c r="A253" s="71" t="n"/>
      <c r="B253" s="72" t="n"/>
      <c r="C253" s="73">
        <f>IF(B253&gt;0,TEXT(B253,"(aaa)"),"")</f>
        <v/>
      </c>
      <c r="D253" s="71" t="n"/>
      <c r="E253" s="72" t="n"/>
      <c r="F253" s="73">
        <f>IF(E253&gt;0,TEXT(E253,"(aaa)"),"")</f>
        <v/>
      </c>
      <c r="G253" s="71" t="n"/>
      <c r="H253" s="72" t="n"/>
      <c r="I253" s="73">
        <f>IF(H253&gt;0,TEXT(H253,"(aaa)"),"")</f>
        <v/>
      </c>
    </row>
    <row r="254" ht="16.5" customFormat="1" customHeight="1" s="73">
      <c r="A254" s="71" t="n"/>
      <c r="B254" s="72" t="n"/>
      <c r="C254" s="73">
        <f>IF(B254&gt;0,TEXT(B254,"(aaa)"),"")</f>
        <v/>
      </c>
      <c r="D254" s="71" t="n"/>
      <c r="E254" s="72" t="n"/>
      <c r="F254" s="73">
        <f>IF(E254&gt;0,TEXT(E254,"(aaa)"),"")</f>
        <v/>
      </c>
      <c r="G254" s="71" t="n"/>
      <c r="H254" s="72" t="n"/>
      <c r="I254" s="73">
        <f>IF(H254&gt;0,TEXT(H254,"(aaa)"),"")</f>
        <v/>
      </c>
    </row>
    <row r="255" ht="16.5" customFormat="1" customHeight="1" s="73">
      <c r="A255" s="71" t="n"/>
      <c r="B255" s="72" t="n"/>
      <c r="C255" s="73">
        <f>IF(B255&gt;0,TEXT(B255,"(aaa)"),"")</f>
        <v/>
      </c>
      <c r="D255" s="71" t="n"/>
      <c r="E255" s="72" t="n"/>
      <c r="F255" s="73">
        <f>IF(E255&gt;0,TEXT(E255,"(aaa)"),"")</f>
        <v/>
      </c>
      <c r="G255" s="71" t="n"/>
      <c r="H255" s="72" t="n"/>
      <c r="I255" s="73">
        <f>IF(H255&gt;0,TEXT(H255,"(aaa)"),"")</f>
        <v/>
      </c>
    </row>
    <row r="256" ht="16.5" customFormat="1" customHeight="1" s="73">
      <c r="A256" s="71" t="n"/>
      <c r="B256" s="72" t="n"/>
      <c r="C256" s="73">
        <f>IF(B256&gt;0,TEXT(B256,"(aaa)"),"")</f>
        <v/>
      </c>
      <c r="D256" s="71" t="n"/>
      <c r="E256" s="72" t="n"/>
      <c r="F256" s="73">
        <f>IF(E256&gt;0,TEXT(E256,"(aaa)"),"")</f>
        <v/>
      </c>
      <c r="G256" s="71" t="n"/>
      <c r="H256" s="72" t="n"/>
      <c r="I256" s="73">
        <f>IF(H256&gt;0,TEXT(H256,"(aaa)"),"")</f>
        <v/>
      </c>
    </row>
    <row r="257" ht="16.5" customFormat="1" customHeight="1" s="73">
      <c r="A257" s="71" t="n"/>
      <c r="B257" s="72" t="n"/>
      <c r="C257" s="73">
        <f>IF(B257&gt;0,TEXT(B257,"(aaa)"),"")</f>
        <v/>
      </c>
      <c r="D257" s="71" t="n"/>
      <c r="E257" s="72" t="n"/>
      <c r="F257" s="73">
        <f>IF(E257&gt;0,TEXT(E257,"(aaa)"),"")</f>
        <v/>
      </c>
      <c r="G257" s="71" t="n"/>
      <c r="H257" s="72" t="n"/>
      <c r="I257" s="73">
        <f>IF(H257&gt;0,TEXT(H257,"(aaa)"),"")</f>
        <v/>
      </c>
    </row>
    <row r="258" ht="16.5" customFormat="1" customHeight="1" s="73">
      <c r="A258" s="71" t="n"/>
      <c r="B258" s="72" t="n"/>
      <c r="C258" s="73">
        <f>IF(B258&gt;0,TEXT(B258,"(aaa)"),"")</f>
        <v/>
      </c>
      <c r="D258" s="71" t="n"/>
      <c r="E258" s="72" t="n"/>
      <c r="F258" s="73">
        <f>IF(E258&gt;0,TEXT(E258,"(aaa)"),"")</f>
        <v/>
      </c>
      <c r="G258" s="71" t="n"/>
      <c r="H258" s="72" t="n"/>
      <c r="I258" s="73">
        <f>IF(H258&gt;0,TEXT(H258,"(aaa)"),"")</f>
        <v/>
      </c>
    </row>
    <row r="259" ht="16.5" customFormat="1" customHeight="1" s="73">
      <c r="A259" s="71" t="n"/>
      <c r="B259" s="72" t="n"/>
      <c r="C259" s="73">
        <f>IF(B259&gt;0,TEXT(B259,"(aaa)"),"")</f>
        <v/>
      </c>
      <c r="D259" s="71" t="n"/>
      <c r="E259" s="72" t="n"/>
      <c r="F259" s="73">
        <f>IF(E259&gt;0,TEXT(E259,"(aaa)"),"")</f>
        <v/>
      </c>
      <c r="G259" s="71" t="n"/>
      <c r="H259" s="72" t="n"/>
      <c r="I259" s="73">
        <f>IF(H259&gt;0,TEXT(H259,"(aaa)"),"")</f>
        <v/>
      </c>
    </row>
    <row r="260" ht="16.5" customFormat="1" customHeight="1" s="73">
      <c r="A260" s="71" t="n"/>
      <c r="B260" s="72" t="n"/>
      <c r="C260" s="73">
        <f>IF(B260&gt;0,TEXT(B260,"(aaa)"),"")</f>
        <v/>
      </c>
      <c r="D260" s="71" t="n"/>
      <c r="E260" s="72" t="n"/>
      <c r="F260" s="73">
        <f>IF(E260&gt;0,TEXT(E260,"(aaa)"),"")</f>
        <v/>
      </c>
      <c r="G260" s="71" t="n"/>
      <c r="H260" s="72" t="n"/>
      <c r="I260" s="73">
        <f>IF(H260&gt;0,TEXT(H260,"(aaa)"),"")</f>
        <v/>
      </c>
    </row>
    <row r="261" ht="16.5" customFormat="1" customHeight="1" s="73">
      <c r="A261" s="71" t="n"/>
      <c r="B261" s="72" t="n"/>
      <c r="C261" s="73">
        <f>IF(B261&gt;0,TEXT(B261,"(aaa)"),"")</f>
        <v/>
      </c>
      <c r="D261" s="71" t="n"/>
      <c r="E261" s="72" t="n"/>
      <c r="F261" s="73">
        <f>IF(E261&gt;0,TEXT(E261,"(aaa)"),"")</f>
        <v/>
      </c>
      <c r="G261" s="71" t="n"/>
      <c r="H261" s="72" t="n"/>
      <c r="I261" s="73">
        <f>IF(H261&gt;0,TEXT(H261,"(aaa)"),"")</f>
        <v/>
      </c>
    </row>
    <row r="262" ht="16.5" customFormat="1" customHeight="1" s="73">
      <c r="A262" s="71" t="n"/>
      <c r="B262" s="72" t="n"/>
      <c r="C262" s="73">
        <f>IF(B262&gt;0,TEXT(B262,"(aaa)"),"")</f>
        <v/>
      </c>
      <c r="D262" s="71" t="n"/>
      <c r="E262" s="72" t="n"/>
      <c r="F262" s="73">
        <f>IF(E262&gt;0,TEXT(E262,"(aaa)"),"")</f>
        <v/>
      </c>
      <c r="G262" s="71" t="n"/>
      <c r="H262" s="72" t="n"/>
      <c r="I262" s="73">
        <f>IF(H262&gt;0,TEXT(H262,"(aaa)"),"")</f>
        <v/>
      </c>
    </row>
    <row r="263" ht="16.5" customFormat="1" customHeight="1" s="73">
      <c r="A263" s="71" t="n"/>
      <c r="B263" s="72" t="n"/>
      <c r="C263" s="73">
        <f>IF(B263&gt;0,TEXT(B263,"(aaa)"),"")</f>
        <v/>
      </c>
      <c r="D263" s="71" t="n"/>
      <c r="E263" s="72" t="n"/>
      <c r="F263" s="73">
        <f>IF(E263&gt;0,TEXT(E263,"(aaa)"),"")</f>
        <v/>
      </c>
      <c r="G263" s="71" t="n"/>
      <c r="H263" s="72" t="n"/>
      <c r="I263" s="73">
        <f>IF(H263&gt;0,TEXT(H263,"(aaa)"),"")</f>
        <v/>
      </c>
    </row>
    <row r="264" ht="16.5" customFormat="1" customHeight="1" s="73">
      <c r="A264" s="71" t="n"/>
      <c r="B264" s="72" t="n"/>
      <c r="C264" s="73">
        <f>IF(B264&gt;0,TEXT(B264,"(aaa)"),"")</f>
        <v/>
      </c>
      <c r="D264" s="71" t="n"/>
      <c r="E264" s="72" t="n"/>
      <c r="F264" s="73">
        <f>IF(E264&gt;0,TEXT(E264,"(aaa)"),"")</f>
        <v/>
      </c>
      <c r="G264" s="71" t="n"/>
      <c r="H264" s="72" t="n"/>
      <c r="I264" s="73">
        <f>IF(H264&gt;0,TEXT(H264,"(aaa)"),"")</f>
        <v/>
      </c>
    </row>
    <row r="265" ht="16.5" customFormat="1" customHeight="1" s="73">
      <c r="A265" s="71" t="n"/>
      <c r="B265" s="72" t="n"/>
      <c r="C265" s="73">
        <f>IF(B265&gt;0,TEXT(B265,"(aaa)"),"")</f>
        <v/>
      </c>
      <c r="D265" s="71" t="n"/>
      <c r="E265" s="72" t="n"/>
      <c r="F265" s="73">
        <f>IF(E265&gt;0,TEXT(E265,"(aaa)"),"")</f>
        <v/>
      </c>
      <c r="G265" s="71" t="n"/>
      <c r="H265" s="72" t="n"/>
      <c r="I265" s="73">
        <f>IF(H265&gt;0,TEXT(H265,"(aaa)"),"")</f>
        <v/>
      </c>
    </row>
    <row r="266" ht="16.5" customFormat="1" customHeight="1" s="73">
      <c r="A266" s="71" t="n"/>
      <c r="B266" s="72" t="n"/>
      <c r="C266" s="73">
        <f>IF(B266&gt;0,TEXT(B266,"(aaa)"),"")</f>
        <v/>
      </c>
      <c r="D266" s="71" t="n"/>
      <c r="E266" s="72" t="n"/>
      <c r="F266" s="73">
        <f>IF(E266&gt;0,TEXT(E266,"(aaa)"),"")</f>
        <v/>
      </c>
      <c r="G266" s="71" t="n"/>
      <c r="H266" s="72" t="n"/>
      <c r="I266" s="73">
        <f>IF(H266&gt;0,TEXT(H266,"(aaa)"),"")</f>
        <v/>
      </c>
    </row>
    <row r="267" ht="16.5" customFormat="1" customHeight="1" s="73">
      <c r="A267" s="71" t="n"/>
      <c r="B267" s="72" t="n"/>
      <c r="C267" s="73">
        <f>IF(B267&gt;0,TEXT(B267,"(aaa)"),"")</f>
        <v/>
      </c>
      <c r="D267" s="71" t="n"/>
      <c r="E267" s="72" t="n"/>
      <c r="F267" s="73">
        <f>IF(E267&gt;0,TEXT(E267,"(aaa)"),"")</f>
        <v/>
      </c>
      <c r="G267" s="71" t="n"/>
      <c r="H267" s="72" t="n"/>
      <c r="I267" s="73">
        <f>IF(H267&gt;0,TEXT(H267,"(aaa)"),"")</f>
        <v/>
      </c>
    </row>
    <row r="268" ht="16.5" customFormat="1" customHeight="1" s="73">
      <c r="A268" s="71" t="n"/>
      <c r="B268" s="72" t="n"/>
      <c r="C268" s="73">
        <f>IF(B268&gt;0,TEXT(B268,"(aaa)"),"")</f>
        <v/>
      </c>
      <c r="D268" s="71" t="n"/>
      <c r="E268" s="72" t="n"/>
      <c r="F268" s="73">
        <f>IF(E268&gt;0,TEXT(E268,"(aaa)"),"")</f>
        <v/>
      </c>
      <c r="G268" s="71" t="n"/>
      <c r="H268" s="72" t="n"/>
      <c r="I268" s="73">
        <f>IF(H268&gt;0,TEXT(H268,"(aaa)"),"")</f>
        <v/>
      </c>
    </row>
    <row r="269" ht="16.5" customFormat="1" customHeight="1" s="73">
      <c r="A269" s="71" t="n"/>
      <c r="B269" s="72" t="n"/>
      <c r="C269" s="73">
        <f>IF(B269&gt;0,TEXT(B269,"(aaa)"),"")</f>
        <v/>
      </c>
      <c r="D269" s="71" t="n"/>
      <c r="E269" s="72" t="n"/>
      <c r="F269" s="73">
        <f>IF(E269&gt;0,TEXT(E269,"(aaa)"),"")</f>
        <v/>
      </c>
      <c r="G269" s="71" t="n"/>
      <c r="H269" s="72" t="n"/>
      <c r="I269" s="73">
        <f>IF(H269&gt;0,TEXT(H269,"(aaa)"),"")</f>
        <v/>
      </c>
    </row>
    <row r="270" ht="16.5" customFormat="1" customHeight="1" s="73">
      <c r="A270" s="71" t="n"/>
      <c r="B270" s="72" t="n"/>
      <c r="C270" s="73">
        <f>IF(B270&gt;0,TEXT(B270,"(aaa)"),"")</f>
        <v/>
      </c>
      <c r="D270" s="71" t="n"/>
      <c r="E270" s="72" t="n"/>
      <c r="F270" s="73">
        <f>IF(E270&gt;0,TEXT(E270,"(aaa)"),"")</f>
        <v/>
      </c>
      <c r="G270" s="71" t="n"/>
      <c r="H270" s="72" t="n"/>
      <c r="I270" s="73">
        <f>IF(H270&gt;0,TEXT(H270,"(aaa)"),"")</f>
        <v/>
      </c>
    </row>
    <row r="271" ht="16.5" customFormat="1" customHeight="1" s="73">
      <c r="A271" s="71" t="n"/>
      <c r="B271" s="72" t="n"/>
      <c r="C271" s="73">
        <f>IF(B271&gt;0,TEXT(B271,"(aaa)"),"")</f>
        <v/>
      </c>
      <c r="D271" s="71" t="n"/>
      <c r="E271" s="72" t="n"/>
      <c r="F271" s="73">
        <f>IF(E271&gt;0,TEXT(E271,"(aaa)"),"")</f>
        <v/>
      </c>
      <c r="G271" s="71" t="n"/>
      <c r="H271" s="72" t="n"/>
      <c r="I271" s="73">
        <f>IF(H271&gt;0,TEXT(H271,"(aaa)"),"")</f>
        <v/>
      </c>
    </row>
    <row r="272" ht="16.5" customFormat="1" customHeight="1" s="73">
      <c r="A272" s="71" t="n"/>
      <c r="B272" s="72" t="n"/>
      <c r="C272" s="73">
        <f>IF(B272&gt;0,TEXT(B272,"(aaa)"),"")</f>
        <v/>
      </c>
      <c r="D272" s="71" t="n"/>
      <c r="E272" s="72" t="n"/>
      <c r="F272" s="73">
        <f>IF(E272&gt;0,TEXT(E272,"(aaa)"),"")</f>
        <v/>
      </c>
      <c r="G272" s="71" t="n"/>
      <c r="H272" s="72" t="n"/>
      <c r="I272" s="73">
        <f>IF(H272&gt;0,TEXT(H272,"(aaa)"),"")</f>
        <v/>
      </c>
    </row>
    <row r="273" ht="16.5" customFormat="1" customHeight="1" s="73">
      <c r="A273" s="71" t="n"/>
      <c r="B273" s="72" t="n"/>
      <c r="C273" s="73">
        <f>IF(B273&gt;0,TEXT(B273,"(aaa)"),"")</f>
        <v/>
      </c>
      <c r="D273" s="71" t="n"/>
      <c r="E273" s="72" t="n"/>
      <c r="F273" s="73">
        <f>IF(E273&gt;0,TEXT(E273,"(aaa)"),"")</f>
        <v/>
      </c>
      <c r="G273" s="71" t="n"/>
      <c r="H273" s="72" t="n"/>
      <c r="I273" s="73">
        <f>IF(H273&gt;0,TEXT(H273,"(aaa)"),"")</f>
        <v/>
      </c>
    </row>
    <row r="274" ht="16.5" customFormat="1" customHeight="1" s="73">
      <c r="A274" s="71" t="n"/>
      <c r="B274" s="72" t="n"/>
      <c r="C274" s="73">
        <f>IF(B274&gt;0,TEXT(B274,"(aaa)"),"")</f>
        <v/>
      </c>
      <c r="D274" s="71" t="n"/>
      <c r="E274" s="72" t="n"/>
      <c r="F274" s="73">
        <f>IF(E274&gt;0,TEXT(E274,"(aaa)"),"")</f>
        <v/>
      </c>
      <c r="G274" s="71" t="n"/>
      <c r="H274" s="72" t="n"/>
      <c r="I274" s="73">
        <f>IF(H274&gt;0,TEXT(H274,"(aaa)"),"")</f>
        <v/>
      </c>
    </row>
    <row r="275" ht="16.5" customFormat="1" customHeight="1" s="73">
      <c r="A275" s="71" t="n"/>
      <c r="B275" s="72" t="n"/>
      <c r="C275" s="73">
        <f>IF(B275&gt;0,TEXT(B275,"(aaa)"),"")</f>
        <v/>
      </c>
      <c r="D275" s="71" t="n"/>
      <c r="E275" s="72" t="n"/>
      <c r="F275" s="73">
        <f>IF(E275&gt;0,TEXT(E275,"(aaa)"),"")</f>
        <v/>
      </c>
      <c r="G275" s="71" t="n"/>
      <c r="H275" s="72" t="n"/>
      <c r="I275" s="73">
        <f>IF(H275&gt;0,TEXT(H275,"(aaa)"),"")</f>
        <v/>
      </c>
    </row>
    <row r="276" ht="16.5" customFormat="1" customHeight="1" s="73">
      <c r="A276" s="71" t="n"/>
      <c r="B276" s="72" t="n"/>
      <c r="C276" s="73">
        <f>IF(B276&gt;0,TEXT(B276,"(aaa)"),"")</f>
        <v/>
      </c>
      <c r="D276" s="71" t="n"/>
      <c r="E276" s="72" t="n"/>
      <c r="F276" s="73">
        <f>IF(E276&gt;0,TEXT(E276,"(aaa)"),"")</f>
        <v/>
      </c>
      <c r="G276" s="71" t="n"/>
      <c r="H276" s="72" t="n"/>
      <c r="I276" s="73">
        <f>IF(H276&gt;0,TEXT(H276,"(aaa)"),"")</f>
        <v/>
      </c>
    </row>
    <row r="277" ht="16.5" customFormat="1" customHeight="1" s="73">
      <c r="A277" s="71" t="n"/>
      <c r="B277" s="72" t="n"/>
      <c r="C277" s="73">
        <f>IF(B277&gt;0,TEXT(B277,"(aaa)"),"")</f>
        <v/>
      </c>
      <c r="D277" s="71" t="n"/>
      <c r="E277" s="72" t="n"/>
      <c r="F277" s="73">
        <f>IF(E277&gt;0,TEXT(E277,"(aaa)"),"")</f>
        <v/>
      </c>
      <c r="G277" s="71" t="n"/>
      <c r="H277" s="72" t="n"/>
      <c r="I277" s="73">
        <f>IF(H277&gt;0,TEXT(H277,"(aaa)"),"")</f>
        <v/>
      </c>
    </row>
    <row r="278" ht="16.5" customFormat="1" customHeight="1" s="73">
      <c r="A278" s="71" t="n"/>
      <c r="B278" s="72" t="n"/>
      <c r="C278" s="73">
        <f>IF(B278&gt;0,TEXT(B278,"(aaa)"),"")</f>
        <v/>
      </c>
      <c r="D278" s="71" t="n"/>
      <c r="E278" s="72" t="n"/>
      <c r="F278" s="73">
        <f>IF(E278&gt;0,TEXT(E278,"(aaa)"),"")</f>
        <v/>
      </c>
      <c r="G278" s="71" t="n"/>
      <c r="H278" s="72" t="n"/>
      <c r="I278" s="73">
        <f>IF(H278&gt;0,TEXT(H278,"(aaa)"),"")</f>
        <v/>
      </c>
    </row>
    <row r="279" ht="16.5" customFormat="1" customHeight="1" s="73">
      <c r="A279" s="71" t="n"/>
      <c r="B279" s="72" t="n"/>
      <c r="C279" s="73">
        <f>IF(B279&gt;0,TEXT(B279,"(aaa)"),"")</f>
        <v/>
      </c>
      <c r="D279" s="71" t="n"/>
      <c r="E279" s="72" t="n"/>
      <c r="F279" s="73">
        <f>IF(E279&gt;0,TEXT(E279,"(aaa)"),"")</f>
        <v/>
      </c>
      <c r="G279" s="71" t="n"/>
      <c r="H279" s="72" t="n"/>
      <c r="I279" s="73">
        <f>IF(H279&gt;0,TEXT(H279,"(aaa)"),"")</f>
        <v/>
      </c>
    </row>
    <row r="280" ht="16.5" customFormat="1" customHeight="1" s="73">
      <c r="A280" s="71" t="n"/>
      <c r="B280" s="72" t="n"/>
      <c r="C280" s="73">
        <f>IF(B280&gt;0,TEXT(B280,"(aaa)"),"")</f>
        <v/>
      </c>
      <c r="D280" s="71" t="n"/>
      <c r="E280" s="72" t="n"/>
      <c r="F280" s="73">
        <f>IF(E280&gt;0,TEXT(E280,"(aaa)"),"")</f>
        <v/>
      </c>
      <c r="G280" s="71" t="n"/>
      <c r="H280" s="72" t="n"/>
      <c r="I280" s="73">
        <f>IF(H280&gt;0,TEXT(H280,"(aaa)"),"")</f>
        <v/>
      </c>
    </row>
    <row r="281" ht="16.5" customFormat="1" customHeight="1" s="73">
      <c r="A281" s="71" t="n"/>
      <c r="B281" s="72" t="n"/>
      <c r="C281" s="73">
        <f>IF(B281&gt;0,TEXT(B281,"(aaa)"),"")</f>
        <v/>
      </c>
      <c r="D281" s="71" t="n"/>
      <c r="E281" s="72" t="n"/>
      <c r="F281" s="73">
        <f>IF(E281&gt;0,TEXT(E281,"(aaa)"),"")</f>
        <v/>
      </c>
      <c r="G281" s="71" t="n"/>
      <c r="H281" s="72" t="n"/>
      <c r="I281" s="73">
        <f>IF(H281&gt;0,TEXT(H281,"(aaa)"),"")</f>
        <v/>
      </c>
    </row>
    <row r="282" ht="16.5" customFormat="1" customHeight="1" s="73">
      <c r="A282" s="71" t="n"/>
      <c r="B282" s="72" t="n"/>
      <c r="C282" s="73">
        <f>IF(B282&gt;0,TEXT(B282,"(aaa)"),"")</f>
        <v/>
      </c>
      <c r="D282" s="71" t="n"/>
      <c r="E282" s="72" t="n"/>
      <c r="F282" s="73">
        <f>IF(E282&gt;0,TEXT(E282,"(aaa)"),"")</f>
        <v/>
      </c>
      <c r="G282" s="71" t="n"/>
      <c r="H282" s="72" t="n"/>
      <c r="I282" s="73">
        <f>IF(H282&gt;0,TEXT(H282,"(aaa)"),"")</f>
        <v/>
      </c>
    </row>
    <row r="283" ht="16.5" customFormat="1" customHeight="1" s="73">
      <c r="A283" s="71" t="n"/>
      <c r="B283" s="72" t="n"/>
      <c r="C283" s="73">
        <f>IF(B283&gt;0,TEXT(B283,"(aaa)"),"")</f>
        <v/>
      </c>
      <c r="D283" s="71" t="n"/>
      <c r="E283" s="72" t="n"/>
      <c r="F283" s="73">
        <f>IF(E283&gt;0,TEXT(E283,"(aaa)"),"")</f>
        <v/>
      </c>
      <c r="G283" s="71" t="n"/>
      <c r="H283" s="72" t="n"/>
      <c r="I283" s="73">
        <f>IF(H283&gt;0,TEXT(H283,"(aaa)"),"")</f>
        <v/>
      </c>
    </row>
    <row r="284" ht="16.5" customFormat="1" customHeight="1" s="73">
      <c r="A284" s="71" t="n"/>
      <c r="B284" s="72" t="n"/>
      <c r="C284" s="73">
        <f>IF(B284&gt;0,TEXT(B284,"(aaa)"),"")</f>
        <v/>
      </c>
      <c r="D284" s="71" t="n"/>
      <c r="E284" s="72" t="n"/>
      <c r="F284" s="73">
        <f>IF(E284&gt;0,TEXT(E284,"(aaa)"),"")</f>
        <v/>
      </c>
      <c r="G284" s="71" t="n"/>
      <c r="H284" s="72" t="n"/>
      <c r="I284" s="73">
        <f>IF(H284&gt;0,TEXT(H284,"(aaa)"),"")</f>
        <v/>
      </c>
    </row>
    <row r="285" ht="16.5" customFormat="1" customHeight="1" s="73">
      <c r="A285" s="71" t="n"/>
      <c r="B285" s="72" t="n"/>
      <c r="C285" s="73">
        <f>IF(B285&gt;0,TEXT(B285,"(aaa)"),"")</f>
        <v/>
      </c>
      <c r="D285" s="71" t="n"/>
      <c r="E285" s="72" t="n"/>
      <c r="F285" s="73">
        <f>IF(E285&gt;0,TEXT(E285,"(aaa)"),"")</f>
        <v/>
      </c>
      <c r="G285" s="71" t="n"/>
      <c r="H285" s="72" t="n"/>
      <c r="I285" s="73">
        <f>IF(H285&gt;0,TEXT(H285,"(aaa)"),"")</f>
        <v/>
      </c>
    </row>
    <row r="286" ht="16.5" customFormat="1" customHeight="1" s="73">
      <c r="A286" s="71" t="n"/>
      <c r="B286" s="72" t="n"/>
      <c r="C286" s="73">
        <f>IF(B286&gt;0,TEXT(B286,"(aaa)"),"")</f>
        <v/>
      </c>
      <c r="D286" s="71" t="n"/>
      <c r="E286" s="72" t="n"/>
      <c r="F286" s="73">
        <f>IF(E286&gt;0,TEXT(E286,"(aaa)"),"")</f>
        <v/>
      </c>
      <c r="G286" s="71" t="n"/>
      <c r="H286" s="72" t="n"/>
      <c r="I286" s="73">
        <f>IF(H286&gt;0,TEXT(H286,"(aaa)"),"")</f>
        <v/>
      </c>
    </row>
    <row r="287" ht="16.5" customFormat="1" customHeight="1" s="73">
      <c r="A287" s="71" t="n"/>
      <c r="B287" s="72" t="n"/>
      <c r="C287" s="73">
        <f>IF(B287&gt;0,TEXT(B287,"(aaa)"),"")</f>
        <v/>
      </c>
      <c r="D287" s="71" t="n"/>
      <c r="E287" s="72" t="n"/>
      <c r="F287" s="73">
        <f>IF(E287&gt;0,TEXT(E287,"(aaa)"),"")</f>
        <v/>
      </c>
      <c r="G287" s="71" t="n"/>
      <c r="H287" s="72" t="n"/>
      <c r="I287" s="73">
        <f>IF(H287&gt;0,TEXT(H287,"(aaa)"),"")</f>
        <v/>
      </c>
    </row>
    <row r="288" ht="16.5" customFormat="1" customHeight="1" s="73">
      <c r="A288" s="71" t="n"/>
      <c r="B288" s="72" t="n"/>
      <c r="C288" s="73">
        <f>IF(B288&gt;0,TEXT(B288,"(aaa)"),"")</f>
        <v/>
      </c>
      <c r="D288" s="71" t="n"/>
      <c r="E288" s="72" t="n"/>
      <c r="F288" s="73">
        <f>IF(E288&gt;0,TEXT(E288,"(aaa)"),"")</f>
        <v/>
      </c>
      <c r="G288" s="71" t="n"/>
      <c r="H288" s="72" t="n"/>
      <c r="I288" s="73">
        <f>IF(H288&gt;0,TEXT(H288,"(aaa)"),"")</f>
        <v/>
      </c>
    </row>
    <row r="289" ht="16.5" customFormat="1" customHeight="1" s="73">
      <c r="A289" s="71" t="n"/>
      <c r="B289" s="72" t="n"/>
      <c r="C289" s="73">
        <f>IF(B289&gt;0,TEXT(B289,"(aaa)"),"")</f>
        <v/>
      </c>
      <c r="D289" s="71" t="n"/>
      <c r="E289" s="72" t="n"/>
      <c r="F289" s="73">
        <f>IF(E289&gt;0,TEXT(E289,"(aaa)"),"")</f>
        <v/>
      </c>
      <c r="G289" s="71" t="n"/>
      <c r="H289" s="72" t="n"/>
      <c r="I289" s="73">
        <f>IF(H289&gt;0,TEXT(H289,"(aaa)"),"")</f>
        <v/>
      </c>
    </row>
    <row r="290" ht="16.5" customFormat="1" customHeight="1" s="73">
      <c r="A290" s="71" t="n"/>
      <c r="B290" s="72" t="n"/>
      <c r="C290" s="73">
        <f>IF(B290&gt;0,TEXT(B290,"(aaa)"),"")</f>
        <v/>
      </c>
      <c r="D290" s="71" t="n"/>
      <c r="E290" s="72" t="n"/>
      <c r="F290" s="73">
        <f>IF(E290&gt;0,TEXT(E290,"(aaa)"),"")</f>
        <v/>
      </c>
      <c r="G290" s="71" t="n"/>
      <c r="H290" s="72" t="n"/>
      <c r="I290" s="73">
        <f>IF(H290&gt;0,TEXT(H290,"(aaa)"),"")</f>
        <v/>
      </c>
    </row>
    <row r="291" ht="16.5" customFormat="1" customHeight="1" s="73">
      <c r="A291" s="71" t="n"/>
      <c r="B291" s="72" t="n"/>
      <c r="C291" s="73">
        <f>IF(B291&gt;0,TEXT(B291,"(aaa)"),"")</f>
        <v/>
      </c>
      <c r="D291" s="71" t="n"/>
      <c r="E291" s="72" t="n"/>
      <c r="F291" s="73">
        <f>IF(E291&gt;0,TEXT(E291,"(aaa)"),"")</f>
        <v/>
      </c>
      <c r="G291" s="71" t="n"/>
      <c r="H291" s="72" t="n"/>
      <c r="I291" s="73">
        <f>IF(H291&gt;0,TEXT(H291,"(aaa)"),"")</f>
        <v/>
      </c>
    </row>
    <row r="292" ht="16.5" customFormat="1" customHeight="1" s="73">
      <c r="A292" s="71" t="n"/>
      <c r="B292" s="72" t="n"/>
      <c r="C292" s="73">
        <f>IF(B292&gt;0,TEXT(B292,"(aaa)"),"")</f>
        <v/>
      </c>
      <c r="D292" s="71" t="n"/>
      <c r="E292" s="72" t="n"/>
      <c r="F292" s="73">
        <f>IF(E292&gt;0,TEXT(E292,"(aaa)"),"")</f>
        <v/>
      </c>
      <c r="G292" s="71" t="n"/>
      <c r="H292" s="72" t="n"/>
      <c r="I292" s="73">
        <f>IF(H292&gt;0,TEXT(H292,"(aaa)"),"")</f>
        <v/>
      </c>
    </row>
    <row r="293" ht="16.5" customFormat="1" customHeight="1" s="73">
      <c r="A293" s="71" t="n"/>
      <c r="B293" s="72" t="n"/>
      <c r="C293" s="73">
        <f>IF(B293&gt;0,TEXT(B293,"(aaa)"),"")</f>
        <v/>
      </c>
      <c r="D293" s="71" t="n"/>
      <c r="E293" s="72" t="n"/>
      <c r="F293" s="73">
        <f>IF(E293&gt;0,TEXT(E293,"(aaa)"),"")</f>
        <v/>
      </c>
      <c r="G293" s="71" t="n"/>
      <c r="H293" s="72" t="n"/>
      <c r="I293" s="73">
        <f>IF(H293&gt;0,TEXT(H293,"(aaa)"),"")</f>
        <v/>
      </c>
    </row>
    <row r="294" ht="16.5" customFormat="1" customHeight="1" s="73">
      <c r="A294" s="71" t="n"/>
      <c r="B294" s="72" t="n"/>
      <c r="C294" s="73">
        <f>IF(B294&gt;0,TEXT(B294,"(aaa)"),"")</f>
        <v/>
      </c>
      <c r="D294" s="71" t="n"/>
      <c r="E294" s="72" t="n"/>
      <c r="F294" s="73">
        <f>IF(E294&gt;0,TEXT(E294,"(aaa)"),"")</f>
        <v/>
      </c>
      <c r="G294" s="71" t="n"/>
      <c r="H294" s="72" t="n"/>
      <c r="I294" s="73">
        <f>IF(H294&gt;0,TEXT(H294,"(aaa)"),"")</f>
        <v/>
      </c>
    </row>
    <row r="295" ht="16.5" customFormat="1" customHeight="1" s="73">
      <c r="A295" s="71" t="n"/>
      <c r="B295" s="72" t="n"/>
      <c r="C295" s="73">
        <f>IF(B295&gt;0,TEXT(B295,"(aaa)"),"")</f>
        <v/>
      </c>
      <c r="D295" s="71" t="n"/>
      <c r="E295" s="72" t="n"/>
      <c r="F295" s="73">
        <f>IF(E295&gt;0,TEXT(E295,"(aaa)"),"")</f>
        <v/>
      </c>
      <c r="G295" s="71" t="n"/>
      <c r="H295" s="72" t="n"/>
      <c r="I295" s="73">
        <f>IF(H295&gt;0,TEXT(H295,"(aaa)"),"")</f>
        <v/>
      </c>
    </row>
    <row r="296" ht="16.5" customFormat="1" customHeight="1" s="73">
      <c r="A296" s="71" t="n"/>
      <c r="B296" s="72" t="n"/>
      <c r="C296" s="73">
        <f>IF(B296&gt;0,TEXT(B296,"(aaa)"),"")</f>
        <v/>
      </c>
      <c r="D296" s="71" t="n"/>
      <c r="E296" s="72" t="n"/>
      <c r="F296" s="73">
        <f>IF(E296&gt;0,TEXT(E296,"(aaa)"),"")</f>
        <v/>
      </c>
      <c r="G296" s="71" t="n"/>
      <c r="H296" s="72" t="n"/>
      <c r="I296" s="73">
        <f>IF(H296&gt;0,TEXT(H296,"(aaa)"),"")</f>
        <v/>
      </c>
    </row>
    <row r="297" ht="16.5" customFormat="1" customHeight="1" s="73">
      <c r="A297" s="71" t="n"/>
      <c r="B297" s="72" t="n"/>
      <c r="C297" s="73">
        <f>IF(B297&gt;0,TEXT(B297,"(aaa)"),"")</f>
        <v/>
      </c>
      <c r="D297" s="71" t="n"/>
      <c r="E297" s="72" t="n"/>
      <c r="F297" s="73">
        <f>IF(E297&gt;0,TEXT(E297,"(aaa)"),"")</f>
        <v/>
      </c>
      <c r="G297" s="71" t="n"/>
      <c r="H297" s="72" t="n"/>
      <c r="I297" s="73">
        <f>IF(H297&gt;0,TEXT(H297,"(aaa)"),"")</f>
        <v/>
      </c>
    </row>
    <row r="298" ht="16.5" customFormat="1" customHeight="1" s="73">
      <c r="A298" s="71" t="n"/>
      <c r="B298" s="72" t="n"/>
      <c r="C298" s="73">
        <f>IF(B298&gt;0,TEXT(B298,"(aaa)"),"")</f>
        <v/>
      </c>
      <c r="D298" s="71" t="n"/>
      <c r="E298" s="72" t="n"/>
      <c r="F298" s="73">
        <f>IF(E298&gt;0,TEXT(E298,"(aaa)"),"")</f>
        <v/>
      </c>
      <c r="G298" s="71" t="n"/>
      <c r="H298" s="72" t="n"/>
      <c r="I298" s="73">
        <f>IF(H298&gt;0,TEXT(H298,"(aaa)"),"")</f>
        <v/>
      </c>
    </row>
    <row r="299" ht="16.5" customFormat="1" customHeight="1" s="73">
      <c r="A299" s="71" t="n"/>
      <c r="B299" s="72" t="n"/>
      <c r="C299" s="73">
        <f>IF(B299&gt;0,TEXT(B299,"(aaa)"),"")</f>
        <v/>
      </c>
      <c r="D299" s="71" t="n"/>
      <c r="E299" s="72" t="n"/>
      <c r="F299" s="73">
        <f>IF(E299&gt;0,TEXT(E299,"(aaa)"),"")</f>
        <v/>
      </c>
      <c r="G299" s="71" t="n"/>
      <c r="H299" s="72" t="n"/>
      <c r="I299" s="73">
        <f>IF(H299&gt;0,TEXT(H299,"(aaa)"),"")</f>
        <v/>
      </c>
    </row>
    <row r="300" ht="16.5" customFormat="1" customHeight="1" s="73">
      <c r="A300" s="71" t="n"/>
      <c r="B300" s="72" t="n"/>
      <c r="C300" s="73">
        <f>IF(B300&gt;0,TEXT(B300,"(aaa)"),"")</f>
        <v/>
      </c>
      <c r="D300" s="71" t="n"/>
      <c r="E300" s="72" t="n"/>
      <c r="F300" s="73">
        <f>IF(E300&gt;0,TEXT(E300,"(aaa)"),"")</f>
        <v/>
      </c>
      <c r="G300" s="71" t="n"/>
      <c r="H300" s="72" t="n"/>
      <c r="I300" s="73">
        <f>IF(H300&gt;0,TEXT(H300,"(aaa)"),"")</f>
        <v/>
      </c>
    </row>
    <row r="301" ht="16.5" customFormat="1" customHeight="1" s="73">
      <c r="A301" s="71" t="n"/>
      <c r="B301" s="72" t="n"/>
      <c r="C301" s="73">
        <f>IF(B301&gt;0,TEXT(B301,"(aaa)"),"")</f>
        <v/>
      </c>
      <c r="D301" s="71" t="n"/>
      <c r="E301" s="72" t="n"/>
      <c r="F301" s="73">
        <f>IF(E301&gt;0,TEXT(E301,"(aaa)"),"")</f>
        <v/>
      </c>
      <c r="G301" s="71" t="n"/>
      <c r="H301" s="72" t="n"/>
      <c r="I301" s="73">
        <f>IF(H301&gt;0,TEXT(H301,"(aaa)"),"")</f>
        <v/>
      </c>
    </row>
    <row r="302" ht="16.5" customFormat="1" customHeight="1" s="73">
      <c r="A302" s="71" t="n"/>
      <c r="B302" s="75" t="n"/>
      <c r="C302" s="73">
        <f>IF(B302&gt;0,TEXT(B302,"(aaa)"),"")</f>
        <v/>
      </c>
      <c r="D302" s="71" t="n"/>
      <c r="E302" s="75" t="n"/>
      <c r="F302" s="73">
        <f>IF(E302&gt;0,TEXT(E302,"(aaa)"),"")</f>
        <v/>
      </c>
      <c r="G302" s="71" t="n"/>
      <c r="H302" s="75" t="n"/>
      <c r="I302" s="73">
        <f>IF(H302&gt;0,TEXT(H302,"(aaa)"),"")</f>
        <v/>
      </c>
    </row>
    <row r="303" ht="16.5" customFormat="1" customHeight="1" s="73">
      <c r="A303" s="71" t="n"/>
      <c r="B303" s="75" t="n"/>
      <c r="C303" s="73">
        <f>IF(B303&gt;0,TEXT(B303,"(aaa)"),"")</f>
        <v/>
      </c>
      <c r="D303" s="71" t="n"/>
      <c r="E303" s="75" t="n"/>
      <c r="F303" s="73">
        <f>IF(E303&gt;0,TEXT(E303,"(aaa)"),"")</f>
        <v/>
      </c>
      <c r="G303" s="71" t="n"/>
      <c r="H303" s="75" t="n"/>
      <c r="I303" s="73">
        <f>IF(H303&gt;0,TEXT(H303,"(aaa)"),"")</f>
        <v/>
      </c>
    </row>
    <row r="304" ht="16.5" customFormat="1" customHeight="1" s="73">
      <c r="A304" s="71" t="n"/>
      <c r="B304" s="75" t="n"/>
      <c r="C304" s="73">
        <f>IF(B304&gt;0,TEXT(B304,"(aaa)"),"")</f>
        <v/>
      </c>
      <c r="D304" s="71" t="n"/>
      <c r="E304" s="75" t="n"/>
      <c r="F304" s="73">
        <f>IF(E304&gt;0,TEXT(E304,"(aaa)"),"")</f>
        <v/>
      </c>
      <c r="G304" s="71" t="n"/>
      <c r="H304" s="75" t="n"/>
      <c r="I304" s="73">
        <f>IF(H304&gt;0,TEXT(H304,"(aaa)"),"")</f>
        <v/>
      </c>
    </row>
    <row r="305" ht="16.5" customFormat="1" customHeight="1" s="73">
      <c r="A305" s="73" t="inlineStr">
        <is>
          <t>더 이상 입력불가</t>
        </is>
      </c>
      <c r="D305" s="73" t="inlineStr">
        <is>
          <t>더 이상 입력불가</t>
        </is>
      </c>
      <c r="G305" s="73" t="inlineStr">
        <is>
          <t>더 이상 입력불가</t>
        </is>
      </c>
    </row>
  </sheetData>
  <mergeCells count="4">
    <mergeCell ref="D3:E3"/>
    <mergeCell ref="A3:B3"/>
    <mergeCell ref="A2:H2"/>
    <mergeCell ref="G3:H3"/>
  </mergeCells>
  <pageMargins left="0.75" right="0.75" top="1" bottom="1" header="0.5" footer="0.5"/>
  <pageSetup orientation="portrait" paperSize="9"/>
</worksheet>
</file>

<file path=xl/worksheets/sheet7.xml><?xml version="1.0" encoding="utf-8"?>
<worksheet xmlns="http://schemas.openxmlformats.org/spreadsheetml/2006/main">
  <sheetPr codeName="Sheet5">
    <outlinePr summaryBelow="1" summaryRight="1"/>
    <pageSetUpPr/>
  </sheetPr>
  <dimension ref="A1:AA628"/>
  <sheetViews>
    <sheetView zoomScaleNormal="100" workbookViewId="0">
      <pane ySplit="1" topLeftCell="A592" activePane="bottomLeft" state="frozen"/>
      <selection pane="bottomLeft" activeCell="C625" sqref="C625"/>
    </sheetView>
  </sheetViews>
  <sheetFormatPr baseColWidth="8" defaultColWidth="73.375" defaultRowHeight="12"/>
  <cols>
    <col width="7.625" bestFit="1" customWidth="1" style="126" min="1" max="1"/>
    <col width="8.375" bestFit="1" customWidth="1" style="127" min="2" max="2"/>
    <col width="23.125" bestFit="1" customWidth="1" style="128" min="3" max="3"/>
    <col width="47.125" customWidth="1" style="129" min="4" max="4"/>
    <col width="56.125" customWidth="1" style="129" min="5" max="5"/>
    <col width="57.375" customWidth="1" style="126" min="6" max="6"/>
    <col width="73.375" customWidth="1" style="126" min="7" max="26"/>
    <col hidden="1" width="73.375" customWidth="1" style="126" min="27" max="27"/>
    <col width="73.375" customWidth="1" style="126" min="28" max="29"/>
    <col hidden="1" width="13" customWidth="1" style="126" min="30" max="30"/>
    <col width="73.375" customWidth="1" style="126" min="31" max="16384"/>
  </cols>
  <sheetData>
    <row r="1" customFormat="1" s="124">
      <c r="A1" s="124" t="inlineStr">
        <is>
          <t>Reserved</t>
        </is>
      </c>
      <c r="B1" s="124" t="inlineStr">
        <is>
          <t>Text Index</t>
        </is>
      </c>
      <c r="C1" s="125" t="inlineStr">
        <is>
          <t>Description</t>
        </is>
      </c>
      <c r="D1" s="125" t="inlineStr">
        <is>
          <t>English</t>
        </is>
      </c>
      <c r="E1" s="125" t="inlineStr">
        <is>
          <t>Korean</t>
        </is>
      </c>
      <c r="F1" s="124" t="inlineStr">
        <is>
          <t>Custom</t>
        </is>
      </c>
    </row>
    <row r="2" ht="84" customHeight="1">
      <c r="A2" s="210" t="inlineStr">
        <is>
          <t>F</t>
        </is>
      </c>
      <c r="B2" s="127" t="n">
        <v>1</v>
      </c>
      <c r="C2" s="128" t="inlineStr">
        <is>
          <t>reserved index</t>
        </is>
      </c>
      <c r="D2" s="129" t="inlineStr">
        <is>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is>
      </c>
      <c r="E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c r="F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row>
    <row r="3" ht="96" customHeight="1">
      <c r="A3" s="211" t="n">
        <v>650</v>
      </c>
      <c r="B3" s="127" t="n">
        <v>2</v>
      </c>
      <c r="C3" s="128" t="inlineStr">
        <is>
          <t>reserved index</t>
        </is>
      </c>
      <c r="D3" s="129" t="inlineStr">
        <is>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is>
      </c>
      <c r="E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c r="F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row>
    <row r="4" ht="60" customHeight="1">
      <c r="B4" s="127" t="n">
        <v>3</v>
      </c>
      <c r="C4" s="128" t="inlineStr">
        <is>
          <t>reserved index</t>
        </is>
      </c>
      <c r="D4" s="129" t="inlineStr">
        <is>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is>
      </c>
      <c r="E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c r="F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row>
    <row r="5" ht="60" customHeight="1">
      <c r="B5" s="127" t="n">
        <v>4</v>
      </c>
      <c r="C5" s="128" t="inlineStr">
        <is>
          <t>reserved index</t>
        </is>
      </c>
      <c r="D5" s="129" t="inlineStr">
        <is>
          <t>Error! Cause may be one of the following.\n * File is invalid(e.g. the Excel file corrupted)\n * Data format is invalid(First row:title, from second row:contents or XLGantt file is valid)\n * If you cancel to open the file that is already opened\n\n Please check the messages below for details.</t>
        </is>
      </c>
      <c r="E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c r="F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row>
    <row r="6" ht="60" customHeight="1">
      <c r="B6" s="127" t="n">
        <v>5</v>
      </c>
      <c r="C6" s="128" t="inlineStr">
        <is>
          <t>reserved index</t>
        </is>
      </c>
      <c r="D6" s="129" t="inlineStr">
        <is>
          <t>* You can import  files created in XLGantt._x000D_
* You can import files if the version is 0.9.7 or higher than 0.9.7_x000D_
* You can import up to 10,000 records._x000D_
* You can import multiple files simultaneously.</t>
        </is>
      </c>
      <c r="E6" s="129" t="inlineStr">
        <is>
          <t xml:space="preserve">* 가져올 파일이 XLGantt로 작성된 경우만 가능_x000D_
\n* XLGantt의 버전이 0.9.7 이상인 경우만 가능\n* 자료의 갯수는 10,000개 이하까지만 처리됨_x000D_
\n* 여러개의 파일 동시처리 가능_x000D_
</t>
        </is>
      </c>
      <c r="F6" s="129" t="inlineStr">
        <is>
          <t xml:space="preserve">* 가져올 파일이 XLGantt로 작성된 경우만 가능_x000D_
\n* XLGantt의 버전이 0.9.7 이상인 경우만 가능\n* 자료의 갯수는 10,000개 이하까지만 처리됨_x000D_
\n* 여러개의 파일 동시처리 가능_x000D_
</t>
        </is>
      </c>
    </row>
    <row r="7" ht="48" customHeight="1">
      <c r="B7" s="127" t="n">
        <v>6</v>
      </c>
      <c r="C7" s="128" t="inlineStr">
        <is>
          <t>reserved index</t>
        </is>
      </c>
      <c r="D7" s="129" t="inlineStr">
        <is>
          <t>Project duration is too long. The earliest start date is {1} and the latest finish date is {2}, so the project duration is {3} days. The maximum number of days allowed in XLGantt is {4} days. Reduce the project duration to within the limits allowed by XLGantt.</t>
        </is>
      </c>
      <c r="E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c r="F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row>
    <row r="8">
      <c r="B8" s="127" t="n">
        <v>7</v>
      </c>
      <c r="C8" s="128" t="inlineStr">
        <is>
          <t>reserved index</t>
        </is>
      </c>
      <c r="D8" s="129" t="inlineStr">
        <is>
          <t>Saturdays, Sundays and the dates entered in the Calendar sheet_x000D_</t>
        </is>
      </c>
      <c r="E8" s="129" t="inlineStr">
        <is>
          <t>토요일,일요일 및 Calendar sheet에 입력된 날짜_x000D_</t>
        </is>
      </c>
      <c r="F8" s="129" t="inlineStr">
        <is>
          <t>토요일,일요일 및 Calendar sheet에 입력된 날짜_x000D_</t>
        </is>
      </c>
    </row>
    <row r="9" ht="48" customHeight="1">
      <c r="B9" s="127" t="n">
        <v>8</v>
      </c>
      <c r="C9" s="128" t="inlineStr">
        <is>
          <t>reserved index, for help sheet</t>
        </is>
      </c>
      <c r="D9" s="129" t="inlineStr">
        <is>
          <t>XLGantt is a program designed to enable project scheduling in Microsoft Excel. It is composed of the following features. You don't need to install this program because it is a Excel macro file. You just download this file, save it to a folder, and open it in Excel.</t>
        </is>
      </c>
      <c r="E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c r="F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10" ht="48" customHeight="1">
      <c r="B10" s="127" t="n">
        <v>9</v>
      </c>
      <c r="C10" s="128" t="inlineStr">
        <is>
          <t>reserved index, for help sheet</t>
        </is>
      </c>
      <c r="D10" s="129" t="inlineStr">
        <is>
          <t>Currently we support only English and Korean as user interface(UI) language at XLGantt. Since the program code and the resource file for multiple languages ​​are separated, it is possible to add multiple languages ​​without modifying the program.</t>
        </is>
      </c>
      <c r="E10" s="129" t="inlineStr">
        <is>
          <t>엑셀간트는 다국어를 지원하는데 프로그램을 수정하지 않고 여러 다국어를 추가할 수 있다. 현재는 한국어, 영어 2개 국어가 추가되어 있다.</t>
        </is>
      </c>
      <c r="F10" s="129" t="inlineStr">
        <is>
          <t>엑셀간트는 다국어를 지원하는데 프로그램을 수정하지 않고 여러 다국어를 추가할 수 있다. 현재는 한국어, 영어 2개 국어가 추가되어 있다.</t>
        </is>
      </c>
    </row>
    <row r="11" ht="60" customHeight="1">
      <c r="B11" s="127" t="n">
        <v>10</v>
      </c>
      <c r="C11" s="128" t="inlineStr">
        <is>
          <t>reserved index, for help sheet</t>
        </is>
      </c>
      <c r="D11" s="129" t="inlineStr">
        <is>
          <t>When you enter nonworking days, XLGantt excludes them from calculations of working time. Standard calendar is the default calendar. If you want to specify a different calendar for a specific task, please use "User Defined Calendar 1" or "User Defined Calendar 2".</t>
        </is>
      </c>
      <c r="E11" s="129" t="inlineStr">
        <is>
          <t>한주의 시작요일 지정, 휴무일 설정, 주차표시 기능을 제공한다.
리본메뉴 &gt; XLGantt – Project Scheduler &gt; 옵션 &gt; “Calendar” 탭에서 설정할 수 있다.</t>
        </is>
      </c>
      <c r="F11" s="129" t="inlineStr">
        <is>
          <t>한주의 시작요일 지정, 휴무일 설정, 주차표시 기능을 제공한다.
리본메뉴 &gt; XLGantt – Project Scheduler &gt; 옵션 &gt; “Calendar” 탭에서 설정할 수 있다.</t>
        </is>
      </c>
    </row>
    <row r="12" ht="48" customHeight="1">
      <c r="B12" s="127" t="n">
        <v>11</v>
      </c>
      <c r="C12" s="128" t="inlineStr">
        <is>
          <t>reserved index, for help sheet</t>
        </is>
      </c>
      <c r="D12" s="129" t="inlineStr">
        <is>
          <t>You can use this feature if you want to see the server's schedule data. If you put the schedule data on the Server into the ServerData sheet and download the XLGantt file and open the XLGantt file, the data comes into the Schedule sheet.</t>
        </is>
      </c>
      <c r="E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c r="F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row>
    <row r="13" ht="84" customHeight="1">
      <c r="B13" s="127" t="n">
        <v>12</v>
      </c>
      <c r="C13" s="128" t="inlineStr">
        <is>
          <t>reserved index, for help sheet</t>
        </is>
      </c>
      <c r="D13" s="129" t="inlineStr">
        <is>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is>
      </c>
      <c r="E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c r="F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row r="14" ht="48" customHeight="1">
      <c r="B14" s="127" t="n">
        <v>13</v>
      </c>
      <c r="C14" s="128" t="inlineStr">
        <is>
          <t>reserved index</t>
        </is>
      </c>
      <c r="D14" s="129" t="inlineStr">
        <is>
          <t>Program error has occurred, this error can occur because of the following:\n\n1. An incorrect value was entered in the Schedule sheet (eg, a value beginning with an equal sign (=) was entered except in the date field).\n\n2. {1}</t>
        </is>
      </c>
      <c r="E14" s="129" t="inlineStr">
        <is>
          <t xml:space="preserve">오류가 발생했습니다. 오류의 원인은 다음 중 하나일 수 있습니다.\n\n1. Schedule 시트에 잘못된 값이 입력되었습니다(예: 날짜 필드를 제외한 곳에 등호(=)로 시작하는 값이 입력됨).\n\n2. {1} </t>
        </is>
      </c>
      <c r="F14" s="129" t="inlineStr">
        <is>
          <t xml:space="preserve">오류가 발생했습니다. 오류의 원인은 다음 중 하나일 수 있습니다.\n\n1. Schedule 시트에 잘못된 값이 입력되었습니다(예: 날짜 필드를 제외한 곳에 등호(=)로 시작하는 값이 입력됨).\n\n2. {1} </t>
        </is>
      </c>
    </row>
    <row r="15" ht="36" customHeight="1">
      <c r="B15" s="127" t="n">
        <v>14</v>
      </c>
      <c r="C15" s="128" t="inlineStr">
        <is>
          <t>reserved index</t>
        </is>
      </c>
      <c r="D15" s="129" t="inlineStr">
        <is>
          <t>Program error has occurred.\n\n{1}\nError code:{2}\n\nIf this program file is stored in a cloud storage such as Microsoft OneDrive, move it to a local drive on your PC and use it.</t>
        </is>
      </c>
      <c r="E15" s="129" t="inlineStr">
        <is>
          <t>오류가 발생했습니다.\n\n{1}\nError code:{2}\n\n이 프로그램 파일이 Microsoft OneDrive 등 클라우드 저장소에 저장되어 있다면 PC의 로컬드라이브로 옮겨서 사용하세요.</t>
        </is>
      </c>
      <c r="F15" s="129" t="inlineStr">
        <is>
          <t>오류가 발생했습니다.\n\n{1}\nError code:{2}\n\n이 프로그램 파일이 Microsoft OneDrive 등 클라우드 저장소에 저장되어 있다면 PC의 로컬드라이브로 옮겨서 사용하세요.</t>
        </is>
      </c>
    </row>
    <row r="16">
      <c r="B16" s="127" t="n">
        <v>15</v>
      </c>
      <c r="C16" s="128" t="inlineStr">
        <is>
          <t>reserved index</t>
        </is>
      </c>
      <c r="D16" s="129" t="inlineStr">
        <is>
          <t>Program error has occurred.\n\n{1}\nError code:{2}</t>
        </is>
      </c>
      <c r="E16" s="129" t="inlineStr">
        <is>
          <t>오류가 발생했습니다.\n\n{1}\nError code:{2}</t>
        </is>
      </c>
      <c r="F16" s="129" t="inlineStr">
        <is>
          <t>오류가 발생했습니다.\n\n{1}\nError code:{2}</t>
        </is>
      </c>
    </row>
    <row r="17">
      <c r="B17" s="127" t="n">
        <v>101</v>
      </c>
      <c r="D17" s="129" t="inlineStr">
        <is>
          <t xml:space="preserve">              From                      To</t>
        </is>
      </c>
      <c r="E17" s="129" t="inlineStr">
        <is>
          <t xml:space="preserve"> Source필드 명       Target필드 명</t>
        </is>
      </c>
      <c r="F17" s="129" t="inlineStr">
        <is>
          <t xml:space="preserve"> Source필드 명       Target필드 명</t>
        </is>
      </c>
    </row>
    <row r="18">
      <c r="B18" s="127" t="n">
        <v>102</v>
      </c>
      <c r="D18" s="129" t="inlineStr">
        <is>
          <t xml:space="preserve">           Field Name         Example</t>
        </is>
      </c>
      <c r="E18" s="129" t="inlineStr">
        <is>
          <t xml:space="preserve"> 필드 명                값 예시</t>
        </is>
      </c>
      <c r="F18" s="129" t="inlineStr">
        <is>
          <t xml:space="preserve"> 필드 명                값 예시</t>
        </is>
      </c>
    </row>
    <row r="19">
      <c r="B19" s="127" t="n">
        <v>103</v>
      </c>
      <c r="D19" s="129" t="inlineStr">
        <is>
          <t xml:space="preserve">       Field Name           Field Value</t>
        </is>
      </c>
      <c r="E19" s="129" t="inlineStr">
        <is>
          <t xml:space="preserve"> 필드 명                필드 값</t>
        </is>
      </c>
      <c r="F19" s="129" t="inlineStr">
        <is>
          <t xml:space="preserve"> 필드 명                필드 값</t>
        </is>
      </c>
    </row>
    <row r="20">
      <c r="B20" s="127" t="n">
        <v>104</v>
      </c>
      <c r="D20" s="129" t="inlineStr">
        <is>
          <t xml:space="preserve"> Mapped</t>
        </is>
      </c>
      <c r="E20" s="129" t="inlineStr">
        <is>
          <t xml:space="preserve"> Mapping된 상태</t>
        </is>
      </c>
      <c r="F20" s="129" t="inlineStr">
        <is>
          <t xml:space="preserve"> Mapping된 상태</t>
        </is>
      </c>
    </row>
    <row r="21">
      <c r="B21" s="127" t="n">
        <v>105</v>
      </c>
      <c r="D21" s="129" t="inlineStr">
        <is>
          <t xml:space="preserve"> Setting nonworking days in the project calendar</t>
        </is>
      </c>
      <c r="E21" s="129" t="inlineStr">
        <is>
          <t xml:space="preserve"> 프로젝트 휴무일 Calendar 설정</t>
        </is>
      </c>
      <c r="F21" s="129" t="inlineStr">
        <is>
          <t xml:space="preserve"> 프로젝트 휴무일 Calendar 설정</t>
        </is>
      </c>
    </row>
    <row r="22">
      <c r="B22" s="127" t="n">
        <v>106</v>
      </c>
      <c r="D22" s="129" t="inlineStr">
        <is>
          <t>"%Work Complete" is invalid. Type a number between 0% and 100%.</t>
        </is>
      </c>
      <c r="E22" s="129" t="inlineStr">
        <is>
          <t>실적진척률은 0~100% 범위만 입력가능합니다.</t>
        </is>
      </c>
      <c r="F22" s="129" t="inlineStr">
        <is>
          <t>실적진척률은 0~100% 범위만 입력가능합니다.</t>
        </is>
      </c>
    </row>
    <row r="23" ht="36" customHeight="1">
      <c r="B23" s="127" t="n">
        <v>107</v>
      </c>
      <c r="D23" s="129" t="inlineStr">
        <is>
          <t>"Outline level"(task Level) field. It displays the level of a task.Instead of "Outline level", you can use "WBS".</t>
        </is>
      </c>
      <c r="E23" s="129" t="inlineStr">
        <is>
          <t>개요수준(작업Level)필드입니다. 작업의 Level을 표시합니다. 예를 들어 2 Level의 작업이면 숫자 2로 표시됩니다. 개요수준대신 WBS필드(1.3.2 등의 형식으로 표시)를 사용하기도 합니다.</t>
        </is>
      </c>
      <c r="F23" s="129" t="inlineStr">
        <is>
          <t>개요수준(작업Level)필드입니다. 작업의 Level을 표시합니다. 예를 들어 2 Level의 작업이면 숫자 2로 표시됩니다. 개요수준대신 WBS필드(1.3.2 등의 형식으로 표시)를 사용하기도 합니다.</t>
        </is>
      </c>
    </row>
    <row r="24" ht="36" customHeight="1">
      <c r="B24" s="127" t="n">
        <v>108</v>
      </c>
      <c r="D24" s="129" t="inlineStr">
        <is>
          <t>"WBS"(Work Breakdown Structure) field. It displays the level of a task. Instead of WBS, you can use "Outline level".</t>
        </is>
      </c>
      <c r="E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c r="F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row>
    <row r="25">
      <c r="B25" s="127" t="n">
        <v>109</v>
      </c>
      <c r="D25" s="129" t="inlineStr">
        <is>
          <t>%Work Complete</t>
        </is>
      </c>
      <c r="E25" s="129" t="inlineStr">
        <is>
          <t>실적진척률</t>
        </is>
      </c>
      <c r="F25" s="129" t="inlineStr">
        <is>
          <t>실적진척률</t>
        </is>
      </c>
    </row>
    <row r="26">
      <c r="B26" s="127" t="n">
        <v>110</v>
      </c>
      <c r="D26" s="129" t="inlineStr">
        <is>
          <t>%Work Complete(B)</t>
        </is>
      </c>
      <c r="E26" s="129" t="inlineStr">
        <is>
          <t>실적 진척률(B)</t>
        </is>
      </c>
      <c r="F26" s="129" t="inlineStr">
        <is>
          <t>실적 진척률(B)</t>
        </is>
      </c>
    </row>
    <row r="27">
      <c r="B27" s="127" t="n">
        <v>111</v>
      </c>
      <c r="D27" s="129" t="inlineStr">
        <is>
          <t>%Work Complete(C/A)</t>
        </is>
      </c>
      <c r="E27" s="129" t="inlineStr">
        <is>
          <t>실적(C/A)</t>
        </is>
      </c>
      <c r="F27" s="129" t="inlineStr">
        <is>
          <t>실적(C/A)</t>
        </is>
      </c>
    </row>
    <row r="28">
      <c r="A28" s="131" t="n"/>
      <c r="B28" s="127" t="n">
        <v>112</v>
      </c>
      <c r="C28" s="132" t="inlineStr">
        <is>
          <t>for import columun</t>
        </is>
      </c>
      <c r="D28" s="130" t="inlineStr">
        <is>
          <t>%Work__Complete</t>
        </is>
      </c>
      <c r="E28" s="130" t="inlineStr">
        <is>
          <t>실적</t>
        </is>
      </c>
      <c r="F28" s="130" t="inlineStr">
        <is>
          <t>실적</t>
        </is>
      </c>
    </row>
    <row r="29">
      <c r="B29" s="127" t="n">
        <v>113</v>
      </c>
      <c r="D29" s="129" t="inlineStr">
        <is>
          <t>%Work\nComplete</t>
        </is>
      </c>
      <c r="E29" s="129" t="inlineStr">
        <is>
          <t>실적</t>
        </is>
      </c>
      <c r="F29" s="129" t="inlineStr">
        <is>
          <t>실적</t>
        </is>
      </c>
    </row>
    <row r="30">
      <c r="B30" s="127" t="n">
        <v>114</v>
      </c>
      <c r="C30" s="128" t="inlineStr">
        <is>
          <t>for help sheet</t>
        </is>
      </c>
      <c r="D30" s="129" t="inlineStr">
        <is>
          <t>(Hidden sheet) Contains language-specific translations.</t>
        </is>
      </c>
      <c r="E30" s="129" t="inlineStr">
        <is>
          <t>(숨겨진 시트) 언어별 번역이 들어 있다.</t>
        </is>
      </c>
      <c r="F30" s="129" t="inlineStr">
        <is>
          <t>(숨겨진 시트) 언어별 번역이 들어 있다.</t>
        </is>
      </c>
    </row>
    <row r="31">
      <c r="B31" s="127" t="n">
        <v>115</v>
      </c>
      <c r="D31" s="129" t="inlineStr">
        <is>
          <t>(Resources unspecified)</t>
        </is>
      </c>
      <c r="E31" s="129" t="inlineStr">
        <is>
          <t>(담당자미지정)</t>
        </is>
      </c>
      <c r="F31" s="129" t="inlineStr">
        <is>
          <t>(담당자미지정)</t>
        </is>
      </c>
    </row>
    <row r="32">
      <c r="B32" s="127" t="n">
        <v>116</v>
      </c>
      <c r="D32" s="129" t="inlineStr">
        <is>
          <t>* Automactically calulated if you click the "Update Schedule" button</t>
        </is>
      </c>
      <c r="E32" s="129" t="inlineStr">
        <is>
          <t>* "스케줄업데이트" 버튼 클릭 시 아래 항목이 자동계산됩니다.</t>
        </is>
      </c>
      <c r="F32" s="129" t="inlineStr">
        <is>
          <t>* "스케줄업데이트" 버튼 클릭 시 아래 항목이 자동계산됩니다.</t>
        </is>
      </c>
    </row>
    <row r="33">
      <c r="B33" s="127" t="n">
        <v>117</v>
      </c>
      <c r="D33" s="129" t="inlineStr">
        <is>
          <t>* Choose a language</t>
        </is>
      </c>
      <c r="E33" s="129" t="inlineStr">
        <is>
          <t>* 언어를 선택하세요</t>
        </is>
      </c>
      <c r="F33" s="129" t="inlineStr">
        <is>
          <t>* 언어를 선택하세요</t>
        </is>
      </c>
    </row>
    <row r="34" ht="24" customHeight="1">
      <c r="B34" s="127" t="n">
        <v>118</v>
      </c>
      <c r="D34" s="129" t="inlineStr">
        <is>
          <t>* Common Excel file, Not XLGantt file\n   (First row is title,from second rows are contents)\n* You can import only one file at once.</t>
        </is>
      </c>
      <c r="E34" s="129" t="inlineStr">
        <is>
          <t>* XLGantt 파일이 아닌 Excel파일(1행은 제목, 2행부터 내용이 있는 파일)\n* 자료갯수 제한 없음\n* 한번에 한개의 파일만 처리됨</t>
        </is>
      </c>
      <c r="F34" s="129" t="inlineStr">
        <is>
          <t>* XLGantt 파일이 아닌 Excel파일(1행은 제목, 2행부터 내용이 있는 파일)\n* 자료갯수 제한 없음\n* 한번에 한개의 파일만 처리됨</t>
        </is>
      </c>
    </row>
    <row r="35">
      <c r="B35" s="127" t="n">
        <v>119</v>
      </c>
      <c r="D35" s="129" t="inlineStr">
        <is>
          <t>* This sheet shows you project progresses by months.</t>
        </is>
      </c>
      <c r="E35" s="129" t="inlineStr">
        <is>
          <t>* 월별로 프로젝트 진척률을 보여줍니다.</t>
        </is>
      </c>
      <c r="F35" s="129" t="inlineStr">
        <is>
          <t>* 월별로 프로젝트 진척률을 보여줍니다.</t>
        </is>
      </c>
    </row>
    <row r="36">
      <c r="B36" s="127" t="n">
        <v>120</v>
      </c>
      <c r="D36" s="129" t="inlineStr">
        <is>
          <t>* This sheet shows you project progresses by weeks.</t>
        </is>
      </c>
      <c r="E36" s="129" t="inlineStr">
        <is>
          <t>* 주별로 프로젝트 진척률을 보여줍니다.</t>
        </is>
      </c>
      <c r="F36" s="129" t="inlineStr">
        <is>
          <t>* 주별로 프로젝트 진척률을 보여줍니다.</t>
        </is>
      </c>
    </row>
    <row r="37" ht="24" customHeight="1">
      <c r="B37" s="127" t="n">
        <v>121</v>
      </c>
      <c r="D37" s="129" t="inlineStr">
        <is>
          <t>* This sheet shows you tasks, workloads, progresses(%Work complete), etc by resources.</t>
        </is>
      </c>
      <c r="E37" s="129" t="inlineStr">
        <is>
          <t>* 담당별로 투입된 Task와 총작업량, 계획작업량, 진척작업을 Man-day로 보여주고, 계획/실적 진행률을 보여줍니다.</t>
        </is>
      </c>
      <c r="F37" s="129" t="inlineStr">
        <is>
          <t>* 담당별로 투입된 Task와 총작업량, 계획작업량, 진척작업을 Man-day로 보여주고, 계획/실적 진행률을 보여줍니다.</t>
        </is>
      </c>
    </row>
    <row r="38">
      <c r="B38" s="127" t="n">
        <v>122</v>
      </c>
      <c r="D38" s="129" t="inlineStr">
        <is>
          <t>* This sheet shows you workload allocations by resources.</t>
        </is>
      </c>
      <c r="E38" s="129" t="inlineStr">
        <is>
          <t>* 담당별 Workload를 보여줍니다.</t>
        </is>
      </c>
      <c r="F38" s="129" t="inlineStr">
        <is>
          <t>* 담당별 Workload를 보여줍니다.</t>
        </is>
      </c>
    </row>
    <row r="39">
      <c r="B39" s="127" t="n">
        <v>123</v>
      </c>
      <c r="D39" s="129" t="inlineStr">
        <is>
          <t>* This sheet shows you workload allocations by weeks or months.</t>
        </is>
      </c>
      <c r="E39" s="129" t="inlineStr">
        <is>
          <t>* 주별 또는 월별 Workload를 보여줍니다.</t>
        </is>
      </c>
      <c r="F39" s="129" t="inlineStr">
        <is>
          <t>* 주별 또는 월별 Workload를 보여줍니다.</t>
        </is>
      </c>
    </row>
    <row r="40">
      <c r="B40" s="127" t="n">
        <v>124</v>
      </c>
      <c r="D40" s="129" t="inlineStr">
        <is>
          <t>* This sheet shows you workload and %Work complete.</t>
        </is>
      </c>
      <c r="E40" s="129" t="inlineStr">
        <is>
          <t>* 프로젝트 작업량과 진척률을 보여줍니다.</t>
        </is>
      </c>
      <c r="F40" s="129" t="inlineStr">
        <is>
          <t>* 프로젝트 작업량과 진척률을 보여줍니다.</t>
        </is>
      </c>
    </row>
    <row r="41" ht="24" customHeight="1">
      <c r="B41" s="127" t="n">
        <v>125</v>
      </c>
      <c r="D41" s="129" t="inlineStr">
        <is>
          <t>* You need to click the "Progress by Months" button to update the contents.</t>
        </is>
      </c>
      <c r="E41" s="129" t="inlineStr">
        <is>
          <t>* "진척률(월별)" 메뉴를 클릭해야 갱신됨</t>
        </is>
      </c>
      <c r="F41" s="129" t="inlineStr">
        <is>
          <t>* "진척률(월별)" 메뉴를 클릭해야 갱신됨</t>
        </is>
      </c>
    </row>
    <row r="42" ht="24" customHeight="1">
      <c r="B42" s="127" t="n">
        <v>126</v>
      </c>
      <c r="D42" s="129" t="inlineStr">
        <is>
          <t>* You need to click the "Progress by Weeks" button to update the contents.</t>
        </is>
      </c>
      <c r="E42" s="129" t="inlineStr">
        <is>
          <t>* "진척률(주별)" 메뉴를 클릭해야 갱신됨</t>
        </is>
      </c>
      <c r="F42" s="129" t="inlineStr">
        <is>
          <t>* "진척률(주별)" 메뉴를 클릭해야 갱신됨</t>
        </is>
      </c>
    </row>
    <row r="43" ht="24" customHeight="1">
      <c r="B43" s="127" t="n">
        <v>127</v>
      </c>
      <c r="D43" s="129" t="inlineStr">
        <is>
          <t>* You need to click the "Progresses by Resources" button to update contents.</t>
        </is>
      </c>
      <c r="E43" s="129" t="inlineStr">
        <is>
          <t>* "담당별진행률" 메뉴를 클릭해야 내용이 갱신됩니다.</t>
        </is>
      </c>
      <c r="F43" s="129" t="inlineStr">
        <is>
          <t>* "담당별진행률" 메뉴를 클릭해야 내용이 갱신됩니다.</t>
        </is>
      </c>
    </row>
    <row r="44" ht="24" customHeight="1">
      <c r="B44" s="127" t="n">
        <v>128</v>
      </c>
      <c r="D44" s="129" t="inlineStr">
        <is>
          <t>* You need to click the "Workloads by Resources" button to update the contents.</t>
        </is>
      </c>
      <c r="E44" s="129" t="inlineStr">
        <is>
          <t>* "Workload(담당별)" 메뉴를 클릭해야 내용이 갱신됩니다.</t>
        </is>
      </c>
      <c r="F44" s="129" t="inlineStr">
        <is>
          <t>* "Workload(담당별)" 메뉴를 클릭해야 내용이 갱신됩니다.</t>
        </is>
      </c>
    </row>
    <row r="45" ht="24" customHeight="1">
      <c r="B45" s="127" t="n">
        <v>129</v>
      </c>
      <c r="D45" s="129" t="inlineStr">
        <is>
          <t>* You need to click the "Workloads by Weeks" or "Workloads by Months" button to update the contents.</t>
        </is>
      </c>
      <c r="E45" s="129" t="inlineStr">
        <is>
          <t>* "Workload(주별)" 또는 "Workload(월별)" 메뉴를 클릭해야 내용이 갱신됩니다.</t>
        </is>
      </c>
      <c r="F45" s="129" t="inlineStr">
        <is>
          <t>* "Workload(주별)" 또는 "Workload(월별)" 메뉴를 클릭해야 내용이 갱신됩니다.</t>
        </is>
      </c>
    </row>
    <row r="46">
      <c r="B46" s="127" t="n">
        <v>130</v>
      </c>
      <c r="D46" s="129" t="inlineStr">
        <is>
          <t>{} "Outlook Appointment(s)" have been added.</t>
        </is>
      </c>
      <c r="E46" s="129" t="inlineStr">
        <is>
          <t>Outlook일정이 {}건 등록되었습니다.</t>
        </is>
      </c>
      <c r="F46" s="129" t="inlineStr">
        <is>
          <t>Outlook일정이 {}건 등록되었습니다.</t>
        </is>
      </c>
    </row>
    <row r="47">
      <c r="B47" s="127" t="n">
        <v>131</v>
      </c>
      <c r="D47" s="129" t="inlineStr">
        <is>
          <t>{} "Outlook Task(s)" have been added.</t>
        </is>
      </c>
      <c r="E47" s="129" t="inlineStr">
        <is>
          <t>Outlook작업이 {}건 등록되었습니다.</t>
        </is>
      </c>
      <c r="F47" s="129" t="inlineStr">
        <is>
          <t>Outlook작업이 {}건 등록되었습니다.</t>
        </is>
      </c>
    </row>
    <row r="48">
      <c r="B48" s="127" t="n">
        <v>132</v>
      </c>
      <c r="D48" s="129" t="inlineStr">
        <is>
          <t>{} file does not exist.</t>
        </is>
      </c>
      <c r="E48" s="129" t="inlineStr">
        <is>
          <t>{} 파일이 존재하지 않습니다</t>
        </is>
      </c>
      <c r="F48" s="129" t="inlineStr">
        <is>
          <t>{} 파일이 존재하지 않습니다</t>
        </is>
      </c>
    </row>
    <row r="49">
      <c r="B49" s="127" t="n">
        <v>133</v>
      </c>
      <c r="D49" s="129" t="inlineStr">
        <is>
          <t>&lt;&lt; Remove</t>
        </is>
      </c>
      <c r="E49" s="129" t="inlineStr">
        <is>
          <t>&lt;&lt; 제거</t>
        </is>
      </c>
      <c r="F49" s="129" t="inlineStr">
        <is>
          <t>&lt;&lt; 제거</t>
        </is>
      </c>
    </row>
    <row r="50">
      <c r="B50" s="127" t="n">
        <v>134</v>
      </c>
      <c r="D50" s="129" t="inlineStr">
        <is>
          <t>&lt;&lt; Unmap</t>
        </is>
      </c>
      <c r="E50" s="129" t="inlineStr">
        <is>
          <t>&lt;&lt; Mapping취소</t>
        </is>
      </c>
      <c r="F50" s="129" t="inlineStr">
        <is>
          <t>&lt;&lt; Mapping취소</t>
        </is>
      </c>
    </row>
    <row r="51">
      <c r="B51" s="127" t="n">
        <v>135</v>
      </c>
      <c r="D51" s="130" t="inlineStr">
        <is>
          <t>12/1/2018</t>
        </is>
      </c>
      <c r="E51" s="133" t="n">
        <v>43435</v>
      </c>
      <c r="F51" s="133" t="n">
        <v>43435</v>
      </c>
    </row>
    <row r="52">
      <c r="B52" s="127" t="n">
        <v>136</v>
      </c>
      <c r="D52" s="130" t="inlineStr">
        <is>
          <t>12/31/2018</t>
        </is>
      </c>
      <c r="E52" s="133" t="n">
        <v>43465</v>
      </c>
      <c r="F52" s="133" t="n">
        <v>43465</v>
      </c>
    </row>
    <row r="53">
      <c r="B53" s="127" t="n">
        <v>137</v>
      </c>
      <c r="D53" s="129" t="inlineStr">
        <is>
          <t>About</t>
        </is>
      </c>
      <c r="E53" s="129" t="inlineStr">
        <is>
          <t>About</t>
        </is>
      </c>
      <c r="F53" s="129" t="inlineStr">
        <is>
          <t>About</t>
        </is>
      </c>
    </row>
    <row r="54">
      <c r="B54" s="127" t="n">
        <v>138</v>
      </c>
      <c r="D54" s="129" t="inlineStr">
        <is>
          <t>Accumulated\nMan-Day</t>
        </is>
      </c>
      <c r="E54" s="129" t="inlineStr">
        <is>
          <t>누적\nMan-Day</t>
        </is>
      </c>
      <c r="F54" s="129" t="inlineStr">
        <is>
          <t>누적\nMan-Day</t>
        </is>
      </c>
    </row>
    <row r="55">
      <c r="B55" s="127" t="n">
        <v>139</v>
      </c>
      <c r="C55" s="128" t="inlineStr">
        <is>
          <t>manual input</t>
        </is>
      </c>
      <c r="D55" s="129" t="inlineStr">
        <is>
          <t>Actual</t>
        </is>
      </c>
      <c r="E55" s="129" t="inlineStr">
        <is>
          <t>실적</t>
        </is>
      </c>
      <c r="F55" s="129" t="inlineStr">
        <is>
          <t>실적</t>
        </is>
      </c>
    </row>
    <row r="56" ht="24" customHeight="1">
      <c r="B56" s="127" t="n">
        <v>140</v>
      </c>
      <c r="D56" s="129" t="inlineStr">
        <is>
          <t>Actual %Complete is invalid. Enter a number only. Verify row {} of the source file.</t>
        </is>
      </c>
      <c r="E56" s="129" t="inlineStr">
        <is>
          <t>실적진척률에 숫자가 아닌 값이 포함되어 있습니다. Import하는 파일의 {}행을 확인하세요.</t>
        </is>
      </c>
      <c r="F56" s="129" t="inlineStr">
        <is>
          <t>실적진척률에 숫자가 아닌 값이 포함되어 있습니다. Import하는 파일의 {}행을 확인하세요.</t>
        </is>
      </c>
    </row>
    <row r="57" ht="24" customHeight="1">
      <c r="B57" s="127" t="n">
        <v>141</v>
      </c>
      <c r="D57" s="129" t="inlineStr">
        <is>
          <t>Actual %Work Complete from the start date to the current date</t>
        </is>
      </c>
      <c r="E57" s="145" t="inlineStr">
        <is>
          <t>현재날짜까지 실제로 진행된 진척률, WBS의 "실적진척률"의 전체 합계 진척률을 표시</t>
        </is>
      </c>
      <c r="F57" s="145" t="inlineStr">
        <is>
          <t>현재날짜까지 실제로 진행된 진척률, WBS의 "실적진척률"의 전체 합계 진척률을 표시</t>
        </is>
      </c>
    </row>
    <row r="58">
      <c r="B58" s="127" t="n">
        <v>142</v>
      </c>
      <c r="D58" s="129" t="inlineStr">
        <is>
          <t>Actual Accumulated\nMan-Day</t>
        </is>
      </c>
      <c r="E58" s="129" t="inlineStr">
        <is>
          <t>실제 누적\nMan-Day</t>
        </is>
      </c>
      <c r="F58" s="129" t="inlineStr">
        <is>
          <t>실제 누적\nMan-Day</t>
        </is>
      </c>
    </row>
    <row r="59">
      <c r="B59" s="127" t="n">
        <v>143</v>
      </c>
      <c r="C59" s="128" t="inlineStr">
        <is>
          <t>for importOnStartup</t>
        </is>
      </c>
      <c r="D59" s="126" t="inlineStr">
        <is>
          <t>Actual Finish</t>
        </is>
      </c>
      <c r="E59" s="134" t="inlineStr">
        <is>
          <t>실제완료일</t>
        </is>
      </c>
      <c r="F59" s="134" t="inlineStr">
        <is>
          <t>실제완료일</t>
        </is>
      </c>
    </row>
    <row r="60">
      <c r="B60" s="127" t="n">
        <v>144</v>
      </c>
      <c r="D60" s="129" t="inlineStr">
        <is>
          <t>Actual Finish Date</t>
        </is>
      </c>
      <c r="E60" s="129" t="inlineStr">
        <is>
          <t>실제완료일자</t>
        </is>
      </c>
      <c r="F60" s="129" t="inlineStr">
        <is>
          <t>실제완료일자</t>
        </is>
      </c>
    </row>
    <row r="61" ht="24" customHeight="1">
      <c r="B61" s="127" t="n">
        <v>145</v>
      </c>
      <c r="D61" s="129" t="inlineStr">
        <is>
          <t>Actual finish date field of a task. It must be in date format.</t>
        </is>
      </c>
      <c r="E61" s="129" t="inlineStr">
        <is>
          <t>각 작업의 실제완료일(또는 실제종료일)을 표시합니다. 반드시 날짜 형식이어야 합니다.</t>
        </is>
      </c>
      <c r="F61" s="129" t="inlineStr">
        <is>
          <t>각 작업의 실제완료일(또는 실제종료일)을 표시합니다. 반드시 날짜 형식이어야 합니다.</t>
        </is>
      </c>
    </row>
    <row r="62">
      <c r="B62" s="127" t="n">
        <v>146</v>
      </c>
      <c r="D62" s="129" t="inlineStr">
        <is>
          <t>Actual finish date is invalid.</t>
        </is>
      </c>
      <c r="E62" s="129" t="inlineStr">
        <is>
          <t>실제완료일의 날짜형식이 잘못되었습니다.</t>
        </is>
      </c>
      <c r="F62" s="129" t="inlineStr">
        <is>
          <t>실제완료일의 날짜형식이 잘못되었습니다.</t>
        </is>
      </c>
    </row>
    <row r="63" ht="24" customHeight="1">
      <c r="B63" s="127" t="n">
        <v>147</v>
      </c>
      <c r="D63" s="129" t="inlineStr">
        <is>
          <t>Actual finish date is invalid. Verify row {} of the source file.</t>
        </is>
      </c>
      <c r="E63" s="129" t="inlineStr">
        <is>
          <t>실제완료일자에 날짜가 아닌 값이 포함되어 있습니다. Import하는 파일의 {}행을 확인하세요.</t>
        </is>
      </c>
      <c r="F63" s="129" t="inlineStr">
        <is>
          <t>실제완료일자에 날짜가 아닌 값이 포함되어 있습니다. Import하는 파일의 {}행을 확인하세요.</t>
        </is>
      </c>
    </row>
    <row r="64">
      <c r="B64" s="127" t="n">
        <v>148</v>
      </c>
      <c r="D64" s="129" t="inlineStr">
        <is>
          <t>Actual Man-Day</t>
        </is>
      </c>
      <c r="E64" s="129" t="inlineStr">
        <is>
          <t>실제 Man-Day</t>
        </is>
      </c>
      <c r="F64" s="129" t="inlineStr">
        <is>
          <t>실제 Man-Day</t>
        </is>
      </c>
    </row>
    <row r="65">
      <c r="B65" s="127" t="n">
        <v>149</v>
      </c>
      <c r="D65" s="129" t="inlineStr">
        <is>
          <t>Actual Progress</t>
        </is>
      </c>
      <c r="E65" s="129" t="inlineStr">
        <is>
          <t>실제진척률</t>
        </is>
      </c>
      <c r="F65" s="129" t="inlineStr">
        <is>
          <t>실제진척률</t>
        </is>
      </c>
    </row>
    <row r="66">
      <c r="B66" s="127" t="n">
        <v>150</v>
      </c>
      <c r="D66" s="129" t="inlineStr">
        <is>
          <t>Actual progress rate(%Work Complete) field.</t>
        </is>
      </c>
      <c r="E66" s="129" t="inlineStr">
        <is>
          <t>실제진척률 필드입니다. 현재까지 실제 진척된 작업량을 %로 표현합니다.</t>
        </is>
      </c>
      <c r="F66" s="129" t="inlineStr">
        <is>
          <t>실제진척률 필드입니다. 현재까지 실제 진척된 작업량을 %로 표현합니다.</t>
        </is>
      </c>
    </row>
    <row r="67">
      <c r="B67" s="127" t="n">
        <v>151</v>
      </c>
      <c r="C67" s="128" t="inlineStr">
        <is>
          <t>for importOnStartup</t>
        </is>
      </c>
      <c r="D67" s="126" t="inlineStr">
        <is>
          <t>Actual Start</t>
        </is>
      </c>
      <c r="E67" s="134" t="inlineStr">
        <is>
          <t>실제시작일</t>
        </is>
      </c>
      <c r="F67" s="134" t="inlineStr">
        <is>
          <t>실제시작일</t>
        </is>
      </c>
    </row>
    <row r="68">
      <c r="B68" s="127" t="n">
        <v>152</v>
      </c>
      <c r="D68" s="129" t="inlineStr">
        <is>
          <t>Actual Start Date</t>
        </is>
      </c>
      <c r="E68" s="129" t="inlineStr">
        <is>
          <t>실제시작일자</t>
        </is>
      </c>
      <c r="F68" s="129" t="inlineStr">
        <is>
          <t>실제시작일자</t>
        </is>
      </c>
    </row>
    <row r="69">
      <c r="B69" s="127" t="n">
        <v>153</v>
      </c>
      <c r="D69" s="129" t="inlineStr">
        <is>
          <t>Actual start date field of a task. It must be in date format.</t>
        </is>
      </c>
      <c r="E69" s="129" t="inlineStr">
        <is>
          <t>각 작업의 실제시작일을 표시합니다. 반드시 날짜 형식이어야 합니다.</t>
        </is>
      </c>
      <c r="F69" s="129" t="inlineStr">
        <is>
          <t>각 작업의 실제시작일을 표시합니다. 반드시 날짜 형식이어야 합니다.</t>
        </is>
      </c>
    </row>
    <row r="70">
      <c r="B70" s="127" t="n">
        <v>154</v>
      </c>
      <c r="D70" s="129" t="inlineStr">
        <is>
          <t>Actual start date is invalid.</t>
        </is>
      </c>
      <c r="E70" s="129" t="inlineStr">
        <is>
          <t>실제시작일의 날짜형식이 잘못되었습니다.</t>
        </is>
      </c>
      <c r="F70" s="129" t="inlineStr">
        <is>
          <t>실제시작일의 날짜형식이 잘못되었습니다.</t>
        </is>
      </c>
    </row>
    <row r="71" ht="24" customHeight="1">
      <c r="B71" s="127" t="n">
        <v>155</v>
      </c>
      <c r="D71" s="129" t="inlineStr">
        <is>
          <t>Actual start date is invalid. Verify row {} of the source file.</t>
        </is>
      </c>
      <c r="E71" s="129" t="inlineStr">
        <is>
          <t>실제시작일자에 날짜가 아닌 값이 포함되어 있습니다. Import하는 파일의 {}행을 확인하세요.</t>
        </is>
      </c>
      <c r="F71" s="129" t="inlineStr">
        <is>
          <t>실제시작일자에 날짜가 아닌 값이 포함되어 있습니다. Import하는 파일의 {}행을 확인하세요.</t>
        </is>
      </c>
    </row>
    <row r="72">
      <c r="B72" s="127" t="n">
        <v>156</v>
      </c>
      <c r="C72" s="128" t="inlineStr">
        <is>
          <t>for importOnStartup</t>
        </is>
      </c>
      <c r="D72" s="126" t="inlineStr">
        <is>
          <t>Actual Total Duration</t>
        </is>
      </c>
      <c r="E72" s="134" t="inlineStr">
        <is>
          <t>실제총기간</t>
        </is>
      </c>
      <c r="F72" s="134" t="inlineStr">
        <is>
          <t>실제총기간</t>
        </is>
      </c>
    </row>
    <row r="73">
      <c r="B73" s="127" t="n">
        <v>157</v>
      </c>
      <c r="C73" s="128" t="inlineStr">
        <is>
          <t>for importOnStartup</t>
        </is>
      </c>
      <c r="D73" s="126" t="inlineStr">
        <is>
          <t>Actual Total Work</t>
        </is>
      </c>
      <c r="E73" s="134" t="inlineStr">
        <is>
          <t>실제총작업량</t>
        </is>
      </c>
      <c r="F73" s="134" t="inlineStr">
        <is>
          <t>실제총작업량</t>
        </is>
      </c>
    </row>
    <row r="74">
      <c r="B74" s="127" t="n">
        <v>158</v>
      </c>
      <c r="D74" s="129" t="inlineStr">
        <is>
          <t>Actual Total Work\nMan-day</t>
        </is>
      </c>
      <c r="E74" s="129" t="inlineStr">
        <is>
          <t>실제 총작업량\nMan-day</t>
        </is>
      </c>
      <c r="F74" s="129" t="inlineStr">
        <is>
          <t>실제 총작업량\nMan-day</t>
        </is>
      </c>
    </row>
    <row r="75">
      <c r="A75" s="135" t="n"/>
      <c r="B75" s="127" t="n">
        <v>159</v>
      </c>
      <c r="C75" s="132" t="inlineStr">
        <is>
          <t>for import columun</t>
        </is>
      </c>
      <c r="D75" s="130" t="inlineStr">
        <is>
          <t>Actual Total__Duration</t>
        </is>
      </c>
      <c r="E75" s="130" t="inlineStr">
        <is>
          <t>실제 총기간__(전체 기간)</t>
        </is>
      </c>
      <c r="F75" s="130" t="inlineStr">
        <is>
          <t>실제 총기간__(전체 기간)</t>
        </is>
      </c>
    </row>
    <row r="76">
      <c r="B76" s="127" t="n">
        <v>160</v>
      </c>
      <c r="D76" s="129" t="inlineStr">
        <is>
          <t>Actual Total\nDuration</t>
        </is>
      </c>
      <c r="E76" s="130" t="inlineStr">
        <is>
          <t>실제\n총기간</t>
        </is>
      </c>
      <c r="F76" s="130" t="inlineStr">
        <is>
          <t>실제\n총기간</t>
        </is>
      </c>
    </row>
    <row r="77">
      <c r="B77" s="127" t="n">
        <v>161</v>
      </c>
      <c r="D77" s="129" t="inlineStr">
        <is>
          <t>Actual Total\nWork(Total\nManDay)</t>
        </is>
      </c>
      <c r="E77" s="130" t="inlineStr">
        <is>
          <t>실제 총작업량\n(총ManDay,_x000D_자원수 감안)</t>
        </is>
      </c>
      <c r="F77" s="130" t="inlineStr">
        <is>
          <t>실제 총작업량\n(총ManDay,_x000D_자원수 감안)</t>
        </is>
      </c>
    </row>
    <row r="78">
      <c r="B78" s="127" t="n">
        <v>162</v>
      </c>
      <c r="D78" s="129" t="inlineStr">
        <is>
          <t>Actual Incurred Accumulated(Man-Day)</t>
        </is>
      </c>
      <c r="E78" s="145" t="inlineStr">
        <is>
          <t>실제투입작업량 누적(Man-Day)</t>
        </is>
      </c>
      <c r="F78" s="145" t="inlineStr">
        <is>
          <t>실제투입작업량 누적(Man-Day)</t>
        </is>
      </c>
    </row>
    <row r="79">
      <c r="B79" s="127" t="n">
        <v>163</v>
      </c>
      <c r="D79" s="129" t="inlineStr">
        <is>
          <t>Actual Incurred Progress</t>
        </is>
      </c>
      <c r="E79" s="145" t="inlineStr">
        <is>
          <t>실제투입작업량 진척률</t>
        </is>
      </c>
      <c r="F79" s="145" t="inlineStr">
        <is>
          <t>실제투입작업량 진척률</t>
        </is>
      </c>
    </row>
    <row r="80">
      <c r="B80" s="127" t="n">
        <v>164</v>
      </c>
      <c r="D80" s="129" t="inlineStr">
        <is>
          <t>Actual Incurred(Man-Day)</t>
        </is>
      </c>
      <c r="E80" s="145" t="inlineStr">
        <is>
          <t>실제투입작업량(Man-Day)</t>
        </is>
      </c>
      <c r="F80" s="145" t="inlineStr">
        <is>
          <t>실제투입작업량(Man-Day)</t>
        </is>
      </c>
    </row>
    <row r="81">
      <c r="A81" s="135" t="n"/>
      <c r="B81" s="127" t="n">
        <v>165</v>
      </c>
      <c r="C81" s="132" t="inlineStr">
        <is>
          <t>for import columun</t>
        </is>
      </c>
      <c r="D81" s="130" t="inlineStr">
        <is>
          <t>Actual__Finish</t>
        </is>
      </c>
      <c r="E81" s="130" t="inlineStr">
        <is>
          <t>실제__완료일</t>
        </is>
      </c>
      <c r="F81" s="130" t="inlineStr">
        <is>
          <t>실제__완료일</t>
        </is>
      </c>
    </row>
    <row r="82">
      <c r="A82" s="135" t="n"/>
      <c r="B82" s="127" t="n">
        <v>166</v>
      </c>
      <c r="C82" s="132" t="inlineStr">
        <is>
          <t>for import columun</t>
        </is>
      </c>
      <c r="D82" s="130" t="inlineStr">
        <is>
          <t>Actual__Start</t>
        </is>
      </c>
      <c r="E82" s="130" t="inlineStr">
        <is>
          <t>실제__시작일</t>
        </is>
      </c>
      <c r="F82" s="130" t="inlineStr">
        <is>
          <t>실제__시작일</t>
        </is>
      </c>
    </row>
    <row r="83">
      <c r="A83" s="135" t="n"/>
      <c r="B83" s="127" t="n">
        <v>167</v>
      </c>
      <c r="C83" s="132" t="inlineStr">
        <is>
          <t>for import columun</t>
        </is>
      </c>
      <c r="D83" s="130" t="inlineStr">
        <is>
          <t>Actual__Total Duration</t>
        </is>
      </c>
      <c r="E83" s="130" t="inlineStr">
        <is>
          <t>실제__총기간</t>
        </is>
      </c>
      <c r="F83" s="130" t="inlineStr">
        <is>
          <t>실제__총기간</t>
        </is>
      </c>
    </row>
    <row r="84">
      <c r="A84" s="135" t="n"/>
      <c r="B84" s="127" t="n">
        <v>168</v>
      </c>
      <c r="C84" s="132" t="inlineStr">
        <is>
          <t>for import columun</t>
        </is>
      </c>
      <c r="D84" s="130" t="inlineStr">
        <is>
          <t>Actual__Total Work</t>
        </is>
      </c>
      <c r="E84" s="130" t="inlineStr">
        <is>
          <t>실제__총작업량</t>
        </is>
      </c>
      <c r="F84" s="130" t="inlineStr">
        <is>
          <t>실제__총작업량</t>
        </is>
      </c>
    </row>
    <row r="85">
      <c r="B85" s="127" t="n">
        <v>169</v>
      </c>
      <c r="D85" s="129" t="inlineStr">
        <is>
          <t>Actual\nFinish</t>
        </is>
      </c>
      <c r="E85" s="129" t="inlineStr">
        <is>
          <t>실제\n완료일</t>
        </is>
      </c>
      <c r="F85" s="129" t="inlineStr">
        <is>
          <t>실제\n완료일</t>
        </is>
      </c>
    </row>
    <row r="86">
      <c r="B86" s="127" t="n">
        <v>170</v>
      </c>
      <c r="D86" s="129" t="inlineStr">
        <is>
          <t>Actual\nStart</t>
        </is>
      </c>
      <c r="E86" s="129" t="inlineStr">
        <is>
          <t>실제\n시작일</t>
        </is>
      </c>
      <c r="F86" s="129" t="inlineStr">
        <is>
          <t>실제\n시작일</t>
        </is>
      </c>
    </row>
    <row r="87">
      <c r="B87" s="127" t="n">
        <v>171</v>
      </c>
      <c r="D87" s="129" t="inlineStr">
        <is>
          <t>Actual\nStart-Finish</t>
        </is>
      </c>
      <c r="E87" s="129" t="inlineStr">
        <is>
          <t>실제_x000D_\n시작일-완료일</t>
        </is>
      </c>
      <c r="F87" s="129" t="inlineStr">
        <is>
          <t>실제_x000D_\n시작일-완료일</t>
        </is>
      </c>
    </row>
    <row r="88">
      <c r="B88" s="127" t="n">
        <v>172</v>
      </c>
      <c r="D88" s="129" t="inlineStr">
        <is>
          <t>Actual\nTotal Duration</t>
        </is>
      </c>
      <c r="E88" s="129" t="inlineStr">
        <is>
          <t>실제\n총기간</t>
        </is>
      </c>
      <c r="F88" s="129" t="inlineStr">
        <is>
          <t>실제\n총기간</t>
        </is>
      </c>
    </row>
    <row r="89">
      <c r="B89" s="127" t="n">
        <v>173</v>
      </c>
      <c r="D89" s="129" t="inlineStr">
        <is>
          <t>Actual\nTotal Work</t>
        </is>
      </c>
      <c r="E89" s="129" t="inlineStr">
        <is>
          <t>실제\n총작업량</t>
        </is>
      </c>
      <c r="F89" s="129" t="inlineStr">
        <is>
          <t>실제\n총작업량</t>
        </is>
      </c>
    </row>
    <row r="90">
      <c r="B90" s="127" t="n">
        <v>174</v>
      </c>
      <c r="D90" s="129" t="inlineStr">
        <is>
          <t>Actual Incurred workload</t>
        </is>
      </c>
      <c r="E90" s="129" t="inlineStr">
        <is>
          <t>실제 투입된 작업량</t>
        </is>
      </c>
      <c r="F90" s="129" t="inlineStr">
        <is>
          <t>실제 투입된 작업량</t>
        </is>
      </c>
    </row>
    <row r="91" ht="24" customHeight="1">
      <c r="B91" s="127" t="n">
        <v>175</v>
      </c>
      <c r="D91" s="129" t="inlineStr">
        <is>
          <t>Actual incurred workload to date when managing schedule changes (AC)</t>
        </is>
      </c>
      <c r="E91" s="145" t="inlineStr">
        <is>
          <t>일정변경 관리할 때 현재까지 실제로 투입된 작업량을 표시함 (AC)</t>
        </is>
      </c>
      <c r="F91" s="145" t="inlineStr">
        <is>
          <t>일정변경 관리할 때 현재까지 실제로 투입된 작업량을 표시함 (AC)</t>
        </is>
      </c>
    </row>
    <row r="92" ht="24" customHeight="1">
      <c r="B92" s="127" t="n">
        <v>176</v>
      </c>
      <c r="D92" s="129" t="inlineStr">
        <is>
          <t>Actually performed workload when not managing schedule changes(Total Duration x %Work Complete)</t>
        </is>
      </c>
      <c r="E92" s="145" t="inlineStr">
        <is>
          <t>일정변경관리 하지 않을 때 현재까지 실제로 진행된 작업량을 표시함(총기간 x 총실적진행률)</t>
        </is>
      </c>
      <c r="F92" s="129" t="inlineStr">
        <is>
          <t>일정변경관리 하지 않을 때 현재까지 실제로 진행된 작업기간을 표시함(총기간 x 총실적진행률)</t>
        </is>
      </c>
    </row>
    <row r="93">
      <c r="B93" s="127" t="n">
        <v>177</v>
      </c>
      <c r="D93" s="129" t="inlineStr">
        <is>
          <t>Add &gt;&gt;</t>
        </is>
      </c>
      <c r="E93" s="129" t="inlineStr">
        <is>
          <t>추가 &gt;&gt;</t>
        </is>
      </c>
      <c r="F93" s="129" t="inlineStr">
        <is>
          <t>추가 &gt;&gt;</t>
        </is>
      </c>
    </row>
    <row r="94">
      <c r="B94" s="127" t="n">
        <v>178</v>
      </c>
      <c r="D94" s="129" t="inlineStr">
        <is>
          <t>Add Languages</t>
        </is>
      </c>
      <c r="E94" s="129" t="inlineStr">
        <is>
          <t>언어 추가</t>
        </is>
      </c>
      <c r="F94" s="129" t="inlineStr">
        <is>
          <t>언어 추가</t>
        </is>
      </c>
    </row>
    <row r="95">
      <c r="B95" s="127" t="n">
        <v>179</v>
      </c>
      <c r="D95" s="129" t="inlineStr">
        <is>
          <t>Add to MS Outlook Calendar</t>
        </is>
      </c>
      <c r="E95" s="129" t="inlineStr">
        <is>
          <t>MS Outlook일정 등록</t>
        </is>
      </c>
      <c r="F95" s="129" t="inlineStr">
        <is>
          <t>MS Outlook일정 등록</t>
        </is>
      </c>
    </row>
    <row r="96">
      <c r="B96" s="127" t="n">
        <v>180</v>
      </c>
      <c r="D96" s="129" t="inlineStr">
        <is>
          <t>Add to MS Outlook Task</t>
        </is>
      </c>
      <c r="E96" s="129" t="inlineStr">
        <is>
          <t>MS Outlook작업 등록</t>
        </is>
      </c>
      <c r="F96" s="129" t="inlineStr">
        <is>
          <t>MS Outlook작업 등록</t>
        </is>
      </c>
    </row>
    <row r="97">
      <c r="B97" s="127" t="n">
        <v>181</v>
      </c>
      <c r="C97" s="128" t="inlineStr">
        <is>
          <t>for help sheet</t>
        </is>
      </c>
      <c r="D97" s="129" t="inlineStr">
        <is>
          <t>Adding Tasks to Microsoft Outlook Calendar</t>
        </is>
      </c>
      <c r="E97" s="129" t="inlineStr">
        <is>
          <t>Microsoft Outlook작업, 일정등록</t>
        </is>
      </c>
      <c r="F97" s="129" t="inlineStr">
        <is>
          <t>Microsoft Outlook작업, 일정등록</t>
        </is>
      </c>
    </row>
    <row r="98" ht="36" customHeight="1">
      <c r="B98" s="127" t="n">
        <v>182</v>
      </c>
      <c r="C98" s="128" t="inlineStr">
        <is>
          <t>for help sheet</t>
        </is>
      </c>
      <c r="D98" s="129" t="inlineStr">
        <is>
          <t>Adds tasks to the Outlook calendar(You must have Microsoft Outlook installed on your PC).</t>
        </is>
      </c>
      <c r="E98" s="129" t="inlineStr">
        <is>
          <t>엑셀간트에서는 Schedule시트에 입력되어 있는 작업을 Microsoft Outlook에 작업이나 일정으로 등록할 수 있는 기능을 제공한다(단, PC에 Microsoft Outlook이 설치되어 있어야 한다).</t>
        </is>
      </c>
      <c r="F98" s="129" t="inlineStr">
        <is>
          <t>엑셀간트에서는 Schedule시트에 입력되어 있는 작업을 Microsoft Outlook에 작업이나 일정으로 등록할 수 있는 기능을 제공한다(단, PC에 Microsoft Outlook이 설치되어 있어야 한다).</t>
        </is>
      </c>
    </row>
    <row r="99">
      <c r="B99" s="127" t="n">
        <v>183</v>
      </c>
      <c r="D99" s="129" t="inlineStr">
        <is>
          <t>After turning off filtering, we'll proceed.</t>
        </is>
      </c>
      <c r="E99" s="129" t="inlineStr">
        <is>
          <t>필터를 해제하고 작업을 진행합니다.</t>
        </is>
      </c>
      <c r="F99" s="129" t="inlineStr">
        <is>
          <t>필터를 해제하고 작업을 진행합니다.</t>
        </is>
      </c>
    </row>
    <row r="100">
      <c r="B100" s="127" t="n">
        <v>184</v>
      </c>
      <c r="D100" s="129" t="inlineStr">
        <is>
          <t>Ahead of schedule</t>
        </is>
      </c>
      <c r="E100" s="129" t="inlineStr">
        <is>
          <t>계획대비 빠름</t>
        </is>
      </c>
      <c r="F100" s="129" t="inlineStr">
        <is>
          <t>계획대비 빠름</t>
        </is>
      </c>
    </row>
    <row r="101">
      <c r="B101" s="127" t="n">
        <v>185</v>
      </c>
      <c r="D101" s="129" t="inlineStr">
        <is>
          <t>All tasks</t>
        </is>
      </c>
      <c r="E101" s="129" t="inlineStr">
        <is>
          <t>전체 조회(필터 해제)</t>
        </is>
      </c>
      <c r="F101" s="129" t="inlineStr">
        <is>
          <t>전체 조회(필터 해제)</t>
        </is>
      </c>
    </row>
    <row r="102" ht="24" customHeight="1">
      <c r="B102" s="127" t="n">
        <v>186</v>
      </c>
      <c r="D102" s="129" t="inlineStr">
        <is>
          <t>An error occurred while checking for updates. Please try again \nError Message: {}</t>
        </is>
      </c>
      <c r="E102" s="129" t="inlineStr">
        <is>
          <t>최신버전 확인 중 에러가 발생했습니다. 잠시 후 다시 시도하세요.\n에러메시지 : {}</t>
        </is>
      </c>
      <c r="F102" s="129" t="inlineStr">
        <is>
          <t>최신버전 확인 중 에러가 발생했습니다. 잠시 후 다시 시도하세요.\n에러메시지 : {}</t>
        </is>
      </c>
    </row>
    <row r="103" ht="24" customHeight="1">
      <c r="B103" s="127" t="n">
        <v>187</v>
      </c>
      <c r="D103" s="129" t="inlineStr">
        <is>
          <t>An error occurred while checking XLGantt cell formats. Please restart XLGantt.</t>
        </is>
      </c>
      <c r="E103" s="129" t="inlineStr">
        <is>
          <t>서식check 중 에러가 발생하였습니다. XLGantt를 종료하고 다시 시작하십시오.</t>
        </is>
      </c>
      <c r="F103" s="129" t="inlineStr">
        <is>
          <t>서식check 중 에러가 발생하였습니다. XLGantt를 종료하고 다시 시작하십시오.</t>
        </is>
      </c>
    </row>
    <row r="104" ht="24" customHeight="1">
      <c r="B104" s="127" t="n">
        <v>188</v>
      </c>
      <c r="D104" s="129" t="inlineStr">
        <is>
          <t>An error occurred while processing. Please check the messages below.</t>
        </is>
      </c>
      <c r="E104" s="129" t="inlineStr">
        <is>
          <t>처리 중 에러가 발생했습니다. 아래의 메시지를 확인하십시오.</t>
        </is>
      </c>
      <c r="F104" s="129" t="inlineStr">
        <is>
          <t>처리 중 에러가 발생했습니다. 아래의 메시지를 확인하십시오.</t>
        </is>
      </c>
    </row>
    <row r="105">
      <c r="B105" s="127" t="n">
        <v>189</v>
      </c>
      <c r="D105" s="129" t="inlineStr">
        <is>
          <t>Analysis</t>
        </is>
      </c>
      <c r="E105" s="129" t="inlineStr">
        <is>
          <t>분석</t>
        </is>
      </c>
      <c r="F105" s="129" t="inlineStr">
        <is>
          <t>분석</t>
        </is>
      </c>
    </row>
    <row r="106">
      <c r="B106" s="127" t="n">
        <v>190</v>
      </c>
      <c r="C106" s="128" t="inlineStr">
        <is>
          <t>for help sheet</t>
        </is>
      </c>
      <c r="D106" s="129" t="inlineStr">
        <is>
          <t>Analysis report</t>
        </is>
      </c>
      <c r="E106" s="129" t="inlineStr">
        <is>
          <t>분석 리포트</t>
        </is>
      </c>
      <c r="F106" s="129" t="inlineStr">
        <is>
          <t>분석 리포트</t>
        </is>
      </c>
    </row>
    <row r="107">
      <c r="B107" s="127" t="n">
        <v>191</v>
      </c>
      <c r="D107" s="129" t="inlineStr">
        <is>
          <t>Appearance</t>
        </is>
      </c>
      <c r="E107" s="129" t="inlineStr">
        <is>
          <t>모양</t>
        </is>
      </c>
      <c r="F107" s="129" t="inlineStr">
        <is>
          <t>모양</t>
        </is>
      </c>
    </row>
    <row r="108">
      <c r="B108" s="127" t="n">
        <v>192</v>
      </c>
      <c r="D108" s="129" t="inlineStr">
        <is>
          <t>Automatic</t>
        </is>
      </c>
      <c r="E108" s="129" t="inlineStr">
        <is>
          <t>자동</t>
        </is>
      </c>
      <c r="F108" s="129" t="inlineStr">
        <is>
          <t>자동</t>
        </is>
      </c>
    </row>
    <row r="109">
      <c r="B109" s="127" t="n">
        <v>193</v>
      </c>
      <c r="D109" s="129" t="inlineStr">
        <is>
          <t>Automatic Except for Data Tables</t>
        </is>
      </c>
      <c r="E109" s="129" t="inlineStr">
        <is>
          <t>데이터 표만 수동</t>
        </is>
      </c>
      <c r="F109" s="129" t="inlineStr">
        <is>
          <t>데이터 표만 수동</t>
        </is>
      </c>
    </row>
    <row r="110">
      <c r="B110" s="127" t="n">
        <v>194</v>
      </c>
      <c r="D110" s="129" t="inlineStr">
        <is>
          <t>Automatically defined</t>
        </is>
      </c>
      <c r="E110" s="129" t="inlineStr">
        <is>
          <t>자동지정</t>
        </is>
      </c>
      <c r="F110" s="129" t="inlineStr">
        <is>
          <t>자동지정</t>
        </is>
      </c>
    </row>
    <row r="111">
      <c r="B111" s="127" t="n">
        <v>195</v>
      </c>
      <c r="D111" s="129" t="inlineStr">
        <is>
          <t>Available Languages</t>
        </is>
      </c>
      <c r="E111" s="129" t="inlineStr">
        <is>
          <t>추가 가능한 언어</t>
        </is>
      </c>
      <c r="F111" s="129" t="inlineStr">
        <is>
          <t>추가 가능한 언어</t>
        </is>
      </c>
    </row>
    <row r="112">
      <c r="B112" s="127" t="n">
        <v>196</v>
      </c>
      <c r="D112" s="129" t="inlineStr">
        <is>
          <t>Bar chart Text Display Position</t>
        </is>
      </c>
      <c r="E112" s="129" t="inlineStr">
        <is>
          <t>Bar chart의 텍스트 표시 위치</t>
        </is>
      </c>
      <c r="F112" s="129" t="inlineStr">
        <is>
          <t>Bar chart의 텍스트 표시 위치</t>
        </is>
      </c>
    </row>
    <row r="113" ht="24" customHeight="1">
      <c r="B113" s="127" t="n">
        <v>197</v>
      </c>
      <c r="D113" s="129" t="inlineStr">
        <is>
          <t>Because the following task already has been added, XLGantt does not add it to "Outlook".\n\nTask Name : {1} \nDue Date : {2}</t>
        </is>
      </c>
      <c r="E113" s="129" t="inlineStr">
        <is>
          <t>다음 작업은 이미 등록되어 있으므로 등록하지 않습니다.\n\n작업명 : {1} \n기한 : {2}</t>
        </is>
      </c>
      <c r="F113" s="129" t="inlineStr">
        <is>
          <t>다음 작업은 이미 등록되어 있으므로 등록하지 않습니다.\n\n작업명 : {1} \n기한 : {2}</t>
        </is>
      </c>
    </row>
    <row r="114" ht="24" customHeight="1">
      <c r="B114" s="127" t="n">
        <v>198</v>
      </c>
      <c r="D114" s="129" t="inlineStr">
        <is>
          <t>Because the following task already has been added, XLGantt does not add it to "Outlook".\n\nTask Name : {1} \nStart Date : {2}</t>
        </is>
      </c>
      <c r="E114" s="129" t="inlineStr">
        <is>
          <t>다음 작업은 이미 등록되어 있으므로 등록하지 않습니다.\n\n작업명 : {1} \n시작일 : {2}</t>
        </is>
      </c>
      <c r="F114" s="129" t="inlineStr">
        <is>
          <t>다음 작업은 이미 등록되어 있으므로 등록하지 않습니다.\n\n작업명 : {1} \n시작일 : {2}</t>
        </is>
      </c>
    </row>
    <row r="115">
      <c r="B115" s="127" t="n">
        <v>199</v>
      </c>
      <c r="D115" s="129" t="inlineStr">
        <is>
          <t>Behind schedule</t>
        </is>
      </c>
      <c r="E115" s="129" t="inlineStr">
        <is>
          <t>일정 지연</t>
        </is>
      </c>
      <c r="F115" s="129" t="inlineStr">
        <is>
          <t>일정 지연</t>
        </is>
      </c>
    </row>
    <row r="116">
      <c r="B116" s="127" t="n">
        <v>200</v>
      </c>
      <c r="D116" s="129" t="inlineStr">
        <is>
          <t>blabla</t>
        </is>
      </c>
      <c r="E116" s="129" t="inlineStr">
        <is>
          <t>...</t>
        </is>
      </c>
      <c r="F116" s="129" t="inlineStr">
        <is>
          <t>...</t>
        </is>
      </c>
    </row>
    <row r="117">
      <c r="B117" s="127" t="n">
        <v>201</v>
      </c>
      <c r="D117" s="129" t="inlineStr">
        <is>
          <t>Black &amp; White</t>
        </is>
      </c>
      <c r="E117" s="129" t="inlineStr">
        <is>
          <t>흑백</t>
        </is>
      </c>
      <c r="F117" s="129" t="inlineStr">
        <is>
          <t>흑백</t>
        </is>
      </c>
    </row>
    <row r="118">
      <c r="B118" s="127" t="n">
        <v>202</v>
      </c>
      <c r="D118" s="129" t="inlineStr">
        <is>
          <t>By %Work Complete</t>
        </is>
      </c>
      <c r="E118" s="129" t="inlineStr">
        <is>
          <t>완료율</t>
        </is>
      </c>
      <c r="F118" s="129" t="inlineStr">
        <is>
          <t>완료율</t>
        </is>
      </c>
    </row>
    <row r="119">
      <c r="B119" s="127" t="n">
        <v>203</v>
      </c>
      <c r="D119" s="129" t="inlineStr">
        <is>
          <t>By Duration</t>
        </is>
      </c>
      <c r="E119" s="129" t="inlineStr">
        <is>
          <t>기간</t>
        </is>
      </c>
      <c r="F119" s="129" t="inlineStr">
        <is>
          <t>기간</t>
        </is>
      </c>
    </row>
    <row r="120">
      <c r="B120" s="127" t="n">
        <v>204</v>
      </c>
      <c r="D120" s="129" t="inlineStr">
        <is>
          <t>By Resource</t>
        </is>
      </c>
      <c r="E120" s="129" t="inlineStr">
        <is>
          <t>담당</t>
        </is>
      </c>
      <c r="F120" s="129" t="inlineStr">
        <is>
          <t>담당</t>
        </is>
      </c>
    </row>
    <row r="121">
      <c r="B121" s="127" t="n">
        <v>205</v>
      </c>
      <c r="D121" s="129" t="inlineStr">
        <is>
          <t>by Resource Allocation Ratio</t>
        </is>
      </c>
      <c r="E121" s="129" t="inlineStr">
        <is>
          <t>자원배정비율로 계산</t>
        </is>
      </c>
      <c r="F121" s="129" t="inlineStr">
        <is>
          <t>자원배정비율로 계산</t>
        </is>
      </c>
    </row>
    <row r="122">
      <c r="B122" s="127" t="n">
        <v>206</v>
      </c>
      <c r="D122" s="129" t="inlineStr">
        <is>
          <t>by Resource Count</t>
        </is>
      </c>
      <c r="E122" s="129" t="inlineStr">
        <is>
          <t>자원수로 계산</t>
        </is>
      </c>
      <c r="F122" s="129" t="inlineStr">
        <is>
          <t>자원수로 계산</t>
        </is>
      </c>
    </row>
    <row r="123">
      <c r="B123" s="127" t="n">
        <v>207</v>
      </c>
      <c r="D123" s="129" t="inlineStr">
        <is>
          <t>Calculation Base Date of Planned %Work Complete</t>
        </is>
      </c>
      <c r="E123" s="129" t="inlineStr">
        <is>
          <t>계획진척률 계산 기준일자</t>
        </is>
      </c>
      <c r="F123" s="129" t="inlineStr">
        <is>
          <t>계획진척률 계산 기준일자</t>
        </is>
      </c>
    </row>
    <row r="124" ht="24" customHeight="1">
      <c r="B124" s="127" t="n">
        <v>208</v>
      </c>
      <c r="D124" s="129" t="inlineStr">
        <is>
          <t>Calculation Base Date of Planned %Work Complete must be greater than or equal to project start date.</t>
        </is>
      </c>
      <c r="E124" s="129" t="inlineStr">
        <is>
          <t>계획진척률 계산 기준일자는 프로젝트 시작일보다 크거나 같아야 합니다.</t>
        </is>
      </c>
      <c r="F124" s="129" t="inlineStr">
        <is>
          <t>계획진척률 계산 기준일자는 프로젝트 시작일보다 크거나 같아야 합니다.</t>
        </is>
      </c>
    </row>
    <row r="125" ht="24" customHeight="1">
      <c r="B125" s="127" t="n">
        <v>209</v>
      </c>
      <c r="D125" s="129" t="inlineStr">
        <is>
          <t>Calculation Base Date of Planned %Work Complete must be less than or equal to project finish date.</t>
        </is>
      </c>
      <c r="E125" s="129" t="inlineStr">
        <is>
          <t>계획진척률 계산 기준일자는 프로젝트 완료일보다 작거나 같아야 합니다.</t>
        </is>
      </c>
      <c r="F125" s="129" t="inlineStr">
        <is>
          <t>계획진척률 계산 기준일자는 프로젝트 완료일보다 작거나 같아야 합니다.</t>
        </is>
      </c>
    </row>
    <row r="126">
      <c r="B126" s="127" t="n">
        <v>210</v>
      </c>
      <c r="D126" s="129" t="inlineStr">
        <is>
          <t>Calculation Options</t>
        </is>
      </c>
      <c r="E126" s="129" t="inlineStr">
        <is>
          <t>계산 옵션</t>
        </is>
      </c>
      <c r="F126" s="129" t="inlineStr">
        <is>
          <t>계산 옵션</t>
        </is>
      </c>
    </row>
    <row r="127">
      <c r="B127" s="127" t="n">
        <v>211</v>
      </c>
      <c r="D127" s="129" t="inlineStr">
        <is>
          <t>Calendar</t>
        </is>
      </c>
      <c r="E127" s="129" t="inlineStr">
        <is>
          <t>Calendar</t>
        </is>
      </c>
      <c r="F127" s="129" t="inlineStr">
        <is>
          <t>Calendar</t>
        </is>
      </c>
    </row>
    <row r="128">
      <c r="B128" s="127" t="n">
        <v>212</v>
      </c>
      <c r="D128" s="129" t="inlineStr">
        <is>
          <t>Cancel</t>
        </is>
      </c>
      <c r="E128" s="129" t="inlineStr">
        <is>
          <t>취소</t>
        </is>
      </c>
      <c r="F128" s="129" t="inlineStr">
        <is>
          <t>취소</t>
        </is>
      </c>
    </row>
    <row r="129">
      <c r="B129" s="127" t="n">
        <v>213</v>
      </c>
      <c r="D129" s="129" t="inlineStr">
        <is>
          <t>Chart</t>
        </is>
      </c>
      <c r="E129" s="129" t="inlineStr">
        <is>
          <t>차트</t>
        </is>
      </c>
      <c r="F129" s="129" t="inlineStr">
        <is>
          <t>차트</t>
        </is>
      </c>
    </row>
    <row r="130">
      <c r="B130" s="127" t="n">
        <v>214</v>
      </c>
      <c r="D130" s="129" t="inlineStr">
        <is>
          <t>Check for Updates</t>
        </is>
      </c>
      <c r="E130" s="129" t="inlineStr">
        <is>
          <t>최신버전\n확인</t>
        </is>
      </c>
      <c r="F130" s="129" t="inlineStr">
        <is>
          <t>최신버전\n확인</t>
        </is>
      </c>
    </row>
    <row r="131">
      <c r="B131" s="127" t="n">
        <v>215</v>
      </c>
      <c r="D131" s="129" t="inlineStr">
        <is>
          <t xml:space="preserve">Check for Updates on Startup </t>
        </is>
      </c>
      <c r="E131" s="129" t="inlineStr">
        <is>
          <t>프로그램 시작 시 최신버전 확인</t>
        </is>
      </c>
      <c r="F131" s="129" t="inlineStr">
        <is>
          <t>프로그램 시작 시 최신버전 확인</t>
        </is>
      </c>
    </row>
    <row r="132">
      <c r="B132" s="127" t="n">
        <v>216</v>
      </c>
      <c r="D132" s="129" t="inlineStr">
        <is>
          <t>Check if you save deliverables in specific directory</t>
        </is>
      </c>
      <c r="E132" s="129" t="inlineStr">
        <is>
          <t>산출물 관리를 할 경우에 체크하세요</t>
        </is>
      </c>
      <c r="F132" s="129" t="inlineStr">
        <is>
          <t>산출물 관리를 할 경우에 체크하세요</t>
        </is>
      </c>
    </row>
    <row r="133">
      <c r="B133" s="127" t="n">
        <v>217</v>
      </c>
      <c r="D133" s="129" t="inlineStr">
        <is>
          <t>Choose a file type to import</t>
        </is>
      </c>
      <c r="E133" s="129" t="inlineStr">
        <is>
          <t>가져올 파일 종류 선택</t>
        </is>
      </c>
      <c r="F133" s="129" t="inlineStr">
        <is>
          <t>가져올 파일 종류 선택</t>
        </is>
      </c>
    </row>
    <row r="134">
      <c r="B134" s="127" t="n">
        <v>218</v>
      </c>
      <c r="D134" s="129" t="inlineStr">
        <is>
          <t>Choose a language used in XLGantt</t>
        </is>
      </c>
      <c r="E134" s="129" t="inlineStr">
        <is>
          <t>XLGantt에서 사용할 언어 선택</t>
        </is>
      </c>
      <c r="F134" s="129" t="inlineStr">
        <is>
          <t>XLGantt에서 사용할 언어 선택</t>
        </is>
      </c>
    </row>
    <row r="135">
      <c r="B135" s="127" t="n">
        <v>219</v>
      </c>
      <c r="D135" s="129" t="inlineStr">
        <is>
          <t>Choose a language used in XLGantt.</t>
        </is>
      </c>
      <c r="E135" s="129" t="inlineStr">
        <is>
          <t>XLGantt에서 사용할 언어를 선택하세요.</t>
        </is>
      </c>
      <c r="F135" s="129" t="inlineStr">
        <is>
          <t>XLGantt에서 사용할 언어를 선택하세요.</t>
        </is>
      </c>
    </row>
    <row r="136">
      <c r="B136" s="127" t="n">
        <v>220</v>
      </c>
      <c r="D136" s="129" t="inlineStr">
        <is>
          <t>Choose a language.</t>
        </is>
      </c>
      <c r="E136" s="129" t="inlineStr">
        <is>
          <t>언어를 선택하세요</t>
        </is>
      </c>
      <c r="F136" s="129" t="inlineStr">
        <is>
          <t>언어를 선택하세요</t>
        </is>
      </c>
    </row>
    <row r="137">
      <c r="B137" s="127" t="n">
        <v>221</v>
      </c>
      <c r="D137" s="129" t="inlineStr">
        <is>
          <t>Choose an import option.</t>
        </is>
      </c>
      <c r="E137" s="129" t="inlineStr">
        <is>
          <t>가져오기 옵션을 선택하세요.</t>
        </is>
      </c>
      <c r="F137" s="129" t="inlineStr">
        <is>
          <t>가져오기 옵션을 선택하세요.</t>
        </is>
      </c>
    </row>
    <row r="138">
      <c r="B138" s="127" t="n">
        <v>222</v>
      </c>
      <c r="D138" s="129" t="inlineStr">
        <is>
          <t>Choose directly</t>
        </is>
      </c>
      <c r="E138" s="129" t="inlineStr">
        <is>
          <t>컴퓨터 O/S와 관계없이 직접 선택</t>
        </is>
      </c>
      <c r="F138" s="129" t="inlineStr">
        <is>
          <t>컴퓨터 O/S와 관계없이 직접 선택</t>
        </is>
      </c>
    </row>
    <row r="139">
      <c r="B139" s="127" t="n">
        <v>223</v>
      </c>
      <c r="D139" s="129" t="inlineStr">
        <is>
          <t>Choose the Type of Deliverables</t>
        </is>
      </c>
      <c r="E139" s="129" t="inlineStr">
        <is>
          <t>산출물 종류를 선택하세요</t>
        </is>
      </c>
      <c r="F139" s="129" t="inlineStr">
        <is>
          <t>산출물 종류를 선택하세요</t>
        </is>
      </c>
    </row>
    <row r="140">
      <c r="B140" s="127" t="n">
        <v>224</v>
      </c>
      <c r="C140" s="128" t="inlineStr">
        <is>
          <t>for importOnStartup</t>
        </is>
      </c>
      <c r="D140" s="129" t="inlineStr">
        <is>
          <t>Choose what to do after Importing Server Data</t>
        </is>
      </c>
      <c r="E140" s="129" t="inlineStr">
        <is>
          <t>서버데이터 가져온 후 수행할 작업 선택</t>
        </is>
      </c>
      <c r="F140" s="129" t="inlineStr">
        <is>
          <t>서버데이터 가져온 후 수행할 작업 선택</t>
        </is>
      </c>
    </row>
    <row r="141">
      <c r="B141" s="127" t="n">
        <v>225</v>
      </c>
      <c r="D141" s="129" t="inlineStr">
        <is>
          <t>Close</t>
        </is>
      </c>
      <c r="E141" s="129" t="inlineStr">
        <is>
          <t>닫기</t>
        </is>
      </c>
      <c r="F141" s="129" t="inlineStr">
        <is>
          <t>닫기</t>
        </is>
      </c>
    </row>
    <row r="142">
      <c r="B142" s="127" t="n">
        <v>226</v>
      </c>
      <c r="D142" s="129" t="inlineStr">
        <is>
          <t>Color Theme</t>
        </is>
      </c>
      <c r="E142" s="129" t="inlineStr">
        <is>
          <t>컬러 테마</t>
        </is>
      </c>
      <c r="F142" s="129" t="inlineStr">
        <is>
          <t>컬러 테마</t>
        </is>
      </c>
    </row>
    <row r="143">
      <c r="B143" s="127" t="n">
        <v>227</v>
      </c>
      <c r="D143" s="129" t="inlineStr">
        <is>
          <t>Completed(=100%)</t>
        </is>
      </c>
      <c r="E143" s="129" t="inlineStr">
        <is>
          <t>완료</t>
        </is>
      </c>
      <c r="F143" s="129" t="inlineStr">
        <is>
          <t>완료</t>
        </is>
      </c>
    </row>
    <row r="144">
      <c r="B144" s="127" t="n">
        <v>228</v>
      </c>
      <c r="D144" s="129" t="inlineStr">
        <is>
          <t>Contains</t>
        </is>
      </c>
      <c r="E144" s="129" t="inlineStr">
        <is>
          <t>포함</t>
        </is>
      </c>
      <c r="F144" s="129" t="inlineStr">
        <is>
          <t>포함</t>
        </is>
      </c>
    </row>
    <row r="145">
      <c r="B145" s="127" t="n">
        <v>229</v>
      </c>
      <c r="D145" s="129" t="inlineStr">
        <is>
          <t>Create Workload Data by Months</t>
        </is>
      </c>
      <c r="E145" s="129" t="inlineStr">
        <is>
          <t>Workload Data생성(월별)</t>
        </is>
      </c>
      <c r="F145" s="129" t="inlineStr">
        <is>
          <t>Workload Data생성(월별)</t>
        </is>
      </c>
    </row>
    <row r="146">
      <c r="B146" s="127" t="n">
        <v>230</v>
      </c>
      <c r="D146" s="129" t="inlineStr">
        <is>
          <t>Create Workload Data by Weeks</t>
        </is>
      </c>
      <c r="E146" s="129" t="inlineStr">
        <is>
          <t>Workload Data생성(주별)</t>
        </is>
      </c>
      <c r="F146" s="129" t="inlineStr">
        <is>
          <t>Workload Data생성(주별)</t>
        </is>
      </c>
    </row>
    <row r="147">
      <c r="B147" s="127" t="n">
        <v>231</v>
      </c>
      <c r="D147" s="129" t="inlineStr">
        <is>
          <t>Current Version</t>
        </is>
      </c>
      <c r="E147" s="129" t="inlineStr">
        <is>
          <t>현재 사용중인 버전</t>
        </is>
      </c>
      <c r="F147" s="129" t="inlineStr">
        <is>
          <t>현재 사용중인 버전</t>
        </is>
      </c>
    </row>
    <row r="148">
      <c r="B148" s="127" t="n">
        <v>232</v>
      </c>
      <c r="D148" s="129" t="inlineStr">
        <is>
          <t>Custom</t>
        </is>
      </c>
      <c r="E148" s="129" t="inlineStr">
        <is>
          <t>사용자 정의</t>
        </is>
      </c>
      <c r="F148" s="129" t="inlineStr">
        <is>
          <t>사용자 정의</t>
        </is>
      </c>
    </row>
    <row r="149">
      <c r="B149" s="127" t="n">
        <v>233</v>
      </c>
      <c r="D149" s="129" t="inlineStr">
        <is>
          <t>Daily</t>
        </is>
      </c>
      <c r="E149" s="129" t="inlineStr">
        <is>
          <t>일별</t>
        </is>
      </c>
      <c r="F149" s="129" t="inlineStr">
        <is>
          <t>일별</t>
        </is>
      </c>
    </row>
    <row r="150">
      <c r="B150" s="127" t="n">
        <v>234</v>
      </c>
      <c r="D150" s="129" t="inlineStr">
        <is>
          <t>Daily view</t>
        </is>
      </c>
      <c r="E150" s="129" t="inlineStr">
        <is>
          <t>일별보기</t>
        </is>
      </c>
      <c r="F150" s="129" t="inlineStr">
        <is>
          <t>일별보기</t>
        </is>
      </c>
    </row>
    <row r="151">
      <c r="B151" s="127" t="n">
        <v>235</v>
      </c>
      <c r="D151" s="129" t="inlineStr">
        <is>
          <t>Days (Average number of working days per month)</t>
        </is>
      </c>
      <c r="E151" s="129" t="inlineStr">
        <is>
          <t>일 (월평균 근무일수)</t>
        </is>
      </c>
      <c r="F151" s="129" t="inlineStr">
        <is>
          <t>일 (월평균 근무일수)</t>
        </is>
      </c>
    </row>
    <row r="152">
      <c r="B152" s="127" t="n">
        <v>236</v>
      </c>
      <c r="D152" s="129" t="inlineStr">
        <is>
          <t xml:space="preserve">Days counted as Nonworking days </t>
        </is>
      </c>
      <c r="E152" s="129" t="inlineStr">
        <is>
          <t>휴무일로 계산되는 날</t>
        </is>
      </c>
      <c r="F152" s="129" t="inlineStr">
        <is>
          <t>휴무일로 계산되는 날</t>
        </is>
      </c>
    </row>
    <row r="153">
      <c r="B153" s="127" t="n">
        <v>237</v>
      </c>
      <c r="D153" s="129" t="inlineStr">
        <is>
          <t>Basic</t>
        </is>
      </c>
      <c r="E153" s="129" t="inlineStr">
        <is>
          <t>기본</t>
        </is>
      </c>
      <c r="F153" s="129" t="inlineStr">
        <is>
          <t>기본</t>
        </is>
      </c>
    </row>
    <row r="154">
      <c r="B154" s="127" t="n">
        <v>238</v>
      </c>
      <c r="D154" s="129" t="inlineStr">
        <is>
          <t>Deliverables</t>
        </is>
      </c>
      <c r="E154" s="129" t="inlineStr">
        <is>
          <t>산출물</t>
        </is>
      </c>
      <c r="F154" s="129" t="inlineStr">
        <is>
          <t>산출물</t>
        </is>
      </c>
    </row>
    <row r="155">
      <c r="B155" s="127" t="n">
        <v>239</v>
      </c>
      <c r="D155" s="129" t="inlineStr">
        <is>
          <t>Deliverables field.</t>
        </is>
      </c>
      <c r="E155" s="129" t="inlineStr">
        <is>
          <t>산출물 필드입니다.</t>
        </is>
      </c>
      <c r="F155" s="129" t="inlineStr">
        <is>
          <t>산출물 필드입니다.</t>
        </is>
      </c>
    </row>
    <row r="156">
      <c r="B156" s="127" t="n">
        <v>240</v>
      </c>
      <c r="D156" s="129" t="inlineStr">
        <is>
          <t>Deliverables type is not selected</t>
        </is>
      </c>
      <c r="E156" s="129" t="inlineStr">
        <is>
          <t>산출물 종류가 선택되지 않았습니다</t>
        </is>
      </c>
      <c r="F156" s="129" t="inlineStr">
        <is>
          <t>산출물 종류가 선택되지 않았습니다</t>
        </is>
      </c>
    </row>
    <row r="157">
      <c r="B157" s="127" t="n">
        <v>241</v>
      </c>
      <c r="D157" s="129" t="inlineStr">
        <is>
          <t>Display  % Work Complete</t>
        </is>
      </c>
      <c r="E157" s="129" t="inlineStr">
        <is>
          <t>실적진척률 표시</t>
        </is>
      </c>
      <c r="F157" s="129" t="inlineStr">
        <is>
          <t>실적진척률 표시</t>
        </is>
      </c>
    </row>
    <row r="158">
      <c r="B158" s="127" t="n">
        <v>242</v>
      </c>
      <c r="D158" s="129" t="inlineStr">
        <is>
          <t>Display date</t>
        </is>
      </c>
      <c r="E158" s="129" t="inlineStr">
        <is>
          <t>날짜 표시</t>
        </is>
      </c>
      <c r="F158" s="129" t="inlineStr">
        <is>
          <t>날짜 표시</t>
        </is>
      </c>
    </row>
    <row r="159">
      <c r="B159" s="127" t="n">
        <v>243</v>
      </c>
      <c r="D159" s="129" t="inlineStr">
        <is>
          <t>Display date on the timescale</t>
        </is>
      </c>
      <c r="E159" s="129" t="inlineStr">
        <is>
          <t>간트차트 눈금에 날짜 표시</t>
        </is>
      </c>
      <c r="F159" s="129" t="inlineStr">
        <is>
          <t>간트차트 눈금에 날짜 표시</t>
        </is>
      </c>
    </row>
    <row r="160">
      <c r="B160" s="127" t="n">
        <v>244</v>
      </c>
      <c r="D160" s="129" t="inlineStr">
        <is>
          <t>Display font color to gray for the completed tasks</t>
        </is>
      </c>
      <c r="E160" s="129" t="inlineStr">
        <is>
          <t>완료된 작업의 폰트색상 회색표시</t>
        </is>
      </c>
      <c r="F160" s="129" t="inlineStr">
        <is>
          <t>완료된 작업의 폰트색상 회색표시</t>
        </is>
      </c>
    </row>
    <row r="161">
      <c r="B161" s="127" t="n">
        <v>245</v>
      </c>
      <c r="D161" s="129" t="inlineStr">
        <is>
          <t>Display interior color to gray for the task groups</t>
        </is>
      </c>
      <c r="E161" s="129" t="inlineStr">
        <is>
          <t>작업그룹의 배경색 회색표시</t>
        </is>
      </c>
      <c r="F161" s="129" t="inlineStr">
        <is>
          <t>작업그룹의 배경색 회색표시</t>
        </is>
      </c>
    </row>
    <row r="162">
      <c r="B162" s="127" t="n">
        <v>246</v>
      </c>
      <c r="D162" s="129" t="inlineStr">
        <is>
          <t>Display Planned %Work Complete</t>
        </is>
      </c>
      <c r="E162" s="129" t="inlineStr">
        <is>
          <t>계획진척률 표시</t>
        </is>
      </c>
      <c r="F162" s="129" t="inlineStr">
        <is>
          <t>계획진척률 표시</t>
        </is>
      </c>
    </row>
    <row r="163">
      <c r="B163" s="127" t="n">
        <v>247</v>
      </c>
      <c r="D163" s="129" t="inlineStr">
        <is>
          <t>Display project week number on the timescale</t>
        </is>
      </c>
      <c r="E163" s="129" t="inlineStr">
        <is>
          <t>간트차트 눈금에 프로젝트 주차 표시</t>
        </is>
      </c>
      <c r="F163" s="129" t="inlineStr">
        <is>
          <t>간트차트 눈금에 프로젝트 주차 표시</t>
        </is>
      </c>
    </row>
    <row r="164">
      <c r="B164" s="127" t="n">
        <v>248</v>
      </c>
      <c r="D164" s="129" t="inlineStr">
        <is>
          <t>Display resource</t>
        </is>
      </c>
      <c r="E164" s="129" t="inlineStr">
        <is>
          <t>담당 표시</t>
        </is>
      </c>
      <c r="F164" s="129" t="inlineStr">
        <is>
          <t>담당 표시</t>
        </is>
      </c>
    </row>
    <row r="165">
      <c r="B165" s="127" t="n">
        <v>249</v>
      </c>
      <c r="D165" s="129" t="inlineStr">
        <is>
          <t xml:space="preserve">Display task name </t>
        </is>
      </c>
      <c r="E165" s="129" t="inlineStr">
        <is>
          <t>작업명 표시</t>
        </is>
      </c>
      <c r="F165" s="129" t="inlineStr">
        <is>
          <t>작업명 표시</t>
        </is>
      </c>
    </row>
    <row r="166">
      <c r="B166" s="127" t="n">
        <v>250</v>
      </c>
      <c r="D166" s="129" t="inlineStr">
        <is>
          <t>Display the task name in the same field</t>
        </is>
      </c>
      <c r="E166" s="129" t="inlineStr">
        <is>
          <t>같은 필드에 작업명 표시</t>
        </is>
      </c>
      <c r="F166" s="129" t="inlineStr">
        <is>
          <t>같은 필드에 작업명 표시</t>
        </is>
      </c>
    </row>
    <row r="167">
      <c r="B167" s="127" t="n">
        <v>251</v>
      </c>
      <c r="D167" s="129" t="inlineStr">
        <is>
          <t>Display the total workload of the project</t>
        </is>
      </c>
      <c r="E167" s="145" t="inlineStr">
        <is>
          <t>프로젝트 전체의 작업량을 Man/Day로 표시, 자원수를 적용한 값</t>
        </is>
      </c>
      <c r="F167" s="145" t="inlineStr">
        <is>
          <t>프로젝트 전체의 작업량을 Man/Day로 표시, 자원수를 적용한 값</t>
        </is>
      </c>
    </row>
    <row r="168">
      <c r="B168" s="127" t="n">
        <v>252</v>
      </c>
      <c r="D168" s="129" t="inlineStr">
        <is>
          <t>Display year on the timescale</t>
        </is>
      </c>
      <c r="E168" s="129" t="inlineStr">
        <is>
          <t>간트차트 눈금에 년도 표시</t>
        </is>
      </c>
      <c r="F168" s="129" t="inlineStr">
        <is>
          <t>간트차트 눈금에 년도 표시</t>
        </is>
      </c>
    </row>
    <row r="169">
      <c r="B169" s="127" t="n">
        <v>253</v>
      </c>
      <c r="D169" s="129" t="inlineStr">
        <is>
          <t>Displayed in %Work complete column</t>
        </is>
      </c>
      <c r="E169" s="129" t="inlineStr">
        <is>
          <t>실적 열에 표시됨</t>
        </is>
      </c>
      <c r="F169" s="129" t="inlineStr">
        <is>
          <t>실적 열에 표시됨</t>
        </is>
      </c>
    </row>
    <row r="170">
      <c r="B170" s="127" t="n">
        <v>254</v>
      </c>
      <c r="D170" s="129" t="inlineStr">
        <is>
          <t>Displays the task name in the different field for each level</t>
        </is>
      </c>
      <c r="E170" s="129" t="inlineStr">
        <is>
          <t>Level별로 다른 필드에 작업명 표시</t>
        </is>
      </c>
      <c r="F170" s="129" t="inlineStr">
        <is>
          <t>Level별로 다른 필드에 작업명 표시</t>
        </is>
      </c>
    </row>
    <row r="171">
      <c r="B171" s="127" t="n">
        <v>255</v>
      </c>
      <c r="C171" s="128" t="inlineStr">
        <is>
          <t>for importOnStartup</t>
        </is>
      </c>
      <c r="D171" s="129" t="inlineStr">
        <is>
          <t>Do not recalculate WBS area after import</t>
        </is>
      </c>
      <c r="E171" s="129" t="inlineStr">
        <is>
          <t>가져오기 후 WBS영역 재계산 안함</t>
        </is>
      </c>
      <c r="F171" s="129" t="inlineStr">
        <is>
          <t>가져오기 후 WBS영역 재계산 안함</t>
        </is>
      </c>
    </row>
    <row r="172">
      <c r="B172" s="127" t="n">
        <v>256</v>
      </c>
      <c r="D172" s="129" t="inlineStr">
        <is>
          <t>Download the latest version</t>
        </is>
      </c>
      <c r="E172" s="129" t="inlineStr">
        <is>
          <t>프로그램 최신버전 다운로드</t>
        </is>
      </c>
      <c r="F172" s="129" t="inlineStr">
        <is>
          <t>프로그램 최신버전 다운로드</t>
        </is>
      </c>
    </row>
    <row r="173">
      <c r="B173" s="127" t="n">
        <v>257</v>
      </c>
      <c r="D173" s="129" t="inlineStr">
        <is>
          <t>Drawing Gantt chart</t>
        </is>
      </c>
      <c r="E173" s="129" t="inlineStr">
        <is>
          <t>Gantt chart 그리기 작업</t>
        </is>
      </c>
      <c r="F173" s="129" t="inlineStr">
        <is>
          <t>Gantt chart 그리기 작업</t>
        </is>
      </c>
    </row>
    <row r="174">
      <c r="B174" s="127" t="n">
        <v>258</v>
      </c>
      <c r="D174" s="129" t="inlineStr">
        <is>
          <t>Drawing progress line</t>
        </is>
      </c>
      <c r="E174" s="129" t="inlineStr">
        <is>
          <t>진척률선 그리기</t>
        </is>
      </c>
      <c r="F174" s="129" t="inlineStr">
        <is>
          <t>진척률선 그리기</t>
        </is>
      </c>
    </row>
    <row r="175">
      <c r="B175" s="127" t="n">
        <v>259</v>
      </c>
      <c r="D175" s="129" t="inlineStr">
        <is>
          <t xml:space="preserve">Duration </t>
        </is>
      </c>
      <c r="E175" s="129" t="inlineStr">
        <is>
          <t>기간 지정</t>
        </is>
      </c>
      <c r="F175" s="129" t="inlineStr">
        <is>
          <t>기간 지정</t>
        </is>
      </c>
    </row>
    <row r="176">
      <c r="B176" s="127" t="n">
        <v>260</v>
      </c>
      <c r="D176" s="129" t="inlineStr">
        <is>
          <t>Earned Value Accumulated(Man-Day)</t>
        </is>
      </c>
      <c r="E176" s="129" t="inlineStr">
        <is>
          <t>실적기성 누적(Man-Day)</t>
        </is>
      </c>
      <c r="F176" s="129" t="inlineStr">
        <is>
          <t>실적기성 누적(Man-Day)</t>
        </is>
      </c>
    </row>
    <row r="177">
      <c r="B177" s="127" t="n">
        <v>261</v>
      </c>
      <c r="D177" s="129" t="inlineStr">
        <is>
          <t>Earned value on planned schedule</t>
        </is>
      </c>
      <c r="E177" s="129" t="inlineStr">
        <is>
          <t>실적기성</t>
        </is>
      </c>
      <c r="F177" s="129" t="inlineStr">
        <is>
          <t>실적기성</t>
        </is>
      </c>
    </row>
    <row r="178" ht="24" customHeight="1">
      <c r="B178" s="127" t="n">
        <v>262</v>
      </c>
      <c r="D178" s="129" t="inlineStr">
        <is>
          <t>Earned value on planned schedule when managing schedule changes(Total Duration x %Work Complete) (EV)</t>
        </is>
      </c>
      <c r="E178" s="145" t="inlineStr">
        <is>
          <t>일정변경관리 할때 실적기성(프로젝트 전체 작업량 x 실적 진척률) (EV)</t>
        </is>
      </c>
      <c r="F178" s="145" t="inlineStr">
        <is>
          <t>일정변경관리 할때 실적기성(프로젝트 전체 작업량 x 실적 진척률) (EV)</t>
        </is>
      </c>
    </row>
    <row r="179" ht="24" customHeight="1">
      <c r="B179" s="127" t="n">
        <v>263</v>
      </c>
      <c r="D179" s="129" t="inlineStr">
        <is>
          <t>Earned value on planned schedule(Total Duration x %Work Complete) (EV)</t>
        </is>
      </c>
      <c r="E179" s="145" t="inlineStr">
        <is>
          <t>실적기성(프로젝트 전체 작업량 x 실적 진척률) (EV)</t>
        </is>
      </c>
      <c r="F179" s="145" t="inlineStr">
        <is>
          <t>실적기성(프로젝트 전체 작업량 x 실적 진척률) (EV)</t>
        </is>
      </c>
    </row>
    <row r="180">
      <c r="B180" s="127" t="n">
        <v>264</v>
      </c>
      <c r="D180" s="129" t="inlineStr">
        <is>
          <t>Earned Value Progress</t>
        </is>
      </c>
      <c r="E180" s="129" t="inlineStr">
        <is>
          <t>실적기성 진척률</t>
        </is>
      </c>
      <c r="F180" s="129" t="inlineStr">
        <is>
          <t>실적기성 진척률</t>
        </is>
      </c>
    </row>
    <row r="181">
      <c r="B181" s="127" t="n">
        <v>265</v>
      </c>
      <c r="D181" s="129" t="inlineStr">
        <is>
          <t>Earned Value(C)\nMan-day</t>
        </is>
      </c>
      <c r="E181" s="129" t="inlineStr">
        <is>
          <t>실적기성( C )\nMan-day</t>
        </is>
      </c>
      <c r="F181" s="129" t="inlineStr">
        <is>
          <t>실적기성( C )\nMan-day</t>
        </is>
      </c>
    </row>
    <row r="182">
      <c r="B182" s="127" t="n">
        <v>266</v>
      </c>
      <c r="D182" s="129" t="inlineStr">
        <is>
          <t>Earned Value(Man-Day)</t>
        </is>
      </c>
      <c r="E182" s="129" t="inlineStr">
        <is>
          <t>실적기성(Man-Day)</t>
        </is>
      </c>
      <c r="F182" s="129" t="inlineStr">
        <is>
          <t>실적기성(Man-Day)</t>
        </is>
      </c>
    </row>
    <row r="183">
      <c r="B183" s="127" t="n">
        <v>267</v>
      </c>
      <c r="D183" s="129" t="inlineStr">
        <is>
          <t>Edit a Task</t>
        </is>
      </c>
      <c r="E183" s="129" t="inlineStr">
        <is>
          <t>작업 정보</t>
        </is>
      </c>
      <c r="F183" s="129" t="inlineStr">
        <is>
          <t>작업 정보</t>
        </is>
      </c>
    </row>
    <row r="184">
      <c r="B184" s="127" t="n">
        <v>268</v>
      </c>
      <c r="D184" s="129" t="inlineStr">
        <is>
          <t>Elsa,John[50%]</t>
        </is>
      </c>
      <c r="E184" s="129" t="inlineStr">
        <is>
          <t>홍길동,김길동[50%]</t>
        </is>
      </c>
      <c r="F184" s="129" t="inlineStr">
        <is>
          <t>홍길동,김길동[50%]</t>
        </is>
      </c>
    </row>
    <row r="185">
      <c r="B185" s="127" t="n">
        <v>269</v>
      </c>
      <c r="D185" s="129" t="inlineStr">
        <is>
          <t>Enabled Languages</t>
        </is>
      </c>
      <c r="E185" s="129" t="inlineStr">
        <is>
          <t>사용할 수 있는 언어</t>
        </is>
      </c>
      <c r="F185" s="129" t="inlineStr">
        <is>
          <t>사용할 수 있는 언어</t>
        </is>
      </c>
    </row>
    <row r="186">
      <c r="B186" s="127" t="n">
        <v>270</v>
      </c>
      <c r="D186" s="129" t="inlineStr">
        <is>
          <t>Equals</t>
        </is>
      </c>
      <c r="E186" s="129" t="inlineStr">
        <is>
          <t>같음</t>
        </is>
      </c>
      <c r="F186" s="129" t="inlineStr">
        <is>
          <t>같음</t>
        </is>
      </c>
    </row>
    <row r="187" ht="24" customHeight="1">
      <c r="B187" s="127" t="n">
        <v>271</v>
      </c>
      <c r="D187" s="129" t="inlineStr">
        <is>
          <t>Error! Calculated Total Man-Day is different from the Total Man-Day of the {} sheet.</t>
        </is>
      </c>
      <c r="E187" s="129" t="inlineStr">
        <is>
          <t>오류! 계산된 Total Man-Day가 {} sheet의 Total Man-Day와 다릅니다.</t>
        </is>
      </c>
      <c r="F187" s="129" t="inlineStr">
        <is>
          <t>오류! 계산된 Total Man-Day가 {} sheet의 Total Man-Day와 다릅니다.</t>
        </is>
      </c>
    </row>
    <row r="188" ht="36" customHeight="1">
      <c r="B188" s="127" t="n">
        <v>272</v>
      </c>
      <c r="D188" s="129" t="inlineStr">
        <is>
          <t>Error! Cause may be one of the following.\n * File is invalid(e.g. the XLGantt file corrupted)\n * Not XLGantt file but General Excel file\n\n Please check the messages below for details.</t>
        </is>
      </c>
      <c r="E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c r="F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row>
    <row r="189">
      <c r="B189" s="127" t="n">
        <v>273</v>
      </c>
      <c r="D189" s="129" t="inlineStr">
        <is>
          <t>Error, Invalid field specified.</t>
        </is>
      </c>
      <c r="E189" s="129" t="inlineStr">
        <is>
          <t>오류, 지정할 수 없는 필드가 있습니다</t>
        </is>
      </c>
      <c r="F189" s="129" t="inlineStr">
        <is>
          <t>오류, 지정할 수 없는 필드가 있습니다</t>
        </is>
      </c>
    </row>
    <row r="190">
      <c r="B190" s="127" t="n">
        <v>274</v>
      </c>
      <c r="D190" s="129" t="inlineStr">
        <is>
          <t>Etc</t>
        </is>
      </c>
      <c r="E190" s="129" t="inlineStr">
        <is>
          <t>기타</t>
        </is>
      </c>
      <c r="F190" s="129" t="inlineStr">
        <is>
          <t>기타</t>
        </is>
      </c>
    </row>
    <row r="191">
      <c r="B191" s="127" t="n">
        <v>275</v>
      </c>
      <c r="D191" s="129" t="inlineStr">
        <is>
          <t>Excel</t>
        </is>
      </c>
      <c r="E191" s="129" t="inlineStr">
        <is>
          <t>엑셀</t>
        </is>
      </c>
      <c r="F191" s="129" t="inlineStr">
        <is>
          <t>엑셀</t>
        </is>
      </c>
    </row>
    <row r="192">
      <c r="B192" s="127" t="n">
        <v>276</v>
      </c>
      <c r="D192" s="129" t="inlineStr">
        <is>
          <t>Execution path of Program</t>
        </is>
      </c>
      <c r="E192" s="129" t="inlineStr">
        <is>
          <t>프로그램 실행경로</t>
        </is>
      </c>
      <c r="F192" s="129" t="inlineStr">
        <is>
          <t>프로그램 실행경로</t>
        </is>
      </c>
    </row>
    <row r="193">
      <c r="B193" s="127" t="n">
        <v>277</v>
      </c>
      <c r="D193" s="129" t="inlineStr">
        <is>
          <t>Extension</t>
        </is>
      </c>
      <c r="E193" s="129" t="inlineStr">
        <is>
          <t>확장자명</t>
        </is>
      </c>
      <c r="F193" s="129" t="inlineStr">
        <is>
          <t>확장자명</t>
        </is>
      </c>
    </row>
    <row r="194">
      <c r="B194" s="127" t="n">
        <v>278</v>
      </c>
      <c r="D194" s="129" t="inlineStr">
        <is>
          <t>Filter</t>
        </is>
      </c>
      <c r="E194" s="129" t="inlineStr">
        <is>
          <t>필터 적용</t>
        </is>
      </c>
      <c r="F194" s="129" t="inlineStr">
        <is>
          <t>필터 적용</t>
        </is>
      </c>
    </row>
    <row r="195">
      <c r="B195" s="127" t="n">
        <v>279</v>
      </c>
      <c r="D195" s="129" t="inlineStr">
        <is>
          <t>Filter Task</t>
        </is>
      </c>
      <c r="E195" s="129" t="inlineStr">
        <is>
          <t>작업 필터</t>
        </is>
      </c>
      <c r="F195" s="129" t="inlineStr">
        <is>
          <t>작업 필터</t>
        </is>
      </c>
    </row>
    <row r="196">
      <c r="B196" s="127" t="n">
        <v>280</v>
      </c>
      <c r="D196" s="129" t="inlineStr">
        <is>
          <t>Finish</t>
        </is>
      </c>
      <c r="E196" s="129" t="inlineStr">
        <is>
          <t>완료일</t>
        </is>
      </c>
      <c r="F196" s="129" t="inlineStr">
        <is>
          <t>완료일</t>
        </is>
      </c>
    </row>
    <row r="197">
      <c r="B197" s="127" t="n">
        <v>281</v>
      </c>
      <c r="D197" s="129" t="inlineStr">
        <is>
          <t>Finish Date</t>
        </is>
      </c>
      <c r="E197" s="129" t="inlineStr">
        <is>
          <t>완료일자</t>
        </is>
      </c>
      <c r="F197" s="129" t="inlineStr">
        <is>
          <t>완료일자</t>
        </is>
      </c>
    </row>
    <row r="198">
      <c r="B198" s="127" t="n">
        <v>282</v>
      </c>
      <c r="D198" s="129" t="inlineStr">
        <is>
          <t>Finish date field of a task. It must be in date format.</t>
        </is>
      </c>
      <c r="E198" s="129" t="inlineStr">
        <is>
          <t>각 작업의 완료일(또는 종료일)을 표시합니다. 반드시 날짜 형식이어야 합니다.</t>
        </is>
      </c>
      <c r="F198" s="129" t="inlineStr">
        <is>
          <t>각 작업의 완료일(또는 종료일)을 표시합니다. 반드시 날짜 형식이어야 합니다.</t>
        </is>
      </c>
    </row>
    <row r="199">
      <c r="B199" s="127" t="n">
        <v>283</v>
      </c>
      <c r="D199" s="129" t="inlineStr">
        <is>
          <t>Finish date is invalid.</t>
        </is>
      </c>
      <c r="E199" s="129" t="inlineStr">
        <is>
          <t>작업완료일의 날짜형식이 잘못되었습니다.</t>
        </is>
      </c>
      <c r="F199" s="129" t="inlineStr">
        <is>
          <t>작업완료일의 날짜형식이 잘못되었습니다.</t>
        </is>
      </c>
    </row>
    <row r="200" ht="24" customHeight="1">
      <c r="B200" s="127" t="n">
        <v>284</v>
      </c>
      <c r="D200" s="129" t="inlineStr">
        <is>
          <t>Finish date is invalid. Verify row {} of the source file.</t>
        </is>
      </c>
      <c r="E200" s="145" t="inlineStr">
        <is>
          <t>완료일자에 날짜가 아닌 값이 포함되어 있습니다. Import하는 파일의 {}행을 확인하세요.</t>
        </is>
      </c>
      <c r="F200" s="129" t="inlineStr">
        <is>
          <t>완료일자에 날짜가 아닌 값이 포함되어 있습니다. Import하는 파일의 {}행을 확인하세요.</t>
        </is>
      </c>
    </row>
    <row r="201">
      <c r="B201" s="127" t="n">
        <v>285</v>
      </c>
      <c r="D201" s="129" t="inlineStr">
        <is>
          <t>First day of week</t>
        </is>
      </c>
      <c r="E201" s="129" t="inlineStr">
        <is>
          <t>한주의 시작요일</t>
        </is>
      </c>
      <c r="F201" s="129" t="inlineStr">
        <is>
          <t>한주의 시작요일</t>
        </is>
      </c>
    </row>
    <row r="202">
      <c r="B202" s="127" t="n">
        <v>286</v>
      </c>
      <c r="D202" s="129" t="inlineStr">
        <is>
          <t>Follow the language setting of your computer O/S</t>
        </is>
      </c>
      <c r="E202" s="129" t="inlineStr">
        <is>
          <t>컴퓨터 O/S의 언어설정을 따름</t>
        </is>
      </c>
      <c r="F202" s="129" t="inlineStr">
        <is>
          <t>컴퓨터 O/S의 언어설정을 따름</t>
        </is>
      </c>
    </row>
    <row r="203">
      <c r="B203" s="127" t="n">
        <v>287</v>
      </c>
      <c r="D203" s="129" t="inlineStr">
        <is>
          <t>Fri</t>
        </is>
      </c>
      <c r="E203" s="129" t="inlineStr">
        <is>
          <t>금</t>
        </is>
      </c>
      <c r="F203" s="129" t="inlineStr">
        <is>
          <t>금</t>
        </is>
      </c>
    </row>
    <row r="204">
      <c r="B204" s="127" t="n">
        <v>288</v>
      </c>
      <c r="D204" s="129" t="inlineStr">
        <is>
          <t>From (File to import )</t>
        </is>
      </c>
      <c r="E204" s="129" t="inlineStr">
        <is>
          <t>Source파일(가져올 파일 )</t>
        </is>
      </c>
      <c r="F204" s="129" t="inlineStr">
        <is>
          <t>Source파일(가져올 파일 )</t>
        </is>
      </c>
    </row>
    <row r="205">
      <c r="B205" s="127" t="n">
        <v>289</v>
      </c>
      <c r="D205" s="129" t="inlineStr">
        <is>
          <t>From Date is invalid.</t>
        </is>
      </c>
      <c r="E205" s="129" t="inlineStr">
        <is>
          <t>시작날짜 형식이 잘못되었습니다.</t>
        </is>
      </c>
      <c r="F205" s="129" t="inlineStr">
        <is>
          <t>시작날짜 형식이 잘못되었습니다.</t>
        </is>
      </c>
    </row>
    <row r="206">
      <c r="B206" s="127" t="n">
        <v>290</v>
      </c>
      <c r="D206" s="129" t="inlineStr">
        <is>
          <t>Gantt Chart Display</t>
        </is>
      </c>
      <c r="E206" s="129" t="inlineStr">
        <is>
          <t>Gantt chart 표시 방법</t>
        </is>
      </c>
      <c r="F206" s="129" t="inlineStr">
        <is>
          <t>Gantt chart 표시 방법</t>
        </is>
      </c>
    </row>
    <row r="207">
      <c r="B207" s="127" t="n">
        <v>291</v>
      </c>
      <c r="D207" s="129" t="inlineStr">
        <is>
          <t>Gantt chart group task bar</t>
        </is>
      </c>
      <c r="E207" s="129" t="inlineStr">
        <is>
          <t>간트차트 그룹작업Bar</t>
        </is>
      </c>
      <c r="F207" s="129" t="inlineStr">
        <is>
          <t>간트차트 그룹작업Bar</t>
        </is>
      </c>
    </row>
    <row r="208">
      <c r="B208" s="127" t="n">
        <v>292</v>
      </c>
      <c r="D208" s="129" t="inlineStr">
        <is>
          <t>Gantt chart progress line</t>
        </is>
      </c>
      <c r="E208" s="129" t="inlineStr">
        <is>
          <t>간트차트 진척률선</t>
        </is>
      </c>
      <c r="F208" s="129" t="inlineStr">
        <is>
          <t>간트차트 진척률선</t>
        </is>
      </c>
    </row>
    <row r="209">
      <c r="B209" s="127" t="n">
        <v>293</v>
      </c>
      <c r="D209" s="129" t="inlineStr">
        <is>
          <t>Gantt chart sub task bar</t>
        </is>
      </c>
      <c r="E209" s="129" t="inlineStr">
        <is>
          <t>간트차트 하위작업Bar</t>
        </is>
      </c>
      <c r="F209" s="129" t="inlineStr">
        <is>
          <t>간트차트 하위작업Bar</t>
        </is>
      </c>
    </row>
    <row r="210">
      <c r="B210" s="127" t="n">
        <v>294</v>
      </c>
      <c r="D210" s="129" t="inlineStr">
        <is>
          <t>Gantt chart title</t>
        </is>
      </c>
      <c r="E210" s="129" t="inlineStr">
        <is>
          <t>간트차트 타이틀</t>
        </is>
      </c>
      <c r="F210" s="129" t="inlineStr">
        <is>
          <t>간트차트 타이틀</t>
        </is>
      </c>
    </row>
    <row r="211">
      <c r="B211" s="127" t="n">
        <v>295</v>
      </c>
      <c r="D211" s="129" t="inlineStr">
        <is>
          <t>Gantt Chart View Style</t>
        </is>
      </c>
      <c r="E211" s="129" t="inlineStr">
        <is>
          <t>Gantt Chart 보기 형식</t>
        </is>
      </c>
      <c r="F211" s="129" t="inlineStr">
        <is>
          <t>Gantt Chart 보기 형식</t>
        </is>
      </c>
    </row>
    <row r="212">
      <c r="B212" s="127" t="n">
        <v>296</v>
      </c>
      <c r="D212" s="129" t="inlineStr">
        <is>
          <t>Gantt Chart Zoom Ratio(Max 999%)</t>
        </is>
      </c>
      <c r="E212" s="129" t="inlineStr">
        <is>
          <t>Gantt Chart 축소/확대 비율(최대 999%)</t>
        </is>
      </c>
      <c r="F212" s="129" t="inlineStr">
        <is>
          <t>Gantt Chart 축소/확대 비율(최대 999%)</t>
        </is>
      </c>
    </row>
    <row r="213">
      <c r="B213" s="127" t="n">
        <v>297</v>
      </c>
      <c r="D213" s="129" t="inlineStr">
        <is>
          <t>General</t>
        </is>
      </c>
      <c r="E213" s="129" t="inlineStr">
        <is>
          <t>일반</t>
        </is>
      </c>
      <c r="F213" s="129" t="inlineStr">
        <is>
          <t>일반</t>
        </is>
      </c>
    </row>
    <row r="214">
      <c r="B214" s="127" t="n">
        <v>298</v>
      </c>
      <c r="C214" s="128" t="inlineStr">
        <is>
          <t>for help sheet</t>
        </is>
      </c>
      <c r="D214" s="129" t="inlineStr">
        <is>
          <t>Getting Started With XLGantt</t>
        </is>
      </c>
      <c r="E214" s="129" t="inlineStr">
        <is>
          <t>간단 사용법</t>
        </is>
      </c>
      <c r="F214" s="129" t="inlineStr">
        <is>
          <t>간단 사용법</t>
        </is>
      </c>
    </row>
    <row r="215">
      <c r="B215" s="127" t="n">
        <v>299</v>
      </c>
      <c r="D215" s="129" t="inlineStr">
        <is>
          <t>Green</t>
        </is>
      </c>
      <c r="E215" s="129" t="inlineStr">
        <is>
          <t>그린</t>
        </is>
      </c>
      <c r="F215" s="129" t="inlineStr">
        <is>
          <t>그린</t>
        </is>
      </c>
    </row>
    <row r="216">
      <c r="B216" s="127" t="n">
        <v>300</v>
      </c>
      <c r="D216" s="129" t="inlineStr">
        <is>
          <t>Group rows</t>
        </is>
      </c>
      <c r="E216" s="129" t="inlineStr">
        <is>
          <t>작업을 그룹으로 묶기</t>
        </is>
      </c>
      <c r="F216" s="129" t="inlineStr">
        <is>
          <t>작업을 그룹으로 묶기</t>
        </is>
      </c>
    </row>
    <row r="217">
      <c r="B217" s="127" t="n">
        <v>301</v>
      </c>
      <c r="D217" s="129" t="inlineStr">
        <is>
          <t>Group rows(Max 8 Levels)</t>
        </is>
      </c>
      <c r="E217" s="129" t="inlineStr">
        <is>
          <t>작업을 그룹으로 묶기(최대 8 레벨)</t>
        </is>
      </c>
      <c r="F217" s="129" t="inlineStr">
        <is>
          <t>작업을 그룹으로 묶기(최대 8 레벨)</t>
        </is>
      </c>
    </row>
    <row r="218">
      <c r="B218" s="127" t="n">
        <v>302</v>
      </c>
      <c r="C218" s="128" t="inlineStr">
        <is>
          <t>for help sheet</t>
        </is>
      </c>
      <c r="D218" s="134" t="inlineStr">
        <is>
          <t>Help</t>
        </is>
      </c>
      <c r="E218" s="134" t="inlineStr">
        <is>
          <t>도움말</t>
        </is>
      </c>
      <c r="F218" s="134" t="inlineStr">
        <is>
          <t>도움말</t>
        </is>
      </c>
    </row>
    <row r="219">
      <c r="B219" s="127" t="n">
        <v>303</v>
      </c>
      <c r="C219" s="128" t="inlineStr">
        <is>
          <t>for help sheet</t>
        </is>
      </c>
      <c r="D219" s="134" t="inlineStr">
        <is>
          <t>Help and the latest version</t>
        </is>
      </c>
      <c r="E219" s="134" t="inlineStr">
        <is>
          <t>도움말, 최신 버전 다운로드</t>
        </is>
      </c>
      <c r="F219" s="134" t="inlineStr">
        <is>
          <t>도움말, 최신 버전 다운로드</t>
        </is>
      </c>
    </row>
    <row r="220">
      <c r="B220" s="127" t="n">
        <v>304</v>
      </c>
      <c r="C220" s="128" t="inlineStr">
        <is>
          <t>for help sheet</t>
        </is>
      </c>
      <c r="D220" s="134" t="inlineStr">
        <is>
          <t>How to use</t>
        </is>
      </c>
      <c r="E220" s="134" t="inlineStr">
        <is>
          <t>사용법</t>
        </is>
      </c>
      <c r="F220" s="134" t="inlineStr">
        <is>
          <t>사용법</t>
        </is>
      </c>
    </row>
    <row r="221">
      <c r="B221" s="127" t="n">
        <v>305</v>
      </c>
      <c r="C221" s="128" t="inlineStr">
        <is>
          <t>for help sheet</t>
        </is>
      </c>
      <c r="D221" s="134" t="inlineStr">
        <is>
          <t>https://xlworks.net/en/</t>
        </is>
      </c>
      <c r="E221" s="134" t="inlineStr">
        <is>
          <t>https://xlworks.net/</t>
        </is>
      </c>
      <c r="F221" s="134" t="inlineStr">
        <is>
          <t>https://xlworks.net/</t>
        </is>
      </c>
    </row>
    <row r="222">
      <c r="B222" s="127" t="n">
        <v>306</v>
      </c>
      <c r="C222" s="128" t="inlineStr">
        <is>
          <t>for help sheet</t>
        </is>
      </c>
      <c r="D222" s="134" t="inlineStr">
        <is>
          <t>https://xlworks.net/en/xlgantt-project-scheduler/</t>
        </is>
      </c>
      <c r="E222" s="134" t="inlineStr">
        <is>
          <t>https://xlworks.net/xlgantt-project-scheduler/</t>
        </is>
      </c>
      <c r="F222" s="134" t="inlineStr">
        <is>
          <t>https://xlworks.net/xlgantt-project-scheduler/</t>
        </is>
      </c>
    </row>
    <row r="223">
      <c r="B223" s="127" t="n">
        <v>307</v>
      </c>
      <c r="C223" s="128" t="inlineStr">
        <is>
          <t>for help sheet</t>
        </is>
      </c>
      <c r="D223" s="134" t="inlineStr">
        <is>
          <t>https://xlworks.net/en/xlgantt-howto-1-getting-started-with-xlgantt/</t>
        </is>
      </c>
      <c r="E223" s="134" t="inlineStr">
        <is>
          <t>https://xlworks.net/xlgantt-easy-tip/</t>
        </is>
      </c>
      <c r="F223" s="134" t="inlineStr">
        <is>
          <t>https://xlworks.net/xlgantt-easy-tip/</t>
        </is>
      </c>
    </row>
    <row r="224">
      <c r="B224" s="127" t="n">
        <v>308</v>
      </c>
      <c r="C224" s="128" t="inlineStr">
        <is>
          <t>for help sheet</t>
        </is>
      </c>
      <c r="D224" s="134" t="inlineStr">
        <is>
          <t>https://xlworks.net/en/xlgantt-howto-2-input-task-update-schedule/</t>
        </is>
      </c>
      <c r="E224" s="134" t="inlineStr">
        <is>
          <t>https://xlworks.net/xlgantt-howto-02-task/</t>
        </is>
      </c>
      <c r="F224" s="134" t="inlineStr">
        <is>
          <t>https://xlworks.net/xlgantt-howto-02-task/</t>
        </is>
      </c>
    </row>
    <row r="225">
      <c r="B225" s="127" t="n">
        <v>309</v>
      </c>
      <c r="C225" s="128" t="inlineStr">
        <is>
          <t>for help sheet</t>
        </is>
      </c>
      <c r="D225" s="134" t="inlineStr">
        <is>
          <t>https://xlworks.net/en/xlgantt-howto-03-gantt-chart/</t>
        </is>
      </c>
      <c r="E225" s="134" t="inlineStr">
        <is>
          <t>https://xlworks.net/xlgantt-howto-03-gantt-chart/</t>
        </is>
      </c>
      <c r="F225" s="134" t="inlineStr">
        <is>
          <t>https://xlworks.net/xlgantt-howto-03-gantt-chart/</t>
        </is>
      </c>
    </row>
    <row r="226">
      <c r="B226" s="127" t="n">
        <v>310</v>
      </c>
      <c r="C226" s="128" t="inlineStr">
        <is>
          <t>for help sheet</t>
        </is>
      </c>
      <c r="D226" s="134" t="inlineStr">
        <is>
          <t>https://xlworks.net/en/xlgantt-howto-04-project-progress/</t>
        </is>
      </c>
      <c r="E226" s="134" t="inlineStr">
        <is>
          <t>https://xlworks.net/xlgantt-howto-04-project-progress/</t>
        </is>
      </c>
      <c r="F226" s="134" t="inlineStr">
        <is>
          <t>https://xlworks.net/xlgantt-howto-04-project-progress/</t>
        </is>
      </c>
    </row>
    <row r="227">
      <c r="B227" s="127" t="n">
        <v>311</v>
      </c>
      <c r="C227" s="128" t="inlineStr">
        <is>
          <t>for help sheet</t>
        </is>
      </c>
      <c r="D227" s="134" t="inlineStr">
        <is>
          <t>https://xlworks.net/en/xlgantt-howto-05-analysis-report/</t>
        </is>
      </c>
      <c r="E227" s="134" t="inlineStr">
        <is>
          <t>https://xlworks.net/xlgantt-howto-05-analysis-report/</t>
        </is>
      </c>
      <c r="F227" s="134" t="inlineStr">
        <is>
          <t>https://xlworks.net/xlgantt-howto-05-analysis-report/</t>
        </is>
      </c>
    </row>
    <row r="228">
      <c r="B228" s="127" t="n">
        <v>312</v>
      </c>
      <c r="C228" s="128" t="inlineStr">
        <is>
          <t>for help sheet</t>
        </is>
      </c>
      <c r="D228" s="134" t="inlineStr">
        <is>
          <t>https://xlworks.net/en/xlgantt-howto-06-schedule-change-management/</t>
        </is>
      </c>
      <c r="E228" s="134" t="inlineStr">
        <is>
          <t>https://xlworks.net/xlgantt-howto-06-schedule-change-management/</t>
        </is>
      </c>
      <c r="F228" s="134" t="inlineStr">
        <is>
          <t>https://xlworks.net/xlgantt-howto-06-schedule-change-management/</t>
        </is>
      </c>
    </row>
    <row r="229">
      <c r="B229" s="127" t="n">
        <v>313</v>
      </c>
      <c r="C229" s="128" t="inlineStr">
        <is>
          <t>for help sheet</t>
        </is>
      </c>
      <c r="D229" s="134" t="inlineStr">
        <is>
          <t>https://xlworks.net/en/xlgantt-howto-07-deliverables/</t>
        </is>
      </c>
      <c r="E229" s="134" t="inlineStr">
        <is>
          <t>https://xlworks.net/xlgantt-howto-07-deliverables/</t>
        </is>
      </c>
      <c r="F229" s="134" t="inlineStr">
        <is>
          <t>https://xlworks.net/xlgantt-howto-07-deliverables/</t>
        </is>
      </c>
    </row>
    <row r="230">
      <c r="B230" s="127" t="n">
        <v>314</v>
      </c>
      <c r="C230" s="128" t="inlineStr">
        <is>
          <t>for help sheet</t>
        </is>
      </c>
      <c r="D230" s="134" t="inlineStr">
        <is>
          <t>https://xlworks.net/en/xlgantt-howto-08-add-tasks-to-outlook/</t>
        </is>
      </c>
      <c r="E230" s="134" t="inlineStr">
        <is>
          <t>https://xlworks.net/xlgantt-howto-08-add-tasks-to-outlook/</t>
        </is>
      </c>
      <c r="F230" s="134" t="inlineStr">
        <is>
          <t>https://xlworks.net/xlgantt-howto-08-add-tasks-to-outlook/</t>
        </is>
      </c>
    </row>
    <row r="231">
      <c r="B231" s="127" t="n">
        <v>315</v>
      </c>
      <c r="C231" s="128" t="inlineStr">
        <is>
          <t>for help sheet</t>
        </is>
      </c>
      <c r="D231" s="134" t="inlineStr">
        <is>
          <t>https://xlworks.net/en/xlgantt-howto-09-multilingual-support/</t>
        </is>
      </c>
      <c r="E231" s="129" t="inlineStr">
        <is>
          <t>https://xlworks.net/xlgantt-howto-09-multilingual-support/</t>
        </is>
      </c>
      <c r="F231" s="129" t="inlineStr">
        <is>
          <t>https://xlworks.net/xlgantt-howto-09-multilingual-support/</t>
        </is>
      </c>
    </row>
    <row r="232">
      <c r="B232" s="127" t="n">
        <v>316</v>
      </c>
      <c r="C232" s="128" t="inlineStr">
        <is>
          <t>for help sheet</t>
        </is>
      </c>
      <c r="D232" s="134" t="inlineStr">
        <is>
          <t>https://xlworks.net/en/xlgantt-howto-10-import-schedule/</t>
        </is>
      </c>
      <c r="E232" s="129" t="inlineStr">
        <is>
          <t>https://xlworks.net/xlgantt-howto-10-import-schedule/</t>
        </is>
      </c>
      <c r="F232" s="129" t="inlineStr">
        <is>
          <t>https://xlworks.net/xlgantt-howto-10-import-schedule/</t>
        </is>
      </c>
    </row>
    <row r="233">
      <c r="B233" s="127" t="n">
        <v>317</v>
      </c>
      <c r="C233" s="128" t="inlineStr">
        <is>
          <t>for help sheet</t>
        </is>
      </c>
      <c r="D233" s="134" t="inlineStr">
        <is>
          <t>https://xlworks.net/en/xlgantt-howto-11-calendar/</t>
        </is>
      </c>
      <c r="E233" s="129" t="inlineStr">
        <is>
          <t>https://xlworks.net/xlgantt-howto-11-calendar/</t>
        </is>
      </c>
      <c r="F233" s="129" t="inlineStr">
        <is>
          <t>https://xlworks.net/xlgantt-howto-11-calendar/</t>
        </is>
      </c>
    </row>
    <row r="234">
      <c r="B234" s="127" t="n">
        <v>318</v>
      </c>
      <c r="C234" s="128" t="inlineStr">
        <is>
          <t>for help sheet</t>
        </is>
      </c>
      <c r="D234" s="134" t="inlineStr">
        <is>
          <t>https://xlworks.net/en/xlgantt-howto-12-integration-with-excel/</t>
        </is>
      </c>
      <c r="E234" s="129" t="inlineStr">
        <is>
          <t>https://xlworks.net/xlgantt-howto-12-integration-with-excel/</t>
        </is>
      </c>
      <c r="F234" s="129" t="inlineStr">
        <is>
          <t>https://xlworks.net/xlgantt-howto-12-integration-with-excel/</t>
        </is>
      </c>
    </row>
    <row r="235">
      <c r="B235" s="127" t="n">
        <v>319</v>
      </c>
      <c r="C235" s="128" t="inlineStr">
        <is>
          <t>for help sheet</t>
        </is>
      </c>
      <c r="D235" s="134" t="inlineStr">
        <is>
          <t>https://xlworks.net/en/xlgantt-howto-13-server-data/</t>
        </is>
      </c>
      <c r="E235" s="134" t="inlineStr">
        <is>
          <t>https://xlworks.net/xlgantt-howto-13-server-data/</t>
        </is>
      </c>
      <c r="F235" s="134" t="inlineStr">
        <is>
          <t>https://xlworks.net/xlgantt-howto-13-server-data/</t>
        </is>
      </c>
    </row>
    <row r="236">
      <c r="B236" s="127" t="n">
        <v>320</v>
      </c>
      <c r="C236" s="128" t="inlineStr">
        <is>
          <t>for help sheet</t>
        </is>
      </c>
      <c r="D236" s="134" t="inlineStr">
        <is>
          <t>https://xlworks.net/en/xlgantt-howto-14-workloads/</t>
        </is>
      </c>
      <c r="E236" s="134" t="inlineStr">
        <is>
          <t>https://xlworks.net/xlgantt-howto-14-workloads/</t>
        </is>
      </c>
      <c r="F236" s="134" t="inlineStr">
        <is>
          <t>https://xlworks.net/xlgantt-howto-14-workloads/</t>
        </is>
      </c>
    </row>
    <row r="237">
      <c r="B237" s="127" t="n">
        <v>321</v>
      </c>
      <c r="C237" s="128" t="inlineStr">
        <is>
          <t>for help sheet</t>
        </is>
      </c>
      <c r="D237" s="134" t="inlineStr">
        <is>
          <t>https://xlworks.net/en/xlgantt-howto-15-color-theme/</t>
        </is>
      </c>
      <c r="E237" s="134" t="inlineStr">
        <is>
          <t>https://xlworks.net/xlgantt-howto-15-color-theme/</t>
        </is>
      </c>
      <c r="F237" s="134" t="inlineStr">
        <is>
          <t>https://xlworks.net/xlgantt-howto-15-color-theme/</t>
        </is>
      </c>
    </row>
    <row r="238">
      <c r="B238" s="127" t="n">
        <v>322</v>
      </c>
      <c r="C238" s="128" t="inlineStr">
        <is>
          <t>for help sheet</t>
        </is>
      </c>
      <c r="D238" s="134" t="n"/>
      <c r="E238" s="134" t="n"/>
      <c r="F238" s="134" t="n"/>
    </row>
    <row r="239" ht="24" customHeight="1">
      <c r="B239" s="127" t="n">
        <v>323</v>
      </c>
      <c r="D239" s="129" t="inlineStr">
        <is>
          <t>If the language in source file and the language in target file are different, you can not import.</t>
        </is>
      </c>
      <c r="E239" s="129" t="inlineStr">
        <is>
          <t>가져오는 파일(소스파일)에 설정된 언어와 이 파일(타겟파일)에 설정된 언어가 다르면 Import할 수 없습니다.</t>
        </is>
      </c>
      <c r="F239" s="129" t="inlineStr">
        <is>
          <t>가져오는 파일(소스파일)에 설정된 언어와 이 파일(타겟파일)에 설정된 언어가 다르면 Import할 수 없습니다.</t>
        </is>
      </c>
    </row>
    <row r="240" ht="24" customHeight="1">
      <c r="B240" s="127" t="n">
        <v>324</v>
      </c>
      <c r="D240" s="129" t="inlineStr">
        <is>
          <t>If you choose "Assigning path by task name automatically" option, you need to set the upper path.</t>
        </is>
      </c>
      <c r="E240" s="129" t="inlineStr">
        <is>
          <t>작업명으로 하위 경로 자동지정을 선택한 경우에는 상위의 기본경로를 설정해야 합니다.</t>
        </is>
      </c>
      <c r="F240" s="129" t="inlineStr">
        <is>
          <t>작업명으로 하위 경로 자동지정을 선택한 경우에는 상위의 기본경로를 설정해야 합니다.</t>
        </is>
      </c>
    </row>
    <row r="241" ht="24" customHeight="1">
      <c r="B241" s="127" t="n">
        <v>325</v>
      </c>
      <c r="D241" s="129" t="inlineStr">
        <is>
          <t>If you do not enter the actual finish date of row number {1} in the {2} sheet, you can't enter "%Work Complete" as 100%.</t>
        </is>
      </c>
      <c r="E241" s="129" t="inlineStr">
        <is>
          <t>{2} sheet의 {1}행의 실제시작일만 입력하고 실제완료일을 비워놓으면 완료율을 100%로 입력할 수 없습니다.</t>
        </is>
      </c>
      <c r="F241" s="129" t="inlineStr">
        <is>
          <t>{2} sheet의 {1}행의 실제시작일만 입력하고 실제완료일을 비워놓으면 완료율을 100%로 입력할 수 없습니다.</t>
        </is>
      </c>
    </row>
    <row r="242" ht="24" customHeight="1">
      <c r="B242" s="127" t="n">
        <v>326</v>
      </c>
      <c r="C242" s="128" t="inlineStr">
        <is>
          <t>for help sheet</t>
        </is>
      </c>
      <c r="D242" s="129" t="inlineStr">
        <is>
          <t>If you want to learn the features quickly and easily, see the "Getting Started With XLGantt".</t>
        </is>
      </c>
      <c r="E242" s="129" t="inlineStr">
        <is>
          <t>기능을 간단히 빨리 익히고 싶으면 “간단 사용법”을 참고한다</t>
        </is>
      </c>
      <c r="F242" s="129" t="inlineStr">
        <is>
          <t>기능을 간단히 빨리 익히고 싶으면 “간단 사용법”을 참고한다</t>
        </is>
      </c>
    </row>
    <row r="243">
      <c r="B243" s="127" t="n">
        <v>327</v>
      </c>
      <c r="D243" s="129" t="inlineStr">
        <is>
          <t>Import</t>
        </is>
      </c>
      <c r="E243" s="129" t="inlineStr">
        <is>
          <t>가져오기</t>
        </is>
      </c>
      <c r="F243" s="129" t="inlineStr">
        <is>
          <t>가져오기</t>
        </is>
      </c>
    </row>
    <row r="244">
      <c r="B244" s="127" t="n">
        <v>328</v>
      </c>
      <c r="C244" s="128" t="inlineStr">
        <is>
          <t>for importOnStartup</t>
        </is>
      </c>
      <c r="D244" s="129" t="inlineStr">
        <is>
          <t xml:space="preserve">Import  Data of "ServerData" sheet on Startup </t>
        </is>
      </c>
      <c r="E244" s="129" t="inlineStr">
        <is>
          <t>프로그램 시작 시 "ServerData" 시트의 데이터 가져오기</t>
        </is>
      </c>
      <c r="F244" s="129" t="inlineStr">
        <is>
          <t>프로그램 시작 시 "ServerData" 시트의 데이터 가져오기</t>
        </is>
      </c>
    </row>
    <row r="245">
      <c r="B245" s="127" t="n">
        <v>329</v>
      </c>
      <c r="D245" s="129" t="inlineStr">
        <is>
          <t>Import common Excel file</t>
        </is>
      </c>
      <c r="E245" s="129" t="inlineStr">
        <is>
          <t>일반 Excel 파일</t>
        </is>
      </c>
      <c r="F245" s="129" t="inlineStr">
        <is>
          <t>일반 Excel 파일</t>
        </is>
      </c>
    </row>
    <row r="246">
      <c r="B246" s="127" t="n">
        <v>330</v>
      </c>
      <c r="D246" s="129" t="inlineStr">
        <is>
          <t>Import data after clearing the existing data</t>
        </is>
      </c>
      <c r="E246" s="129" t="inlineStr">
        <is>
          <t>기존Data 지우고 가져오기</t>
        </is>
      </c>
      <c r="F246" s="129" t="inlineStr">
        <is>
          <t>기존Data 지우고 가져오기</t>
        </is>
      </c>
    </row>
    <row r="247">
      <c r="B247" s="127" t="n">
        <v>331</v>
      </c>
      <c r="D247" s="129" t="inlineStr">
        <is>
          <t>Import Data without Clearing the Existing Data</t>
        </is>
      </c>
      <c r="E247" s="129" t="inlineStr">
        <is>
          <t>기존Data 아래에 추가하기</t>
        </is>
      </c>
      <c r="F247" s="129" t="inlineStr">
        <is>
          <t>기존Data 아래에 추가하기</t>
        </is>
      </c>
    </row>
    <row r="248">
      <c r="B248" s="127" t="n">
        <v>332</v>
      </c>
      <c r="C248" s="128" t="inlineStr">
        <is>
          <t>for importOnStartup</t>
        </is>
      </c>
      <c r="D248" s="126" t="inlineStr">
        <is>
          <t>Import file format Error! Range A1 should contain "xlgantt_reserved" string.</t>
        </is>
      </c>
      <c r="E248" s="134" t="inlineStr">
        <is>
          <t>가져오는 파일의 포맷이 잘못되었습니다. A1셀에는 "xlgantt_reserved"가 입력되어 있어야 합니다.</t>
        </is>
      </c>
      <c r="F248" s="134" t="inlineStr">
        <is>
          <t>가져오는 파일의 포맷이 잘못되었습니다. A1셀에는 "xlgantt_reserved"가 입력되어 있어야 합니다.</t>
        </is>
      </c>
    </row>
    <row r="249">
      <c r="B249" s="127" t="n">
        <v>333</v>
      </c>
      <c r="C249" s="128" t="inlineStr">
        <is>
          <t>for importOnStartup</t>
        </is>
      </c>
      <c r="D249" s="126" t="inlineStr">
        <is>
          <t>Import file format Error! Range A2 should contain the import result.</t>
        </is>
      </c>
      <c r="E249" s="134" t="inlineStr">
        <is>
          <t>가져오는 파일의 포맷이 잘못되었습니다. A2셀에는 가져오기 결과가 입력되어 있어야 합니다.</t>
        </is>
      </c>
      <c r="F249" s="134" t="inlineStr">
        <is>
          <t>가져오는 파일의 포맷이 잘못되었습니다. A2셀에는 가져오기 결과가 입력되어 있어야 합니다.</t>
        </is>
      </c>
    </row>
    <row r="250">
      <c r="B250" s="127" t="n">
        <v>334</v>
      </c>
      <c r="D250" s="129" t="inlineStr">
        <is>
          <t>Import files created in XLGantt</t>
        </is>
      </c>
      <c r="E250" s="129" t="inlineStr">
        <is>
          <t>XLGantt로 작성된 파일 가져오기</t>
        </is>
      </c>
      <c r="F250" s="129" t="inlineStr">
        <is>
          <t>XLGantt로 작성된 파일 가져오기</t>
        </is>
      </c>
    </row>
    <row r="251">
      <c r="B251" s="127" t="n">
        <v>335</v>
      </c>
      <c r="C251" s="128" t="inlineStr">
        <is>
          <t>for importOnStartup</t>
        </is>
      </c>
      <c r="D251" s="129" t="inlineStr">
        <is>
          <t>Import from Server</t>
        </is>
      </c>
      <c r="E251" s="129" t="inlineStr">
        <is>
          <t>서버에서\n가져오기</t>
        </is>
      </c>
      <c r="F251" s="129" t="inlineStr">
        <is>
          <t>서버에서\n가져오기</t>
        </is>
      </c>
    </row>
    <row r="252">
      <c r="B252" s="127" t="n">
        <v>336</v>
      </c>
      <c r="C252" s="128" t="inlineStr">
        <is>
          <t>for importOnStartup</t>
        </is>
      </c>
      <c r="D252" s="126" t="inlineStr">
        <is>
          <t>Import has already been completed.</t>
        </is>
      </c>
      <c r="E252" s="134" t="inlineStr">
        <is>
          <t>가져오기가 이미 완료되었습니다.</t>
        </is>
      </c>
      <c r="F252" s="134" t="inlineStr">
        <is>
          <t>가져오기가 이미 완료되었습니다.</t>
        </is>
      </c>
    </row>
    <row r="253" ht="24" customHeight="1">
      <c r="B253" s="127" t="n">
        <v>337</v>
      </c>
      <c r="D253" s="129" t="inlineStr">
        <is>
          <t>Import new data into the Schedule sheet after clearing the exisint data</t>
        </is>
      </c>
      <c r="E253" s="129" t="inlineStr">
        <is>
          <t>이 XLGantt파일에 있는 Data를 지우고 새로운 Data를 가져와서 _x000D_
붙여 넣기</t>
        </is>
      </c>
      <c r="F253" s="129" t="inlineStr">
        <is>
          <t>이 XLGantt파일에 있는 Data를 지우고 새로운 Data를 가져와서 _x000D_
붙여 넣기</t>
        </is>
      </c>
    </row>
    <row r="254" ht="24" customHeight="1">
      <c r="B254" s="127" t="n">
        <v>338</v>
      </c>
      <c r="D254" s="129" t="inlineStr">
        <is>
          <t>Import new data into the Schedule sheet without clearing the existing  data</t>
        </is>
      </c>
      <c r="E254" s="129" t="inlineStr">
        <is>
          <t>이 XLGantt파일에 있는 Data를 그대로 두고 맨 아래에 새로운 Data를 가져와서 붙여 넣기</t>
        </is>
      </c>
      <c r="F254" s="129" t="inlineStr">
        <is>
          <t>이 XLGantt파일에 있는 Data를 그대로 두고 맨 아래에 새로운 Data를 가져와서 붙여 넣기</t>
        </is>
      </c>
    </row>
    <row r="255">
      <c r="B255" s="127" t="n">
        <v>339</v>
      </c>
      <c r="D255" s="129" t="inlineStr">
        <is>
          <t>Import Option</t>
        </is>
      </c>
      <c r="E255" s="129" t="inlineStr">
        <is>
          <t>가져오기 옵션</t>
        </is>
      </c>
      <c r="F255" s="129" t="inlineStr">
        <is>
          <t>가져오기 옵션</t>
        </is>
      </c>
    </row>
    <row r="256">
      <c r="B256" s="127" t="n">
        <v>340</v>
      </c>
      <c r="D256" s="129" t="inlineStr">
        <is>
          <t xml:space="preserve">Import success!\nTotal rows of imported data : </t>
        </is>
      </c>
      <c r="E256" s="129" t="inlineStr">
        <is>
          <t xml:space="preserve">가져오기 작업이 정상적으로 완료되었습니다.\n가져온 자료의 전체 행수 : </t>
        </is>
      </c>
      <c r="F256" s="129" t="inlineStr">
        <is>
          <t xml:space="preserve">가져오기 작업이 정상적으로 완료되었습니다.\n가져온 자료의 전체 행수 : </t>
        </is>
      </c>
    </row>
    <row r="257">
      <c r="B257" s="127" t="n">
        <v>341</v>
      </c>
      <c r="D257" s="129" t="inlineStr">
        <is>
          <t>Import without clearing the existing data.</t>
        </is>
      </c>
      <c r="E257" s="129" t="inlineStr">
        <is>
          <t>기존Data에 추가하기</t>
        </is>
      </c>
      <c r="F257" s="129" t="inlineStr">
        <is>
          <t>기존Data에 추가하기</t>
        </is>
      </c>
    </row>
    <row r="258">
      <c r="B258" s="127" t="n">
        <v>342</v>
      </c>
      <c r="D258" s="129" t="inlineStr">
        <is>
          <t>Import Wizard</t>
        </is>
      </c>
      <c r="E258" s="129" t="inlineStr">
        <is>
          <t>파일 가져오기</t>
        </is>
      </c>
      <c r="F258" s="129" t="inlineStr">
        <is>
          <t>파일 가져오기</t>
        </is>
      </c>
    </row>
    <row r="259">
      <c r="B259" s="127" t="n">
        <v>343</v>
      </c>
      <c r="C259" s="128" t="inlineStr">
        <is>
          <t>for help sheet</t>
        </is>
      </c>
      <c r="D259" s="129" t="inlineStr">
        <is>
          <t>Importing Schedules from Another File</t>
        </is>
      </c>
      <c r="E259" s="129" t="inlineStr">
        <is>
          <t>다른 파일에서 일정 가져오기</t>
        </is>
      </c>
      <c r="F259" s="129" t="inlineStr">
        <is>
          <t>다른 파일에서 일정 가져오기</t>
        </is>
      </c>
    </row>
    <row r="260">
      <c r="B260" s="127" t="n">
        <v>344</v>
      </c>
      <c r="C260" s="128" t="inlineStr">
        <is>
          <t>for help sheet</t>
        </is>
      </c>
      <c r="D260" s="129" t="inlineStr">
        <is>
          <t>Importing Server Data</t>
        </is>
      </c>
      <c r="E260" s="129" t="inlineStr">
        <is>
          <t>Server Data 가져오기</t>
        </is>
      </c>
      <c r="F260" s="129" t="inlineStr">
        <is>
          <t>Server Data 가져오기</t>
        </is>
      </c>
    </row>
    <row r="261">
      <c r="B261" s="127" t="n">
        <v>345</v>
      </c>
      <c r="D261" s="129" t="inlineStr">
        <is>
          <t>Importing..., Please wait...</t>
        </is>
      </c>
      <c r="E261" s="129" t="inlineStr">
        <is>
          <t>자료를 가져옵니다. 잠시만 기다려주세요...</t>
        </is>
      </c>
      <c r="F261" s="129" t="inlineStr">
        <is>
          <t>자료를 가져옵니다. 잠시만 기다려주세요...</t>
        </is>
      </c>
    </row>
    <row r="262" ht="24" customHeight="1">
      <c r="B262" s="127" t="n">
        <v>346</v>
      </c>
      <c r="C262" s="128" t="inlineStr">
        <is>
          <t>for help sheet</t>
        </is>
      </c>
      <c r="D262" s="129" t="inlineStr">
        <is>
          <t>Imports schedules into XLGantt. You can import the schedules by mapping the fields.</t>
        </is>
      </c>
      <c r="E262" s="129" t="inlineStr">
        <is>
          <t>엑셀간트에서는 엑셀간트(XLGantt) 또는 일반 엑셀파일로 만들어진 일정을 가져오는 기능을 제공한다.</t>
        </is>
      </c>
      <c r="F262" s="129" t="inlineStr">
        <is>
          <t>엑셀간트에서는 엑셀간트(XLGantt) 또는 일반 엑셀파일로 만들어진 일정을 가져오는 기능을 제공한다.</t>
        </is>
      </c>
    </row>
    <row r="263">
      <c r="B263" s="127" t="n">
        <v>347</v>
      </c>
      <c r="D263" s="129" t="inlineStr">
        <is>
          <t>Included in the selection\nlist when deliverables\nnot specified</t>
        </is>
      </c>
      <c r="E263" s="129" t="inlineStr">
        <is>
          <t>산출물명 비었을때\n선택목록에 포함\n여부</t>
        </is>
      </c>
      <c r="F263" s="129" t="inlineStr">
        <is>
          <t>산출물명 비었을때\n선택목록에 포함\n여부</t>
        </is>
      </c>
    </row>
    <row r="264">
      <c r="B264" s="127" t="n">
        <v>348</v>
      </c>
      <c r="D264" s="129" t="inlineStr">
        <is>
          <t>Indent Task</t>
        </is>
      </c>
      <c r="E264" s="129" t="inlineStr">
        <is>
          <t>작업레벨 내림</t>
        </is>
      </c>
      <c r="F264" s="129" t="inlineStr">
        <is>
          <t>작업레벨 내림</t>
        </is>
      </c>
    </row>
    <row r="265">
      <c r="B265" s="127" t="n">
        <v>349</v>
      </c>
      <c r="D265" s="129" t="inlineStr">
        <is>
          <t>Inside of the chart</t>
        </is>
      </c>
      <c r="E265" s="129" t="inlineStr">
        <is>
          <t>Chart 내부</t>
        </is>
      </c>
      <c r="F265" s="129" t="inlineStr">
        <is>
          <t>Chart 내부</t>
        </is>
      </c>
    </row>
    <row r="266">
      <c r="B266" s="127" t="n">
        <v>350</v>
      </c>
      <c r="C266" s="128" t="inlineStr">
        <is>
          <t>for help sheet</t>
        </is>
      </c>
      <c r="D266" s="129" t="inlineStr">
        <is>
          <t>Integration with Excel Features</t>
        </is>
      </c>
      <c r="E266" s="129" t="inlineStr">
        <is>
          <t>Excel기능과 통합</t>
        </is>
      </c>
      <c r="F266" s="129" t="inlineStr">
        <is>
          <t>Excel기능과 통합</t>
        </is>
      </c>
    </row>
    <row r="267">
      <c r="B267" s="127" t="n">
        <v>351</v>
      </c>
      <c r="C267" s="128" t="inlineStr">
        <is>
          <t>for importOnStartup</t>
        </is>
      </c>
      <c r="D267" s="126" t="inlineStr">
        <is>
          <t>Invalid field name!</t>
        </is>
      </c>
      <c r="E267" s="134" t="inlineStr">
        <is>
          <t>필드명이 잘못되었습니다!</t>
        </is>
      </c>
      <c r="F267" s="134" t="inlineStr">
        <is>
          <t>필드명이 잘못되었습니다!</t>
        </is>
      </c>
    </row>
    <row r="268" ht="24" customHeight="1">
      <c r="B268" s="127" t="n">
        <v>352</v>
      </c>
      <c r="C268" s="128" t="inlineStr">
        <is>
          <t>for help sheet</t>
        </is>
      </c>
      <c r="D268" s="129" t="inlineStr">
        <is>
          <t>It is used when you want to see schedule data of IT system where server exists separately.</t>
        </is>
      </c>
      <c r="E268" s="129" t="inlineStr">
        <is>
          <t>Server가 별도로 존재하는 IT시스템의 일정관리 Data를 PC에서 보고자할 때 사용한다.</t>
        </is>
      </c>
      <c r="F268" s="129" t="inlineStr">
        <is>
          <t>Server가 별도로 존재하는 IT시스템의 일정관리 Data를 PC에서 보고자할 때 사용한다.</t>
        </is>
      </c>
    </row>
    <row r="269" ht="24" customHeight="1">
      <c r="B269" s="127" t="n">
        <v>353</v>
      </c>
      <c r="D269" s="129" t="inlineStr">
        <is>
          <t>It recalculates duration and % Work Complete. Clicking the Save button will be the same.</t>
        </is>
      </c>
      <c r="F269" s="129" t="n"/>
    </row>
    <row r="270">
      <c r="B270" s="127" t="n">
        <v>354</v>
      </c>
      <c r="D270" s="129" t="inlineStr">
        <is>
          <t>It's already chosen language.</t>
        </is>
      </c>
      <c r="E270" s="129" t="inlineStr">
        <is>
          <t>이미 선택된 언어입니다.</t>
        </is>
      </c>
      <c r="F270" s="129" t="inlineStr">
        <is>
          <t>이미 선택된 언어입니다.</t>
        </is>
      </c>
    </row>
    <row r="271">
      <c r="B271" s="127" t="n">
        <v>355</v>
      </c>
      <c r="D271" s="129" t="inlineStr">
        <is>
          <t>Job Results</t>
        </is>
      </c>
      <c r="E271" s="129" t="inlineStr">
        <is>
          <t>작업결과</t>
        </is>
      </c>
      <c r="F271" s="129" t="inlineStr">
        <is>
          <t>작업결과</t>
        </is>
      </c>
    </row>
    <row r="272">
      <c r="B272" s="127" t="n">
        <v>356</v>
      </c>
      <c r="D272" s="129" t="inlineStr">
        <is>
          <t>John</t>
        </is>
      </c>
      <c r="E272" s="129" t="inlineStr">
        <is>
          <t>홍길동</t>
        </is>
      </c>
      <c r="F272" s="129" t="inlineStr">
        <is>
          <t>홍길동</t>
        </is>
      </c>
    </row>
    <row r="273">
      <c r="B273" s="127" t="n">
        <v>357</v>
      </c>
      <c r="C273" s="128" t="inlineStr">
        <is>
          <t>for help sheet</t>
        </is>
      </c>
      <c r="D273" s="129" t="inlineStr">
        <is>
          <t>Keeping track of project progress</t>
        </is>
      </c>
      <c r="E273" s="129" t="inlineStr">
        <is>
          <t>프로젝트 전체 진행상황 파악하기</t>
        </is>
      </c>
      <c r="F273" s="129" t="inlineStr">
        <is>
          <t>프로젝트 전체 진행상황 파악하기</t>
        </is>
      </c>
    </row>
    <row r="274">
      <c r="B274" s="127" t="n">
        <v>358</v>
      </c>
      <c r="D274" s="129" t="inlineStr">
        <is>
          <t>Language</t>
        </is>
      </c>
      <c r="E274" s="129" t="inlineStr">
        <is>
          <t>언어</t>
        </is>
      </c>
      <c r="F274" s="129" t="inlineStr">
        <is>
          <t>언어</t>
        </is>
      </c>
    </row>
    <row r="275">
      <c r="B275" s="127" t="n">
        <v>359</v>
      </c>
      <c r="D275" s="129" t="inlineStr">
        <is>
          <t>Left of the chart</t>
        </is>
      </c>
      <c r="E275" s="129" t="inlineStr">
        <is>
          <t>Chart 왼쪽</t>
        </is>
      </c>
      <c r="F275" s="129" t="inlineStr">
        <is>
          <t>Chart 왼쪽</t>
        </is>
      </c>
    </row>
    <row r="276">
      <c r="B276" s="127" t="n">
        <v>360</v>
      </c>
      <c r="D276" s="129" t="inlineStr">
        <is>
          <t>License</t>
        </is>
      </c>
      <c r="E276" s="129" t="inlineStr">
        <is>
          <t>라이선스</t>
        </is>
      </c>
      <c r="F276" s="129" t="inlineStr">
        <is>
          <t>라이선스</t>
        </is>
      </c>
    </row>
    <row r="277" ht="24" customHeight="1">
      <c r="B277" s="127" t="n">
        <v>361</v>
      </c>
      <c r="C277" s="128" t="inlineStr">
        <is>
          <t>for help sheet</t>
        </is>
      </c>
      <c r="D277" s="129" t="inlineStr">
        <is>
          <t>Makes workload data by weekly and monthly. You can do analysis as you want by using Excel features such as pivot.</t>
        </is>
      </c>
      <c r="E277" s="129" t="inlineStr">
        <is>
          <t>Workload data를 주별/월별로 만들어 준다. 피벗 등의 기능으로 사용자가 원하는대로 분석을 할 수 있다.</t>
        </is>
      </c>
      <c r="F277" s="129" t="inlineStr">
        <is>
          <t>Workload data를 주별/월별로 만들어 준다. 피벗 등의 기능으로 사용자가 원하는대로 분석을 할 수 있다.</t>
        </is>
      </c>
    </row>
    <row r="278" ht="36" customHeight="1">
      <c r="B278" s="127" t="n">
        <v>362</v>
      </c>
      <c r="C278" s="128" t="inlineStr">
        <is>
          <t>for help sheet</t>
        </is>
      </c>
      <c r="D278" s="129" t="inlineStr">
        <is>
          <t>Manages the planned schedule and actual schedule of the project.</t>
        </is>
      </c>
      <c r="E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F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row>
    <row r="279">
      <c r="B279" s="127" t="n">
        <v>363</v>
      </c>
      <c r="D279" s="129" t="inlineStr">
        <is>
          <t>Managing Schedule Changes</t>
        </is>
      </c>
      <c r="E279" s="129" t="inlineStr">
        <is>
          <t>일정변경 관리함(시작일/완료일, 실제시작일/실제완료일 사용)</t>
        </is>
      </c>
      <c r="F279" s="129" t="inlineStr">
        <is>
          <t>일정변경 관리함(시작일/완료일, 실제시작일/실제완료일 사용)</t>
        </is>
      </c>
    </row>
    <row r="280">
      <c r="B280" s="127" t="n">
        <v>364</v>
      </c>
      <c r="D280" s="129" t="inlineStr">
        <is>
          <t>Man-Day</t>
        </is>
      </c>
      <c r="E280" s="129" t="inlineStr">
        <is>
          <t>Man-Day</t>
        </is>
      </c>
      <c r="F280" s="129" t="inlineStr">
        <is>
          <t>Man-Day</t>
        </is>
      </c>
    </row>
    <row r="281">
      <c r="B281" s="127" t="n">
        <v>365</v>
      </c>
      <c r="D281" s="129" t="inlineStr">
        <is>
          <t>Man-Month</t>
        </is>
      </c>
      <c r="E281" s="129" t="inlineStr">
        <is>
          <t>Man-Month</t>
        </is>
      </c>
      <c r="F281" s="129" t="inlineStr">
        <is>
          <t>Man-Month</t>
        </is>
      </c>
    </row>
    <row r="282">
      <c r="B282" s="127" t="n">
        <v>366</v>
      </c>
      <c r="D282" s="129" t="inlineStr">
        <is>
          <t>Manual</t>
        </is>
      </c>
      <c r="E282" s="129" t="inlineStr">
        <is>
          <t>수동</t>
        </is>
      </c>
      <c r="F282" s="129" t="inlineStr">
        <is>
          <t>수동</t>
        </is>
      </c>
    </row>
    <row r="283">
      <c r="B283" s="127" t="n">
        <v>367</v>
      </c>
      <c r="D283" s="129" t="inlineStr">
        <is>
          <t>Map &gt;&gt;</t>
        </is>
      </c>
      <c r="E283" s="129" t="inlineStr">
        <is>
          <t>Mapping &gt;&gt;</t>
        </is>
      </c>
      <c r="F283" s="129" t="inlineStr">
        <is>
          <t>Mapping &gt;&gt;</t>
        </is>
      </c>
    </row>
    <row r="284">
      <c r="B284" s="127" t="n">
        <v>368</v>
      </c>
      <c r="D284" s="129" t="inlineStr">
        <is>
          <t>Mark task as milestone</t>
        </is>
      </c>
      <c r="E284" s="129" t="inlineStr">
        <is>
          <t>작업을 마일스톤으로 지정</t>
        </is>
      </c>
      <c r="F284" s="129" t="inlineStr">
        <is>
          <t>작업을 마일스톤으로 지정</t>
        </is>
      </c>
    </row>
    <row r="285">
      <c r="B285" s="127" t="n">
        <v>369</v>
      </c>
      <c r="D285" s="129" t="inlineStr">
        <is>
          <t>mm/dd/yyyy</t>
        </is>
      </c>
      <c r="E285" s="129" t="inlineStr">
        <is>
          <t>yyyy/mm/dd</t>
        </is>
      </c>
      <c r="F285" s="129" t="inlineStr">
        <is>
          <t>yyyy/mm/dd</t>
        </is>
      </c>
    </row>
    <row r="286">
      <c r="B286" s="127" t="n">
        <v>370</v>
      </c>
      <c r="D286" s="129" t="inlineStr">
        <is>
          <t>mmmm yyyy</t>
        </is>
      </c>
      <c r="E286" s="129" t="inlineStr">
        <is>
          <t>yyyy년 m월</t>
        </is>
      </c>
      <c r="F286" s="129" t="inlineStr">
        <is>
          <t>yyyy년 m월</t>
        </is>
      </c>
    </row>
    <row r="287">
      <c r="B287" s="127" t="n">
        <v>371</v>
      </c>
      <c r="D287" s="129" t="inlineStr">
        <is>
          <t>Mon</t>
        </is>
      </c>
      <c r="E287" s="129" t="inlineStr">
        <is>
          <t>월</t>
        </is>
      </c>
      <c r="F287" s="129" t="inlineStr">
        <is>
          <t>월</t>
        </is>
      </c>
    </row>
    <row r="288">
      <c r="B288" s="127" t="n">
        <v>372</v>
      </c>
      <c r="D288" s="129" t="inlineStr">
        <is>
          <t>Monthly</t>
        </is>
      </c>
      <c r="E288" s="129" t="inlineStr">
        <is>
          <t>월별</t>
        </is>
      </c>
      <c r="F288" s="129" t="inlineStr">
        <is>
          <t>월별</t>
        </is>
      </c>
    </row>
    <row r="289">
      <c r="B289" s="127" t="n">
        <v>373</v>
      </c>
      <c r="D289" s="129" t="inlineStr">
        <is>
          <t>Monthly view</t>
        </is>
      </c>
      <c r="E289" s="129" t="inlineStr">
        <is>
          <t>월별보기</t>
        </is>
      </c>
      <c r="F289" s="129" t="inlineStr">
        <is>
          <t>월별보기</t>
        </is>
      </c>
    </row>
    <row r="290">
      <c r="B290" s="127" t="n">
        <v>374</v>
      </c>
      <c r="D290" s="129" t="inlineStr">
        <is>
          <t>Months</t>
        </is>
      </c>
      <c r="E290" s="129" t="inlineStr">
        <is>
          <t>월별</t>
        </is>
      </c>
      <c r="F290" s="129" t="inlineStr">
        <is>
          <t>월별</t>
        </is>
      </c>
    </row>
    <row r="291">
      <c r="B291" s="127" t="n">
        <v>375</v>
      </c>
      <c r="C291" s="128" t="inlineStr">
        <is>
          <t>for help sheet</t>
        </is>
      </c>
      <c r="D291" s="129" t="inlineStr">
        <is>
          <t>Multilingual Support</t>
        </is>
      </c>
      <c r="E291" s="129" t="inlineStr">
        <is>
          <t>다국어 지원</t>
        </is>
      </c>
      <c r="F291" s="129" t="inlineStr">
        <is>
          <t>다국어 지원</t>
        </is>
      </c>
    </row>
    <row r="292">
      <c r="B292" s="127" t="n">
        <v>376</v>
      </c>
      <c r="D292" s="129" t="inlineStr">
        <is>
          <t>Name of Nonworking Days</t>
        </is>
      </c>
      <c r="E292" s="129" t="inlineStr">
        <is>
          <t>휴무일명</t>
        </is>
      </c>
      <c r="F292" s="129" t="inlineStr">
        <is>
          <t>휴무일명</t>
        </is>
      </c>
    </row>
    <row r="293">
      <c r="B293" s="127" t="n">
        <v>377</v>
      </c>
      <c r="D293" s="129" t="inlineStr">
        <is>
          <t>New Version</t>
        </is>
      </c>
      <c r="E293" s="129" t="inlineStr">
        <is>
          <t>최신 버전</t>
        </is>
      </c>
      <c r="F293" s="129" t="inlineStr">
        <is>
          <t>최신 버전</t>
        </is>
      </c>
    </row>
    <row r="294">
      <c r="B294" s="127" t="n">
        <v>378</v>
      </c>
      <c r="D294" s="129" t="inlineStr">
        <is>
          <t>Next &gt;&gt;</t>
        </is>
      </c>
      <c r="E294" s="129" t="inlineStr">
        <is>
          <t>다음 &gt;&gt;</t>
        </is>
      </c>
      <c r="F294" s="129" t="inlineStr">
        <is>
          <t>다음 &gt;&gt;</t>
        </is>
      </c>
    </row>
    <row r="295">
      <c r="B295" s="127" t="n">
        <v>379</v>
      </c>
      <c r="C295" s="128" t="inlineStr">
        <is>
          <t>for importOnStartup</t>
        </is>
      </c>
      <c r="D295" s="126" t="inlineStr">
        <is>
          <t>No data to import.</t>
        </is>
      </c>
      <c r="E295" s="134" t="inlineStr">
        <is>
          <t>가져올 데이터가 없습니다.</t>
        </is>
      </c>
      <c r="F295" s="134" t="inlineStr">
        <is>
          <t>가져올 데이터가 없습니다.</t>
        </is>
      </c>
    </row>
    <row r="296">
      <c r="B296" s="127" t="n">
        <v>380</v>
      </c>
      <c r="D296" s="129" t="inlineStr">
        <is>
          <t>No need to enter in the Calendar sheet</t>
        </is>
      </c>
      <c r="E296" s="129" t="inlineStr">
        <is>
          <t>Calendar sheet에 입력할 필요 없음</t>
        </is>
      </c>
      <c r="F296" s="129" t="inlineStr">
        <is>
          <t>Calendar sheet에 입력할 필요 없음</t>
        </is>
      </c>
    </row>
    <row r="297">
      <c r="B297" s="127" t="n">
        <v>381</v>
      </c>
      <c r="D297" s="129" t="inlineStr">
        <is>
          <t>No need to enter Saturdays and Sundays in the Calendar sheet</t>
        </is>
      </c>
      <c r="E297" s="129" t="inlineStr">
        <is>
          <t>토요일,일요일은 Calendar sheet에 입력할 필요 없음</t>
        </is>
      </c>
      <c r="F297" s="129" t="inlineStr">
        <is>
          <t>토요일,일요일은 Calendar sheet에 입력할 필요 없음</t>
        </is>
      </c>
    </row>
    <row r="298">
      <c r="B298" s="127" t="n">
        <v>382</v>
      </c>
      <c r="C298" s="128" t="inlineStr">
        <is>
          <t>for Week Number</t>
        </is>
      </c>
      <c r="D298" s="129" t="inlineStr">
        <is>
          <t>None</t>
        </is>
      </c>
      <c r="E298" s="129" t="inlineStr">
        <is>
          <t>표시 안함</t>
        </is>
      </c>
      <c r="F298" s="129" t="inlineStr">
        <is>
          <t>표시 안함</t>
        </is>
      </c>
    </row>
    <row r="299">
      <c r="B299" s="127" t="n">
        <v>383</v>
      </c>
      <c r="D299" s="129" t="inlineStr">
        <is>
          <t>Nonworking Days</t>
        </is>
      </c>
      <c r="E299" s="129" t="inlineStr">
        <is>
          <t>휴무일자</t>
        </is>
      </c>
      <c r="F299" s="129" t="inlineStr">
        <is>
          <t>휴무일자</t>
        </is>
      </c>
    </row>
    <row r="300">
      <c r="B300" s="127" t="n">
        <v>384</v>
      </c>
      <c r="D300" s="129" t="inlineStr">
        <is>
          <t>Not Completed(&lt;&gt;100%)</t>
        </is>
      </c>
      <c r="E300" s="129" t="inlineStr">
        <is>
          <t>미완료</t>
        </is>
      </c>
      <c r="F300" s="129" t="inlineStr">
        <is>
          <t>미완료</t>
        </is>
      </c>
    </row>
    <row r="301">
      <c r="B301" s="127" t="n">
        <v>385</v>
      </c>
      <c r="D301" s="129" t="inlineStr">
        <is>
          <t>Not Managing Schedule Changes</t>
        </is>
      </c>
      <c r="E301" s="129" t="inlineStr">
        <is>
          <t>일정변경 관리 안함(시작일/완료일만 사용)</t>
        </is>
      </c>
      <c r="F301" s="129" t="inlineStr">
        <is>
          <t>일정변경 관리 안함(시작일/완료일만 사용)</t>
        </is>
      </c>
    </row>
    <row r="302">
      <c r="B302" s="127" t="n">
        <v>386</v>
      </c>
      <c r="D302" s="129" t="inlineStr">
        <is>
          <t>Not Specified(Standard Calendar)</t>
        </is>
      </c>
      <c r="E302" s="129" t="inlineStr">
        <is>
          <t>지정하지 않음(표준캘린더)</t>
        </is>
      </c>
      <c r="F302" s="129" t="inlineStr">
        <is>
          <t>지정하지 않음(표준캘린더)</t>
        </is>
      </c>
    </row>
    <row r="303">
      <c r="B303" s="127" t="n">
        <v>387</v>
      </c>
      <c r="D303" s="129" t="inlineStr">
        <is>
          <t>Note</t>
        </is>
      </c>
      <c r="E303" s="129" t="inlineStr">
        <is>
          <t>비고</t>
        </is>
      </c>
      <c r="F303" s="129" t="inlineStr">
        <is>
          <t>비고</t>
        </is>
      </c>
    </row>
    <row r="304">
      <c r="B304" s="127" t="n">
        <v>388</v>
      </c>
      <c r="D304" s="129" t="inlineStr">
        <is>
          <t>Number of "Task" columns(Max 20)</t>
        </is>
      </c>
      <c r="E304" s="129" t="inlineStr">
        <is>
          <t>"작업"열의 개수(최대 20개)</t>
        </is>
      </c>
      <c r="F304" s="129" t="inlineStr">
        <is>
          <t>"작업"열의 개수(최대 20개)</t>
        </is>
      </c>
    </row>
    <row r="305" ht="24" customHeight="1">
      <c r="B305" s="127" t="n">
        <v>389</v>
      </c>
      <c r="D305" s="129" t="inlineStr">
        <is>
          <t>Of the first two rows, at least one has been deleted. Please retry after changing the sheet to its previous state.</t>
        </is>
      </c>
      <c r="E305" s="129" t="inlineStr">
        <is>
          <t>1~2행 중 한 행이 삭제되었습니다. 원래대로 복구한 후 작업하십시오.</t>
        </is>
      </c>
      <c r="F305" s="129" t="inlineStr">
        <is>
          <t>1~2행 중 한 행이 삭제되었습니다. 원래대로 복구한 후 작업하십시오.</t>
        </is>
      </c>
    </row>
    <row r="306">
      <c r="B306" s="127" t="n">
        <v>390</v>
      </c>
      <c r="D306" s="129" t="inlineStr">
        <is>
          <t>On schedule</t>
        </is>
      </c>
      <c r="E306" s="129" t="inlineStr">
        <is>
          <t>일정 준수</t>
        </is>
      </c>
      <c r="F306" s="129" t="inlineStr">
        <is>
          <t>일정 준수</t>
        </is>
      </c>
    </row>
    <row r="307" ht="24" customHeight="1">
      <c r="B307" s="127" t="n">
        <v>391</v>
      </c>
      <c r="D307" s="129" t="inlineStr">
        <is>
          <t>Once you choose "Display the task name in the same field" option, you should select a WBS No. or a WBS Level field.</t>
        </is>
      </c>
      <c r="E307" s="129" t="inlineStr">
        <is>
          <t>"같은 필드에 작업명 표시" 옵션을 선택했으면 WBS No. 또는 개요수준(WBS Level) 필드 중 하나는 선택되어야 합니다</t>
        </is>
      </c>
      <c r="F307" s="129" t="inlineStr">
        <is>
          <t>"같은 필드에 작업명 표시" 옵션을 선택했으면 WBS No. 또는 개요수준(WBS Level) 필드 중 하나는 선택되어야 합니다</t>
        </is>
      </c>
    </row>
    <row r="308">
      <c r="B308" s="127" t="n">
        <v>392</v>
      </c>
      <c r="D308" s="129" t="inlineStr">
        <is>
          <t>Only Saturdays and Sundays</t>
        </is>
      </c>
      <c r="E308" s="129" t="inlineStr">
        <is>
          <t>토요일,일요일만</t>
        </is>
      </c>
      <c r="F308" s="129" t="inlineStr">
        <is>
          <t>토요일,일요일만</t>
        </is>
      </c>
    </row>
    <row r="309">
      <c r="B309" s="127" t="n">
        <v>393</v>
      </c>
      <c r="D309" s="129" t="inlineStr">
        <is>
          <t>Only the dates entered in the Calendar sheet</t>
        </is>
      </c>
      <c r="E309" s="129" t="inlineStr">
        <is>
          <t>Calendar sheet에 입력된 날짜만</t>
        </is>
      </c>
      <c r="F309" s="129" t="inlineStr">
        <is>
          <t>Calendar sheet에 입력된 날짜만</t>
        </is>
      </c>
    </row>
    <row r="310">
      <c r="B310" s="127" t="n">
        <v>394</v>
      </c>
      <c r="D310" s="129" t="inlineStr">
        <is>
          <t>Open Deliverables</t>
        </is>
      </c>
      <c r="E310" s="129" t="inlineStr">
        <is>
          <t>산출물 열기</t>
        </is>
      </c>
      <c r="F310" s="129" t="inlineStr">
        <is>
          <t>산출물 열기</t>
        </is>
      </c>
    </row>
    <row r="311">
      <c r="B311" s="127" t="n">
        <v>395</v>
      </c>
      <c r="D311" s="129" t="inlineStr">
        <is>
          <t>Open Deliverables Folder</t>
        </is>
      </c>
      <c r="E311" s="129" t="inlineStr">
        <is>
          <t>산출물 폴더 열기</t>
        </is>
      </c>
      <c r="F311" s="129" t="inlineStr">
        <is>
          <t>산출물 폴더 열기</t>
        </is>
      </c>
    </row>
    <row r="312">
      <c r="B312" s="127" t="n">
        <v>396</v>
      </c>
      <c r="D312" s="129" t="inlineStr">
        <is>
          <t>Options</t>
        </is>
      </c>
      <c r="E312" s="129" t="inlineStr">
        <is>
          <t>옵션</t>
        </is>
      </c>
      <c r="F312" s="129" t="inlineStr">
        <is>
          <t>옵션</t>
        </is>
      </c>
    </row>
    <row r="313">
      <c r="B313" s="127" t="n">
        <v>397</v>
      </c>
      <c r="D313" s="129" t="inlineStr">
        <is>
          <t>Outdent Task</t>
        </is>
      </c>
      <c r="E313" s="129" t="inlineStr">
        <is>
          <t>작업레벨 올림</t>
        </is>
      </c>
      <c r="F313" s="129" t="inlineStr">
        <is>
          <t>작업레벨 올림</t>
        </is>
      </c>
    </row>
    <row r="314">
      <c r="B314" s="127" t="n">
        <v>398</v>
      </c>
      <c r="D314" s="129" t="inlineStr">
        <is>
          <t>Outline Level</t>
        </is>
      </c>
      <c r="E314" s="129" t="inlineStr">
        <is>
          <t>개요수준</t>
        </is>
      </c>
      <c r="F314" s="129" t="inlineStr">
        <is>
          <t>개요수준</t>
        </is>
      </c>
    </row>
    <row r="315">
      <c r="B315" s="127" t="n">
        <v>399</v>
      </c>
      <c r="D315" s="129" t="inlineStr">
        <is>
          <t xml:space="preserve">Percent </t>
        </is>
      </c>
      <c r="E315" s="129" t="inlineStr">
        <is>
          <t>퍼센트 지정</t>
        </is>
      </c>
      <c r="F315" s="129" t="inlineStr">
        <is>
          <t>퍼센트 지정</t>
        </is>
      </c>
    </row>
    <row r="316">
      <c r="B316" s="127" t="n">
        <v>400</v>
      </c>
      <c r="D316" s="129" t="inlineStr">
        <is>
          <t>Pick a Date</t>
        </is>
      </c>
      <c r="E316" s="129" t="inlineStr">
        <is>
          <t>날짜 선택</t>
        </is>
      </c>
      <c r="F316" s="129" t="inlineStr">
        <is>
          <t>날짜 선택</t>
        </is>
      </c>
    </row>
    <row r="317">
      <c r="B317" s="127" t="n">
        <v>401</v>
      </c>
      <c r="C317" s="128" t="inlineStr">
        <is>
          <t>manual input</t>
        </is>
      </c>
      <c r="D317" s="129" t="inlineStr">
        <is>
          <t>Plan</t>
        </is>
      </c>
      <c r="E317" s="129" t="inlineStr">
        <is>
          <t>계획</t>
        </is>
      </c>
      <c r="F317" s="129" t="inlineStr">
        <is>
          <t>계획</t>
        </is>
      </c>
    </row>
    <row r="318">
      <c r="B318" s="127" t="n">
        <v>402</v>
      </c>
      <c r="C318" s="128" t="inlineStr">
        <is>
          <t>for importOnStartup</t>
        </is>
      </c>
      <c r="D318" s="126" t="inlineStr">
        <is>
          <t>Planned %Work Complete</t>
        </is>
      </c>
      <c r="E318" s="134" t="inlineStr">
        <is>
          <t>계획진척률</t>
        </is>
      </c>
      <c r="F318" s="134" t="inlineStr">
        <is>
          <t>계획진척률</t>
        </is>
      </c>
    </row>
    <row r="319">
      <c r="B319" s="127" t="n">
        <v>403</v>
      </c>
      <c r="D319" s="129" t="inlineStr">
        <is>
          <t>Planned %Work Complete calculation base date</t>
        </is>
      </c>
      <c r="E319" s="129" t="inlineStr">
        <is>
          <t>계획진척률 계산 기준일자</t>
        </is>
      </c>
      <c r="F319" s="129" t="inlineStr">
        <is>
          <t>계획진척률 계산 기준일자</t>
        </is>
      </c>
    </row>
    <row r="320">
      <c r="B320" s="127" t="n">
        <v>404</v>
      </c>
      <c r="D320" s="129" t="inlineStr">
        <is>
          <t>Planned %Work Complete from the start date to the current date</t>
        </is>
      </c>
      <c r="E320" s="145" t="inlineStr">
        <is>
          <t>현재날짜까지 계획된 진척률, WBS의 "계획진척률"의 전체 합계 진척률을 표시</t>
        </is>
      </c>
      <c r="F320" s="145" t="inlineStr">
        <is>
          <t>현재날짜까지 계획된 진척률, WBS의 "계획진척률"의 전체 합계 진척률을 표시</t>
        </is>
      </c>
    </row>
    <row r="321">
      <c r="B321" s="127" t="n">
        <v>405</v>
      </c>
      <c r="D321" s="129" t="inlineStr">
        <is>
          <t>Planned %Work Complete(A)</t>
        </is>
      </c>
      <c r="E321" s="129" t="inlineStr">
        <is>
          <t>계획 진척률(A)</t>
        </is>
      </c>
      <c r="F321" s="129" t="inlineStr">
        <is>
          <t>계획 진척률(A)</t>
        </is>
      </c>
    </row>
    <row r="322">
      <c r="B322" s="127" t="n">
        <v>406</v>
      </c>
      <c r="D322" s="129" t="inlineStr">
        <is>
          <t>Planned %Work Complete(B/A)</t>
        </is>
      </c>
      <c r="E322" s="129" t="inlineStr">
        <is>
          <t>계획(B/A)</t>
        </is>
      </c>
      <c r="F322" s="129" t="inlineStr">
        <is>
          <t>계획(B/A)</t>
        </is>
      </c>
    </row>
    <row r="323">
      <c r="B323" s="127" t="n">
        <v>407</v>
      </c>
      <c r="C323" s="128" t="inlineStr">
        <is>
          <t>for importOnStartup</t>
        </is>
      </c>
      <c r="D323" s="126" t="inlineStr">
        <is>
          <t>Planned Duration</t>
        </is>
      </c>
      <c r="E323" s="134" t="inlineStr">
        <is>
          <t>계획기간</t>
        </is>
      </c>
      <c r="F323" s="134" t="inlineStr">
        <is>
          <t>계획기간</t>
        </is>
      </c>
    </row>
    <row r="324">
      <c r="B324" s="127" t="n">
        <v>408</v>
      </c>
      <c r="D324" s="129" t="inlineStr">
        <is>
          <t>Planned Progress</t>
        </is>
      </c>
      <c r="E324" s="129" t="inlineStr">
        <is>
          <t>계획진척률</t>
        </is>
      </c>
      <c r="F324" s="129" t="inlineStr">
        <is>
          <t>계획진척률</t>
        </is>
      </c>
    </row>
    <row r="325">
      <c r="B325" s="127" t="n">
        <v>409</v>
      </c>
      <c r="C325" s="128" t="inlineStr">
        <is>
          <t>for importOnStartup</t>
        </is>
      </c>
      <c r="D325" s="129" t="inlineStr">
        <is>
          <t>Planned Work</t>
        </is>
      </c>
      <c r="E325" s="134" t="inlineStr">
        <is>
          <t>계획작업량</t>
        </is>
      </c>
      <c r="F325" s="134" t="inlineStr">
        <is>
          <t>계획작업량</t>
        </is>
      </c>
    </row>
    <row r="326">
      <c r="B326" s="127" t="n">
        <v>410</v>
      </c>
      <c r="D326" s="129" t="inlineStr">
        <is>
          <t>Planned Work(B)\nMan-day</t>
        </is>
      </c>
      <c r="E326" s="129" t="inlineStr">
        <is>
          <t>계획작업량(B)\nMan-day</t>
        </is>
      </c>
      <c r="F326" s="129" t="inlineStr">
        <is>
          <t>계획작업량(B)\nMan-day</t>
        </is>
      </c>
    </row>
    <row r="327" ht="36" customHeight="1">
      <c r="B327" s="127" t="n">
        <v>411</v>
      </c>
      <c r="D327" s="129" t="inlineStr">
        <is>
          <t>Planned Work\n(ManDay to Today)</t>
        </is>
      </c>
      <c r="E327" s="129" t="inlineStr">
        <is>
          <t>계획 작업량_x000D_
(현재일까지ManDay,_x000D_
자원수 감안)</t>
        </is>
      </c>
      <c r="F327" s="129" t="inlineStr">
        <is>
          <t>계획 작업량_x000D_
(현재일까지ManDay,_x000D_
자원수 감안)</t>
        </is>
      </c>
    </row>
    <row r="328">
      <c r="B328" s="127" t="n">
        <v>412</v>
      </c>
      <c r="D328" s="129" t="inlineStr">
        <is>
          <t>Planned workload</t>
        </is>
      </c>
      <c r="E328" s="129" t="inlineStr">
        <is>
          <t>현재일까지 계획된 작업량</t>
        </is>
      </c>
      <c r="F328" s="129" t="inlineStr">
        <is>
          <t>현재일까지 계획된 작업량</t>
        </is>
      </c>
    </row>
    <row r="329">
      <c r="B329" s="127" t="n">
        <v>413</v>
      </c>
      <c r="D329" s="129" t="inlineStr">
        <is>
          <t>Planned Workload Accumulated(Man-Day)</t>
        </is>
      </c>
      <c r="E329" s="129" t="inlineStr">
        <is>
          <t>계획작업량 누적(Man-Day)</t>
        </is>
      </c>
      <c r="F329" s="129" t="inlineStr">
        <is>
          <t>계획작업량 누적(Man-Day)</t>
        </is>
      </c>
    </row>
    <row r="330" ht="24" customHeight="1">
      <c r="B330" s="127" t="n">
        <v>414</v>
      </c>
      <c r="D330" s="129" t="inlineStr">
        <is>
          <t>Planned workload from the start date to the current date(PV)</t>
        </is>
      </c>
      <c r="E330" s="145" t="inlineStr">
        <is>
          <t>프로젝트 시작일부터 현재일까지의 작업량(현재 날짜까지 진행되었어야 할 작업량) (PV)</t>
        </is>
      </c>
      <c r="F330" s="145" t="inlineStr">
        <is>
          <t>프로젝트 시작일부터 현재일까지의 작업량(현재 날짜까지 진행되었어야 할 작업량) (PV)</t>
        </is>
      </c>
    </row>
    <row r="331">
      <c r="B331" s="127" t="n">
        <v>415</v>
      </c>
      <c r="D331" s="129" t="inlineStr">
        <is>
          <t>Planned Workload Progress</t>
        </is>
      </c>
      <c r="E331" s="129" t="inlineStr">
        <is>
          <t>계획작업량 진척률</t>
        </is>
      </c>
      <c r="F331" s="129" t="inlineStr">
        <is>
          <t>계획작업량 진척률</t>
        </is>
      </c>
    </row>
    <row r="332">
      <c r="B332" s="127" t="n">
        <v>416</v>
      </c>
      <c r="D332" s="129" t="inlineStr">
        <is>
          <t>Planned Workload(Man-Day)</t>
        </is>
      </c>
      <c r="E332" s="129" t="inlineStr">
        <is>
          <t>계획작업량(Man-Day)</t>
        </is>
      </c>
      <c r="F332" s="129" t="inlineStr">
        <is>
          <t>계획작업량(Man-Day)</t>
        </is>
      </c>
    </row>
    <row r="333">
      <c r="A333" s="131" t="n"/>
      <c r="B333" s="127" t="n">
        <v>417</v>
      </c>
      <c r="C333" s="132" t="inlineStr">
        <is>
          <t>for import columun</t>
        </is>
      </c>
      <c r="D333" s="130" t="inlineStr">
        <is>
          <t>Planned__%Work Complete</t>
        </is>
      </c>
      <c r="E333" s="130" t="inlineStr">
        <is>
          <t>계획</t>
        </is>
      </c>
      <c r="F333" s="130" t="inlineStr">
        <is>
          <t>계획</t>
        </is>
      </c>
    </row>
    <row r="334">
      <c r="A334" s="131" t="n"/>
      <c r="B334" s="127" t="n">
        <v>418</v>
      </c>
      <c r="C334" s="132" t="inlineStr">
        <is>
          <t>for import columun</t>
        </is>
      </c>
      <c r="D334" s="130" t="inlineStr">
        <is>
          <t>Planned__Duration</t>
        </is>
      </c>
      <c r="E334" s="130" t="inlineStr">
        <is>
          <t>계획__기간</t>
        </is>
      </c>
      <c r="F334" s="130" t="inlineStr">
        <is>
          <t>계획__기간</t>
        </is>
      </c>
    </row>
    <row r="335">
      <c r="A335" s="131" t="n"/>
      <c r="B335" s="127" t="n">
        <v>419</v>
      </c>
      <c r="C335" s="132" t="inlineStr">
        <is>
          <t>for import columun</t>
        </is>
      </c>
      <c r="D335" s="130" t="inlineStr">
        <is>
          <t>Planned__Work</t>
        </is>
      </c>
      <c r="E335" s="130" t="inlineStr">
        <is>
          <t>계획__작업량</t>
        </is>
      </c>
      <c r="F335" s="130" t="inlineStr">
        <is>
          <t>계획__작업량</t>
        </is>
      </c>
    </row>
    <row r="336">
      <c r="B336" s="127" t="n">
        <v>420</v>
      </c>
      <c r="D336" s="129" t="inlineStr">
        <is>
          <t>Planned\n%Work Complete</t>
        </is>
      </c>
      <c r="E336" s="129" t="inlineStr">
        <is>
          <t>계획</t>
        </is>
      </c>
      <c r="F336" s="129" t="inlineStr">
        <is>
          <t>계획</t>
        </is>
      </c>
    </row>
    <row r="337">
      <c r="B337" s="127" t="n">
        <v>421</v>
      </c>
      <c r="D337" s="129" t="inlineStr">
        <is>
          <t>Planned\nDuration</t>
        </is>
      </c>
      <c r="E337" s="130" t="inlineStr">
        <is>
          <t>계획\n기간</t>
        </is>
      </c>
      <c r="F337" s="130" t="inlineStr">
        <is>
          <t>계획\n기간</t>
        </is>
      </c>
    </row>
    <row r="338">
      <c r="B338" s="127" t="n">
        <v>422</v>
      </c>
      <c r="D338" s="129" t="inlineStr">
        <is>
          <t>Planned\nWork</t>
        </is>
      </c>
      <c r="E338" s="129" t="inlineStr">
        <is>
          <t>계획\n작업량</t>
        </is>
      </c>
      <c r="F338" s="129" t="inlineStr">
        <is>
          <t>계획\n작업량</t>
        </is>
      </c>
    </row>
    <row r="339">
      <c r="B339" s="127" t="n">
        <v>423</v>
      </c>
      <c r="D339" s="129" t="inlineStr">
        <is>
          <t>Please choose a type of the task field.</t>
        </is>
      </c>
      <c r="E339" s="129" t="inlineStr">
        <is>
          <t>작업필드의 유형을 선택하세요.</t>
        </is>
      </c>
      <c r="F339" s="129" t="inlineStr">
        <is>
          <t>작업필드의 유형을 선택하세요.</t>
        </is>
      </c>
    </row>
    <row r="340">
      <c r="B340" s="127" t="n">
        <v>424</v>
      </c>
      <c r="D340" s="129" t="inlineStr">
        <is>
          <t>Please enter the extension.</t>
        </is>
      </c>
      <c r="E340" s="129" t="inlineStr">
        <is>
          <t>확장자명을 입력하세요.</t>
        </is>
      </c>
      <c r="F340" s="129" t="inlineStr">
        <is>
          <t>확장자명을 입력하세요.</t>
        </is>
      </c>
    </row>
    <row r="341">
      <c r="B341" s="127" t="n">
        <v>425</v>
      </c>
      <c r="D341" s="129" t="inlineStr">
        <is>
          <t>Please enter the path where deliverables are saved.</t>
        </is>
      </c>
      <c r="E341" s="129" t="inlineStr">
        <is>
          <t>산출물이 저장될 특정경로를 입력하세요.</t>
        </is>
      </c>
      <c r="F341" s="129" t="inlineStr">
        <is>
          <t>산출물이 저장될 특정경로를 입력하세요.</t>
        </is>
      </c>
    </row>
    <row r="342">
      <c r="B342" s="127" t="n">
        <v>426</v>
      </c>
      <c r="D342" s="129" t="inlineStr">
        <is>
          <t>Please enter the program execution path.</t>
        </is>
      </c>
      <c r="E342" s="129" t="inlineStr">
        <is>
          <t>프로그램 실행경로를 입력하세요.</t>
        </is>
      </c>
      <c r="F342" s="129" t="inlineStr">
        <is>
          <t>프로그램 실행경로를 입력하세요.</t>
        </is>
      </c>
    </row>
    <row r="343">
      <c r="B343" s="127" t="n">
        <v>427</v>
      </c>
      <c r="D343" s="129" t="inlineStr">
        <is>
          <t>Please set project calendars in this sheet.</t>
        </is>
      </c>
      <c r="E343" s="129" t="inlineStr">
        <is>
          <t>이 Sheet에서 프로젝트 Calendar를 설정하세요.</t>
        </is>
      </c>
      <c r="F343" s="129" t="inlineStr">
        <is>
          <t>이 Sheet에서 프로젝트 Calendar를 설정하세요.</t>
        </is>
      </c>
    </row>
    <row r="344">
      <c r="B344" s="127" t="n">
        <v>428</v>
      </c>
      <c r="D344" s="129" t="inlineStr">
        <is>
          <t>Positive - ahead of schedule, Negative - behind schedule</t>
        </is>
      </c>
      <c r="E344" s="129" t="inlineStr">
        <is>
          <t>양수이면 계획보다 빨리 진행, 음수이면 지연</t>
        </is>
      </c>
      <c r="F344" s="129" t="inlineStr">
        <is>
          <t>양수이면 계획보다 빨리 진행, 음수이면 지연</t>
        </is>
      </c>
    </row>
    <row r="345">
      <c r="B345" s="127" t="n">
        <v>429</v>
      </c>
      <c r="D345" s="129" t="inlineStr">
        <is>
          <t>Powerpoint</t>
        </is>
      </c>
      <c r="E345" s="129" t="inlineStr">
        <is>
          <t>파워포인트</t>
        </is>
      </c>
      <c r="F345" s="129" t="inlineStr">
        <is>
          <t>파워포인트</t>
        </is>
      </c>
    </row>
    <row r="346">
      <c r="B346" s="127" t="n">
        <v>430</v>
      </c>
      <c r="D346" s="129" t="inlineStr">
        <is>
          <t>Program Info</t>
        </is>
      </c>
      <c r="E346" s="129" t="inlineStr">
        <is>
          <t>프로그램 정보</t>
        </is>
      </c>
      <c r="F346" s="129" t="inlineStr">
        <is>
          <t>프로그램 정보</t>
        </is>
      </c>
    </row>
    <row r="347">
      <c r="B347" s="127" t="n">
        <v>431</v>
      </c>
      <c r="D347" s="129" t="inlineStr">
        <is>
          <t>Program Name</t>
        </is>
      </c>
      <c r="E347" s="129" t="inlineStr">
        <is>
          <t>프로그램명</t>
        </is>
      </c>
      <c r="F347" s="129" t="inlineStr">
        <is>
          <t>프로그램명</t>
        </is>
      </c>
    </row>
    <row r="348">
      <c r="B348" s="127" t="n">
        <v>432</v>
      </c>
      <c r="D348" s="129" t="inlineStr">
        <is>
          <t>Program Site</t>
        </is>
      </c>
      <c r="E348" s="129" t="inlineStr">
        <is>
          <t>프로그램 사이트</t>
        </is>
      </c>
      <c r="F348" s="129" t="inlineStr">
        <is>
          <t>프로그램 사이트</t>
        </is>
      </c>
    </row>
    <row r="349">
      <c r="B349" s="127" t="n">
        <v>433</v>
      </c>
      <c r="D349" s="129" t="inlineStr">
        <is>
          <t>Progress</t>
        </is>
      </c>
      <c r="E349" s="129" t="inlineStr">
        <is>
          <t>진척률</t>
        </is>
      </c>
      <c r="F349" s="129" t="inlineStr">
        <is>
          <t>진척률</t>
        </is>
      </c>
    </row>
    <row r="350">
      <c r="B350" s="127" t="n">
        <v>434</v>
      </c>
      <c r="D350" s="129" t="inlineStr">
        <is>
          <t>Progress by Months</t>
        </is>
      </c>
      <c r="E350" s="129" t="inlineStr">
        <is>
          <t>진척률(월별)</t>
        </is>
      </c>
      <c r="F350" s="129" t="inlineStr">
        <is>
          <t>진척률(월별)</t>
        </is>
      </c>
    </row>
    <row r="351">
      <c r="B351" s="127" t="n">
        <v>435</v>
      </c>
      <c r="D351" s="129" t="inlineStr">
        <is>
          <t>Progress by Weeks</t>
        </is>
      </c>
      <c r="E351" s="129" t="inlineStr">
        <is>
          <t>진척률(주별)</t>
        </is>
      </c>
      <c r="F351" s="129" t="inlineStr">
        <is>
          <t>진척률(주별)</t>
        </is>
      </c>
    </row>
    <row r="352">
      <c r="B352" s="127" t="n">
        <v>436</v>
      </c>
      <c r="D352" s="129" t="inlineStr">
        <is>
          <t>Progresses by Resources</t>
        </is>
      </c>
      <c r="E352" s="129" t="inlineStr">
        <is>
          <t>담당별\n진행률</t>
        </is>
      </c>
      <c r="F352" s="129" t="inlineStr">
        <is>
          <t>담당별\n진행률</t>
        </is>
      </c>
    </row>
    <row r="353">
      <c r="B353" s="127" t="n">
        <v>437</v>
      </c>
      <c r="D353" s="129" t="inlineStr">
        <is>
          <t>Project Execution Plan</t>
        </is>
      </c>
      <c r="E353" s="129" t="inlineStr">
        <is>
          <t>프로젝트수행계획서</t>
        </is>
      </c>
      <c r="F353" s="129" t="inlineStr">
        <is>
          <t>프로젝트수행계획서</t>
        </is>
      </c>
    </row>
    <row r="354">
      <c r="B354" s="127" t="n">
        <v>438</v>
      </c>
      <c r="D354" s="129" t="inlineStr">
        <is>
          <t>Project Information</t>
        </is>
      </c>
      <c r="E354" s="129" t="inlineStr">
        <is>
          <t>프로젝트 정보</t>
        </is>
      </c>
      <c r="F354" s="129" t="inlineStr">
        <is>
          <t>프로젝트 정보</t>
        </is>
      </c>
    </row>
    <row r="355">
      <c r="B355" s="127" t="n">
        <v>439</v>
      </c>
      <c r="D355" s="129" t="inlineStr">
        <is>
          <t>Project Name</t>
        </is>
      </c>
      <c r="E355" s="129" t="inlineStr">
        <is>
          <t>프로젝트명</t>
        </is>
      </c>
      <c r="F355" s="129" t="inlineStr">
        <is>
          <t>프로젝트명</t>
        </is>
      </c>
    </row>
    <row r="356">
      <c r="B356" s="127" t="n">
        <v>440</v>
      </c>
      <c r="D356" s="129" t="inlineStr">
        <is>
          <t>Project Progress - When managing schedule changes</t>
        </is>
      </c>
      <c r="E356" s="129" t="inlineStr">
        <is>
          <t>프로젝트 진척률 - 일정변경 관리할때</t>
        </is>
      </c>
      <c r="F356" s="129" t="inlineStr">
        <is>
          <t>프로젝트 진척률 - 일정변경 관리할때</t>
        </is>
      </c>
    </row>
    <row r="357">
      <c r="B357" s="127" t="n">
        <v>441</v>
      </c>
      <c r="D357" s="129" t="inlineStr">
        <is>
          <t>Project Progress - When not managing schedule changes</t>
        </is>
      </c>
      <c r="E357" s="129" t="inlineStr">
        <is>
          <t>프로젝트 진척률 - 일정변경 관리하지 않을때</t>
        </is>
      </c>
      <c r="F357" s="129" t="inlineStr">
        <is>
          <t>프로젝트 진척률 - 일정변경 관리하지 않을때</t>
        </is>
      </c>
    </row>
    <row r="358">
      <c r="B358" s="127" t="n">
        <v>442</v>
      </c>
      <c r="D358" s="129" t="inlineStr">
        <is>
          <t>Project Progresses by Months</t>
        </is>
      </c>
      <c r="E358" s="129" t="inlineStr">
        <is>
          <t>프로젝트 진척률(월별)</t>
        </is>
      </c>
      <c r="F358" s="129" t="inlineStr">
        <is>
          <t>프로젝트 진척률(월별)</t>
        </is>
      </c>
    </row>
    <row r="359">
      <c r="B359" s="127" t="n">
        <v>443</v>
      </c>
      <c r="D359" s="129" t="inlineStr">
        <is>
          <t>Project Progresses by Weeks</t>
        </is>
      </c>
      <c r="E359" s="129" t="inlineStr">
        <is>
          <t>프로젝트 진척률(주별)</t>
        </is>
      </c>
      <c r="F359" s="129" t="inlineStr">
        <is>
          <t>프로젝트 진척률(주별)</t>
        </is>
      </c>
    </row>
    <row r="360">
      <c r="B360" s="127" t="n">
        <v>444</v>
      </c>
      <c r="D360" s="129" t="inlineStr">
        <is>
          <t>Project Scheduler</t>
        </is>
      </c>
      <c r="E360" s="129" t="inlineStr">
        <is>
          <t>Project Scheduler</t>
        </is>
      </c>
      <c r="F360" s="129" t="inlineStr">
        <is>
          <t>Project Scheduler</t>
        </is>
      </c>
    </row>
    <row r="361" ht="24" customHeight="1">
      <c r="B361" s="127" t="n">
        <v>445</v>
      </c>
      <c r="C361" s="128" t="inlineStr">
        <is>
          <t>for help sheet</t>
        </is>
      </c>
      <c r="D361" s="129" t="inlineStr">
        <is>
          <t>Provides you with analytical reports such as progress, workload, and workload data for tracking the status of your project.</t>
        </is>
      </c>
      <c r="E361" s="129" t="inlineStr">
        <is>
          <t>프로젝트의 현황을 파악할 수 있는 진행률, Workload 등의 분석 리포트와 분석용 Workload data를 제공한다.</t>
        </is>
      </c>
      <c r="F361" s="129" t="inlineStr">
        <is>
          <t>프로젝트의 현황을 파악할 수 있는 진행률, Workload 등의 분석 리포트와 분석용 Workload data를 제공한다.</t>
        </is>
      </c>
    </row>
    <row r="362">
      <c r="B362" s="127" t="n">
        <v>446</v>
      </c>
      <c r="D362" s="129" t="inlineStr">
        <is>
          <t>Purple</t>
        </is>
      </c>
      <c r="E362" s="129" t="inlineStr">
        <is>
          <t>퍼플</t>
        </is>
      </c>
      <c r="F362" s="129" t="inlineStr">
        <is>
          <t>퍼플</t>
        </is>
      </c>
    </row>
    <row r="363">
      <c r="B363" s="127" t="n">
        <v>447</v>
      </c>
      <c r="C363" s="128" t="inlineStr">
        <is>
          <t>for importOnStartup</t>
        </is>
      </c>
      <c r="D363" s="129" t="inlineStr">
        <is>
          <t>Recalculate WBS area after import</t>
        </is>
      </c>
      <c r="E363" s="129" t="inlineStr">
        <is>
          <t>가져오기 후 WBS영역 재계산</t>
        </is>
      </c>
      <c r="F363" s="129" t="inlineStr">
        <is>
          <t>가져오기 후 WBS영역 재계산</t>
        </is>
      </c>
    </row>
    <row r="364">
      <c r="B364" s="127" t="n">
        <v>448</v>
      </c>
      <c r="D364" s="129" t="inlineStr">
        <is>
          <t>Reformatting</t>
        </is>
      </c>
      <c r="E364" s="129" t="inlineStr">
        <is>
          <t>서식\n재설정</t>
        </is>
      </c>
      <c r="F364" s="129" t="inlineStr">
        <is>
          <t>서식\n재설정</t>
        </is>
      </c>
    </row>
    <row r="365" ht="24" customHeight="1">
      <c r="B365" s="127" t="n">
        <v>449</v>
      </c>
      <c r="D365" s="129" t="inlineStr">
        <is>
          <t>Regardless of the language setting in computer O/S, you can choose a language directly</t>
        </is>
      </c>
      <c r="E365" s="129" t="inlineStr">
        <is>
          <t>컴퓨터 O/S에 설정된 언어와 관계없이 사용자가 표시할 언어를 직접 선택할 수 _x000D_
있습니다.</t>
        </is>
      </c>
      <c r="F365" s="129" t="inlineStr">
        <is>
          <t>컴퓨터 O/S에 설정된 언어와 관계없이 사용자가 표시할 언어를 직접 선택할 수 _x000D_
있습니다.</t>
        </is>
      </c>
    </row>
    <row r="366">
      <c r="B366" s="127" t="n">
        <v>450</v>
      </c>
      <c r="D366" s="129" t="inlineStr">
        <is>
          <t>Release Date</t>
        </is>
      </c>
      <c r="E366" s="129" t="inlineStr">
        <is>
          <t>릴리즈 일자</t>
        </is>
      </c>
      <c r="F366" s="129" t="inlineStr">
        <is>
          <t>릴리즈 일자</t>
        </is>
      </c>
    </row>
    <row r="367">
      <c r="B367" s="127" t="n">
        <v>451</v>
      </c>
      <c r="D367" s="129" t="inlineStr">
        <is>
          <t>Resource Allocation Ratio</t>
        </is>
      </c>
      <c r="E367" s="129" t="inlineStr">
        <is>
          <t>자원배정비율</t>
        </is>
      </c>
      <c r="F367" s="129" t="inlineStr">
        <is>
          <t>자원배정비율</t>
        </is>
      </c>
    </row>
    <row r="368" ht="24" customHeight="1">
      <c r="B368" s="127" t="n">
        <v>452</v>
      </c>
      <c r="D368" s="129" t="inlineStr">
        <is>
          <t>Resource field.</t>
        </is>
      </c>
      <c r="E368" s="129" t="inlineStr">
        <is>
          <t>자원 필드입니다. 담당자, 리소스 등의 이름으로 불리기도 합니다. 해당 작업의 담당자를 표시합니다</t>
        </is>
      </c>
      <c r="F368" s="129" t="inlineStr">
        <is>
          <t>자원 필드입니다. 담당자, 리소스 등의 이름으로 불리기도 합니다. 해당 작업의 담당자를 표시합니다</t>
        </is>
      </c>
    </row>
    <row r="369">
      <c r="B369" s="127" t="n">
        <v>453</v>
      </c>
      <c r="D369" s="130" t="inlineStr">
        <is>
          <t>Resources</t>
        </is>
      </c>
      <c r="E369" s="129" t="inlineStr">
        <is>
          <t>담당</t>
        </is>
      </c>
      <c r="F369" s="129" t="inlineStr">
        <is>
          <t>담당</t>
        </is>
      </c>
    </row>
    <row r="370">
      <c r="B370" s="127" t="n">
        <v>454</v>
      </c>
      <c r="D370" s="129" t="inlineStr">
        <is>
          <t>Right of the chart</t>
        </is>
      </c>
      <c r="E370" s="129" t="inlineStr">
        <is>
          <t>Chart 오른쪽</t>
        </is>
      </c>
      <c r="F370" s="129" t="inlineStr">
        <is>
          <t>Chart 오른쪽</t>
        </is>
      </c>
    </row>
    <row r="371">
      <c r="B371" s="127" t="n">
        <v>455</v>
      </c>
      <c r="D371" s="129" t="inlineStr">
        <is>
          <t xml:space="preserve">Rows of imported data : </t>
        </is>
      </c>
      <c r="E371" s="129" t="inlineStr">
        <is>
          <t xml:space="preserve">가져온 자료의 행수 : </t>
        </is>
      </c>
      <c r="F371" s="129" t="inlineStr">
        <is>
          <t xml:space="preserve">가져온 자료의 행수 : </t>
        </is>
      </c>
    </row>
    <row r="372">
      <c r="B372" s="127" t="n">
        <v>456</v>
      </c>
      <c r="D372" s="129" t="inlineStr">
        <is>
          <t>Run "Update Schedule"  When Saving XLGantt File</t>
        </is>
      </c>
      <c r="E372" s="129" t="inlineStr">
        <is>
          <t>File저장시 "스케줄업데이트" 실행</t>
        </is>
      </c>
      <c r="F372" s="129" t="inlineStr">
        <is>
          <t>File저장시 "스케줄업데이트" 실행</t>
        </is>
      </c>
    </row>
    <row r="373">
      <c r="B373" s="127" t="n">
        <v>457</v>
      </c>
      <c r="D373" s="129" t="inlineStr">
        <is>
          <t>Sat</t>
        </is>
      </c>
      <c r="E373" s="129" t="inlineStr">
        <is>
          <t>토</t>
        </is>
      </c>
      <c r="F373" s="129" t="inlineStr">
        <is>
          <t>토</t>
        </is>
      </c>
    </row>
    <row r="374">
      <c r="B374" s="127" t="n">
        <v>458</v>
      </c>
      <c r="D374" s="129" t="inlineStr">
        <is>
          <t>Save</t>
        </is>
      </c>
      <c r="E374" s="129" t="inlineStr">
        <is>
          <t>저장</t>
        </is>
      </c>
      <c r="F374" s="129" t="inlineStr">
        <is>
          <t>저장</t>
        </is>
      </c>
    </row>
    <row r="375">
      <c r="B375" s="127" t="n">
        <v>459</v>
      </c>
      <c r="C375" s="128" t="inlineStr">
        <is>
          <t>for help sheet</t>
        </is>
      </c>
      <c r="D375" s="129" t="inlineStr">
        <is>
          <t>Schedule change</t>
        </is>
      </c>
      <c r="E375" s="129" t="inlineStr">
        <is>
          <t>일정계획 변경관리</t>
        </is>
      </c>
      <c r="F375" s="129" t="inlineStr">
        <is>
          <t>일정계획 변경관리</t>
        </is>
      </c>
    </row>
    <row r="376">
      <c r="B376" s="127" t="n">
        <v>460</v>
      </c>
      <c r="D376" s="129" t="inlineStr">
        <is>
          <t>Schedule Change Management</t>
        </is>
      </c>
      <c r="E376" s="129" t="inlineStr">
        <is>
          <t>일정계획 변경관리</t>
        </is>
      </c>
      <c r="F376" s="129" t="inlineStr">
        <is>
          <t>일정계획 변경관리</t>
        </is>
      </c>
    </row>
    <row r="377">
      <c r="B377" s="127" t="n">
        <v>461</v>
      </c>
      <c r="D377" s="129" t="inlineStr">
        <is>
          <t>Schedule update has been completed.</t>
        </is>
      </c>
      <c r="E377" s="129" t="inlineStr">
        <is>
          <t>스케줄업데이트 작업이 완료되었습니다.</t>
        </is>
      </c>
      <c r="F377" s="129" t="inlineStr">
        <is>
          <t>스케줄업데이트 작업이 완료되었습니다.</t>
        </is>
      </c>
    </row>
    <row r="378">
      <c r="B378" s="127" t="n">
        <v>462</v>
      </c>
      <c r="D378" s="129" t="inlineStr">
        <is>
          <t>Schedule variance</t>
        </is>
      </c>
      <c r="E378" s="129" t="inlineStr">
        <is>
          <t>계획대비 실적 차이</t>
        </is>
      </c>
      <c r="F378" s="129" t="inlineStr">
        <is>
          <t>계획대비 실적 차이</t>
        </is>
      </c>
    </row>
    <row r="379">
      <c r="B379" s="127" t="n">
        <v>463</v>
      </c>
      <c r="D379" s="129" t="inlineStr">
        <is>
          <t>Schedule Variance(B-A)</t>
        </is>
      </c>
      <c r="E379" s="129" t="inlineStr">
        <is>
          <t>차이(B-A)</t>
        </is>
      </c>
      <c r="F379" s="129" t="inlineStr">
        <is>
          <t>차이(B-A)</t>
        </is>
      </c>
    </row>
    <row r="380">
      <c r="B380" s="127" t="n">
        <v>464</v>
      </c>
      <c r="D380" s="129" t="inlineStr">
        <is>
          <t>Search for the tasks based on criteria.</t>
        </is>
      </c>
      <c r="F380" s="129" t="n"/>
    </row>
    <row r="381">
      <c r="B381" s="127" t="n">
        <v>465</v>
      </c>
      <c r="D381" s="129" t="inlineStr">
        <is>
          <t>Select source files(Muliple Select)</t>
        </is>
      </c>
      <c r="E381" s="129" t="inlineStr">
        <is>
          <t>가져올 파일을 선택하세요(다중선택가능)</t>
        </is>
      </c>
      <c r="F381" s="129" t="inlineStr">
        <is>
          <t>가져올 파일을 선택하세요(다중선택가능)</t>
        </is>
      </c>
    </row>
    <row r="382" ht="24" customHeight="1">
      <c r="B382" s="127" t="n">
        <v>466</v>
      </c>
      <c r="D382" s="129" t="inlineStr">
        <is>
          <t>Set "the earliest start date and the lastest fisnish date of the tasks" to the Project Start-Finish date.</t>
        </is>
      </c>
      <c r="E382" s="129" t="inlineStr">
        <is>
          <t>Task의 가장 빠른 시작일과 가장 늦은 완료일을 프로젝트 기간으로 자동설정</t>
        </is>
      </c>
      <c r="F382" s="129" t="inlineStr">
        <is>
          <t>Task의 가장 빠른 시작일과 가장 늦은 완료일을 프로젝트 기간으로 자동설정</t>
        </is>
      </c>
    </row>
    <row r="383" ht="24" customHeight="1">
      <c r="B383" s="127" t="n">
        <v>467</v>
      </c>
      <c r="D383" s="129" t="inlineStr">
        <is>
          <t xml:space="preserve">Set path by the task name automatically\n(in this case, specify the upper path of automatically assigned path) </t>
        </is>
      </c>
      <c r="E383" s="129" t="inlineStr">
        <is>
          <t xml:space="preserve">작업명으로 경로 자동지정(이 경우 자동지정된 경로의 상위경로를 입력) </t>
        </is>
      </c>
      <c r="F383" s="129" t="inlineStr">
        <is>
          <t xml:space="preserve">작업명으로 경로 자동지정(이 경우 자동지정된 경로의 상위경로를 입력) </t>
        </is>
      </c>
    </row>
    <row r="384">
      <c r="B384" s="127" t="n">
        <v>468</v>
      </c>
      <c r="D384" s="129" t="inlineStr">
        <is>
          <t>Set program execution paths to open deliverables</t>
        </is>
      </c>
      <c r="E384" s="129" t="inlineStr">
        <is>
          <t>산출물열기 프로그램 실행경로 지정</t>
        </is>
      </c>
      <c r="F384" s="129" t="inlineStr">
        <is>
          <t>산출물열기 프로그램 실행경로 지정</t>
        </is>
      </c>
    </row>
    <row r="385">
      <c r="B385" s="127" t="n">
        <v>469</v>
      </c>
      <c r="D385" s="129" t="inlineStr">
        <is>
          <t>Set saving path of deliverables</t>
        </is>
      </c>
      <c r="E385" s="129" t="inlineStr">
        <is>
          <t>산출물 저장경로</t>
        </is>
      </c>
      <c r="F385" s="129" t="inlineStr">
        <is>
          <t>산출물 저장경로</t>
        </is>
      </c>
    </row>
    <row r="386">
      <c r="B386" s="127" t="n">
        <v>470</v>
      </c>
      <c r="C386" s="128" t="inlineStr">
        <is>
          <t>for help sheet</t>
        </is>
      </c>
      <c r="D386" s="129" t="inlineStr">
        <is>
          <t>Sets nonworking days.</t>
        </is>
      </c>
      <c r="E386" s="129" t="inlineStr">
        <is>
          <t>프로젝트의 휴무일을 설정한다.</t>
        </is>
      </c>
      <c r="F386" s="129" t="inlineStr">
        <is>
          <t>프로젝트의 휴무일을 설정한다.</t>
        </is>
      </c>
    </row>
    <row r="387">
      <c r="B387" s="127" t="n">
        <v>471</v>
      </c>
      <c r="C387" s="128" t="inlineStr">
        <is>
          <t>for help sheet</t>
        </is>
      </c>
      <c r="D387" s="129" t="inlineStr">
        <is>
          <t>Setting Gantt chart display style</t>
        </is>
      </c>
      <c r="E387" s="129" t="inlineStr">
        <is>
          <t>간트차트 표시방법 설정</t>
        </is>
      </c>
      <c r="F387" s="129" t="inlineStr">
        <is>
          <t>간트차트 표시방법 설정</t>
        </is>
      </c>
    </row>
    <row r="388">
      <c r="B388" s="127" t="n">
        <v>472</v>
      </c>
      <c r="D388" s="129" t="inlineStr">
        <is>
          <t>Settings</t>
        </is>
      </c>
      <c r="E388" s="129" t="inlineStr">
        <is>
          <t>설정</t>
        </is>
      </c>
      <c r="F388" s="129" t="inlineStr">
        <is>
          <t>설정</t>
        </is>
      </c>
    </row>
    <row r="389">
      <c r="B389" s="127" t="n">
        <v>473</v>
      </c>
      <c r="C389" s="128" t="inlineStr">
        <is>
          <t>for help sheet</t>
        </is>
      </c>
      <c r="D389" s="129" t="inlineStr">
        <is>
          <t>Sheets</t>
        </is>
      </c>
      <c r="E389" s="129" t="inlineStr">
        <is>
          <t>시트 구성</t>
        </is>
      </c>
      <c r="F389" s="129" t="inlineStr">
        <is>
          <t>시트 구성</t>
        </is>
      </c>
    </row>
    <row r="390" ht="24" customHeight="1">
      <c r="B390" s="127" t="n">
        <v>474</v>
      </c>
      <c r="C390" s="128" t="inlineStr">
        <is>
          <t>for help sheet</t>
        </is>
      </c>
      <c r="D390" s="129" t="inlineStr">
        <is>
          <t>Shows you the progresses and workloads of the project by weeks, months, and resources.</t>
        </is>
      </c>
      <c r="E390" s="129" t="inlineStr">
        <is>
          <t>담당별 진행률, Workload등 분석용 Report를 만들어서 보여준다.</t>
        </is>
      </c>
      <c r="F390" s="129" t="inlineStr">
        <is>
          <t>담당별 진행률, Workload등 분석용 Report를 만들어서 보여준다.</t>
        </is>
      </c>
    </row>
    <row r="391">
      <c r="B391" s="127" t="n">
        <v>475</v>
      </c>
      <c r="C391" s="128" t="inlineStr">
        <is>
          <t>for help sheet</t>
        </is>
      </c>
      <c r="D391" s="129" t="inlineStr">
        <is>
          <t>Shows you the workloads, progresses, etc.</t>
        </is>
      </c>
      <c r="E391" s="129" t="inlineStr">
        <is>
          <t>작업량, 진척률 등을 볼 수 있다.</t>
        </is>
      </c>
      <c r="F391" s="129" t="inlineStr">
        <is>
          <t>작업량, 진척률 등을 볼 수 있다.</t>
        </is>
      </c>
    </row>
    <row r="392">
      <c r="B392" s="127" t="n">
        <v>476</v>
      </c>
      <c r="D392" s="129" t="inlineStr">
        <is>
          <t>Specific Date</t>
        </is>
      </c>
      <c r="E392" s="129" t="inlineStr">
        <is>
          <t>특정날짜</t>
        </is>
      </c>
      <c r="F392" s="129" t="inlineStr">
        <is>
          <t>특정날짜</t>
        </is>
      </c>
    </row>
    <row r="393">
      <c r="B393" s="127" t="n">
        <v>477</v>
      </c>
      <c r="D393" s="129" t="inlineStr">
        <is>
          <t>Specific path</t>
        </is>
      </c>
      <c r="E393" s="129" t="inlineStr">
        <is>
          <t>특정 경로</t>
        </is>
      </c>
      <c r="F393" s="129" t="inlineStr">
        <is>
          <t>특정 경로</t>
        </is>
      </c>
    </row>
    <row r="394" ht="36" customHeight="1">
      <c r="B394" s="127" t="n">
        <v>478</v>
      </c>
      <c r="C394" s="128" t="inlineStr">
        <is>
          <t>for help sheet</t>
        </is>
      </c>
      <c r="D394" s="129" t="inlineStr">
        <is>
          <t>Specifies the save path of the deliverables and open the deliverables.</t>
        </is>
      </c>
      <c r="E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F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row>
    <row r="395">
      <c r="B395" s="127" t="n">
        <v>479</v>
      </c>
      <c r="D395" s="129" t="inlineStr">
        <is>
          <t>Standard Calendar</t>
        </is>
      </c>
      <c r="E395" s="129" t="inlineStr">
        <is>
          <t>표준캘린더</t>
        </is>
      </c>
      <c r="F395" s="129" t="inlineStr">
        <is>
          <t>표준캘린더</t>
        </is>
      </c>
    </row>
    <row r="396">
      <c r="B396" s="127" t="n">
        <v>480</v>
      </c>
      <c r="D396" s="129" t="inlineStr">
        <is>
          <t>Star(*) marks - required fields</t>
        </is>
      </c>
      <c r="E396" s="129" t="inlineStr">
        <is>
          <t>별(*)표시는 필수입력</t>
        </is>
      </c>
      <c r="F396" s="129" t="inlineStr">
        <is>
          <t>별(*)표시는 필수입력</t>
        </is>
      </c>
    </row>
    <row r="397">
      <c r="B397" s="127" t="n">
        <v>481</v>
      </c>
      <c r="D397" s="129" t="inlineStr">
        <is>
          <t>Start</t>
        </is>
      </c>
      <c r="E397" s="129" t="inlineStr">
        <is>
          <t>시작일</t>
        </is>
      </c>
      <c r="F397" s="129" t="inlineStr">
        <is>
          <t>시작일</t>
        </is>
      </c>
    </row>
    <row r="398">
      <c r="B398" s="127" t="n">
        <v>482</v>
      </c>
      <c r="D398" s="129" t="inlineStr">
        <is>
          <t>Start Date</t>
        </is>
      </c>
      <c r="E398" s="129" t="inlineStr">
        <is>
          <t>시작일자</t>
        </is>
      </c>
      <c r="F398" s="129" t="inlineStr">
        <is>
          <t>시작일자</t>
        </is>
      </c>
    </row>
    <row r="399">
      <c r="B399" s="127" t="n">
        <v>483</v>
      </c>
      <c r="D399" s="129" t="inlineStr">
        <is>
          <t>Start date field of a task. It must be in date format.</t>
        </is>
      </c>
      <c r="E399" s="129" t="inlineStr">
        <is>
          <t>각 작업의 시작일을 표시합니다. 반드시 날짜 형식이어야 합니다.</t>
        </is>
      </c>
      <c r="F399" s="129" t="inlineStr">
        <is>
          <t>각 작업의 시작일을 표시합니다. 반드시 날짜 형식이어야 합니다.</t>
        </is>
      </c>
    </row>
    <row r="400">
      <c r="B400" s="127" t="n">
        <v>484</v>
      </c>
      <c r="D400" s="129" t="inlineStr">
        <is>
          <t>Start date is invalid.</t>
        </is>
      </c>
      <c r="E400" s="129" t="inlineStr">
        <is>
          <t>작업시작일의 날짜형식이 잘못되었습니다.</t>
        </is>
      </c>
      <c r="F400" s="129" t="inlineStr">
        <is>
          <t>작업시작일의 날짜형식이 잘못되었습니다.</t>
        </is>
      </c>
    </row>
    <row r="401" ht="24" customHeight="1">
      <c r="B401" s="127" t="n">
        <v>485</v>
      </c>
      <c r="D401" s="129" t="inlineStr">
        <is>
          <t>Start date is invalid. Verify row {} of the source file.</t>
        </is>
      </c>
      <c r="E401" s="129" t="inlineStr">
        <is>
          <t>시작일자에 날짜가 아닌 값이 포함되어 있습니다. Import하는 파일의 {}행을 확인하세요.</t>
        </is>
      </c>
      <c r="F401" s="129" t="inlineStr">
        <is>
          <t>시작일자에 날짜가 아닌 값이 포함되어 있습니다. Import하는 파일의 {}행을 확인하세요.</t>
        </is>
      </c>
    </row>
    <row r="402">
      <c r="B402" s="127" t="n">
        <v>486</v>
      </c>
      <c r="D402" s="129" t="inlineStr">
        <is>
          <t>Started as planned</t>
        </is>
      </c>
      <c r="E402" s="129" t="inlineStr">
        <is>
          <t>계획과 같은 날짜에 시작됨</t>
        </is>
      </c>
      <c r="F402" s="129" t="inlineStr">
        <is>
          <t>계획과 같은 날짜에 시작됨</t>
        </is>
      </c>
    </row>
    <row r="403">
      <c r="B403" s="127" t="n">
        <v>487</v>
      </c>
      <c r="D403" s="129" t="inlineStr">
        <is>
          <t>Started earlier than planned</t>
        </is>
      </c>
      <c r="E403" s="129" t="inlineStr">
        <is>
          <t>계획보다 일찍 시작됨</t>
        </is>
      </c>
      <c r="F403" s="129" t="inlineStr">
        <is>
          <t>계획보다 일찍 시작됨</t>
        </is>
      </c>
    </row>
    <row r="404">
      <c r="B404" s="127" t="n">
        <v>488</v>
      </c>
      <c r="D404" s="129" t="inlineStr">
        <is>
          <t>Started later than planned</t>
        </is>
      </c>
      <c r="E404" s="129" t="inlineStr">
        <is>
          <t>계획보다 늦게 시작됨</t>
        </is>
      </c>
      <c r="F404" s="129" t="inlineStr">
        <is>
          <t>계획보다 늦게 시작됨</t>
        </is>
      </c>
    </row>
    <row r="405">
      <c r="B405" s="127" t="n">
        <v>489</v>
      </c>
      <c r="D405" s="129" t="inlineStr">
        <is>
          <t>Start-Finish</t>
        </is>
      </c>
      <c r="E405" s="129" t="inlineStr">
        <is>
          <t>시작일-완료일</t>
        </is>
      </c>
      <c r="F405" s="129" t="inlineStr">
        <is>
          <t>시작일-완료일</t>
        </is>
      </c>
    </row>
    <row r="406">
      <c r="B406" s="127" t="n">
        <v>490</v>
      </c>
      <c r="C406" s="128" t="inlineStr">
        <is>
          <t>for importOnStartup</t>
        </is>
      </c>
      <c r="D406" s="129" t="inlineStr">
        <is>
          <t>Successfully imported.</t>
        </is>
      </c>
      <c r="E406" s="129" t="inlineStr">
        <is>
          <t>가져오기가 정상적으로 완료되었습니다.</t>
        </is>
      </c>
      <c r="F406" s="129" t="inlineStr">
        <is>
          <t>가져오기가 정상적으로 완료되었습니다.</t>
        </is>
      </c>
    </row>
    <row r="407">
      <c r="B407" s="127" t="n">
        <v>491</v>
      </c>
      <c r="D407" s="129" t="inlineStr">
        <is>
          <t>Sun</t>
        </is>
      </c>
      <c r="E407" s="129" t="inlineStr">
        <is>
          <t>일</t>
        </is>
      </c>
      <c r="F407" s="129" t="inlineStr">
        <is>
          <t>일</t>
        </is>
      </c>
    </row>
    <row r="408">
      <c r="B408" s="127" t="n">
        <v>492</v>
      </c>
      <c r="C408" s="128" t="inlineStr">
        <is>
          <t>for Week Number</t>
        </is>
      </c>
      <c r="D408" s="129" t="inlineStr">
        <is>
          <t>System 1</t>
        </is>
      </c>
      <c r="E408" s="129" t="inlineStr">
        <is>
          <t>체계 1</t>
        </is>
      </c>
      <c r="F408" s="129" t="inlineStr">
        <is>
          <t>체계 1</t>
        </is>
      </c>
    </row>
    <row r="409">
      <c r="B409" s="127" t="n">
        <v>493</v>
      </c>
      <c r="C409" s="128" t="inlineStr">
        <is>
          <t>for Week Number</t>
        </is>
      </c>
      <c r="D409" s="129" t="inlineStr">
        <is>
          <t>System 2</t>
        </is>
      </c>
      <c r="E409" s="129" t="inlineStr">
        <is>
          <t>체계 2</t>
        </is>
      </c>
      <c r="F409" s="129" t="inlineStr">
        <is>
          <t>체계 2</t>
        </is>
      </c>
    </row>
    <row r="410">
      <c r="B410" s="127" t="n">
        <v>494</v>
      </c>
      <c r="D410" s="129" t="inlineStr">
        <is>
          <t>Task</t>
        </is>
      </c>
      <c r="E410" s="129" t="inlineStr">
        <is>
          <t>작업</t>
        </is>
      </c>
      <c r="F410" s="129" t="inlineStr">
        <is>
          <t>작업</t>
        </is>
      </c>
    </row>
    <row r="411">
      <c r="B411" s="127" t="n">
        <v>495</v>
      </c>
      <c r="D411" s="129" t="inlineStr">
        <is>
          <t>Task area was not selected. Please select a task area.</t>
        </is>
      </c>
      <c r="E411" s="129" t="inlineStr">
        <is>
          <t>작업영역이 선택되지 않았습니다. 영역을 선택하세요.</t>
        </is>
      </c>
      <c r="F411" s="129" t="inlineStr">
        <is>
          <t>작업영역이 선택되지 않았습니다. 영역을 선택하세요.</t>
        </is>
      </c>
    </row>
    <row r="412">
      <c r="B412" s="127" t="n">
        <v>496</v>
      </c>
      <c r="C412" s="128" t="inlineStr">
        <is>
          <t>for help sheet</t>
        </is>
      </c>
      <c r="D412" s="129" t="inlineStr">
        <is>
          <t>Enter tasks, Update schedule</t>
        </is>
      </c>
      <c r="E412" s="129" t="inlineStr">
        <is>
          <t>작업입력, 스케줄 업데이트</t>
        </is>
      </c>
      <c r="F412" s="129" t="inlineStr">
        <is>
          <t>작업입력, 스케줄 업데이트</t>
        </is>
      </c>
    </row>
    <row r="413">
      <c r="B413" s="127" t="n">
        <v>497</v>
      </c>
      <c r="D413" s="129" t="inlineStr">
        <is>
          <t>Task Name</t>
        </is>
      </c>
      <c r="E413" s="129" t="inlineStr">
        <is>
          <t>작업명</t>
        </is>
      </c>
      <c r="F413" s="129" t="inlineStr">
        <is>
          <t>작업명</t>
        </is>
      </c>
    </row>
    <row r="414" ht="36" customHeight="1">
      <c r="B414" s="127" t="n">
        <v>498</v>
      </c>
      <c r="D414" s="129" t="inlineStr">
        <is>
          <t>Task name field.It's also referred to as "Work" or "Activity" or etc.</t>
        </is>
      </c>
      <c r="E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c r="F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row>
    <row r="415">
      <c r="B415" s="127" t="n">
        <v>499</v>
      </c>
      <c r="D415" s="129" t="inlineStr">
        <is>
          <t>Task(Task name or Name) is missing.</t>
        </is>
      </c>
      <c r="E415" s="129" t="inlineStr">
        <is>
          <t>Task(작업명, 이름 등)는 반드시 입력되어야 합니다.</t>
        </is>
      </c>
      <c r="F415" s="129" t="inlineStr">
        <is>
          <t>Task(작업명, 이름 등)는 반드시 입력되어야 합니다.</t>
        </is>
      </c>
    </row>
    <row r="416" ht="24" customHeight="1">
      <c r="B416" s="127" t="n">
        <v>500</v>
      </c>
      <c r="D416" s="129" t="inlineStr">
        <is>
          <t>The "%Work Complete" column has been deleted. Please retry after changing the sheet to its previous state.</t>
        </is>
      </c>
      <c r="E416" s="129" t="inlineStr">
        <is>
          <t>실적진척률 열이 삭제되었습니다. 원래대로 복구한 후 작업하세요.</t>
        </is>
      </c>
      <c r="F416" s="129" t="inlineStr">
        <is>
          <t>실적진척률 열이 삭제되었습니다. 원래대로 복구한 후 작업하세요.</t>
        </is>
      </c>
    </row>
    <row r="417" ht="24" customHeight="1">
      <c r="B417" s="127" t="n">
        <v>501</v>
      </c>
      <c r="D417" s="129" t="inlineStr">
        <is>
          <t>The "%Work Complete" of row number {1} in the {2} sheet is not a number.</t>
        </is>
      </c>
      <c r="E417" s="129" t="inlineStr">
        <is>
          <t>{2} sheet의 {1}행의 실적진척률이 숫자가 아닙니다.</t>
        </is>
      </c>
      <c r="F417" s="129" t="inlineStr">
        <is>
          <t>{2} sheet의 {1}행의 실적진척률이 숫자가 아닙니다.</t>
        </is>
      </c>
    </row>
    <row r="418" ht="24" customHeight="1">
      <c r="B418" s="127" t="n">
        <v>502</v>
      </c>
      <c r="D418" s="129" t="inlineStr">
        <is>
          <t>The "Actual Finish Date" column has been deleted. Please retry after changing the sheet to its previous state.</t>
        </is>
      </c>
      <c r="E418" s="129" t="inlineStr">
        <is>
          <t>실제완료일 열이 삭제되었습니다. 원래대로 복구한 후 작업하세요.</t>
        </is>
      </c>
      <c r="F418" s="129" t="inlineStr">
        <is>
          <t>실제완료일 열이 삭제되었습니다. 원래대로 복구한 후 작업하세요.</t>
        </is>
      </c>
    </row>
    <row r="419" ht="24" customHeight="1">
      <c r="B419" s="127" t="n">
        <v>503</v>
      </c>
      <c r="D419" s="129" t="inlineStr">
        <is>
          <t>The "Actual Start Date" column has been deleted. Please retry after changing the sheet to its previous state.</t>
        </is>
      </c>
      <c r="E419" s="129" t="inlineStr">
        <is>
          <t>실제시작일 열이 삭제되었습니다. 원래대로 복구한 후 작업하세요.</t>
        </is>
      </c>
      <c r="F419" s="129" t="inlineStr">
        <is>
          <t>실제시작일 열이 삭제되었습니다. 원래대로 복구한 후 작업하세요.</t>
        </is>
      </c>
    </row>
    <row r="420" ht="24" customHeight="1">
      <c r="B420" s="127" t="n">
        <v>504</v>
      </c>
      <c r="D420" s="129" t="inlineStr">
        <is>
          <t>The "Actual Total Duration" column has been deleted. Please retry after changing the sheet to its previous state.</t>
        </is>
      </c>
      <c r="E420" s="129" t="inlineStr">
        <is>
          <t>실제총기간 열이 삭제되었습니다. 원래대로 복구한 후 작업하세요.</t>
        </is>
      </c>
      <c r="F420" s="129" t="inlineStr">
        <is>
          <t>실제총기간 열이 삭제되었습니다. 원래대로 복구한 후 작업하세요.</t>
        </is>
      </c>
    </row>
    <row r="421" ht="24" customHeight="1">
      <c r="B421" s="127" t="n">
        <v>505</v>
      </c>
      <c r="D421" s="129" t="inlineStr">
        <is>
          <t>The "Actual Total Work" column has been deleted. Please retry after changing the sheet to its previous state.</t>
        </is>
      </c>
      <c r="E421" s="129" t="inlineStr">
        <is>
          <t>실제총작업량 열이 삭제되었습니다. 원래대로 복구한 후 작업하세요.</t>
        </is>
      </c>
      <c r="F421" s="129" t="inlineStr">
        <is>
          <t>실제총작업량 열이 삭제되었습니다. 원래대로 복구한 후 작업하세요.</t>
        </is>
      </c>
    </row>
    <row r="422" ht="24" customHeight="1">
      <c r="B422" s="127" t="n">
        <v>506</v>
      </c>
      <c r="D422" s="129" t="inlineStr">
        <is>
          <t>The "Calendar" column has been deleted. Please retry after changing the sheet to its previous state.</t>
        </is>
      </c>
      <c r="E422" s="129" t="inlineStr">
        <is>
          <t>Calendar 열이 삭제되었습니다. 원래대로 복구한 후 작업하세요.</t>
        </is>
      </c>
      <c r="F422" s="129" t="inlineStr">
        <is>
          <t>Calendar 열이 삭제되었습니다. 원래대로 복구한 후 작업하세요.</t>
        </is>
      </c>
    </row>
    <row r="423" ht="24" customHeight="1">
      <c r="B423" s="127" t="n">
        <v>507</v>
      </c>
      <c r="D423" s="129" t="inlineStr">
        <is>
          <t>The "Deliverables" column has been deleted. Please retry after changing the sheet to its previous state.</t>
        </is>
      </c>
      <c r="E423" s="129" t="inlineStr">
        <is>
          <t>산출물 열이 삭제되었습니다. 원래대로 복구한 후 작업하세요.</t>
        </is>
      </c>
      <c r="F423" s="129" t="inlineStr">
        <is>
          <t>산출물 열이 삭제되었습니다. 원래대로 복구한 후 작업하세요.</t>
        </is>
      </c>
    </row>
    <row r="424" ht="24" customHeight="1">
      <c r="B424" s="127" t="n">
        <v>508</v>
      </c>
      <c r="D424" s="129" t="inlineStr">
        <is>
          <t>The "Finish Date" column has been deleted. Please retry after changing the sheet to its previous state.</t>
        </is>
      </c>
      <c r="E424" s="129" t="inlineStr">
        <is>
          <t>완료일 열이 삭제되었습니다. 원래대로 복구한 후 작업하세요.</t>
        </is>
      </c>
      <c r="F424" s="129" t="inlineStr">
        <is>
          <t>완료일 열이 삭제되었습니다. 원래대로 복구한 후 작업하세요.</t>
        </is>
      </c>
    </row>
    <row r="425" ht="24" customHeight="1">
      <c r="B425" s="127" t="n">
        <v>509</v>
      </c>
      <c r="D425" s="129" t="inlineStr">
        <is>
          <t>The "Note" column has been deleted. Please retry after changing the sheet to its previous state.</t>
        </is>
      </c>
      <c r="E425" s="129" t="inlineStr">
        <is>
          <t>비고 열이 삭제되었습니다. 원래대로 복구한 후 작업하세요.</t>
        </is>
      </c>
      <c r="F425" s="129" t="inlineStr">
        <is>
          <t>비고 열이 삭제되었습니다. 원래대로 복구한 후 작업하세요.</t>
        </is>
      </c>
    </row>
    <row r="426" ht="24" customHeight="1">
      <c r="B426" s="127" t="n">
        <v>510</v>
      </c>
      <c r="D426" s="129" t="inlineStr">
        <is>
          <t>The "Planned %Work Complete" column has been deleted. Please retry after changing the sheet to its previous state.</t>
        </is>
      </c>
      <c r="E426" s="129" t="inlineStr">
        <is>
          <t>계획진척률 열이 삭제되었습니다. 원래대로 복구한 후 작업하세요.</t>
        </is>
      </c>
      <c r="F426" s="129" t="inlineStr">
        <is>
          <t>계획진척률 열이 삭제되었습니다. 원래대로 복구한 후 작업하세요.</t>
        </is>
      </c>
    </row>
    <row r="427" ht="24" customHeight="1">
      <c r="B427" s="127" t="n">
        <v>511</v>
      </c>
      <c r="D427" s="129" t="inlineStr">
        <is>
          <t>The "Planned Duration" column has been deleted. Please retry after changing the sheet to its previous state.</t>
        </is>
      </c>
      <c r="E427" s="129" t="inlineStr">
        <is>
          <t>계획기간 열이 삭제되었습니다. 원래대로 복구한 후 작업하세요.</t>
        </is>
      </c>
      <c r="F427" s="129" t="inlineStr">
        <is>
          <t>계획기간 열이 삭제되었습니다. 원래대로 복구한 후 작업하세요.</t>
        </is>
      </c>
    </row>
    <row r="428" ht="24" customHeight="1">
      <c r="B428" s="127" t="n">
        <v>512</v>
      </c>
      <c r="D428" s="129" t="inlineStr">
        <is>
          <t>The "Planned Work" column has been deleted. Please retry after changing the sheet to its previous state.</t>
        </is>
      </c>
      <c r="E428" s="129" t="inlineStr">
        <is>
          <t>계획작업량 열이 삭제되었습니다. 원래대로 복구한 후 작업하세요.</t>
        </is>
      </c>
      <c r="F428" s="129" t="inlineStr">
        <is>
          <t>계획작업량 열이 삭제되었습니다. 원래대로 복구한 후 작업하세요.</t>
        </is>
      </c>
    </row>
    <row r="429" ht="24" customHeight="1">
      <c r="B429" s="127" t="n">
        <v>513</v>
      </c>
      <c r="D429" s="129" t="inlineStr">
        <is>
          <t>The "Resources" column has been deleted. Please retry after changing the sheet to its previous state.</t>
        </is>
      </c>
      <c r="E429" s="129" t="inlineStr">
        <is>
          <t>담당 열이 삭제되었습니다. 원래대로 복구한 후 작업하세요.</t>
        </is>
      </c>
      <c r="F429" s="129" t="inlineStr">
        <is>
          <t>담당 열이 삭제되었습니다. 원래대로 복구한 후 작업하세요.</t>
        </is>
      </c>
    </row>
    <row r="430" ht="24" customHeight="1">
      <c r="B430" s="127" t="n">
        <v>514</v>
      </c>
      <c r="D430" s="129" t="inlineStr">
        <is>
          <t>The "Start Date" column has been deleted. Please retry after changing the sheet to its previous state.</t>
        </is>
      </c>
      <c r="E430" s="129" t="inlineStr">
        <is>
          <t>시작일 열이 삭제되었습니다. 원래대로 복구한 후 작업하세요.</t>
        </is>
      </c>
      <c r="F430" s="129" t="inlineStr">
        <is>
          <t>시작일 열이 삭제되었습니다. 원래대로 복구한 후 작업하세요.</t>
        </is>
      </c>
    </row>
    <row r="431" ht="24" customHeight="1">
      <c r="B431" s="127" t="n">
        <v>515</v>
      </c>
      <c r="D431" s="129" t="inlineStr">
        <is>
          <t>The "Task" column has been deleted. Please retry after changing the sheet to its previous state.</t>
        </is>
      </c>
      <c r="E431" s="129" t="inlineStr">
        <is>
          <t>작업 열이 삭제되었습니다. 원래대로 복구한 후 작업하세요.</t>
        </is>
      </c>
      <c r="F431" s="129" t="inlineStr">
        <is>
          <t>작업 열이 삭제되었습니다. 원래대로 복구한 후 작업하세요.</t>
        </is>
      </c>
    </row>
    <row r="432" ht="24" customHeight="1">
      <c r="B432" s="127" t="n">
        <v>516</v>
      </c>
      <c r="D432" s="129" t="inlineStr">
        <is>
          <t>The "Total Duration" column has been deleted. Please retry after changing the sheet to its previous state.</t>
        </is>
      </c>
      <c r="E432" s="129" t="inlineStr">
        <is>
          <t>총기간 열이 삭제되었습니다. 원래대로 복구한 후 작업하세요.</t>
        </is>
      </c>
      <c r="F432" s="129" t="inlineStr">
        <is>
          <t>총기간 열이 삭제되었습니다. 원래대로 복구한 후 작업하세요.</t>
        </is>
      </c>
    </row>
    <row r="433" ht="24" customHeight="1">
      <c r="B433" s="127" t="n">
        <v>517</v>
      </c>
      <c r="D433" s="129" t="inlineStr">
        <is>
          <t>The "Total Work" column has been deleted. Please retry after changing the sheet to its previous state.</t>
        </is>
      </c>
      <c r="E433" s="129" t="inlineStr">
        <is>
          <t>총작업량 열이 삭제되었습니다. 원래대로 복구한 후 작업하세요.</t>
        </is>
      </c>
      <c r="F433" s="129" t="inlineStr">
        <is>
          <t>총작업량 열이 삭제되었습니다. 원래대로 복구한 후 작업하세요.</t>
        </is>
      </c>
    </row>
    <row r="434" ht="24" customHeight="1">
      <c r="B434" s="127" t="n">
        <v>518</v>
      </c>
      <c r="D434" s="129" t="inlineStr">
        <is>
          <t>The "WBS Level" column has been deleted. Please retry after changing the sheet to its previous state.</t>
        </is>
      </c>
      <c r="E434" s="129" t="inlineStr">
        <is>
          <t>WBS Level 열이 삭제되었습니다. 원래대로 복구한 후 작업하세요.</t>
        </is>
      </c>
      <c r="F434" s="129" t="inlineStr">
        <is>
          <t>WBS Level 열이 삭제되었습니다. 원래대로 복구한 후 작업하세요.</t>
        </is>
      </c>
    </row>
    <row r="435" ht="24" customHeight="1">
      <c r="B435" s="127" t="n">
        <v>519</v>
      </c>
      <c r="D435" s="129" t="inlineStr">
        <is>
          <t>The "WBS" column has been deleted. Please retry after changing the sheet to its previous state.</t>
        </is>
      </c>
      <c r="E435" s="129" t="inlineStr">
        <is>
          <t>WBS 열이 삭제되었습니다. 원래대로 복구한 후 작업하세요.</t>
        </is>
      </c>
      <c r="F435" s="129" t="inlineStr">
        <is>
          <t>WBS 열이 삭제되었습니다. 원래대로 복구한 후 작업하세요.</t>
        </is>
      </c>
    </row>
    <row r="436" ht="24" customHeight="1">
      <c r="B436" s="127" t="n">
        <v>520</v>
      </c>
      <c r="D436" s="129" t="inlineStr">
        <is>
          <t>The "Resource Count" column has been deleted. Please retry after changing the sheet to its previous state.</t>
        </is>
      </c>
      <c r="E436" s="129" t="inlineStr">
        <is>
          <t>자원수 열이 삭제되었습니다. 원래대로 복구한 후 작업하세요.</t>
        </is>
      </c>
      <c r="F436" s="129" t="inlineStr">
        <is>
          <t>자원수 열이 삭제되었습니다. 원래대로 복구한 후 작업하세요.</t>
        </is>
      </c>
    </row>
    <row r="437" ht="24" customHeight="1">
      <c r="B437" s="127" t="n">
        <v>521</v>
      </c>
      <c r="D437" s="129" t="inlineStr">
        <is>
          <t>The {} sheet does not exist. Please check that you changed or deleted the sheet.</t>
        </is>
      </c>
      <c r="E437" s="129" t="inlineStr">
        <is>
          <t>{} sheet가 존재하지 않습니다. 이름을 변경하거나 삭제했는지 확인하세요.</t>
        </is>
      </c>
      <c r="F437" s="129" t="inlineStr">
        <is>
          <t>{} sheet가 존재하지 않습니다. 이름을 변경하거나 삭제했는지 확인하세요.</t>
        </is>
      </c>
    </row>
    <row r="438" ht="24" customHeight="1">
      <c r="B438" s="127" t="n">
        <v>522</v>
      </c>
      <c r="D438" s="129" t="inlineStr">
        <is>
          <t>The {} sheet does not exist. Please check that you have changed or deleted the sheet.</t>
        </is>
      </c>
      <c r="E438" s="129" t="inlineStr">
        <is>
          <t>{} sheet가 존재하지 않습니다. 이름을 변경하거나 삭제했는지 확인하세요.</t>
        </is>
      </c>
      <c r="F438" s="129" t="inlineStr">
        <is>
          <t>{} sheet가 존재하지 않습니다. 이름을 변경하거나 삭제했는지 확인하세요.</t>
        </is>
      </c>
    </row>
    <row r="439" ht="24" customHeight="1">
      <c r="B439" s="127" t="n">
        <v>523</v>
      </c>
      <c r="D439" s="129" t="inlineStr">
        <is>
          <t>The actual finish date format of row number {1} in the {2} sheet is invalid.</t>
        </is>
      </c>
      <c r="E439" s="129" t="inlineStr">
        <is>
          <t>{2} sheet의 {1}행의 실제완료일이 날짜형식이 아닙니다. 정확한 날짜형식으로 입력하세요.</t>
        </is>
      </c>
      <c r="F439" s="129" t="inlineStr">
        <is>
          <t>{2} sheet의 {1}행의 실제완료일이 날짜형식이 아닙니다. 정확한 날짜형식으로 입력하세요.</t>
        </is>
      </c>
    </row>
    <row r="440" ht="24" customHeight="1">
      <c r="B440" s="127" t="n">
        <v>524</v>
      </c>
      <c r="D440" s="129" t="inlineStr">
        <is>
          <t>The actual finish date of the row number {1} in the {2} sheet was entered, but the actual start date is empty.</t>
        </is>
      </c>
      <c r="E440" s="129" t="inlineStr">
        <is>
          <t>{2} sheet의 {1}행의 실제시작일이 비어있고 실제완료일만 입력되어 있습니다.</t>
        </is>
      </c>
      <c r="F440" s="129" t="inlineStr">
        <is>
          <t>{2} sheet의 {1}행의 실제시작일이 비어있고 실제완료일만 입력되어 있습니다.</t>
        </is>
      </c>
    </row>
    <row r="441" ht="24" customHeight="1">
      <c r="B441" s="127" t="n">
        <v>525</v>
      </c>
      <c r="D441" s="129" t="inlineStr">
        <is>
          <t>The actual start date format of row number {1} in the {2} sheet is invalid.</t>
        </is>
      </c>
      <c r="E441" s="129" t="inlineStr">
        <is>
          <t>{2} sheet의 {1}행의 실제시작일이 날짜형식이 아닙니다. 정확한 날짜형식으로 입력하세요.</t>
        </is>
      </c>
      <c r="F441" s="129" t="inlineStr">
        <is>
          <t>{2} sheet의 {1}행의 실제시작일이 날짜형식이 아닙니다. 정확한 날짜형식으로 입력하세요.</t>
        </is>
      </c>
    </row>
    <row r="442" ht="24" customHeight="1">
      <c r="B442" s="127" t="n">
        <v>526</v>
      </c>
      <c r="D442" s="129" t="inlineStr">
        <is>
          <t>The actual start date of row number {1} in the {2} sheet is later than the actual finish date.</t>
        </is>
      </c>
      <c r="E442" s="129" t="inlineStr">
        <is>
          <t>{2} sheet의 {1}행의 실제시작일이 실제완료일보다 큽니다.</t>
        </is>
      </c>
      <c r="F442" s="129" t="inlineStr">
        <is>
          <t>{2} sheet의 {1}행의 실제시작일이 실제완료일보다 큽니다.</t>
        </is>
      </c>
    </row>
    <row r="443" ht="24" customHeight="1">
      <c r="B443" s="127" t="n">
        <v>527</v>
      </c>
      <c r="D443" s="129" t="inlineStr">
        <is>
          <t>The actual start date of row number {1} in the {2} sheet is out of the project duration.</t>
        </is>
      </c>
      <c r="E443" s="129" t="inlineStr">
        <is>
          <t>{2} sheet의 {1}행의 실제 시작일이 프로젝트 기간을 벗어났습니다.</t>
        </is>
      </c>
      <c r="F443" s="129" t="inlineStr">
        <is>
          <t>{2} sheet의 {1}행의 실제 시작일이 프로젝트 기간을 벗어났습니다.</t>
        </is>
      </c>
    </row>
    <row r="444" ht="24" customFormat="1" customHeight="1" s="130">
      <c r="A444" s="126" t="n"/>
      <c r="B444" s="127" t="n">
        <v>528</v>
      </c>
      <c r="C444" s="128" t="n"/>
      <c r="D444" s="129" t="inlineStr">
        <is>
          <t>The actual start or finish date of row number {1} in the {2} sheet is out of the project duration.</t>
        </is>
      </c>
      <c r="E444" s="129" t="inlineStr">
        <is>
          <t>{2} sheet의 {1}행의 실젝 시작일 또는 완료일이 프로젝트 기간을 벗어났습니다.</t>
        </is>
      </c>
      <c r="F444" s="129" t="inlineStr">
        <is>
          <t>{2} sheet의 {1}행의 실젝 시작일 또는 완료일이 프로젝트 기간을 벗어났습니다.</t>
        </is>
      </c>
      <c r="G444" s="126" t="n"/>
      <c r="H444" s="126" t="n"/>
      <c r="I444" s="126" t="n"/>
      <c r="J444" s="126" t="n"/>
      <c r="K444" s="126" t="n"/>
      <c r="L444" s="126" t="n"/>
      <c r="M444" s="126" t="n"/>
      <c r="N444" s="126" t="n"/>
      <c r="O444" s="126" t="n"/>
      <c r="P444" s="126" t="n"/>
      <c r="Q444" s="126" t="n"/>
      <c r="R444" s="126" t="n"/>
      <c r="S444" s="126" t="n"/>
      <c r="T444" s="126" t="n"/>
      <c r="U444" s="126" t="n"/>
      <c r="V444" s="126" t="n"/>
      <c r="W444" s="126" t="n"/>
      <c r="X444" s="126" t="n"/>
      <c r="Y444" s="126" t="n"/>
      <c r="Z444" s="126" t="n"/>
      <c r="AA444" s="126" t="n"/>
    </row>
    <row r="445" customFormat="1" s="130">
      <c r="A445" s="126" t="n"/>
      <c r="B445" s="127" t="n">
        <v>529</v>
      </c>
      <c r="C445" s="128" t="n"/>
      <c r="D445" s="129" t="inlineStr">
        <is>
          <t>The count of level</t>
        </is>
      </c>
      <c r="E445" s="129" t="inlineStr">
        <is>
          <t>Level의 갯수</t>
        </is>
      </c>
      <c r="F445" s="129" t="inlineStr">
        <is>
          <t>Level의 갯수</t>
        </is>
      </c>
      <c r="G445" s="126" t="n"/>
      <c r="H445" s="126" t="n"/>
      <c r="I445" s="126" t="n"/>
      <c r="J445" s="126" t="n"/>
      <c r="K445" s="126" t="n"/>
      <c r="L445" s="126" t="n"/>
      <c r="M445" s="126" t="n"/>
      <c r="N445" s="126" t="n"/>
      <c r="O445" s="126" t="n"/>
      <c r="P445" s="126" t="n"/>
      <c r="Q445" s="126" t="n"/>
      <c r="R445" s="126" t="n"/>
      <c r="S445" s="126" t="n"/>
      <c r="T445" s="126" t="n"/>
      <c r="U445" s="126" t="n"/>
      <c r="V445" s="126" t="n"/>
      <c r="W445" s="126" t="n"/>
      <c r="X445" s="126" t="n"/>
      <c r="Y445" s="126" t="n"/>
      <c r="Z445" s="126" t="n"/>
      <c r="AA445" s="126" t="n"/>
    </row>
    <row r="446" ht="36" customFormat="1" customHeight="1" s="131">
      <c r="A446" s="126" t="n"/>
      <c r="B446" s="127" t="n">
        <v>530</v>
      </c>
      <c r="C446" s="128" t="n"/>
      <c r="D446" s="129" t="inlineStr">
        <is>
          <t>The date field of row number {1} in the {2} sheet was entered, but the task field is empty.\nEnter a value in the task field or clear the date field.</t>
        </is>
      </c>
      <c r="E446" s="129" t="inlineStr">
        <is>
          <t>{2} sheet의 {1}행의 날짜는 입력되었는데 작업필드가 비어있습니다.\n작업필드의 값을 채우거나 날짜를 지우세요.</t>
        </is>
      </c>
      <c r="F446" s="129" t="inlineStr">
        <is>
          <t>{2} sheet의 {1}행의 날짜는 입력되었는데 작업필드가 비어있습니다.\n작업필드의 값을 채우거나 날짜를 지우세요.</t>
        </is>
      </c>
      <c r="G446" s="126" t="n"/>
      <c r="H446" s="126" t="n"/>
      <c r="I446" s="126" t="n"/>
      <c r="J446" s="126" t="n"/>
      <c r="K446" s="126" t="n"/>
      <c r="L446" s="126" t="n"/>
      <c r="M446" s="126" t="n"/>
      <c r="N446" s="126" t="n"/>
      <c r="O446" s="126" t="n"/>
      <c r="P446" s="126" t="n"/>
      <c r="Q446" s="126" t="n"/>
      <c r="R446" s="126" t="n"/>
      <c r="S446" s="126" t="n"/>
      <c r="T446" s="126" t="n"/>
      <c r="U446" s="126" t="n"/>
      <c r="V446" s="126" t="n"/>
      <c r="W446" s="126" t="n"/>
      <c r="X446" s="126" t="n"/>
      <c r="Y446" s="126" t="n"/>
      <c r="Z446" s="126" t="n"/>
      <c r="AA446" s="126" t="n"/>
    </row>
    <row r="447" customFormat="1" s="131">
      <c r="A447" s="126" t="n"/>
      <c r="B447" s="127" t="n">
        <v>531</v>
      </c>
      <c r="C447" s="128" t="n"/>
      <c r="D447" s="129" t="inlineStr">
        <is>
          <t>The deliverables name is empty.</t>
        </is>
      </c>
      <c r="E447" s="129" t="inlineStr">
        <is>
          <t>산출물명이 비어있습니다.</t>
        </is>
      </c>
      <c r="F447" s="129" t="inlineStr">
        <is>
          <t>산출물명이 비어있습니다.</t>
        </is>
      </c>
      <c r="G447" s="126" t="n"/>
      <c r="H447" s="126" t="n"/>
      <c r="I447" s="126" t="n"/>
      <c r="J447" s="126" t="n"/>
      <c r="K447" s="126" t="n"/>
      <c r="L447" s="126" t="n"/>
      <c r="M447" s="126" t="n"/>
      <c r="N447" s="126" t="n"/>
      <c r="O447" s="126" t="n"/>
      <c r="P447" s="126" t="n"/>
      <c r="Q447" s="126" t="n"/>
      <c r="R447" s="126" t="n"/>
      <c r="S447" s="126" t="n"/>
      <c r="T447" s="126" t="n"/>
      <c r="U447" s="126" t="n"/>
      <c r="V447" s="126" t="n"/>
      <c r="W447" s="126" t="n"/>
      <c r="X447" s="126" t="n"/>
      <c r="Y447" s="126" t="n"/>
      <c r="Z447" s="126" t="n"/>
      <c r="AA447" s="126" t="n"/>
    </row>
    <row r="448" ht="36" customFormat="1" customHeight="1" s="131">
      <c r="A448" s="126" t="n"/>
      <c r="B448" s="127" t="n">
        <v>532</v>
      </c>
      <c r="C448" s="128" t="n"/>
      <c r="D448" s="129" t="inlineStr">
        <is>
          <t>The earliest start date({1}) of the tasks is earlier than the start date({2}) of the project.\n\nIn this case, there may be problems with resource calculations. Please change the start date to valid date.</t>
        </is>
      </c>
      <c r="E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F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G448" s="126" t="n"/>
      <c r="H448" s="126" t="n"/>
      <c r="I448" s="126" t="n"/>
      <c r="J448" s="126" t="n"/>
      <c r="K448" s="126" t="n"/>
      <c r="L448" s="126" t="n"/>
      <c r="M448" s="126" t="n"/>
      <c r="N448" s="126" t="n"/>
      <c r="O448" s="126" t="n"/>
      <c r="P448" s="126" t="n"/>
      <c r="Q448" s="126" t="n"/>
      <c r="R448" s="126" t="n"/>
      <c r="S448" s="126" t="n"/>
      <c r="T448" s="126" t="n"/>
      <c r="U448" s="126" t="n"/>
      <c r="V448" s="126" t="n"/>
      <c r="W448" s="126" t="n"/>
      <c r="X448" s="126" t="n"/>
      <c r="Y448" s="126" t="n"/>
      <c r="Z448" s="126" t="n"/>
      <c r="AA448" s="126" t="n"/>
    </row>
    <row r="449" ht="24" customFormat="1" customHeight="1" s="131">
      <c r="A449" s="126" t="n"/>
      <c r="B449" s="127" t="n">
        <v>533</v>
      </c>
      <c r="C449" s="128" t="n"/>
      <c r="D449" s="129" t="inlineStr">
        <is>
          <t>The finish date format of row number {1} in the {2} sheet is invalid.</t>
        </is>
      </c>
      <c r="E449" s="129" t="inlineStr">
        <is>
          <t>{2} sheet의 {1}행의 완료일이 날짜형식이 아닙니다. 정확한 날짜형식으로 입력하세요.</t>
        </is>
      </c>
      <c r="F449" s="129" t="inlineStr">
        <is>
          <t>{2} sheet의 {1}행의 완료일이 날짜형식이 아닙니다. 정확한 날짜형식으로 입력하세요.</t>
        </is>
      </c>
      <c r="G449" s="126" t="n"/>
      <c r="H449" s="126" t="n"/>
      <c r="I449" s="126" t="n"/>
      <c r="J449" s="126" t="n"/>
      <c r="K449" s="126" t="n"/>
      <c r="L449" s="126" t="n"/>
      <c r="M449" s="126" t="n"/>
      <c r="N449" s="126" t="n"/>
      <c r="O449" s="126" t="n"/>
      <c r="P449" s="126" t="n"/>
      <c r="Q449" s="126" t="n"/>
      <c r="R449" s="126" t="n"/>
      <c r="S449" s="126" t="n"/>
      <c r="T449" s="126" t="n"/>
      <c r="U449" s="126" t="n"/>
      <c r="V449" s="126" t="n"/>
      <c r="W449" s="126" t="n"/>
      <c r="X449" s="126" t="n"/>
      <c r="Y449" s="126" t="n"/>
      <c r="Z449" s="126" t="n"/>
      <c r="AA449" s="126" t="n"/>
    </row>
    <row r="450" ht="24" customFormat="1" customHeight="1" s="131">
      <c r="A450" s="126" t="n"/>
      <c r="B450" s="127" t="n">
        <v>534</v>
      </c>
      <c r="C450" s="128" t="n"/>
      <c r="D450" s="129" t="inlineStr">
        <is>
          <t>The first column of Gantt area has been deleted. Please retry after changing the sheet to its previous state.</t>
        </is>
      </c>
      <c r="E450" s="129" t="inlineStr">
        <is>
          <t>Gantt영역의 첫번째 열이 삭제되었습니다. 원래대로 복구한 후 작업하세요.</t>
        </is>
      </c>
      <c r="F450" s="129" t="inlineStr">
        <is>
          <t>Gantt영역의 첫번째 열이 삭제되었습니다. 원래대로 복구한 후 작업하세요.</t>
        </is>
      </c>
      <c r="G450" s="126" t="n"/>
      <c r="H450" s="126" t="n"/>
      <c r="I450" s="126" t="n"/>
      <c r="J450" s="126" t="n"/>
      <c r="K450" s="126" t="n"/>
      <c r="L450" s="126" t="n"/>
      <c r="M450" s="126" t="n"/>
      <c r="N450" s="126" t="n"/>
      <c r="O450" s="126" t="n"/>
      <c r="P450" s="126" t="n"/>
      <c r="Q450" s="126" t="n"/>
      <c r="R450" s="126" t="n"/>
      <c r="S450" s="126" t="n"/>
      <c r="T450" s="126" t="n"/>
      <c r="U450" s="126" t="n"/>
      <c r="V450" s="126" t="n"/>
      <c r="W450" s="126" t="n"/>
      <c r="X450" s="126" t="n"/>
      <c r="Y450" s="126" t="n"/>
      <c r="Z450" s="126" t="n"/>
      <c r="AA450" s="126" t="n"/>
    </row>
    <row r="451" ht="24" customFormat="1" customHeight="1" s="131">
      <c r="A451" s="126" t="n"/>
      <c r="B451" s="127" t="n">
        <v>535</v>
      </c>
      <c r="C451" s="128" t="n"/>
      <c r="D451" s="129" t="inlineStr">
        <is>
          <t>The following file formats are not supported. You can import files with version 0.9.7 or higher than 0.9.7.</t>
        </is>
      </c>
      <c r="E451" s="129" t="inlineStr">
        <is>
          <t>다음 파일은 지원하지 않는 형식입니다. XLGantt Version 0.9.7 이상 버전만 지원합니다.</t>
        </is>
      </c>
      <c r="F451" s="129" t="inlineStr">
        <is>
          <t>다음 파일은 지원하지 않는 형식입니다. XLGantt Version 0.9.7 이상 버전만 지원합니다.</t>
        </is>
      </c>
      <c r="G451" s="126" t="n"/>
      <c r="H451" s="126" t="n"/>
      <c r="I451" s="126" t="n"/>
      <c r="J451" s="126" t="n"/>
      <c r="K451" s="126" t="n"/>
      <c r="L451" s="126" t="n"/>
      <c r="M451" s="126" t="n"/>
      <c r="N451" s="126" t="n"/>
      <c r="O451" s="126" t="n"/>
      <c r="P451" s="126" t="n"/>
      <c r="Q451" s="126" t="n"/>
      <c r="R451" s="126" t="n"/>
      <c r="S451" s="126" t="n"/>
      <c r="T451" s="126" t="n"/>
      <c r="U451" s="126" t="n"/>
      <c r="V451" s="126" t="n"/>
      <c r="W451" s="126" t="n"/>
      <c r="X451" s="126" t="n"/>
      <c r="Y451" s="126" t="n"/>
      <c r="Z451" s="126" t="n"/>
      <c r="AA451" s="126" t="n"/>
    </row>
    <row r="452" ht="24" customFormat="1" customHeight="1" s="131">
      <c r="A452" s="126" t="n"/>
      <c r="B452" s="127" t="n">
        <v>536</v>
      </c>
      <c r="C452" s="128" t="n"/>
      <c r="D452" s="129" t="inlineStr">
        <is>
          <t>The following file formats are not supported. You can import the files if the version is 0.9.7 or higher than 0.9.7.</t>
        </is>
      </c>
      <c r="E452" s="129" t="inlineStr">
        <is>
          <t>다음의 XLGantt파일은 지원하지 않는 버전입니다. Version 0.9.7 이상 버전만 지원합니다.</t>
        </is>
      </c>
      <c r="F452" s="129" t="inlineStr">
        <is>
          <t>다음의 XLGantt파일은 지원하지 않는 버전입니다. Version 0.9.7 이상 버전만 지원합니다.</t>
        </is>
      </c>
      <c r="G452" s="126" t="n"/>
      <c r="H452" s="126" t="n"/>
      <c r="I452" s="126" t="n"/>
      <c r="J452" s="126" t="n"/>
      <c r="K452" s="126" t="n"/>
      <c r="L452" s="126" t="n"/>
      <c r="M452" s="126" t="n"/>
      <c r="N452" s="126" t="n"/>
      <c r="O452" s="126" t="n"/>
      <c r="P452" s="126" t="n"/>
      <c r="Q452" s="126" t="n"/>
      <c r="R452" s="126" t="n"/>
      <c r="S452" s="126" t="n"/>
      <c r="T452" s="126" t="n"/>
      <c r="U452" s="126" t="n"/>
      <c r="V452" s="126" t="n"/>
      <c r="W452" s="126" t="n"/>
      <c r="X452" s="126" t="n"/>
      <c r="Y452" s="126" t="n"/>
      <c r="Z452" s="126" t="n"/>
      <c r="AA452" s="126" t="n"/>
    </row>
    <row r="453" customFormat="1" s="131">
      <c r="A453" s="126" t="n"/>
      <c r="B453" s="127" t="n">
        <v>537</v>
      </c>
      <c r="C453" s="128" t="n"/>
      <c r="D453" s="129" t="inlineStr">
        <is>
          <t>The following files have been successfully imported.</t>
        </is>
      </c>
      <c r="E453" s="129" t="inlineStr">
        <is>
          <t>다음 파일을 성공적으로 가져왔습니다.</t>
        </is>
      </c>
      <c r="F453" s="129" t="inlineStr">
        <is>
          <t>다음 파일을 성공적으로 가져왔습니다.</t>
        </is>
      </c>
      <c r="G453" s="126" t="n"/>
      <c r="H453" s="126" t="n"/>
      <c r="I453" s="126" t="n"/>
      <c r="J453" s="126" t="n"/>
      <c r="K453" s="126" t="n"/>
      <c r="L453" s="126" t="n"/>
      <c r="M453" s="126" t="n"/>
      <c r="N453" s="126" t="n"/>
      <c r="O453" s="126" t="n"/>
      <c r="P453" s="126" t="n"/>
      <c r="Q453" s="126" t="n"/>
      <c r="R453" s="126" t="n"/>
      <c r="S453" s="126" t="n"/>
      <c r="T453" s="126" t="n"/>
      <c r="U453" s="126" t="n"/>
      <c r="V453" s="126" t="n"/>
      <c r="W453" s="126" t="n"/>
      <c r="X453" s="126" t="n"/>
      <c r="Y453" s="126" t="n"/>
      <c r="Z453" s="126" t="n"/>
      <c r="AA453" s="126" t="n"/>
    </row>
    <row r="454" customFormat="1" s="131">
      <c r="A454" s="126" t="n"/>
      <c r="B454" s="127" t="n">
        <v>538</v>
      </c>
      <c r="C454" s="128" t="n"/>
      <c r="D454" s="129" t="inlineStr">
        <is>
          <t>The following folder does not exist.</t>
        </is>
      </c>
      <c r="E454" s="129" t="inlineStr">
        <is>
          <t>다음의 폴더가 존재하지 않습니다.</t>
        </is>
      </c>
      <c r="F454" s="129" t="inlineStr">
        <is>
          <t>다음의 폴더가 존재하지 않습니다.</t>
        </is>
      </c>
      <c r="G454" s="126" t="n"/>
      <c r="H454" s="126" t="n"/>
      <c r="I454" s="126" t="n"/>
      <c r="J454" s="126" t="n"/>
      <c r="K454" s="126" t="n"/>
      <c r="L454" s="126" t="n"/>
      <c r="M454" s="126" t="n"/>
      <c r="N454" s="126" t="n"/>
      <c r="O454" s="126" t="n"/>
      <c r="P454" s="126" t="n"/>
      <c r="Q454" s="126" t="n"/>
      <c r="R454" s="126" t="n"/>
      <c r="S454" s="126" t="n"/>
      <c r="T454" s="126" t="n"/>
      <c r="U454" s="126" t="n"/>
      <c r="V454" s="126" t="n"/>
      <c r="W454" s="126" t="n"/>
      <c r="X454" s="126" t="n"/>
      <c r="Y454" s="126" t="n"/>
      <c r="Z454" s="126" t="n"/>
      <c r="AA454" s="126" t="n"/>
    </row>
    <row r="455" ht="24" customFormat="1" customHeight="1" s="131">
      <c r="A455" s="126" t="n"/>
      <c r="B455" s="127" t="n">
        <v>539</v>
      </c>
      <c r="C455" s="128" t="n"/>
      <c r="D455" s="129" t="inlineStr">
        <is>
          <t>The format of "Calculation Base Date of Planned %Work Complete" is invalid.</t>
        </is>
      </c>
      <c r="E455" s="129" t="inlineStr">
        <is>
          <t>계획진척률 계산 기준일자의 날짜형식이 잘못되었습니다.</t>
        </is>
      </c>
      <c r="F455" s="129" t="inlineStr">
        <is>
          <t>계획진척률 계산 기준일자의 날짜형식이 잘못되었습니다.</t>
        </is>
      </c>
      <c r="G455" s="126" t="n"/>
      <c r="H455" s="126" t="n"/>
      <c r="I455" s="126" t="n"/>
      <c r="J455" s="126" t="n"/>
      <c r="K455" s="126" t="n"/>
      <c r="L455" s="126" t="n"/>
      <c r="M455" s="126" t="n"/>
      <c r="N455" s="126" t="n"/>
      <c r="O455" s="126" t="n"/>
      <c r="P455" s="126" t="n"/>
      <c r="Q455" s="126" t="n"/>
      <c r="R455" s="126" t="n"/>
      <c r="S455" s="126" t="n"/>
      <c r="T455" s="126" t="n"/>
      <c r="U455" s="126" t="n"/>
      <c r="V455" s="126" t="n"/>
      <c r="W455" s="126" t="n"/>
      <c r="X455" s="126" t="n"/>
      <c r="Y455" s="126" t="n"/>
      <c r="Z455" s="126" t="n"/>
      <c r="AA455" s="126" t="n"/>
    </row>
    <row r="456" customFormat="1" s="131">
      <c r="A456" s="126" t="n"/>
      <c r="B456" s="127" t="n">
        <v>540</v>
      </c>
      <c r="C456" s="128" t="n"/>
      <c r="D456" s="129" t="inlineStr">
        <is>
          <t>The format of the project finish date is invalid.</t>
        </is>
      </c>
      <c r="E456" s="129" t="inlineStr">
        <is>
          <t>프로젝트 완료일의 날짜형식이 잘못되었습니다.</t>
        </is>
      </c>
      <c r="F456" s="129" t="inlineStr">
        <is>
          <t>프로젝트 완료일의 날짜형식이 잘못되었습니다.</t>
        </is>
      </c>
      <c r="G456" s="126" t="n"/>
      <c r="H456" s="126" t="n"/>
      <c r="I456" s="126" t="n"/>
      <c r="J456" s="126" t="n"/>
      <c r="K456" s="126" t="n"/>
      <c r="L456" s="126" t="n"/>
      <c r="M456" s="126" t="n"/>
      <c r="N456" s="126" t="n"/>
      <c r="O456" s="126" t="n"/>
      <c r="P456" s="126" t="n"/>
      <c r="Q456" s="126" t="n"/>
      <c r="R456" s="126" t="n"/>
      <c r="S456" s="126" t="n"/>
      <c r="T456" s="126" t="n"/>
      <c r="U456" s="126" t="n"/>
      <c r="V456" s="126" t="n"/>
      <c r="W456" s="126" t="n"/>
      <c r="X456" s="126" t="n"/>
      <c r="Y456" s="126" t="n"/>
      <c r="Z456" s="126" t="n"/>
      <c r="AA456" s="126" t="n"/>
    </row>
    <row r="457">
      <c r="B457" s="127" t="n">
        <v>541</v>
      </c>
      <c r="D457" s="129" t="inlineStr">
        <is>
          <t>The format of the project start date is invalid.</t>
        </is>
      </c>
      <c r="E457" s="129" t="inlineStr">
        <is>
          <t>프로젝트 시작일의 날짜형식이 잘못되었습니다.</t>
        </is>
      </c>
      <c r="F457" s="129" t="inlineStr">
        <is>
          <t>프로젝트 시작일의 날짜형식이 잘못되었습니다.</t>
        </is>
      </c>
    </row>
    <row r="458">
      <c r="B458" s="127" t="n">
        <v>542</v>
      </c>
      <c r="D458" s="129" t="inlineStr">
        <is>
          <t>The job was not completed successfully.</t>
        </is>
      </c>
      <c r="E458" s="129" t="inlineStr">
        <is>
          <t>작업이 정상적으로 완료되지 않았습니다.</t>
        </is>
      </c>
      <c r="F458" s="129" t="inlineStr">
        <is>
          <t>작업이 정상적으로 완료되지 않았습니다.</t>
        </is>
      </c>
    </row>
    <row r="459" ht="24" customHeight="1">
      <c r="B459" s="127" t="n">
        <v>543</v>
      </c>
      <c r="D459" s="129" t="inlineStr">
        <is>
          <t>The kind of period is invalid. You must enter one of the M(Months) or W(Weeks)</t>
        </is>
      </c>
      <c r="E459" s="129" t="inlineStr">
        <is>
          <t>기간의 종류가 잘못되었습니다. W(주), M(월) 중에 하나를 입력해야 합니다</t>
        </is>
      </c>
      <c r="F459" s="129" t="inlineStr">
        <is>
          <t>기간의 종류가 잘못되었습니다. W(주), M(월) 중에 하나를 입력해야 합니다</t>
        </is>
      </c>
    </row>
    <row r="460" ht="48" customHeight="1">
      <c r="A460" s="130" t="n"/>
      <c r="B460" s="127" t="n">
        <v>544</v>
      </c>
      <c r="C460" s="136" t="inlineStr">
        <is>
          <t>manual input</t>
        </is>
      </c>
      <c r="D460" s="130" t="inlineStr">
        <is>
          <t>The language setting has been changed.\nPress the OK button to start translation. \nIt may take a long time to translate.\nHowever, translation of Ribbon menu and Popup menu takes effect after reopening this XLGantt file.</t>
        </is>
      </c>
      <c r="E460" s="130" t="inlineStr">
        <is>
          <t>언어설정이 변경되었습니다.\n확인버튼을 누르면 번역을 시작합니다. 번역은 시간이 걸릴 수 있습니다. \n리본메뉴, 팝업메뉴의 언어는 이 XLGantt파일을 닫은 후 새로 열어야 번역이 적용됩니다.</t>
        </is>
      </c>
      <c r="F460" s="130" t="inlineStr">
        <is>
          <t>언어설정이 변경되었습니다.\n확인버튼을 누르면 번역을 시작합니다. 번역은 시간이 걸릴 수 있습니다. \n리본메뉴, 팝업메뉴의 언어는 이 XLGantt파일을 닫은 후 새로 열어야 번역이 적용됩니다.</t>
        </is>
      </c>
    </row>
    <row r="461" ht="36" customHeight="1">
      <c r="B461" s="127" t="n">
        <v>545</v>
      </c>
      <c r="D461" s="129" t="inlineStr">
        <is>
          <t>The latest finish date({1}) of the tasks is later than the finish date({2}) of the project.\n\nIn this case, there may be problems with resource calculations. Please change the finish date to valid date.</t>
        </is>
      </c>
      <c r="E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c r="F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row>
    <row r="462">
      <c r="B462" s="127" t="n">
        <v>546</v>
      </c>
      <c r="D462" s="129" t="inlineStr">
        <is>
          <t>The level of row {} is invalid.</t>
        </is>
      </c>
      <c r="E462" s="129" t="inlineStr">
        <is>
          <t>{} 행의 Level이 맞지 않습니다. Level을 1보다 크게 증가했는지 확인하세요.</t>
        </is>
      </c>
      <c r="F462" s="129" t="inlineStr">
        <is>
          <t>{} 행의 Level이 맞지 않습니다. Level을 1보다 크게 증가했는지 확인하세요.</t>
        </is>
      </c>
    </row>
    <row r="463">
      <c r="B463" s="127" t="n">
        <v>547</v>
      </c>
      <c r="D463" s="129" t="inlineStr">
        <is>
          <t>The number of Level must be less than or equal to {}</t>
        </is>
      </c>
      <c r="E463" s="129" t="inlineStr">
        <is>
          <t>Level의 갯수는 {}개까지만 가능합니다.</t>
        </is>
      </c>
      <c r="F463" s="129" t="inlineStr">
        <is>
          <t>Level의 갯수는 {}개까지만 가능합니다.</t>
        </is>
      </c>
    </row>
    <row r="464">
      <c r="B464" s="127" t="n">
        <v>548</v>
      </c>
      <c r="D464" s="129" t="inlineStr">
        <is>
          <t>The number of Level must be positive integer.</t>
        </is>
      </c>
      <c r="E464" s="129" t="inlineStr">
        <is>
          <t>Level의 갯수는 양의 정수만 가능합니다.</t>
        </is>
      </c>
      <c r="F464" s="129" t="inlineStr">
        <is>
          <t>Level의 갯수는 양의 정수만 가능합니다.</t>
        </is>
      </c>
    </row>
    <row r="465" ht="24" customHeight="1">
      <c r="B465" s="127" t="n">
        <v>549</v>
      </c>
      <c r="D465" s="129" t="inlineStr">
        <is>
          <t>The number of task columns is not 10. Please retry after changing the sheet to its previous state.</t>
        </is>
      </c>
      <c r="E465" s="129" t="inlineStr">
        <is>
          <t>Task열의 갯수가 10개가 아닙니다. 원래대로 복구한 후 작업하세요.</t>
        </is>
      </c>
      <c r="F465" s="129" t="inlineStr">
        <is>
          <t>Task열의 갯수가 10개가 아닙니다. 원래대로 복구한 후 작업하세요.</t>
        </is>
      </c>
    </row>
    <row r="466">
      <c r="B466" s="127" t="n">
        <v>550</v>
      </c>
      <c r="D466" s="129" t="inlineStr">
        <is>
          <t>The process was terminated due to the {} sheet error.</t>
        </is>
      </c>
      <c r="E466" s="129" t="inlineStr">
        <is>
          <t>{} sheet의 에러로 인해 작업이 중단되었습니다.</t>
        </is>
      </c>
      <c r="F466" s="129" t="inlineStr">
        <is>
          <t>{} sheet의 에러로 인해 작업이 중단되었습니다.</t>
        </is>
      </c>
    </row>
    <row r="467">
      <c r="B467" s="127" t="n">
        <v>551</v>
      </c>
      <c r="D467" s="129" t="inlineStr">
        <is>
          <t>The project finish date({}) you entered is not valid date format.</t>
        </is>
      </c>
      <c r="E467" s="129" t="inlineStr">
        <is>
          <t>입력한 프로젝트 기간의 완료일({})이 날짜형식이 아닙니다.</t>
        </is>
      </c>
      <c r="F467" s="129" t="inlineStr">
        <is>
          <t>입력한 프로젝트 기간의 완료일({})이 날짜형식이 아닙니다.</t>
        </is>
      </c>
    </row>
    <row r="468">
      <c r="B468" s="127" t="n">
        <v>552</v>
      </c>
      <c r="D468" s="129" t="inlineStr">
        <is>
          <t>The project start date({}) you entered is not valid date format.</t>
        </is>
      </c>
      <c r="E468" s="129" t="inlineStr">
        <is>
          <t>입력한 프로젝트 기간의 시작일({})이 날짜형식이 아닙니다</t>
        </is>
      </c>
      <c r="F468" s="129" t="inlineStr">
        <is>
          <t>입력한 프로젝트 기간의 시작일({})이 날짜형식이 아닙니다</t>
        </is>
      </c>
    </row>
    <row r="469" ht="24" customHeight="1">
      <c r="B469" s="127" t="n">
        <v>553</v>
      </c>
      <c r="D469" s="129" t="inlineStr">
        <is>
          <t>The resource allocation ratio in the resource field of row number {1} in the {2} sheet is invalid.</t>
        </is>
      </c>
      <c r="E469" s="129" t="inlineStr">
        <is>
          <t>{2} sheet의 {1}행의 자원배정비율이 잘못입력되었습니다.</t>
        </is>
      </c>
      <c r="F469" s="129" t="inlineStr">
        <is>
          <t>{2} sheet의 {1}행의 자원배정비율이 잘못입력되었습니다.</t>
        </is>
      </c>
    </row>
    <row r="470">
      <c r="B470" s="127" t="n">
        <v>554</v>
      </c>
      <c r="D470" s="129" t="inlineStr">
        <is>
          <t>The resource field should be entered in the following format.</t>
        </is>
      </c>
      <c r="E470" s="129" t="inlineStr">
        <is>
          <t>자원배정비율은 다음과 같은 형식으로 입력되어야 합니다.</t>
        </is>
      </c>
      <c r="F470" s="129" t="inlineStr">
        <is>
          <t>자원배정비율은 다음과 같은 형식으로 입력되어야 합니다.</t>
        </is>
      </c>
    </row>
    <row r="471" ht="24" customHeight="1">
      <c r="B471" s="127" t="n">
        <v>555</v>
      </c>
      <c r="D471" s="129" t="inlineStr">
        <is>
          <t>The start date format of row number {1} in the {2} sheet is invalid.</t>
        </is>
      </c>
      <c r="E471" s="129" t="inlineStr">
        <is>
          <t>{2} sheet의 {1}행의 시작일이 날짜형식이 아닙니다. 정확한 날짜형식으로 입력하세요.</t>
        </is>
      </c>
      <c r="F471" s="129" t="inlineStr">
        <is>
          <t>{2} sheet의 {1}행의 시작일이 날짜형식이 아닙니다. 정확한 날짜형식으로 입력하세요.</t>
        </is>
      </c>
    </row>
    <row r="472">
      <c r="B472" s="127" t="n">
        <v>556</v>
      </c>
      <c r="D472" s="129" t="inlineStr">
        <is>
          <t>The start date is later than the finish date.</t>
        </is>
      </c>
      <c r="E472" s="129" t="inlineStr">
        <is>
          <t>시작일이 완료일보다 큽니다.</t>
        </is>
      </c>
      <c r="F472" s="129" t="inlineStr">
        <is>
          <t>시작일이 완료일보다 큽니다.</t>
        </is>
      </c>
    </row>
    <row r="473" ht="24" customHeight="1">
      <c r="B473" s="127" t="n">
        <v>557</v>
      </c>
      <c r="D473" s="129" t="inlineStr">
        <is>
          <t>The start date of row number {1} in the {2} sheet is later than the finish date.</t>
        </is>
      </c>
      <c r="E473" s="129" t="inlineStr">
        <is>
          <t>{2} sheet의 {1}행의 시작일이 완료일보다 큽니다.</t>
        </is>
      </c>
      <c r="F473" s="129" t="inlineStr">
        <is>
          <t>{2} sheet의 {1}행의 시작일이 완료일보다 큽니다.</t>
        </is>
      </c>
    </row>
    <row r="474" ht="24" customHeight="1">
      <c r="B474" s="127" t="n">
        <v>558</v>
      </c>
      <c r="D474" s="129" t="inlineStr">
        <is>
          <t>The start or finish date of row number {1} in the {2} sheet is out of the project duration.</t>
        </is>
      </c>
      <c r="E474" s="129" t="inlineStr">
        <is>
          <t>{2} sheet의 {1}행의 시작일 또는 완료일이 프로젝트 기간을 벗어났습니다.</t>
        </is>
      </c>
      <c r="F474" s="129" t="inlineStr">
        <is>
          <t>{2} sheet의 {1}행의 시작일 또는 완료일이 프로젝트 기간을 벗어났습니다.</t>
        </is>
      </c>
    </row>
    <row r="475" ht="24" customHeight="1">
      <c r="B475" s="127" t="n">
        <v>559</v>
      </c>
      <c r="D475" s="129" t="inlineStr">
        <is>
          <t>The task of the first row of the {} sheet is not level 1.</t>
        </is>
      </c>
      <c r="E475" s="129" t="inlineStr">
        <is>
          <t>{} sheet 첫행의 작업이 1 Level이 아닙니다. 첫행의 작업이 첫째칸이 아닌 다른 칸에 입력되었는지 확인하세요.</t>
        </is>
      </c>
      <c r="F475" s="129" t="inlineStr">
        <is>
          <t>{} sheet 첫행의 작업이 1 Level이 아닙니다. 첫행의 작업이 첫째칸이 아닌 다른 칸에 입력되었는지 확인하세요.</t>
        </is>
      </c>
    </row>
    <row r="476">
      <c r="B476" s="127" t="n">
        <v>560</v>
      </c>
      <c r="D476" s="129" t="inlineStr">
        <is>
          <t>The type of task fields</t>
        </is>
      </c>
      <c r="E476" s="129" t="inlineStr">
        <is>
          <t>Task필드 유형</t>
        </is>
      </c>
      <c r="F476" s="129" t="inlineStr">
        <is>
          <t>Task필드 유형</t>
        </is>
      </c>
    </row>
    <row r="477">
      <c r="B477" s="127" t="n">
        <v>561</v>
      </c>
      <c r="C477" s="128" t="inlineStr">
        <is>
          <t>for Week Number</t>
        </is>
      </c>
      <c r="D477" s="129" t="inlineStr">
        <is>
          <t>The week containing January 1 is the first week of the year.</t>
        </is>
      </c>
      <c r="E477" s="129" t="inlineStr">
        <is>
          <t>1월 1일을 포함하는 주가 년도의 첫주가 되는 방식</t>
        </is>
      </c>
      <c r="F477" s="129" t="inlineStr">
        <is>
          <t>1월 1일을 포함하는 주가 년도의 첫주가 되는 방식</t>
        </is>
      </c>
    </row>
    <row r="478" ht="24" customHeight="1">
      <c r="B478" s="127" t="n">
        <v>562</v>
      </c>
      <c r="C478" s="128" t="inlineStr">
        <is>
          <t>for Week Number</t>
        </is>
      </c>
      <c r="D478" s="129" t="inlineStr">
        <is>
          <t>The week containing the first Thursday of the year is the first week of the year(ISO 8601 Standard).</t>
        </is>
      </c>
      <c r="E478" s="129" t="inlineStr">
        <is>
          <t>한주의 시작은 월요일이며 년도의 첫번째 목요일을 포함하는 주가 첫주가 되는 방식(ISO 8601 표준)</t>
        </is>
      </c>
      <c r="F478" s="129" t="inlineStr">
        <is>
          <t>한주의 시작은 월요일이며 년도의 첫번째 목요일을 포함하는 주가 첫주가 되는 방식(ISO 8601 표준)</t>
        </is>
      </c>
    </row>
    <row r="479" ht="24" customHeight="1">
      <c r="B479" s="127" t="n">
        <v>563</v>
      </c>
      <c r="D479" s="129" t="inlineStr">
        <is>
          <t>The resource count of row number {1} in the {2} sheet is not a number.</t>
        </is>
      </c>
      <c r="E479" s="129" t="inlineStr">
        <is>
          <t>{2} sheet의 {1}행의 자원수가 숫자가 아닙니다.</t>
        </is>
      </c>
      <c r="F479" s="129" t="inlineStr">
        <is>
          <t>{2} sheet의 {1}행의 자원수가 숫자가 아닙니다.</t>
        </is>
      </c>
    </row>
    <row r="480">
      <c r="B480" s="127" t="n">
        <v>564</v>
      </c>
      <c r="D480" s="129" t="inlineStr">
        <is>
          <t>There are no executable programs that open the deliverables.</t>
        </is>
      </c>
      <c r="E480" s="129" t="inlineStr">
        <is>
          <t>입력한 산출물을 열 수 있는 실행프로그램이 없습니다.</t>
        </is>
      </c>
      <c r="F480" s="129" t="inlineStr">
        <is>
          <t>입력한 산출물을 열 수 있는 실행프로그램이 없습니다.</t>
        </is>
      </c>
    </row>
    <row r="481" ht="36" customHeight="1">
      <c r="B481" s="127" t="n">
        <v>565</v>
      </c>
      <c r="D481" s="129" t="inlineStr">
        <is>
          <t>There is an error in the total workload or planned workload field of row number {1} in the {2} sheet. Please check that the start / finish date was entered correctly, or that the formula is correct.</t>
        </is>
      </c>
      <c r="E481" s="129" t="inlineStr">
        <is>
          <t>{2} sheet의 {1}행의 총작업량 또는계획작업량 필드에 오류가 있습니다. 시작일/완료일이 잘못 입력되었는지 또는 수식에 문제가 없는지 확인하세요.</t>
        </is>
      </c>
      <c r="F481" s="129" t="inlineStr">
        <is>
          <t>{2} sheet의 {1}행의 총작업량 또는계획작업량 필드에 오류가 있습니다. 시작일/완료일이 잘못 입력되었는지 또는 수식에 문제가 없는지 확인하세요.</t>
        </is>
      </c>
    </row>
    <row r="482">
      <c r="B482" s="127" t="n">
        <v>566</v>
      </c>
      <c r="D482" s="129" t="inlineStr">
        <is>
          <t>There is no data in the following files</t>
        </is>
      </c>
      <c r="E482" s="129" t="inlineStr">
        <is>
          <t>다음 파일에 자료가 없습니다.</t>
        </is>
      </c>
      <c r="F482" s="129" t="inlineStr">
        <is>
          <t>다음 파일에 자료가 없습니다.</t>
        </is>
      </c>
    </row>
    <row r="483">
      <c r="B483" s="127" t="n">
        <v>567</v>
      </c>
      <c r="D483" s="129" t="inlineStr">
        <is>
          <t>There is no input data</t>
        </is>
      </c>
      <c r="E483" s="129" t="inlineStr">
        <is>
          <t>입력된 자료가 없습니다</t>
        </is>
      </c>
      <c r="F483" s="129" t="inlineStr">
        <is>
          <t>입력된 자료가 없습니다</t>
        </is>
      </c>
    </row>
    <row r="484">
      <c r="B484" s="127" t="n">
        <v>568</v>
      </c>
      <c r="D484" s="129" t="inlineStr">
        <is>
          <t>There is no input data that will be calculated.</t>
        </is>
      </c>
      <c r="E484" s="129" t="inlineStr">
        <is>
          <t>계산할 입력자료가 없습니다.</t>
        </is>
      </c>
      <c r="F484" s="129" t="inlineStr">
        <is>
          <t>계산할 입력자료가 없습니다.</t>
        </is>
      </c>
    </row>
    <row r="485">
      <c r="B485" s="127" t="n">
        <v>569</v>
      </c>
      <c r="D485" s="129" t="inlineStr">
        <is>
          <t>There is no input data.</t>
        </is>
      </c>
      <c r="E485" s="129" t="inlineStr">
        <is>
          <t>입력된 자료가 없습니다.</t>
        </is>
      </c>
      <c r="F485" s="129" t="inlineStr">
        <is>
          <t>입력된 자료가 없습니다.</t>
        </is>
      </c>
    </row>
    <row r="486">
      <c r="B486" s="127" t="n">
        <v>570</v>
      </c>
      <c r="D486" s="129" t="inlineStr">
        <is>
          <t>There is no input data. Please enter after reformatting.</t>
        </is>
      </c>
      <c r="E486" s="129" t="inlineStr">
        <is>
          <t>입력된 자료가 없습니다. 입력 후 서식재설정 해 주세요.</t>
        </is>
      </c>
      <c r="F486" s="129" t="inlineStr">
        <is>
          <t>입력된 자료가 없습니다. 입력 후 서식재설정 해 주세요.</t>
        </is>
      </c>
    </row>
    <row r="487" ht="36" customHeight="1">
      <c r="B487" s="127" t="n">
        <v>571</v>
      </c>
      <c r="D487" s="129" t="inlineStr">
        <is>
          <t>There was an error in "Progress Line" drawing. This can happen if the actual start date or actual finish date is beyond the project period. Check the message below.</t>
        </is>
      </c>
      <c r="E487" s="129" t="inlineStr">
        <is>
          <t>진척률선 그리기 작업 중 에러가 발생했습니다. 실제시작일 또는 실제완료일이 프로젝트 기간을 벗어난 경우에 발생할 수 있습니다. 아래의 메시지를 확인하십시오.</t>
        </is>
      </c>
      <c r="F487" s="129" t="inlineStr">
        <is>
          <t>진척률선 그리기 작업 중 에러가 발생했습니다. 실제시작일 또는 실제완료일이 프로젝트 기간을 벗어난 경우에 발생할 수 있습니다. 아래의 메시지를 확인하십시오.</t>
        </is>
      </c>
    </row>
    <row r="488" ht="24" customHeight="1">
      <c r="B488" s="127" t="n">
        <v>572</v>
      </c>
      <c r="D488" s="129" t="inlineStr">
        <is>
          <t>This area can not be selected. Please select an area that contains tasks.</t>
        </is>
      </c>
      <c r="E488" s="129" t="inlineStr">
        <is>
          <t>선택할 수 없는 영역입니다. 작업명이 입력된 행을 선택하세요.</t>
        </is>
      </c>
      <c r="F488" s="129" t="inlineStr">
        <is>
          <t>선택할 수 없는 영역입니다. 작업명이 입력된 행을 선택하세요.</t>
        </is>
      </c>
    </row>
    <row r="489">
      <c r="B489" s="127" t="n">
        <v>573</v>
      </c>
      <c r="D489" s="129" t="inlineStr">
        <is>
          <t>This Month only</t>
        </is>
      </c>
      <c r="E489" s="129" t="inlineStr">
        <is>
          <t>이번 달 작업만 조회</t>
        </is>
      </c>
      <c r="F489" s="129" t="inlineStr">
        <is>
          <t>이번 달 작업만 조회</t>
        </is>
      </c>
    </row>
    <row r="490">
      <c r="B490" s="127" t="n">
        <v>574</v>
      </c>
      <c r="D490" s="129" t="inlineStr">
        <is>
          <t>This Week only</t>
        </is>
      </c>
      <c r="E490" s="129" t="inlineStr">
        <is>
          <t>이번 주 작업만 조회</t>
        </is>
      </c>
      <c r="F490" s="129" t="inlineStr">
        <is>
          <t>이번 주 작업만 조회</t>
        </is>
      </c>
    </row>
    <row r="491" ht="24" customHeight="1">
      <c r="B491" s="127" t="n">
        <v>575</v>
      </c>
      <c r="D491" s="129" t="inlineStr">
        <is>
          <t>This XLGantt is not the latest version. Download the latest version from the following site.</t>
        </is>
      </c>
      <c r="E491" s="129" t="inlineStr">
        <is>
          <t>지금 사용하고 계신 XLGantt는 최신버전이 아닙니다.\n_x000D_
최신버전을 아래의 사이트에서 다운로드 받으세요.</t>
        </is>
      </c>
      <c r="F491" s="129" t="inlineStr">
        <is>
          <t>지금 사용하고 계신 XLGantt는 최신버전이 아닙니다.\n_x000D_
최신버전을 아래의 사이트에서 다운로드 받으세요.</t>
        </is>
      </c>
    </row>
    <row r="492">
      <c r="B492" s="127" t="n">
        <v>576</v>
      </c>
      <c r="D492" s="129" t="inlineStr">
        <is>
          <t>Thu</t>
        </is>
      </c>
      <c r="E492" s="129" t="inlineStr">
        <is>
          <t>목</t>
        </is>
      </c>
      <c r="F492" s="129" t="inlineStr">
        <is>
          <t>목</t>
        </is>
      </c>
    </row>
    <row r="493">
      <c r="B493" s="127" t="n">
        <v>577</v>
      </c>
      <c r="D493" s="129" t="inlineStr">
        <is>
          <t>Time bucket type is invalid.</t>
        </is>
      </c>
      <c r="E493" s="129" t="inlineStr">
        <is>
          <t>Time bucket type 오류입니다.</t>
        </is>
      </c>
      <c r="F493" s="129" t="inlineStr">
        <is>
          <t>Time bucket type 오류입니다.</t>
        </is>
      </c>
    </row>
    <row r="494">
      <c r="B494" s="127" t="n">
        <v>578</v>
      </c>
      <c r="D494" s="129" t="inlineStr">
        <is>
          <t>Title above Gantt chart</t>
        </is>
      </c>
      <c r="E494" s="129" t="inlineStr">
        <is>
          <t>간트차트 위의 타이틀</t>
        </is>
      </c>
      <c r="F494" s="129" t="inlineStr">
        <is>
          <t>간트차트 위의 타이틀</t>
        </is>
      </c>
    </row>
    <row r="495">
      <c r="B495" s="127" t="n">
        <v>579</v>
      </c>
      <c r="D495" s="129" t="inlineStr">
        <is>
          <t>Title above WBS</t>
        </is>
      </c>
      <c r="E495" s="129" t="inlineStr">
        <is>
          <t>WBS영역 위의 타이틀</t>
        </is>
      </c>
      <c r="F495" s="129" t="inlineStr">
        <is>
          <t>WBS영역 위의 타이틀</t>
        </is>
      </c>
    </row>
    <row r="496">
      <c r="B496" s="127" t="n">
        <v>580</v>
      </c>
      <c r="D496" s="129" t="inlineStr">
        <is>
          <t>To (XLGantt)</t>
        </is>
      </c>
      <c r="E496" s="129" t="inlineStr">
        <is>
          <t>Target파일(가져온 후 파일)</t>
        </is>
      </c>
      <c r="F496" s="129" t="inlineStr">
        <is>
          <t>Target파일(가져온 후 파일)</t>
        </is>
      </c>
    </row>
    <row r="497">
      <c r="B497" s="127" t="n">
        <v>581</v>
      </c>
      <c r="D497" s="129" t="inlineStr">
        <is>
          <t>To Date is invalid.</t>
        </is>
      </c>
      <c r="E497" s="129" t="inlineStr">
        <is>
          <t>끝날짜 형식이 잘못되었습니다.</t>
        </is>
      </c>
      <c r="F497" s="129" t="inlineStr">
        <is>
          <t>끝날짜 형식이 잘못되었습니다.</t>
        </is>
      </c>
    </row>
    <row r="498" ht="36" customHeight="1">
      <c r="B498" s="127" t="n">
        <v>582</v>
      </c>
      <c r="D498" s="129" t="inlineStr">
        <is>
          <t>To import files from source to the target file, map the respective fields.\nSelect a field in source file first and then find a corresponding field in the target file.</t>
        </is>
      </c>
      <c r="E498" s="129" t="inlineStr">
        <is>
          <t>Source파일에서 Target파일로 가져오기 위해서 각각의 필드를 Mapping합니다. _x000D_
Source파일의 필드를 먼저 선택하고 해당되는 필드를 Targe파일에서 찾아서 Mapping합니다.</t>
        </is>
      </c>
      <c r="F498" s="129" t="inlineStr">
        <is>
          <t>Source파일에서 Target파일로 가져오기 위해서 각각의 필드를 Mapping합니다. _x000D_
Source파일의 필드를 먼저 선택하고 해당되는 필드를 Targe파일에서 찾아서 Mapping합니다.</t>
        </is>
      </c>
    </row>
    <row r="499">
      <c r="B499" s="127" t="n">
        <v>583</v>
      </c>
      <c r="D499" s="129" t="inlineStr">
        <is>
          <t>Today</t>
        </is>
      </c>
      <c r="E499" s="129" t="inlineStr">
        <is>
          <t>오늘</t>
        </is>
      </c>
      <c r="F499" s="129" t="inlineStr">
        <is>
          <t>오늘</t>
        </is>
      </c>
    </row>
    <row r="500">
      <c r="B500" s="127" t="n">
        <v>584</v>
      </c>
      <c r="D500" s="129" t="inlineStr">
        <is>
          <t>Today only</t>
        </is>
      </c>
      <c r="E500" s="129" t="inlineStr">
        <is>
          <t>오늘 작업만 조회</t>
        </is>
      </c>
      <c r="F500" s="129" t="inlineStr">
        <is>
          <t>오늘 작업만 조회</t>
        </is>
      </c>
    </row>
    <row r="501">
      <c r="B501" s="127" t="n">
        <v>585</v>
      </c>
      <c r="C501" s="128" t="inlineStr">
        <is>
          <t>for importOnStartup</t>
        </is>
      </c>
      <c r="D501" s="126" t="inlineStr">
        <is>
          <t>Total Duration</t>
        </is>
      </c>
      <c r="E501" s="134" t="inlineStr">
        <is>
          <t>총기간</t>
        </is>
      </c>
      <c r="F501" s="134" t="inlineStr">
        <is>
          <t>총기간</t>
        </is>
      </c>
    </row>
    <row r="502">
      <c r="B502" s="127" t="n">
        <v>586</v>
      </c>
      <c r="C502" s="128" t="inlineStr">
        <is>
          <t>for importOnStartup</t>
        </is>
      </c>
      <c r="D502" s="129" t="inlineStr">
        <is>
          <t>Total Work</t>
        </is>
      </c>
      <c r="E502" s="134" t="inlineStr">
        <is>
          <t>총작업량</t>
        </is>
      </c>
      <c r="F502" s="134" t="inlineStr">
        <is>
          <t>총작업량</t>
        </is>
      </c>
    </row>
    <row r="503">
      <c r="B503" s="127" t="n">
        <v>587</v>
      </c>
      <c r="D503" s="129" t="inlineStr">
        <is>
          <t>Total Work(A)\nMan-day</t>
        </is>
      </c>
      <c r="E503" s="129" t="inlineStr">
        <is>
          <t>총작업량(A)\nMan-day</t>
        </is>
      </c>
      <c r="F503" s="129" t="inlineStr">
        <is>
          <t>총작업량(A)\nMan-day</t>
        </is>
      </c>
    </row>
    <row r="504" ht="36" customHeight="1">
      <c r="B504" s="127" t="n">
        <v>588</v>
      </c>
      <c r="D504" s="129" t="inlineStr">
        <is>
          <t>Total Work\n(Total ManDay)</t>
        </is>
      </c>
      <c r="E504" s="129" t="inlineStr">
        <is>
          <t>총 작업량_x000D_
(총ManDay,_x000D_
자원수 감안)</t>
        </is>
      </c>
      <c r="F504" s="129" t="inlineStr">
        <is>
          <t>총 작업량_x000D_
(총ManDay,_x000D_
자원수 감안)</t>
        </is>
      </c>
    </row>
    <row r="505">
      <c r="B505" s="127" t="n">
        <v>589</v>
      </c>
      <c r="D505" s="129" t="inlineStr">
        <is>
          <t>Total workload of the project</t>
        </is>
      </c>
      <c r="E505" s="129" t="inlineStr">
        <is>
          <t>프로젝트 전체 작업량</t>
        </is>
      </c>
      <c r="F505" s="129" t="inlineStr">
        <is>
          <t>프로젝트 전체 작업량</t>
        </is>
      </c>
    </row>
    <row r="506">
      <c r="A506" s="131" t="n"/>
      <c r="B506" s="127" t="n">
        <v>590</v>
      </c>
      <c r="C506" s="132" t="inlineStr">
        <is>
          <t>for import columun</t>
        </is>
      </c>
      <c r="D506" s="130" t="inlineStr">
        <is>
          <t>Total__Duration</t>
        </is>
      </c>
      <c r="E506" s="130" t="inlineStr">
        <is>
          <t>총__기간</t>
        </is>
      </c>
      <c r="F506" s="130" t="inlineStr">
        <is>
          <t>총__기간</t>
        </is>
      </c>
    </row>
    <row r="507">
      <c r="A507" s="131" t="n"/>
      <c r="B507" s="127" t="n">
        <v>591</v>
      </c>
      <c r="C507" s="132" t="inlineStr">
        <is>
          <t>for import columun</t>
        </is>
      </c>
      <c r="D507" s="130" t="inlineStr">
        <is>
          <t>Total__Work</t>
        </is>
      </c>
      <c r="E507" s="130" t="inlineStr">
        <is>
          <t>총__작업량</t>
        </is>
      </c>
      <c r="F507" s="130" t="inlineStr">
        <is>
          <t>총__작업량</t>
        </is>
      </c>
    </row>
    <row r="508">
      <c r="B508" s="127" t="n">
        <v>592</v>
      </c>
      <c r="D508" s="129" t="inlineStr">
        <is>
          <t>Total\nDuration</t>
        </is>
      </c>
      <c r="E508" s="130" t="inlineStr">
        <is>
          <t>총\n기간</t>
        </is>
      </c>
      <c r="F508" s="130" t="inlineStr">
        <is>
          <t>총\n기간</t>
        </is>
      </c>
    </row>
    <row r="509">
      <c r="B509" s="127" t="n">
        <v>593</v>
      </c>
      <c r="D509" s="129" t="inlineStr">
        <is>
          <t>Total\nWork</t>
        </is>
      </c>
      <c r="E509" s="129" t="inlineStr">
        <is>
          <t>총\n작업량</t>
        </is>
      </c>
      <c r="F509" s="129" t="inlineStr">
        <is>
          <t>총\n작업량</t>
        </is>
      </c>
    </row>
    <row r="510">
      <c r="B510" s="127" t="n">
        <v>594</v>
      </c>
      <c r="D510" s="129" t="inlineStr">
        <is>
          <t>Tue</t>
        </is>
      </c>
      <c r="E510" s="129" t="inlineStr">
        <is>
          <t>화</t>
        </is>
      </c>
      <c r="F510" s="129" t="inlineStr">
        <is>
          <t>화</t>
        </is>
      </c>
    </row>
    <row r="511" ht="24" customHeight="1">
      <c r="B511" s="127" t="n">
        <v>595</v>
      </c>
      <c r="D511" s="129" t="inlineStr">
        <is>
          <t>Type a number between 0% and 100% in "%Work Complete" field of row number {1} in the {2} sheet.</t>
        </is>
      </c>
      <c r="E511" s="129" t="inlineStr">
        <is>
          <t>{2} sheet의 {1}행의 실적진척률을 0~100% 범위로 입력해주세요.</t>
        </is>
      </c>
      <c r="F511" s="129" t="inlineStr">
        <is>
          <t>{2} sheet의 {1}행의 실적진척률을 0~100% 범위로 입력해주세요.</t>
        </is>
      </c>
    </row>
    <row r="512">
      <c r="B512" s="127" t="n">
        <v>596</v>
      </c>
      <c r="D512" s="129" t="inlineStr">
        <is>
          <t>UI Design</t>
        </is>
      </c>
      <c r="E512" s="129" t="inlineStr">
        <is>
          <t>화면설계</t>
        </is>
      </c>
      <c r="F512" s="129" t="inlineStr">
        <is>
          <t>화면설계</t>
        </is>
      </c>
    </row>
    <row r="513" ht="36" customHeight="1">
      <c r="B513" s="127" t="n">
        <v>597</v>
      </c>
      <c r="D513" s="129" t="inlineStr">
        <is>
          <t>Unable to open file. Please change the "Check if you save deliverables in specific directory" option to the checked state in the Setting&gt;Deliverables tab.</t>
        </is>
      </c>
      <c r="E513" s="129" t="inlineStr">
        <is>
          <t>파일을 열수 없습니다. 환경설정&gt;산출물관리 탭에서 "산출물 관리를 할 경우에 체크하세요" 옵션을 체크상태로 변경해 주세요.</t>
        </is>
      </c>
      <c r="F513" s="129" t="inlineStr">
        <is>
          <t>파일을 열수 없습니다. 환경설정&gt;산출물관리 탭에서 "산출물 관리를 할 경우에 체크하세요" 옵션을 체크상태로 변경해 주세요.</t>
        </is>
      </c>
    </row>
    <row r="514">
      <c r="B514" s="127" t="n">
        <v>598</v>
      </c>
      <c r="D514" s="129" t="inlineStr">
        <is>
          <t>Update Schedule</t>
        </is>
      </c>
      <c r="E514" s="129" t="inlineStr">
        <is>
          <t>스케줄\n업데이트</t>
        </is>
      </c>
      <c r="F514" s="129" t="inlineStr">
        <is>
          <t>스케줄\n업데이트</t>
        </is>
      </c>
    </row>
    <row r="515">
      <c r="B515" s="127" t="n">
        <v>599</v>
      </c>
      <c r="D515" s="129" t="inlineStr">
        <is>
          <t>Updates</t>
        </is>
      </c>
      <c r="E515" s="129" t="inlineStr">
        <is>
          <t>업데이트 내용</t>
        </is>
      </c>
      <c r="F515" s="129" t="inlineStr">
        <is>
          <t>업데이트 내용</t>
        </is>
      </c>
    </row>
    <row r="516">
      <c r="B516" s="127" t="n">
        <v>600</v>
      </c>
      <c r="D516" s="129" t="inlineStr">
        <is>
          <t>Updating schedule... \nplease wait...</t>
        </is>
      </c>
      <c r="E516" s="129" t="inlineStr">
        <is>
          <t>스케줄업데이트 중입니다...\n잠시만 기다려 주세요...</t>
        </is>
      </c>
      <c r="F516" s="129" t="inlineStr">
        <is>
          <t>스케줄업데이트 중입니다...\n잠시만 기다려 주세요...</t>
        </is>
      </c>
    </row>
    <row r="517">
      <c r="B517" s="127" t="n">
        <v>601</v>
      </c>
      <c r="D517" s="129" t="inlineStr">
        <is>
          <t>User Defined Calendar 1</t>
        </is>
      </c>
      <c r="E517" s="129" t="inlineStr">
        <is>
          <t>사용자정의 캘린더1</t>
        </is>
      </c>
      <c r="F517" s="129" t="inlineStr">
        <is>
          <t>사용자정의 캘린더1</t>
        </is>
      </c>
    </row>
    <row r="518">
      <c r="B518" s="127" t="n">
        <v>602</v>
      </c>
      <c r="D518" s="129" t="inlineStr">
        <is>
          <t>User Defined Calendar 2</t>
        </is>
      </c>
      <c r="E518" s="129" t="inlineStr">
        <is>
          <t>사용자정의 캘린더2</t>
        </is>
      </c>
      <c r="F518" s="129" t="inlineStr">
        <is>
          <t>사용자정의 캘린더2</t>
        </is>
      </c>
    </row>
    <row r="519">
      <c r="B519" s="127" t="n">
        <v>603</v>
      </c>
      <c r="D519" s="129" t="inlineStr">
        <is>
          <t>Variance(Actual-Planned)</t>
        </is>
      </c>
      <c r="E519" s="129" t="inlineStr">
        <is>
          <t>차이(실적-계획)</t>
        </is>
      </c>
      <c r="F519" s="129" t="inlineStr">
        <is>
          <t>차이(실적-계획)</t>
        </is>
      </c>
    </row>
    <row r="520">
      <c r="B520" s="127" t="n">
        <v>604</v>
      </c>
      <c r="D520" s="129" t="inlineStr">
        <is>
          <t>WBS</t>
        </is>
      </c>
      <c r="E520" s="129" t="inlineStr">
        <is>
          <t>WBS</t>
        </is>
      </c>
      <c r="F520" s="129" t="inlineStr">
        <is>
          <t>WBS</t>
        </is>
      </c>
    </row>
    <row r="521">
      <c r="B521" s="127" t="n">
        <v>605</v>
      </c>
      <c r="D521" s="129" t="inlineStr">
        <is>
          <t>WBS Area Display</t>
        </is>
      </c>
      <c r="E521" s="129" t="inlineStr">
        <is>
          <t>WBS영역 표시방법</t>
        </is>
      </c>
      <c r="F521" s="129" t="inlineStr">
        <is>
          <t>WBS영역 표시방법</t>
        </is>
      </c>
    </row>
    <row r="522" ht="24" customHeight="1">
      <c r="B522" s="127" t="n">
        <v>606</v>
      </c>
      <c r="D522" s="129" t="inlineStr">
        <is>
          <t>WBS Level is invalid. Enter a number only. Verify row {} of the source file.</t>
        </is>
      </c>
      <c r="E522" s="129" t="inlineStr">
        <is>
          <t>WBS Level(개요번호)에 숫자가 아닌 값이 포함되어 있습니다. Import하는 파일의 {}행을 확인하세요.</t>
        </is>
      </c>
      <c r="F522" s="129" t="inlineStr">
        <is>
          <t>WBS Level(개요번호)에 숫자가 아닌 값이 포함되어 있습니다. Import하는 파일의 {}행을 확인하세요.</t>
        </is>
      </c>
    </row>
    <row r="523">
      <c r="B523" s="127" t="n">
        <v>607</v>
      </c>
      <c r="D523" s="129" t="inlineStr">
        <is>
          <t>WBS No.</t>
        </is>
      </c>
      <c r="E523" s="129" t="inlineStr">
        <is>
          <t>WBS No.</t>
        </is>
      </c>
      <c r="F523" s="129" t="inlineStr">
        <is>
          <t>WBS No.</t>
        </is>
      </c>
    </row>
    <row r="524">
      <c r="B524" s="127" t="n">
        <v>608</v>
      </c>
      <c r="D524" s="129" t="inlineStr">
        <is>
          <t>WBS title - auto calculated field</t>
        </is>
      </c>
      <c r="E524" s="129" t="inlineStr">
        <is>
          <t>WBS 타이틀 - 자동계산필드</t>
        </is>
      </c>
      <c r="F524" s="129" t="inlineStr">
        <is>
          <t>WBS 타이틀 - 자동계산필드</t>
        </is>
      </c>
    </row>
    <row r="525">
      <c r="B525" s="127" t="n">
        <v>609</v>
      </c>
      <c r="D525" s="129" t="inlineStr">
        <is>
          <t>WBS title - input field</t>
        </is>
      </c>
      <c r="E525" s="129" t="inlineStr">
        <is>
          <t>WBS 타이틀 - 입력필드</t>
        </is>
      </c>
      <c r="F525" s="129" t="inlineStr">
        <is>
          <t>WBS 타이틀 - 입력필드</t>
        </is>
      </c>
    </row>
    <row r="526">
      <c r="B526" s="127" t="n">
        <v>610</v>
      </c>
      <c r="D526" s="129" t="inlineStr">
        <is>
          <t>WBS,Gantt Chart</t>
        </is>
      </c>
      <c r="F526" s="129" t="n"/>
    </row>
    <row r="527">
      <c r="B527" s="127" t="n">
        <v>611</v>
      </c>
      <c r="D527" s="129" t="inlineStr">
        <is>
          <t>Wed</t>
        </is>
      </c>
      <c r="E527" s="129" t="inlineStr">
        <is>
          <t>수</t>
        </is>
      </c>
      <c r="F527" s="129" t="inlineStr">
        <is>
          <t>수</t>
        </is>
      </c>
    </row>
    <row r="528">
      <c r="B528" s="127" t="n">
        <v>612</v>
      </c>
      <c r="C528" s="128" t="inlineStr">
        <is>
          <t>for Week Number</t>
        </is>
      </c>
      <c r="D528" s="129" t="inlineStr">
        <is>
          <t>Week Numbers Display</t>
        </is>
      </c>
      <c r="E528" s="129" t="inlineStr">
        <is>
          <t>주차 표시방식</t>
        </is>
      </c>
      <c r="F528" s="129" t="inlineStr">
        <is>
          <t>주차 표시방식</t>
        </is>
      </c>
    </row>
    <row r="529">
      <c r="B529" s="127" t="n">
        <v>613</v>
      </c>
      <c r="D529" s="129" t="inlineStr">
        <is>
          <t>Weekly</t>
        </is>
      </c>
      <c r="E529" s="129" t="inlineStr">
        <is>
          <t>주별</t>
        </is>
      </c>
      <c r="F529" s="129" t="inlineStr">
        <is>
          <t>주별</t>
        </is>
      </c>
    </row>
    <row r="530">
      <c r="B530" s="127" t="n">
        <v>614</v>
      </c>
      <c r="D530" s="129" t="inlineStr">
        <is>
          <t>Weekly view</t>
        </is>
      </c>
      <c r="E530" s="129" t="inlineStr">
        <is>
          <t>주별보기</t>
        </is>
      </c>
      <c r="F530" s="129" t="inlineStr">
        <is>
          <t>주별보기</t>
        </is>
      </c>
    </row>
    <row r="531">
      <c r="B531" s="127" t="n">
        <v>615</v>
      </c>
      <c r="D531" s="129" t="inlineStr">
        <is>
          <t>Weeks</t>
        </is>
      </c>
      <c r="E531" s="129" t="inlineStr">
        <is>
          <t>주별</t>
        </is>
      </c>
      <c r="F531" s="129" t="inlineStr">
        <is>
          <t>주별</t>
        </is>
      </c>
    </row>
    <row r="532">
      <c r="B532" s="127" t="n">
        <v>616</v>
      </c>
      <c r="D532" s="129" t="inlineStr">
        <is>
          <t>Resource Count</t>
        </is>
      </c>
      <c r="E532" s="129" t="inlineStr">
        <is>
          <t>자원수</t>
        </is>
      </c>
      <c r="F532" s="129" t="inlineStr">
        <is>
          <t>자원수</t>
        </is>
      </c>
    </row>
    <row r="533">
      <c r="B533" s="127" t="n">
        <v>617</v>
      </c>
      <c r="D533" s="129" t="inlineStr">
        <is>
          <t>Resource Count is invalid.</t>
        </is>
      </c>
      <c r="E533" s="129" t="inlineStr">
        <is>
          <t>자원수의 숫자형식이 잘못되었습니다.</t>
        </is>
      </c>
      <c r="F533" s="129" t="inlineStr">
        <is>
          <t>자원수의 숫자형식이 잘못되었습니다.</t>
        </is>
      </c>
    </row>
    <row r="534">
      <c r="B534" s="127" t="n">
        <v>618</v>
      </c>
      <c r="D534" s="129" t="inlineStr">
        <is>
          <t>Resource Count must be greater than zero.</t>
        </is>
      </c>
      <c r="E534" s="129" t="inlineStr">
        <is>
          <t>자원수는 0보다 커야 합니다.</t>
        </is>
      </c>
      <c r="F534" s="129" t="inlineStr">
        <is>
          <t>자원수는 0보다 커야 합니다.</t>
        </is>
      </c>
    </row>
    <row r="535">
      <c r="B535" s="127" t="n">
        <v>619</v>
      </c>
      <c r="D535" s="129" t="inlineStr">
        <is>
          <t>When managing schedule changes</t>
        </is>
      </c>
      <c r="E535" s="129" t="inlineStr">
        <is>
          <t>일정변경 관리할 때</t>
        </is>
      </c>
      <c r="F535" s="129" t="inlineStr">
        <is>
          <t>일정변경 관리할 때</t>
        </is>
      </c>
    </row>
    <row r="536">
      <c r="B536" s="127" t="n">
        <v>620</v>
      </c>
      <c r="D536" s="129" t="inlineStr">
        <is>
          <t>When not managing schedule changes</t>
        </is>
      </c>
      <c r="E536" s="129" t="inlineStr">
        <is>
          <t>일정변경 관리 안할 때</t>
        </is>
      </c>
      <c r="F536" s="129" t="inlineStr">
        <is>
          <t>일정변경 관리 안할 때</t>
        </is>
      </c>
    </row>
    <row r="537" ht="36" customHeight="1">
      <c r="B537" s="127" t="n">
        <v>621</v>
      </c>
      <c r="C537" s="128" t="inlineStr">
        <is>
          <t>for help sheet</t>
        </is>
      </c>
      <c r="D537" s="129" t="inlineStr">
        <is>
          <t>When you enter a task and a schedule, the progress rate is calculated and the schedule of the task is displayed as a gantt chart.</t>
        </is>
      </c>
      <c r="E537" s="129" t="inlineStr">
        <is>
          <t>작업과 일정을 입력하면 진척률이 계산되며 작업의 일정을 간트차트로 표시해 준다.</t>
        </is>
      </c>
      <c r="F537" s="129" t="inlineStr">
        <is>
          <t>작업과 일정을 입력하면 진척률이 계산되며 작업의 일정을 간트차트로 표시해 준다.</t>
        </is>
      </c>
    </row>
    <row r="538" ht="36" customHeight="1">
      <c r="B538" s="127" t="n">
        <v>622</v>
      </c>
      <c r="C538" s="128" t="inlineStr">
        <is>
          <t>for help sheet</t>
        </is>
      </c>
      <c r="D538" s="129" t="inlineStr">
        <is>
          <t>When you enter task names, start and finish dates, and %work complete values, XLGantt automatically calculates the tasks durations, planned %work complete values.</t>
        </is>
      </c>
      <c r="E538" s="129" t="inlineStr">
        <is>
          <t>작업명, 시작일, 완료일, 진척률을 입력하면 휴무일, 자원수를 고려하여 자동으로 작업기간, 계획진척률, 실적진척률 등이 계산된다.</t>
        </is>
      </c>
      <c r="F538" s="129" t="inlineStr">
        <is>
          <t>작업명, 시작일, 완료일, 진척률을 입력하면 휴무일, 자원수를 고려하여 자동으로 작업기간, 계획진척률, 실적진척률 등이 계산된다.</t>
        </is>
      </c>
    </row>
    <row r="539">
      <c r="B539" s="127" t="n">
        <v>623</v>
      </c>
      <c r="D539" s="129" t="inlineStr">
        <is>
          <t>Word</t>
        </is>
      </c>
      <c r="E539" s="129" t="inlineStr">
        <is>
          <t>워드</t>
        </is>
      </c>
      <c r="F539" s="129" t="inlineStr">
        <is>
          <t>워드</t>
        </is>
      </c>
    </row>
    <row r="540">
      <c r="B540" s="127" t="n">
        <v>624</v>
      </c>
      <c r="D540" s="129" t="inlineStr">
        <is>
          <t>Workload Calculation</t>
        </is>
      </c>
      <c r="E540" s="129" t="inlineStr">
        <is>
          <t>작업량 계산</t>
        </is>
      </c>
      <c r="F540" s="129" t="inlineStr">
        <is>
          <t>작업량 계산</t>
        </is>
      </c>
    </row>
    <row r="541">
      <c r="B541" s="127" t="n">
        <v>625</v>
      </c>
      <c r="D541" s="129" t="inlineStr">
        <is>
          <t>Workload Data</t>
        </is>
      </c>
      <c r="E541" s="129" t="inlineStr">
        <is>
          <t>Workload Data</t>
        </is>
      </c>
      <c r="F541" s="129" t="inlineStr">
        <is>
          <t>Workload Data</t>
        </is>
      </c>
    </row>
    <row r="542">
      <c r="B542" s="127" t="n">
        <v>626</v>
      </c>
      <c r="D542" s="129" t="inlineStr">
        <is>
          <t>Workload\n(Man-Day)</t>
        </is>
      </c>
      <c r="F542" s="129" t="n"/>
    </row>
    <row r="543">
      <c r="B543" s="127" t="n">
        <v>627</v>
      </c>
      <c r="D543" s="129" t="inlineStr">
        <is>
          <t>Workload\n(Man-Month)</t>
        </is>
      </c>
      <c r="F543" s="129" t="n"/>
    </row>
    <row r="544">
      <c r="B544" s="127" t="n">
        <v>628</v>
      </c>
      <c r="D544" s="129" t="inlineStr">
        <is>
          <t>Workloads</t>
        </is>
      </c>
      <c r="E544" s="129" t="inlineStr">
        <is>
          <t>Workload</t>
        </is>
      </c>
      <c r="F544" s="129" t="inlineStr">
        <is>
          <t>Workload</t>
        </is>
      </c>
    </row>
    <row r="545">
      <c r="B545" s="127" t="n">
        <v>629</v>
      </c>
      <c r="D545" s="129" t="inlineStr">
        <is>
          <t>Workloads by {}</t>
        </is>
      </c>
      <c r="E545" s="129" t="inlineStr">
        <is>
          <t>Workload현황({})</t>
        </is>
      </c>
      <c r="F545" s="129" t="inlineStr">
        <is>
          <t>Workload현황({})</t>
        </is>
      </c>
    </row>
    <row r="546">
      <c r="B546" s="127" t="n">
        <v>630</v>
      </c>
      <c r="D546" s="129" t="inlineStr">
        <is>
          <t>Workloads by Months</t>
        </is>
      </c>
      <c r="E546" s="129" t="inlineStr">
        <is>
          <t>Workload(월별)</t>
        </is>
      </c>
      <c r="F546" s="129" t="inlineStr">
        <is>
          <t>Workload(월별)</t>
        </is>
      </c>
    </row>
    <row r="547">
      <c r="B547" s="127" t="n">
        <v>631</v>
      </c>
      <c r="D547" s="129" t="inlineStr">
        <is>
          <t>Workloads by Resouces</t>
        </is>
      </c>
      <c r="E547" s="129" t="inlineStr">
        <is>
          <t>Workload(담당별)</t>
        </is>
      </c>
      <c r="F547" s="129" t="inlineStr">
        <is>
          <t>Workload(담당별)</t>
        </is>
      </c>
    </row>
    <row r="548">
      <c r="B548" s="127" t="n">
        <v>632</v>
      </c>
      <c r="D548" s="129" t="inlineStr">
        <is>
          <t>Workloads by Weeks</t>
        </is>
      </c>
      <c r="E548" s="129" t="inlineStr">
        <is>
          <t>Workload(주별)</t>
        </is>
      </c>
      <c r="F548" s="129" t="inlineStr">
        <is>
          <t>Workload(주별)</t>
        </is>
      </c>
    </row>
    <row r="549">
      <c r="B549" s="127" t="n">
        <v>633</v>
      </c>
      <c r="D549" s="129" t="inlineStr">
        <is>
          <t>Worloads by Resources</t>
        </is>
      </c>
      <c r="E549" s="129" t="inlineStr">
        <is>
          <t>Workload현황(담당별)</t>
        </is>
      </c>
      <c r="F549" s="129" t="inlineStr">
        <is>
          <t>Workload현황(담당별)</t>
        </is>
      </c>
    </row>
    <row r="550" ht="24" customHeight="1">
      <c r="A550" s="130" t="n"/>
      <c r="B550" s="127" t="n">
        <v>634</v>
      </c>
      <c r="C550" s="130" t="n"/>
      <c r="D550" s="130" t="inlineStr">
        <is>
          <t>Would you like to update the schedule before saving?</t>
        </is>
      </c>
      <c r="E550" s="130" t="inlineStr">
        <is>
          <t>저장하기 전에 스케줄을 업데이트하시겠습니까?\n\n[스케줄업데이트]메뉴를 클릭할 때와 동일한 작업을 수행합니다.</t>
        </is>
      </c>
      <c r="F550" s="130" t="inlineStr">
        <is>
          <t>저장하기 전에 스케줄을 업데이트하시겠습니까?\n\n[스케줄업데이트]메뉴를 클릭할 때와 동일한 작업을 수행합니다.</t>
        </is>
      </c>
    </row>
    <row r="551">
      <c r="B551" s="127" t="n">
        <v>635</v>
      </c>
      <c r="C551" s="128" t="inlineStr">
        <is>
          <t>for help sheet</t>
        </is>
      </c>
      <c r="D551" s="129" t="inlineStr">
        <is>
          <t>XLGantt  - Project Scheduler</t>
        </is>
      </c>
      <c r="E551" s="129" t="inlineStr">
        <is>
          <t>엑셀간트(XLGantt) - 엑셀 일정관리</t>
        </is>
      </c>
      <c r="F551" s="129" t="inlineStr">
        <is>
          <t>엑셀간트(XLGantt) - 엑셀 일정관리</t>
        </is>
      </c>
    </row>
    <row r="552">
      <c r="B552" s="127" t="n">
        <v>636</v>
      </c>
      <c r="C552" s="128" t="inlineStr">
        <is>
          <t>for help sheet</t>
        </is>
      </c>
      <c r="D552" s="129" t="inlineStr">
        <is>
          <t>XLGantt Version {} Terms of Use</t>
        </is>
      </c>
      <c r="E552" s="129" t="inlineStr">
        <is>
          <t>XLGantt Version {} 사용조건</t>
        </is>
      </c>
      <c r="F552" s="129" t="inlineStr">
        <is>
          <t>XLGantt Version {} 사용조건</t>
        </is>
      </c>
    </row>
    <row r="553">
      <c r="B553" s="127" t="n">
        <v>637</v>
      </c>
      <c r="D553" s="129" t="inlineStr">
        <is>
          <t>XLGantt Version Check</t>
        </is>
      </c>
      <c r="E553" s="129" t="inlineStr">
        <is>
          <t>XLGantt Version Check</t>
        </is>
      </c>
      <c r="F553" s="129" t="inlineStr">
        <is>
          <t>XLGantt Version Check</t>
        </is>
      </c>
    </row>
    <row r="554">
      <c r="B554" s="127" t="n">
        <v>638</v>
      </c>
      <c r="D554" s="129" t="inlineStr">
        <is>
          <t>You are using the latest version of XLGantt.\nCurrent Verison : {}</t>
        </is>
      </c>
      <c r="E554" s="129" t="inlineStr">
        <is>
          <t>사용하고 계신 XLGantt는 최신 버전입니다.\n현재 버전 : {}</t>
        </is>
      </c>
      <c r="F554" s="129" t="inlineStr">
        <is>
          <t>사용하고 계신 XLGantt는 최신 버전입니다.\n현재 버전 : {}</t>
        </is>
      </c>
    </row>
    <row r="555">
      <c r="B555" s="127" t="n">
        <v>639</v>
      </c>
      <c r="D555" s="129" t="inlineStr">
        <is>
          <t>You can add "Outlook Appointments" only on the {} sheet.</t>
        </is>
      </c>
      <c r="E555" s="129" t="inlineStr">
        <is>
          <t>{} Sheet에서만 Outlook일정을 등록할 수 있습니다.</t>
        </is>
      </c>
      <c r="F555" s="129" t="inlineStr">
        <is>
          <t>{} Sheet에서만 Outlook일정을 등록할 수 있습니다.</t>
        </is>
      </c>
    </row>
    <row r="556">
      <c r="B556" s="127" t="n">
        <v>640</v>
      </c>
      <c r="D556" s="129" t="inlineStr">
        <is>
          <t>You can add "Outlook Tasks" only on the {} sheet.</t>
        </is>
      </c>
      <c r="E556" s="129" t="inlineStr">
        <is>
          <t>{} Sheet에서만 Outlook작업을 등록할 수 있습니다.</t>
        </is>
      </c>
      <c r="F556" s="129" t="inlineStr">
        <is>
          <t>{} Sheet에서만 Outlook작업을 등록할 수 있습니다.</t>
        </is>
      </c>
    </row>
    <row r="557" ht="24" customHeight="1">
      <c r="B557" s="127" t="n">
        <v>641</v>
      </c>
      <c r="C557" s="128" t="inlineStr">
        <is>
          <t>for help sheet</t>
        </is>
      </c>
      <c r="D557" s="129" t="inlineStr">
        <is>
          <t>You can click the "Options" button on the ribbon to customize a Gantt chart style.</t>
        </is>
      </c>
      <c r="E557" s="129" t="inlineStr">
        <is>
          <t>Bar chart형태로 간트차트를 보여주며 여러 가지 표시방법을 옵션에서 설정할 수 있다.</t>
        </is>
      </c>
      <c r="F557" s="129" t="inlineStr">
        <is>
          <t>Bar chart형태로 간트차트를 보여주며 여러 가지 표시방법을 옵션에서 설정할 수 있다.</t>
        </is>
      </c>
    </row>
    <row r="558">
      <c r="B558" s="127" t="n">
        <v>642</v>
      </c>
      <c r="D558" s="129" t="inlineStr">
        <is>
          <t>You can edit task only on the {} sheet.</t>
        </is>
      </c>
      <c r="E558" s="129" t="inlineStr">
        <is>
          <t>{} Sheet에서만 작업을 편집할 수 있습니다.</t>
        </is>
      </c>
      <c r="F558" s="129" t="inlineStr">
        <is>
          <t>{} Sheet에서만 작업을 편집할 수 있습니다.</t>
        </is>
      </c>
    </row>
    <row r="559" ht="36" customHeight="1">
      <c r="B559" s="127" t="n">
        <v>643</v>
      </c>
      <c r="C559" s="128" t="inlineStr">
        <is>
          <t>for help sheet</t>
        </is>
      </c>
      <c r="D559" s="129" t="inlineStr">
        <is>
          <t>You can include the formulas and functions of the Excel in XLGantt.</t>
        </is>
      </c>
      <c r="E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F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row>
    <row r="560">
      <c r="B560" s="127" t="n">
        <v>644</v>
      </c>
      <c r="D560" s="129" t="inlineStr">
        <is>
          <t>You can indent or outdent tasks only on the {} sheet.</t>
        </is>
      </c>
      <c r="E560" s="129" t="inlineStr">
        <is>
          <t>{} Sheet에서만 작업가능합니다.</t>
        </is>
      </c>
      <c r="F560" s="129" t="inlineStr">
        <is>
          <t>{} Sheet에서만 작업가능합니다.</t>
        </is>
      </c>
    </row>
    <row r="561">
      <c r="B561" s="127" t="n">
        <v>645</v>
      </c>
      <c r="D561" s="129" t="inlineStr">
        <is>
          <t>You can not add "Outlook Appointments" in the selected area.</t>
        </is>
      </c>
      <c r="E561" s="129" t="inlineStr">
        <is>
          <t>선택한 위치에서는 작업할 수 없습니다.</t>
        </is>
      </c>
      <c r="F561" s="129" t="inlineStr">
        <is>
          <t>선택한 위치에서는 작업할 수 없습니다.</t>
        </is>
      </c>
    </row>
    <row r="562">
      <c r="B562" s="127" t="n">
        <v>646</v>
      </c>
      <c r="D562" s="129" t="inlineStr">
        <is>
          <t>You can not add "Outlook Tasks" in the selected area.</t>
        </is>
      </c>
      <c r="E562" s="129" t="inlineStr">
        <is>
          <t>선택한 위치에서는 Outlook작업을 등록할 수 없습니다.</t>
        </is>
      </c>
      <c r="F562" s="129" t="inlineStr">
        <is>
          <t>선택한 위치에서는 Outlook작업을 등록할 수 없습니다.</t>
        </is>
      </c>
    </row>
    <row r="563" ht="24" customHeight="1">
      <c r="B563" s="127" t="n">
        <v>647</v>
      </c>
      <c r="D563" s="129" t="inlineStr">
        <is>
          <t>You can not add a column between column A and C because the range is reserved by XLGantt.</t>
        </is>
      </c>
      <c r="E563" s="129" t="inlineStr">
        <is>
          <t>A열부터 C열까지는 XLGantt프로그램에서 사용하는 영역이므로 임의로 열을 추가할 수 없습니다.</t>
        </is>
      </c>
      <c r="F563" s="129" t="inlineStr">
        <is>
          <t>A열부터 C열까지는 XLGantt프로그램에서 사용하는 영역이므로 임의로 열을 추가할 수 없습니다.</t>
        </is>
      </c>
    </row>
    <row r="564">
      <c r="B564" s="127" t="n">
        <v>648</v>
      </c>
      <c r="D564" s="129" t="inlineStr">
        <is>
          <t>You can not edit a task in the selected area.</t>
        </is>
      </c>
      <c r="E564" s="129" t="inlineStr">
        <is>
          <t>선택한 위치에서는 작업할 수 없습니다.</t>
        </is>
      </c>
      <c r="F564" s="129" t="inlineStr">
        <is>
          <t>선택한 위치에서는 작업할 수 없습니다.</t>
        </is>
      </c>
    </row>
    <row r="565">
      <c r="B565" s="127" t="n">
        <v>649</v>
      </c>
      <c r="D565" s="129" t="inlineStr">
        <is>
          <t>You can not enter any more.</t>
        </is>
      </c>
      <c r="E565" s="129" t="inlineStr">
        <is>
          <t>더 이상 입력불가</t>
        </is>
      </c>
      <c r="F565" s="129" t="inlineStr">
        <is>
          <t>더 이상 입력불가</t>
        </is>
      </c>
    </row>
    <row r="566">
      <c r="B566" s="127" t="n">
        <v>650</v>
      </c>
      <c r="D566" s="129" t="inlineStr">
        <is>
          <t>You can not indent any more!</t>
        </is>
      </c>
      <c r="E566" s="129" t="inlineStr">
        <is>
          <t>더 이상 오른쪽으로 이동할 수 없습니다!</t>
        </is>
      </c>
      <c r="F566" s="129" t="inlineStr">
        <is>
          <t>더 이상 오른쪽으로 이동할 수 없습니다!</t>
        </is>
      </c>
    </row>
    <row r="567">
      <c r="B567" s="127" t="n">
        <v>651</v>
      </c>
      <c r="D567" s="129" t="inlineStr">
        <is>
          <t>You can not indent or outdent the selected row.</t>
        </is>
      </c>
      <c r="E567" s="129" t="inlineStr">
        <is>
          <t>선택한 위치에서는 이동할 수 없습니다.</t>
        </is>
      </c>
      <c r="F567" s="129" t="inlineStr">
        <is>
          <t>선택한 위치에서는 이동할 수 없습니다.</t>
        </is>
      </c>
    </row>
    <row r="568">
      <c r="B568" s="127" t="n">
        <v>652</v>
      </c>
      <c r="D568" s="129" t="inlineStr">
        <is>
          <t>You can not outdent any more!</t>
        </is>
      </c>
      <c r="E568" s="129" t="inlineStr">
        <is>
          <t>더 이상 왼쪽으로 이동할 수 없습니다!</t>
        </is>
      </c>
      <c r="F568" s="129" t="inlineStr">
        <is>
          <t>더 이상 왼쪽으로 이동할 수 없습니다!</t>
        </is>
      </c>
      <c r="H568" s="130" t="n"/>
      <c r="I568" s="130" t="n"/>
      <c r="J568" s="130" t="n"/>
      <c r="K568" s="130" t="n"/>
      <c r="L568" s="130" t="n"/>
      <c r="M568" s="130" t="n"/>
      <c r="N568" s="130" t="n"/>
      <c r="O568" s="130" t="n"/>
      <c r="P568" s="130" t="n"/>
      <c r="Q568" s="130" t="n"/>
      <c r="R568" s="130" t="n"/>
      <c r="S568" s="130" t="n"/>
      <c r="T568" s="130" t="n"/>
      <c r="U568" s="130" t="n"/>
      <c r="V568" s="130" t="n"/>
      <c r="W568" s="130" t="n"/>
      <c r="X568" s="130" t="n"/>
      <c r="Y568" s="130" t="n"/>
      <c r="Z568" s="130" t="n"/>
      <c r="AA568" s="130" t="n"/>
    </row>
    <row r="569" ht="24" customHeight="1">
      <c r="B569" s="127" t="n">
        <v>653</v>
      </c>
      <c r="D569" s="129" t="inlineStr">
        <is>
          <t>You can not use "Microsoft Outlook". \nMake sure you properly installed it.</t>
        </is>
      </c>
      <c r="E569" s="129" t="inlineStr">
        <is>
          <t>Microsoft Outlook을 사용할 수 없습니다.\n정상적으로 설치되어 있는지 확인하세요.</t>
        </is>
      </c>
      <c r="F569" s="129" t="inlineStr">
        <is>
          <t>Microsoft Outlook을 사용할 수 없습니다.\n정상적으로 설치되어 있는지 확인하세요.</t>
        </is>
      </c>
      <c r="H569" s="130" t="n"/>
      <c r="I569" s="130" t="n"/>
      <c r="J569" s="130" t="n"/>
      <c r="K569" s="130" t="n"/>
      <c r="L569" s="130" t="n"/>
      <c r="M569" s="130" t="n"/>
      <c r="N569" s="130" t="n"/>
      <c r="O569" s="130" t="n"/>
      <c r="P569" s="130" t="n"/>
      <c r="Q569" s="130" t="n"/>
      <c r="R569" s="130" t="n"/>
      <c r="S569" s="130" t="n"/>
      <c r="T569" s="130" t="n"/>
      <c r="U569" s="130" t="n"/>
      <c r="V569" s="130" t="n"/>
      <c r="W569" s="130" t="n"/>
      <c r="X569" s="130" t="n"/>
      <c r="Y569" s="130" t="n"/>
      <c r="Z569" s="130" t="n"/>
      <c r="AA569" s="130" t="n"/>
    </row>
    <row r="570">
      <c r="B570" s="127" t="n">
        <v>654</v>
      </c>
      <c r="D570" s="129" t="inlineStr">
        <is>
          <t>You can open deliverables only on the {} Sheet.</t>
        </is>
      </c>
      <c r="E570" s="129" t="inlineStr">
        <is>
          <t>{} Sheet에서만 작업가능합니다.</t>
        </is>
      </c>
      <c r="F570" s="129" t="inlineStr">
        <is>
          <t>{} Sheet에서만 작업가능합니다.</t>
        </is>
      </c>
      <c r="H570" s="131" t="n"/>
      <c r="I570" s="131" t="n"/>
      <c r="J570" s="131" t="n"/>
      <c r="K570" s="131" t="n"/>
      <c r="L570" s="131" t="n"/>
      <c r="M570" s="131" t="n"/>
      <c r="N570" s="131" t="n"/>
      <c r="O570" s="131" t="n"/>
      <c r="P570" s="131" t="n"/>
      <c r="Q570" s="131" t="n"/>
      <c r="R570" s="131" t="n"/>
      <c r="S570" s="131" t="n"/>
      <c r="T570" s="131" t="n"/>
      <c r="U570" s="131" t="n"/>
      <c r="V570" s="131" t="n"/>
      <c r="W570" s="131" t="n"/>
      <c r="X570" s="131" t="n"/>
      <c r="Y570" s="131" t="n"/>
      <c r="Z570" s="131" t="n"/>
      <c r="AA570" s="131" t="n"/>
    </row>
    <row r="571" ht="24" customHeight="1">
      <c r="B571" s="127" t="n">
        <v>655</v>
      </c>
      <c r="C571" s="128" t="inlineStr">
        <is>
          <t>for help sheet</t>
        </is>
      </c>
      <c r="D571" s="129" t="inlineStr">
        <is>
          <t>You can use %work complete to keep track of the progress of the project.</t>
        </is>
      </c>
      <c r="E571" s="129" t="inlineStr">
        <is>
          <t>진척률을 이용하여 프로젝트 전체 진행상황을 파악할 수 있다.</t>
        </is>
      </c>
      <c r="F571" s="129" t="inlineStr">
        <is>
          <t>진척률을 이용하여 프로젝트 전체 진행상황을 파악할 수 있다.</t>
        </is>
      </c>
    </row>
    <row r="572" ht="24" customHeight="1">
      <c r="B572" s="127" t="n">
        <v>656</v>
      </c>
      <c r="D572" s="129" t="inlineStr">
        <is>
          <t>You can use only start and finish dates. So you can not manage schedule changes.</t>
        </is>
      </c>
      <c r="E572" s="129" t="inlineStr">
        <is>
          <t xml:space="preserve">일정을 관리할 때 작업 시작일/완료일만 사용합니다. 변경된 일정은 관리하지 않습니다. 일정이 변경되었을 때는 시작일과 완료일을 변경합니다.  </t>
        </is>
      </c>
      <c r="F572" s="129" t="inlineStr">
        <is>
          <t xml:space="preserve">일정을 관리할 때 작업 시작일/완료일만 사용합니다. 변경된 일정은 관리하지 않습니다. 일정이 변경되었을 때는 시작일과 완료일을 변경합니다.  </t>
        </is>
      </c>
      <c r="H572" s="131" t="n"/>
      <c r="I572" s="131" t="n"/>
      <c r="J572" s="131" t="n"/>
      <c r="K572" s="131" t="n"/>
      <c r="L572" s="131" t="n"/>
      <c r="M572" s="131" t="n"/>
      <c r="N572" s="131" t="n"/>
      <c r="O572" s="131" t="n"/>
      <c r="P572" s="131" t="n"/>
      <c r="Q572" s="131" t="n"/>
      <c r="R572" s="131" t="n"/>
      <c r="S572" s="131" t="n"/>
      <c r="T572" s="131" t="n"/>
      <c r="U572" s="131" t="n"/>
      <c r="V572" s="131" t="n"/>
      <c r="W572" s="131" t="n"/>
      <c r="X572" s="131" t="n"/>
      <c r="Y572" s="131" t="n"/>
      <c r="Z572" s="131" t="n"/>
      <c r="AA572" s="131" t="n"/>
    </row>
    <row r="573" ht="36" customHeight="1">
      <c r="B573" s="127" t="n">
        <v>657</v>
      </c>
      <c r="D573" s="129" t="inlineStr">
        <is>
          <t xml:space="preserve">You can use start and finish dates, actual start and finish dates. You can identify the schedule is delayed or aheaded by entering actual start and finish dates. </t>
        </is>
      </c>
      <c r="E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F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H573" s="131" t="n"/>
      <c r="I573" s="131" t="n"/>
      <c r="J573" s="131" t="n"/>
      <c r="K573" s="131" t="n"/>
      <c r="L573" s="131" t="n"/>
      <c r="M573" s="131" t="n"/>
      <c r="N573" s="131" t="n"/>
      <c r="O573" s="131" t="n"/>
      <c r="P573" s="131" t="n"/>
      <c r="Q573" s="131" t="n"/>
      <c r="R573" s="131" t="n"/>
      <c r="S573" s="131" t="n"/>
      <c r="T573" s="131" t="n"/>
      <c r="U573" s="131" t="n"/>
      <c r="V573" s="131" t="n"/>
      <c r="W573" s="131" t="n"/>
      <c r="X573" s="131" t="n"/>
      <c r="Y573" s="131" t="n"/>
      <c r="Z573" s="131" t="n"/>
      <c r="AA573" s="131" t="n"/>
    </row>
    <row r="574">
      <c r="B574" s="127" t="n">
        <v>658</v>
      </c>
      <c r="D574" s="129" t="inlineStr">
        <is>
          <t>You can't choose a field that is empty.</t>
        </is>
      </c>
      <c r="E574" s="129" t="inlineStr">
        <is>
          <t>필드명이 비어있는 항목은 선택할 수 없습니다.</t>
        </is>
      </c>
      <c r="F574" s="129" t="inlineStr">
        <is>
          <t>필드명이 비어있는 항목은 선택할 수 없습니다.</t>
        </is>
      </c>
      <c r="H574" s="131" t="n"/>
      <c r="I574" s="131" t="n"/>
      <c r="J574" s="131" t="n"/>
      <c r="K574" s="131" t="n"/>
      <c r="L574" s="131" t="n"/>
      <c r="M574" s="131" t="n"/>
      <c r="N574" s="131" t="n"/>
      <c r="O574" s="131" t="n"/>
      <c r="P574" s="131" t="n"/>
      <c r="Q574" s="131" t="n"/>
      <c r="R574" s="131" t="n"/>
      <c r="S574" s="131" t="n"/>
      <c r="T574" s="131" t="n"/>
      <c r="U574" s="131" t="n"/>
      <c r="V574" s="131" t="n"/>
      <c r="W574" s="131" t="n"/>
      <c r="X574" s="131" t="n"/>
      <c r="Y574" s="131" t="n"/>
      <c r="Z574" s="131" t="n"/>
      <c r="AA574" s="131" t="n"/>
    </row>
    <row r="575" ht="36" customHeight="1">
      <c r="B575" s="127" t="n">
        <v>659</v>
      </c>
      <c r="D575" s="129" t="inlineStr">
        <is>
          <t>You can't import an Excel Macro file. Please import after saving it as an xls or xlsx file. If it is an XLGantt file, you can import it at the menu "Import files created in XLGantt"</t>
        </is>
      </c>
      <c r="E575" s="129" t="inlineStr">
        <is>
          <t>엑셀매크로 파일은 가져오기를 할 수 없습니다. xls 또는 xlsx파일로 저장하여 작업하시기 바랍니다. 만약 XLGantt파일인 경우에는 "XLGantt로 작성된 파일 가져오기"에서 작업 가능합니다</t>
        </is>
      </c>
      <c r="F575" s="129" t="inlineStr">
        <is>
          <t>엑셀매크로 파일은 가져오기를 할 수 없습니다. xls 또는 xlsx파일로 저장하여 작업하시기 바랍니다. 만약 XLGantt파일인 경우에는 "XLGantt로 작성된 파일 가져오기"에서 작업 가능합니다</t>
        </is>
      </c>
      <c r="H575" s="131" t="n"/>
      <c r="I575" s="131" t="n"/>
      <c r="J575" s="131" t="n"/>
      <c r="K575" s="131" t="n"/>
      <c r="L575" s="131" t="n"/>
      <c r="M575" s="131" t="n"/>
      <c r="N575" s="131" t="n"/>
      <c r="O575" s="131" t="n"/>
      <c r="P575" s="131" t="n"/>
      <c r="Q575" s="131" t="n"/>
      <c r="R575" s="131" t="n"/>
      <c r="S575" s="131" t="n"/>
      <c r="T575" s="131" t="n"/>
      <c r="U575" s="131" t="n"/>
      <c r="V575" s="131" t="n"/>
      <c r="W575" s="131" t="n"/>
      <c r="X575" s="131" t="n"/>
      <c r="Y575" s="131" t="n"/>
      <c r="Z575" s="131" t="n"/>
      <c r="AA575" s="131" t="n"/>
    </row>
    <row r="576">
      <c r="B576" s="127" t="n">
        <v>660</v>
      </c>
      <c r="D576" s="129" t="inlineStr">
        <is>
          <t>You can't remove the default languages(English and Korean).</t>
        </is>
      </c>
      <c r="E576" s="129" t="inlineStr">
        <is>
          <t>기본언어인 English와 Korean은 삭제할 수 없습니다.</t>
        </is>
      </c>
      <c r="F576" s="129" t="inlineStr">
        <is>
          <t>기본언어인 English와 Korean은 삭제할 수 없습니다.</t>
        </is>
      </c>
      <c r="H576" s="131" t="n"/>
      <c r="I576" s="131" t="n"/>
      <c r="J576" s="131" t="n"/>
      <c r="K576" s="131" t="n"/>
      <c r="L576" s="131" t="n"/>
      <c r="M576" s="131" t="n"/>
      <c r="N576" s="131" t="n"/>
      <c r="O576" s="131" t="n"/>
      <c r="P576" s="131" t="n"/>
      <c r="Q576" s="131" t="n"/>
      <c r="R576" s="131" t="n"/>
      <c r="S576" s="131" t="n"/>
      <c r="T576" s="131" t="n"/>
      <c r="U576" s="131" t="n"/>
      <c r="V576" s="131" t="n"/>
      <c r="W576" s="131" t="n"/>
      <c r="X576" s="131" t="n"/>
      <c r="Y576" s="131" t="n"/>
      <c r="Z576" s="131" t="n"/>
      <c r="AA576" s="131" t="n"/>
    </row>
    <row r="577">
      <c r="B577" s="127" t="n">
        <v>661</v>
      </c>
      <c r="D577" s="129" t="inlineStr">
        <is>
          <t>You didn't choose a language.</t>
        </is>
      </c>
      <c r="E577" s="129" t="inlineStr">
        <is>
          <t>언어가 선택되지 않았습니다.</t>
        </is>
      </c>
      <c r="F577" s="129" t="inlineStr">
        <is>
          <t>언어가 선택되지 않았습니다.</t>
        </is>
      </c>
      <c r="H577" s="131" t="n"/>
      <c r="I577" s="131" t="n"/>
      <c r="J577" s="131" t="n"/>
      <c r="K577" s="131" t="n"/>
      <c r="L577" s="131" t="n"/>
      <c r="M577" s="131" t="n"/>
      <c r="N577" s="131" t="n"/>
      <c r="O577" s="131" t="n"/>
      <c r="P577" s="131" t="n"/>
      <c r="Q577" s="131" t="n"/>
      <c r="R577" s="131" t="n"/>
      <c r="S577" s="131" t="n"/>
      <c r="T577" s="131" t="n"/>
      <c r="U577" s="131" t="n"/>
      <c r="V577" s="131" t="n"/>
      <c r="W577" s="131" t="n"/>
      <c r="X577" s="131" t="n"/>
      <c r="Y577" s="131" t="n"/>
      <c r="Z577" s="131" t="n"/>
      <c r="AA577" s="131" t="n"/>
    </row>
    <row r="578">
      <c r="B578" s="127" t="n">
        <v>662</v>
      </c>
      <c r="D578" s="129" t="inlineStr">
        <is>
          <t>You didn't choose a source field.</t>
        </is>
      </c>
      <c r="E578" s="129" t="inlineStr">
        <is>
          <t>Source항목이 선택되지 않았습니다.</t>
        </is>
      </c>
      <c r="F578" s="129" t="inlineStr">
        <is>
          <t>Source항목이 선택되지 않았습니다.</t>
        </is>
      </c>
      <c r="H578" s="131" t="n"/>
      <c r="I578" s="131" t="n"/>
      <c r="J578" s="131" t="n"/>
      <c r="K578" s="131" t="n"/>
      <c r="L578" s="131" t="n"/>
      <c r="M578" s="131" t="n"/>
      <c r="N578" s="131" t="n"/>
      <c r="O578" s="131" t="n"/>
      <c r="P578" s="131" t="n"/>
      <c r="Q578" s="131" t="n"/>
      <c r="R578" s="131" t="n"/>
      <c r="S578" s="131" t="n"/>
      <c r="T578" s="131" t="n"/>
      <c r="U578" s="131" t="n"/>
      <c r="V578" s="131" t="n"/>
      <c r="W578" s="131" t="n"/>
      <c r="X578" s="131" t="n"/>
      <c r="Y578" s="131" t="n"/>
      <c r="Z578" s="131" t="n"/>
      <c r="AA578" s="131" t="n"/>
    </row>
    <row r="579">
      <c r="B579" s="127" t="n">
        <v>663</v>
      </c>
      <c r="D579" s="129" t="inlineStr">
        <is>
          <t>You didn't choose a target field.</t>
        </is>
      </c>
      <c r="E579" s="129" t="inlineStr">
        <is>
          <t>Target항목이 선택되지 않았습니다.</t>
        </is>
      </c>
      <c r="F579" s="129" t="inlineStr">
        <is>
          <t>Target항목이 선택되지 않았습니다.</t>
        </is>
      </c>
      <c r="H579" s="131" t="n"/>
      <c r="I579" s="131" t="n"/>
      <c r="J579" s="131" t="n"/>
      <c r="K579" s="131" t="n"/>
      <c r="L579" s="131" t="n"/>
      <c r="M579" s="131" t="n"/>
      <c r="N579" s="131" t="n"/>
      <c r="O579" s="131" t="n"/>
      <c r="P579" s="131" t="n"/>
      <c r="Q579" s="131" t="n"/>
      <c r="R579" s="131" t="n"/>
      <c r="S579" s="131" t="n"/>
      <c r="T579" s="131" t="n"/>
      <c r="U579" s="131" t="n"/>
      <c r="V579" s="131" t="n"/>
      <c r="W579" s="131" t="n"/>
      <c r="X579" s="131" t="n"/>
      <c r="Y579" s="131" t="n"/>
      <c r="Z579" s="131" t="n"/>
      <c r="AA579" s="131" t="n"/>
    </row>
    <row r="580">
      <c r="B580" s="127" t="n">
        <v>664</v>
      </c>
      <c r="D580" s="129" t="inlineStr">
        <is>
          <t>You didn't choose an unmap item.</t>
        </is>
      </c>
      <c r="E580" s="129" t="inlineStr">
        <is>
          <t>Mapping취소항목이 선택되지 않았습니다.</t>
        </is>
      </c>
      <c r="F580" s="129" t="inlineStr">
        <is>
          <t>Mapping취소항목이 선택되지 않았습니다.</t>
        </is>
      </c>
      <c r="H580" s="131" t="n"/>
      <c r="I580" s="131" t="n"/>
      <c r="J580" s="131" t="n"/>
      <c r="K580" s="131" t="n"/>
      <c r="L580" s="131" t="n"/>
      <c r="M580" s="131" t="n"/>
      <c r="N580" s="131" t="n"/>
      <c r="O580" s="131" t="n"/>
      <c r="P580" s="131" t="n"/>
      <c r="Q580" s="131" t="n"/>
      <c r="R580" s="131" t="n"/>
      <c r="S580" s="131" t="n"/>
      <c r="T580" s="131" t="n"/>
      <c r="U580" s="131" t="n"/>
      <c r="V580" s="131" t="n"/>
      <c r="W580" s="131" t="n"/>
      <c r="X580" s="131" t="n"/>
      <c r="Y580" s="131" t="n"/>
      <c r="Z580" s="131" t="n"/>
      <c r="AA580" s="131" t="n"/>
    </row>
    <row r="581">
      <c r="B581" s="127" t="n">
        <v>665</v>
      </c>
      <c r="D581" s="129" t="inlineStr">
        <is>
          <t>You selected {} areas. Please select only one area.</t>
        </is>
      </c>
      <c r="E581" s="129" t="inlineStr">
        <is>
          <t>한곳만 선택하세요. 현재 {}곳이 선택되었습니다.</t>
        </is>
      </c>
      <c r="F581" s="129" t="inlineStr">
        <is>
          <t>한곳만 선택하세요. 현재 {}곳이 선택되었습니다.</t>
        </is>
      </c>
      <c r="H581" s="131" t="n"/>
      <c r="I581" s="131" t="n"/>
      <c r="J581" s="131" t="n"/>
      <c r="K581" s="131" t="n"/>
      <c r="L581" s="131" t="n"/>
      <c r="M581" s="131" t="n"/>
      <c r="N581" s="131" t="n"/>
      <c r="O581" s="131" t="n"/>
      <c r="P581" s="131" t="n"/>
      <c r="Q581" s="131" t="n"/>
      <c r="R581" s="131" t="n"/>
      <c r="S581" s="131" t="n"/>
      <c r="T581" s="131" t="n"/>
      <c r="U581" s="131" t="n"/>
      <c r="V581" s="131" t="n"/>
      <c r="W581" s="131" t="n"/>
      <c r="X581" s="131" t="n"/>
      <c r="Y581" s="131" t="n"/>
      <c r="Z581" s="131" t="n"/>
      <c r="AA581" s="131" t="n"/>
    </row>
    <row r="582">
      <c r="B582" s="127" t="n">
        <v>666</v>
      </c>
      <c r="D582" s="129" t="inlineStr">
        <is>
          <t>Date</t>
        </is>
      </c>
      <c r="E582" s="129" t="inlineStr">
        <is>
          <t>날짜</t>
        </is>
      </c>
      <c r="F582" s="129" t="inlineStr">
        <is>
          <t>날짜</t>
        </is>
      </c>
    </row>
    <row r="583">
      <c r="B583" s="127" t="n">
        <v>667</v>
      </c>
      <c r="D583" s="129" t="inlineStr">
        <is>
          <t>Day</t>
        </is>
      </c>
      <c r="E583" s="129" t="inlineStr">
        <is>
          <t>요일</t>
        </is>
      </c>
      <c r="F583" s="129" t="inlineStr">
        <is>
          <t>요일</t>
        </is>
      </c>
    </row>
    <row r="584">
      <c r="B584" s="127" t="n">
        <v>668</v>
      </c>
      <c r="D584" s="129" t="inlineStr">
        <is>
          <t>Display date or day on the timescale</t>
        </is>
      </c>
      <c r="E584" s="129" t="inlineStr">
        <is>
          <t>간트차트 눈금에 날짜/요일 표시방법</t>
        </is>
      </c>
      <c r="F584" s="129" t="inlineStr">
        <is>
          <t>간트차트 눈금에 날짜/요일 표시방법</t>
        </is>
      </c>
    </row>
    <row r="585">
      <c r="B585" s="127" t="n">
        <v>669</v>
      </c>
      <c r="D585" s="129" t="inlineStr">
        <is>
          <t>Align WBS Column</t>
        </is>
      </c>
      <c r="E585" s="129" t="inlineStr">
        <is>
          <t>WBS열 정렬</t>
        </is>
      </c>
      <c r="F585" s="129" t="inlineStr">
        <is>
          <t>WBS열 정렬</t>
        </is>
      </c>
    </row>
    <row r="586">
      <c r="B586" s="127" t="n">
        <v>670</v>
      </c>
      <c r="D586" s="129" t="inlineStr">
        <is>
          <t>Left</t>
        </is>
      </c>
      <c r="E586" s="129" t="inlineStr">
        <is>
          <t>왼쪽</t>
        </is>
      </c>
      <c r="F586" s="129" t="inlineStr">
        <is>
          <t>왼쪽</t>
        </is>
      </c>
    </row>
    <row r="587">
      <c r="B587" s="127" t="n">
        <v>671</v>
      </c>
      <c r="D587" s="129" t="inlineStr">
        <is>
          <t>Center</t>
        </is>
      </c>
      <c r="E587" s="129" t="inlineStr">
        <is>
          <t>가운데</t>
        </is>
      </c>
      <c r="F587" s="129" t="inlineStr">
        <is>
          <t>가운데</t>
        </is>
      </c>
    </row>
    <row r="588">
      <c r="B588" s="127" t="n">
        <v>672</v>
      </c>
      <c r="D588" s="129" t="inlineStr">
        <is>
          <t>Right</t>
        </is>
      </c>
      <c r="E588" s="129" t="inlineStr">
        <is>
          <t>오른쪽</t>
        </is>
      </c>
      <c r="F588" s="129" t="inlineStr">
        <is>
          <t>오른쪽</t>
        </is>
      </c>
    </row>
    <row r="589">
      <c r="B589" s="127" t="n">
        <v>673</v>
      </c>
      <c r="D589" s="129" t="inlineStr">
        <is>
          <t>The same field name exists.</t>
        </is>
      </c>
      <c r="E589" s="129" t="inlineStr">
        <is>
          <t>동일한 필드명이 존재합니다.</t>
        </is>
      </c>
      <c r="F589" s="129" t="inlineStr">
        <is>
          <t>동일한 필드명이 존재합니다.</t>
        </is>
      </c>
    </row>
    <row r="590">
      <c r="B590" s="127" t="n">
        <v>674</v>
      </c>
      <c r="D590" s="129" t="inlineStr">
        <is>
          <t>Select Formula Cells</t>
        </is>
      </c>
      <c r="E590" s="129" t="inlineStr">
        <is>
          <t>수식셀 선택</t>
        </is>
      </c>
      <c r="F590" s="129" t="inlineStr">
        <is>
          <t>수식셀 선택</t>
        </is>
      </c>
    </row>
    <row r="591">
      <c r="B591" s="127" t="n">
        <v>675</v>
      </c>
      <c r="D591" s="129" t="inlineStr">
        <is>
          <t>Average number of working days per month</t>
        </is>
      </c>
      <c r="E591" s="129" t="inlineStr">
        <is>
          <t>월 평균 근무일수</t>
        </is>
      </c>
      <c r="F591" s="129" t="inlineStr">
        <is>
          <t>월 평균 근무일수</t>
        </is>
      </c>
    </row>
    <row r="592">
      <c r="B592" s="127" t="n">
        <v>676</v>
      </c>
      <c r="D592" s="129" t="inlineStr">
        <is>
          <t>Free space in the print area</t>
        </is>
      </c>
      <c r="E592" s="129" t="inlineStr">
        <is>
          <t>프린트 영역 여유 공간</t>
        </is>
      </c>
      <c r="F592" s="129" t="inlineStr">
        <is>
          <t>프린트 영역 여유 공간</t>
        </is>
      </c>
    </row>
    <row r="593">
      <c r="B593" s="127" t="n">
        <v>677</v>
      </c>
      <c r="D593" s="129" t="inlineStr">
        <is>
          <t>Automatically adjust height of Schedule sheet rows 1-4</t>
        </is>
      </c>
      <c r="E593" s="129" t="inlineStr">
        <is>
          <t>Schedule 시트 1-4행의 높이를 자동으로 조정</t>
        </is>
      </c>
      <c r="F593" s="126" t="inlineStr">
        <is>
          <t>Schedule 시트 1-4행의 높이를 자동으로 조정</t>
        </is>
      </c>
    </row>
    <row r="594">
      <c r="B594" s="127" t="n">
        <v>678</v>
      </c>
      <c r="D594" s="129" t="inlineStr">
        <is>
          <t>Program error has occurred.</t>
        </is>
      </c>
      <c r="E594" s="129" t="inlineStr">
        <is>
          <t>오류가 발생했습니다.</t>
        </is>
      </c>
      <c r="F594" s="129" t="inlineStr">
        <is>
          <t>오류가 발생했습니다.</t>
        </is>
      </c>
    </row>
    <row r="595">
      <c r="B595" s="127" t="n">
        <v>679</v>
      </c>
      <c r="D595" s="129" t="inlineStr">
        <is>
          <t>Setting WBS Area and Color Theme</t>
        </is>
      </c>
      <c r="E595" s="129" t="inlineStr">
        <is>
          <t>WBS영역, 컬러테마 설정</t>
        </is>
      </c>
      <c r="F595" s="129" t="inlineStr">
        <is>
          <t>WBS영역, 컬러테마 설정</t>
        </is>
      </c>
    </row>
    <row r="596">
      <c r="B596" s="127" t="n">
        <v>680</v>
      </c>
      <c r="D596" s="129" t="inlineStr">
        <is>
          <t>You can select the workload calculation method.</t>
        </is>
      </c>
      <c r="E596" s="144" t="inlineStr">
        <is>
          <t>작업량 계산 방식을 선택할 수 있다.</t>
        </is>
      </c>
      <c r="F596" s="144" t="inlineStr">
        <is>
          <t>작업량 계산 방식을 선택할 수 있다.</t>
        </is>
      </c>
    </row>
    <row r="597">
      <c r="B597" s="127" t="n">
        <v>681</v>
      </c>
      <c r="D597" s="129" t="inlineStr">
        <is>
          <t>You can set the appearance and color of the XLGantt.</t>
        </is>
      </c>
      <c r="E597" s="144" t="inlineStr">
        <is>
          <t>엑셀간트의 모양과 색상을 지정할 수 있다.</t>
        </is>
      </c>
      <c r="F597" s="144" t="inlineStr">
        <is>
          <t>엑셀간트의 모양과 색상을 지정할 수 있다.</t>
        </is>
      </c>
    </row>
    <row r="598" ht="13.5" customHeight="1">
      <c r="B598" s="127" t="n">
        <v>682</v>
      </c>
      <c r="D598" s="129" t="inlineStr">
        <is>
          <t>Setting Task Dependencies</t>
        </is>
      </c>
      <c r="E598" s="146" t="inlineStr">
        <is>
          <t>작업 의존관계 설정</t>
        </is>
      </c>
      <c r="F598" s="146" t="inlineStr">
        <is>
          <t>작업 의존관계 설정</t>
        </is>
      </c>
    </row>
    <row r="599" ht="13.5" customHeight="1">
      <c r="B599" s="127" t="n">
        <v>683</v>
      </c>
      <c r="D599" s="129" t="inlineStr">
        <is>
          <t>You can set the Task Dependencies(FS,SS,FF,SF).</t>
        </is>
      </c>
      <c r="E599" s="146" t="inlineStr">
        <is>
          <t>작업 의존관계(FS,SS,FF,SF)를 설정할 수 있다.</t>
        </is>
      </c>
      <c r="F599" s="146" t="inlineStr">
        <is>
          <t>작업 의존관계(FS,SS,FF,SF)를 설정할 수 있다.</t>
        </is>
      </c>
    </row>
    <row r="600">
      <c r="B600" s="127" t="n">
        <v>684</v>
      </c>
      <c r="D600" s="129" t="inlineStr">
        <is>
          <t>https://xlworks.net/en/xlgantt-howto-16-task-dependencies/</t>
        </is>
      </c>
      <c r="E600" s="129" t="inlineStr">
        <is>
          <t>https://xlworks.net/xlgantt-howto-16-task-dependencies/</t>
        </is>
      </c>
      <c r="F600" s="129" t="inlineStr">
        <is>
          <t>https://xlworks.net/xlgantt-howto-16-task-dependencies/</t>
        </is>
      </c>
    </row>
    <row r="601">
      <c r="B601" s="127" t="n">
        <v>685</v>
      </c>
      <c r="D601" s="129" t="inlineStr">
        <is>
          <t>Copy Sheet</t>
        </is>
      </c>
      <c r="E601" s="145" t="inlineStr">
        <is>
          <t>시트복사</t>
        </is>
      </c>
      <c r="F601" s="145" t="inlineStr">
        <is>
          <t>시트복사</t>
        </is>
      </c>
    </row>
    <row r="602">
      <c r="B602" s="127" t="n">
        <v>686</v>
      </c>
      <c r="D602" s="129" t="inlineStr">
        <is>
          <t>Display Gantt Chart</t>
        </is>
      </c>
      <c r="E602" s="161" t="inlineStr">
        <is>
          <t>Gantt Chart  표시</t>
        </is>
      </c>
      <c r="F602" s="161" t="inlineStr">
        <is>
          <t>Gantt Chart  표시</t>
        </is>
      </c>
    </row>
    <row r="603">
      <c r="B603" s="127" t="n">
        <v>687</v>
      </c>
      <c r="D603" s="129" t="inlineStr">
        <is>
          <t>Use default color theme</t>
        </is>
      </c>
      <c r="E603" s="144" t="inlineStr">
        <is>
          <t>초기 설정 컬러 테마 사용</t>
        </is>
      </c>
      <c r="F603" s="144" t="inlineStr">
        <is>
          <t>초기 설정 컬러 테마 사용</t>
        </is>
      </c>
    </row>
    <row r="604">
      <c r="B604" s="127" t="n">
        <v>688</v>
      </c>
      <c r="D604" s="129" t="inlineStr">
        <is>
          <t>Weight</t>
        </is>
      </c>
      <c r="E604" s="171" t="inlineStr">
        <is>
          <t>가중치</t>
        </is>
      </c>
      <c r="F604" s="171" t="inlineStr">
        <is>
          <t>가중치</t>
        </is>
      </c>
    </row>
    <row r="605" ht="36" customHeight="1">
      <c r="B605" s="127" t="n">
        <v>689</v>
      </c>
      <c r="D605" s="129" t="inlineStr">
        <is>
          <t>The date format in Windows is not the default format. If you've changed the date format to a custom format, change the date format to the default format in the 'Date and Time' item in Control Panel.</t>
        </is>
      </c>
      <c r="E605" s="191" t="inlineStr">
        <is>
          <t>윈도우의 날짜 형식이 기본 포맷이 아닙니다. 날짜 형식을 사용자 지정 형식으로 변경했다면 제어판의 '날짜 및 시간' 항목에서 날자를 기본 형식으로 변경하세요.</t>
        </is>
      </c>
      <c r="F605" s="191" t="inlineStr">
        <is>
          <t>윈도우의 날짜 형식이 기본 포맷이 아닙니다. 날짜 형식을 사용자 지정 형식으로 변경했다면 제어판의 '날짜 및 시간' 항목에서 날자를 기본 형식으로 변경하세요.</t>
        </is>
      </c>
    </row>
    <row r="606">
      <c r="B606" s="127" t="n">
        <v>690</v>
      </c>
      <c r="D606" s="129" t="inlineStr">
        <is>
          <t>Actual Incurred Accumulated(Man-Day)</t>
        </is>
      </c>
      <c r="E606" s="145" t="inlineStr">
        <is>
          <t>실제투입량 누적(Man-Day)</t>
        </is>
      </c>
      <c r="F606" s="145" t="inlineStr">
        <is>
          <t>실제투입량 누적(Man-Day)</t>
        </is>
      </c>
    </row>
    <row r="607">
      <c r="B607" s="127" t="n">
        <v>691</v>
      </c>
      <c r="D607" s="129" t="inlineStr">
        <is>
          <t>Actual Incurred Progress</t>
        </is>
      </c>
      <c r="E607" s="145" t="inlineStr">
        <is>
          <t>실제투입량 진척률</t>
        </is>
      </c>
      <c r="F607" s="145" t="inlineStr">
        <is>
          <t>실제투입량 진척률</t>
        </is>
      </c>
    </row>
    <row r="608">
      <c r="B608" s="127" t="n">
        <v>692</v>
      </c>
      <c r="D608" s="129" t="inlineStr">
        <is>
          <t>Actual Incurred(Man-Day)</t>
        </is>
      </c>
      <c r="E608" s="145" t="inlineStr">
        <is>
          <t>실제투입량(Man-Day)</t>
        </is>
      </c>
      <c r="F608" s="145" t="inlineStr">
        <is>
          <t>실제투입량(Man-Day)</t>
        </is>
      </c>
    </row>
    <row r="609">
      <c r="B609" s="127" t="n">
        <v>693</v>
      </c>
      <c r="D609" s="129" t="inlineStr">
        <is>
          <t>Display task dependencies</t>
        </is>
      </c>
      <c r="E609" s="145" t="inlineStr">
        <is>
          <t>간트차트 작업 의존관계(연결선) 표시</t>
        </is>
      </c>
      <c r="F609" s="145" t="inlineStr">
        <is>
          <t>간트차트 작업 의존관계(연결선) 표시</t>
        </is>
      </c>
    </row>
    <row r="610">
      <c r="B610" s="127" t="n">
        <v>694</v>
      </c>
      <c r="D610" s="129" t="inlineStr">
        <is>
          <t>Retrieve Holidays</t>
        </is>
      </c>
      <c r="E610" s="198" t="inlineStr">
        <is>
          <t>공휴일 가져오기</t>
        </is>
      </c>
      <c r="F610" s="198" t="inlineStr">
        <is>
          <t>공휴일 가져오기</t>
        </is>
      </c>
    </row>
    <row r="611" ht="24" customHeight="1">
      <c r="B611" s="127" t="n">
        <v>695</v>
      </c>
      <c r="D611" s="129" t="inlineStr">
        <is>
          <t>Retrieve holidays for 3 years (last, current, and next) from the server. Existing dates in the Calendar sheet remain unchanged.</t>
        </is>
      </c>
      <c r="E611" s="197" t="inlineStr">
        <is>
          <t>서버에서 3년간(전년,금년,내년)의 공휴일을 가져옵니다. Calendar sheet에 이미 있는 날짜는 그대로 유지됩니다.</t>
        </is>
      </c>
      <c r="F611" s="197" t="inlineStr">
        <is>
          <t>서버에서 3년간(전년,금년,내년)의 공휴일을 가져옵니다. Calendar sheet에 이미 있는 날짜는 그대로 유지됩니다.</t>
        </is>
      </c>
    </row>
    <row r="612">
      <c r="B612" s="127" t="n">
        <v>696</v>
      </c>
      <c r="D612" s="129" t="inlineStr">
        <is>
          <t>Korean Public Holidays</t>
        </is>
      </c>
      <c r="E612" s="144" t="inlineStr">
        <is>
          <t>대한민국 공휴일</t>
        </is>
      </c>
      <c r="F612" s="144" t="inlineStr">
        <is>
          <t>대한민국 공휴일</t>
        </is>
      </c>
    </row>
    <row r="613">
      <c r="B613" s="127" t="n">
        <v>697</v>
      </c>
      <c r="D613" s="129" t="inlineStr">
        <is>
          <t>U.S. Federal Holidays</t>
        </is>
      </c>
      <c r="E613" s="144" t="inlineStr">
        <is>
          <t>미국 연방 공휴일</t>
        </is>
      </c>
      <c r="F613" s="144" t="inlineStr">
        <is>
          <t>미국 연방 공휴일</t>
        </is>
      </c>
    </row>
    <row r="614">
      <c r="B614" s="127" t="n">
        <v>698</v>
      </c>
      <c r="D614" s="129" t="inlineStr">
        <is>
          <t>Choose a holiday calendar from the list.</t>
        </is>
      </c>
      <c r="E614" s="144" t="inlineStr">
        <is>
          <t>목록에서 공휴일 캘린더를 선택하세요.</t>
        </is>
      </c>
      <c r="F614" s="144" t="inlineStr">
        <is>
          <t>목록에서 공휴일 캘린더를 선택하세요.</t>
        </is>
      </c>
    </row>
    <row r="615">
      <c r="B615" s="127" t="n">
        <v>699</v>
      </c>
      <c r="D615" s="129" t="inlineStr">
        <is>
          <t>An error occurred while choosing a holiday calendar.</t>
        </is>
      </c>
      <c r="E615" s="191" t="inlineStr">
        <is>
          <t>공휴일 캘린더 선택 오류입니다.</t>
        </is>
      </c>
      <c r="F615" s="191" t="inlineStr">
        <is>
          <t>공휴일 캘린더 선택 오류입니다.</t>
        </is>
      </c>
    </row>
    <row r="616">
      <c r="B616" s="127" t="n">
        <v>700</v>
      </c>
      <c r="D616" s="129" t="inlineStr">
        <is>
          <t>The Calendar sheet does not exist.</t>
        </is>
      </c>
      <c r="E616" s="191" t="inlineStr">
        <is>
          <t>Calendar 시트가 없습니다.</t>
        </is>
      </c>
      <c r="F616" s="191" t="inlineStr">
        <is>
          <t>Calendar 시트가 없습니다.</t>
        </is>
      </c>
    </row>
    <row r="617">
      <c r="B617" s="127" t="n">
        <v>701</v>
      </c>
      <c r="D617" s="129" t="inlineStr">
        <is>
          <t>Failed to retrieve data from the server.</t>
        </is>
      </c>
      <c r="E617" s="191" t="inlineStr">
        <is>
          <t>서버에서 데이터를 가져오지 못했습니다.</t>
        </is>
      </c>
      <c r="F617" s="191" t="inlineStr">
        <is>
          <t>서버에서 데이터를 가져오지 못했습니다.</t>
        </is>
      </c>
    </row>
    <row r="618">
      <c r="B618" s="127" t="n">
        <v>702</v>
      </c>
      <c r="D618" s="129" t="inlineStr">
        <is>
          <t>Successfully retrieved and added {} new holiday(s) from the server.</t>
        </is>
      </c>
      <c r="E618" s="145" t="inlineStr">
        <is>
          <t>서버에서 {}개의 새로운 공휴일을 가져와 추가했습니다.</t>
        </is>
      </c>
      <c r="F618" s="145" t="inlineStr">
        <is>
          <t>서버에서 {}개의 새로운 공휴일을 가져와 추가했습니다.</t>
        </is>
      </c>
    </row>
    <row r="619">
      <c r="B619" s="127" t="n">
        <v>703</v>
      </c>
      <c r="D619" s="129" t="inlineStr">
        <is>
          <t>No new holidays to add. (Already up to date.)</t>
        </is>
      </c>
      <c r="E619" s="145" t="inlineStr">
        <is>
          <t>새롭게 추가할 공휴일이 없습니다.(이미 최신 상태입니다.)</t>
        </is>
      </c>
      <c r="F619" s="145" t="inlineStr">
        <is>
          <t>새롭게 추가할 공휴일이 없습니다.(이미 최신 상태입니다.)</t>
        </is>
      </c>
    </row>
    <row r="620">
      <c r="B620" s="127" t="n">
        <v>704</v>
      </c>
      <c r="D620" s="129" t="inlineStr">
        <is>
          <t>An error occurred while retrieving holiday information.</t>
        </is>
      </c>
      <c r="E620" s="145" t="inlineStr">
        <is>
          <t>공휴일 정보를 가져오는 중 오류가 발생했습니다.</t>
        </is>
      </c>
      <c r="F620" s="145" t="inlineStr">
        <is>
          <t>공휴일 정보를 가져오는 중 오류가 발생했습니다.</t>
        </is>
      </c>
    </row>
    <row r="621">
      <c r="B621" s="127" t="n">
        <v>705</v>
      </c>
      <c r="D621" s="129" t="inlineStr">
        <is>
          <t>Progress Data</t>
        </is>
      </c>
      <c r="E621" s="144" t="inlineStr">
        <is>
          <t>진척률 데이터</t>
        </is>
      </c>
      <c r="F621" s="144" t="inlineStr">
        <is>
          <t>진척률 데이터</t>
        </is>
      </c>
    </row>
    <row r="622">
      <c r="B622" s="127" t="n">
        <v>706</v>
      </c>
      <c r="D622" s="129" t="inlineStr">
        <is>
          <t>Week Number</t>
        </is>
      </c>
      <c r="E622" s="144" t="inlineStr">
        <is>
          <t>주차</t>
        </is>
      </c>
      <c r="F622" s="144" t="inlineStr">
        <is>
          <t>주차</t>
        </is>
      </c>
    </row>
    <row r="623">
      <c r="B623" s="127" t="n">
        <v>707</v>
      </c>
      <c r="D623" s="129" t="inlineStr">
        <is>
          <t>Daily Planned Workload(Man-Day)</t>
        </is>
      </c>
      <c r="E623" s="129" t="inlineStr">
        <is>
          <t>일일 계획작업량(Man-Day)</t>
        </is>
      </c>
      <c r="F623" s="129" t="inlineStr">
        <is>
          <t>일일 계획작업량(Man-Day)</t>
        </is>
      </c>
    </row>
    <row r="624">
      <c r="B624" s="127" t="n">
        <v>708</v>
      </c>
      <c r="D624" s="129" t="inlineStr">
        <is>
          <t>Daily Earned Value(Man-Day)</t>
        </is>
      </c>
      <c r="E624" s="129" t="inlineStr">
        <is>
          <t>일일 실적기성(Man-Day)</t>
        </is>
      </c>
      <c r="F624" s="129" t="inlineStr">
        <is>
          <t>일일 실적기성(Man-Day)</t>
        </is>
      </c>
    </row>
    <row r="625">
      <c r="B625" s="127" t="n">
        <v>709</v>
      </c>
      <c r="D625" s="129" t="inlineStr">
        <is>
          <t>Daily Actual Incurred(Man-Day)</t>
        </is>
      </c>
      <c r="E625" s="145" t="inlineStr">
        <is>
          <t>일일 실제투입작업량(Man-Day)</t>
        </is>
      </c>
      <c r="F625" s="129" t="inlineStr">
        <is>
          <t>일일 실제 투입작업량(Man-Day)</t>
        </is>
      </c>
    </row>
    <row r="626">
      <c r="B626" s="127" t="n">
        <v>710</v>
      </c>
      <c r="D626" s="129" t="inlineStr">
        <is>
          <t>There is no valid Progress data.</t>
        </is>
      </c>
      <c r="E626" s="144" t="inlineStr">
        <is>
          <t>유효한 진척률 데이터가 없습니다.</t>
        </is>
      </c>
      <c r="F626" s="144" t="inlineStr">
        <is>
          <t>유효한 진척률 데이터가 없습니다.</t>
        </is>
      </c>
    </row>
    <row r="627" ht="24" customHeight="1">
      <c r="B627" s="127" t="n">
        <v>711</v>
      </c>
      <c r="D627" s="129" t="inlineStr">
        <is>
          <t>Create daily raw data for progress rates, supporting customized charting and analysis.</t>
        </is>
      </c>
      <c r="E627" s="191" t="inlineStr">
        <is>
          <t>진척률 정보를 일단위 Raw data로 생성한다. 차트를 그리거나 사용자가 원하는대로 분석을 할 수 있다.</t>
        </is>
      </c>
      <c r="F627" s="191" t="inlineStr">
        <is>
          <t>진척률 정보를 일단위 Raw data로 생성한다. 차트를 그리거나 사용자가 원하는대로 분석을 할 수 있다.</t>
        </is>
      </c>
    </row>
    <row r="628" customFormat="1" s="215">
      <c r="B628" s="127" t="n">
        <v>712</v>
      </c>
      <c r="C628" s="216" t="inlineStr">
        <is>
          <t>for help sheet</t>
        </is>
      </c>
      <c r="D628" s="217" t="inlineStr">
        <is>
          <t>Task input, schedule update</t>
        </is>
      </c>
      <c r="E628" s="217" t="inlineStr">
        <is>
          <t>작업입력, 스케줄 업데이트</t>
        </is>
      </c>
      <c r="F628" s="217" t="inlineStr">
        <is>
          <t>작업입력, 스케줄 업데이트</t>
        </is>
      </c>
    </row>
  </sheetData>
  <hyperlinks>
    <hyperlink xmlns:r="http://schemas.openxmlformats.org/officeDocument/2006/relationships" ref="E600" r:id="rId1"/>
    <hyperlink xmlns:r="http://schemas.openxmlformats.org/officeDocument/2006/relationships" ref="F600" r:id="rId2"/>
  </hyperlinks>
  <pageMargins left="0.7" right="0.7" top="0.75" bottom="0.75" header="0.3" footer="0.3"/>
  <pageSetup orientation="portrait" paperSize="9"/>
</worksheet>
</file>

<file path=xl/worksheets/sheet8.xml><?xml version="1.0" encoding="utf-8"?>
<worksheet xmlns="http://schemas.openxmlformats.org/spreadsheetml/2006/main">
  <sheetPr codeName="Sheet4">
    <outlinePr summaryBelow="1" summaryRight="1"/>
    <pageSetUpPr/>
  </sheetPr>
  <dimension ref="A1:H119"/>
  <sheetViews>
    <sheetView zoomScale="85" zoomScaleNormal="85" workbookViewId="0">
      <pane ySplit="1" topLeftCell="A2" activePane="bottomLeft" state="frozen"/>
      <selection pane="bottomLeft" activeCell="C9" sqref="C9"/>
    </sheetView>
  </sheetViews>
  <sheetFormatPr baseColWidth="8" defaultColWidth="10" defaultRowHeight="12.75"/>
  <cols>
    <col width="6.25" customWidth="1" style="68" min="1" max="1"/>
    <col width="33.25" bestFit="1" customWidth="1" style="68" min="2" max="2"/>
    <col width="20.25" customWidth="1" style="67" min="3" max="3"/>
    <col width="23.125" customWidth="1" style="67" min="4" max="4"/>
    <col width="10" customWidth="1" style="67" min="5" max="5"/>
    <col width="15.25" customWidth="1" style="67" min="6" max="6"/>
    <col width="21.25" bestFit="1" customWidth="1" style="67" min="7" max="7"/>
    <col width="40.375" customWidth="1" style="68" min="8" max="8"/>
    <col width="23.625" bestFit="1" customWidth="1" style="68" min="9" max="9"/>
    <col width="9.5" bestFit="1" customWidth="1" style="68" min="10" max="10"/>
    <col width="22.5" bestFit="1" customWidth="1" style="68" min="11" max="11"/>
    <col width="60.75" bestFit="1" customWidth="1" style="68" min="12" max="12"/>
    <col width="25.125" bestFit="1" customWidth="1" style="68" min="13" max="13"/>
    <col width="4.75" bestFit="1" customWidth="1" style="68" min="14" max="14"/>
    <col width="23" bestFit="1" customWidth="1" style="68" min="15" max="15"/>
    <col width="8" bestFit="1" customWidth="1" style="68" min="16" max="16"/>
    <col width="28.375" bestFit="1" customWidth="1" style="68" min="17" max="17"/>
    <col width="6" bestFit="1" customWidth="1" style="68" min="18" max="18"/>
    <col width="27.75" bestFit="1" customWidth="1" style="68" min="19" max="19"/>
    <col width="4.75" bestFit="1" customWidth="1" style="68" min="20" max="20"/>
    <col width="24.375" bestFit="1" customWidth="1" style="68" min="21" max="21"/>
    <col width="4.25" bestFit="1" customWidth="1" style="68" min="22" max="22"/>
    <col width="28.875" bestFit="1" customWidth="1" style="68" min="23" max="23"/>
    <col width="8" bestFit="1" customWidth="1" style="68" min="24" max="24"/>
    <col width="22.625" bestFit="1" customWidth="1" style="68" min="25" max="25"/>
    <col width="4.875" bestFit="1" customWidth="1" style="68" min="26" max="26"/>
    <col width="24.375" customWidth="1" style="68" min="27" max="27"/>
    <col hidden="1" width="7.375" customWidth="1" style="68" min="28" max="28"/>
    <col width="19.75" bestFit="1" customWidth="1" style="68" min="29" max="29"/>
    <col width="4.25" bestFit="1" customWidth="1" style="68" min="30" max="30"/>
    <col width="15.375" bestFit="1" customWidth="1" style="68" min="31" max="31"/>
    <col width="39.625" bestFit="1" customWidth="1" style="68" min="32" max="32"/>
    <col width="35.75" bestFit="1" customWidth="1" style="68" min="33" max="33"/>
    <col width="4.875" bestFit="1" customWidth="1" style="68" min="34" max="34"/>
    <col width="24.25" bestFit="1" customWidth="1" style="68" min="35" max="35"/>
    <col width="8.75" bestFit="1" customWidth="1" style="68" min="36" max="36"/>
    <col width="26" bestFit="1" customWidth="1" style="68" min="37" max="37"/>
    <col width="4.625" bestFit="1" customWidth="1" style="68" min="38" max="38"/>
    <col width="35.625" bestFit="1" customWidth="1" style="68" min="39" max="39"/>
    <col width="33.375" bestFit="1" customWidth="1" style="68" min="40" max="40"/>
    <col width="22.625" bestFit="1" customWidth="1" style="68" min="41" max="41"/>
    <col width="5.25" bestFit="1" customWidth="1" style="68" min="42" max="42"/>
    <col width="16.625" bestFit="1" customWidth="1" style="68" min="43" max="43"/>
    <col width="93.375" bestFit="1" customWidth="1" style="68" min="44" max="44"/>
    <col width="21" bestFit="1" customWidth="1" style="68" min="45" max="45"/>
    <col width="5.5" bestFit="1" customWidth="1" style="68" min="46" max="46"/>
    <col width="14.875" bestFit="1" customWidth="1" style="68" min="47" max="47"/>
    <col width="28.625" bestFit="1" customWidth="1" style="68" min="48" max="48"/>
    <col width="22.625" bestFit="1" customWidth="1" style="68" min="49" max="49"/>
    <col width="4.875" bestFit="1" customWidth="1" style="68" min="50" max="50"/>
    <col width="15.625" bestFit="1" customWidth="1" style="68" min="51" max="51"/>
    <col width="13.125" bestFit="1" customWidth="1" style="68" min="52" max="53"/>
    <col width="14.875" bestFit="1" customWidth="1" style="68" min="54" max="55"/>
    <col width="22.625" bestFit="1" customWidth="1" style="68" min="56" max="57"/>
    <col width="15.625" bestFit="1" customWidth="1" style="68" min="58" max="59"/>
    <col width="13.125" bestFit="1" customWidth="1" style="68" min="60" max="61"/>
    <col width="14.875" bestFit="1" customWidth="1" style="68" min="62" max="63"/>
    <col width="22.625" bestFit="1" customWidth="1" style="68" min="64" max="65"/>
    <col width="10" customWidth="1" style="68" min="66" max="66"/>
    <col width="33.75" bestFit="1" customWidth="1" style="68" min="67" max="67"/>
    <col width="10" customWidth="1" style="68" min="68" max="16384"/>
  </cols>
  <sheetData>
    <row r="1" customFormat="1" s="67">
      <c r="A1" s="66" t="inlineStr">
        <is>
          <t>ITEM_GROUP</t>
        </is>
      </c>
      <c r="B1" s="66" t="inlineStr">
        <is>
          <t>ITEM</t>
        </is>
      </c>
      <c r="C1" s="66" t="inlineStr">
        <is>
          <t>VALUE1</t>
        </is>
      </c>
      <c r="D1" s="66" t="inlineStr">
        <is>
          <t>VALUE2</t>
        </is>
      </c>
      <c r="E1" s="66" t="inlineStr">
        <is>
          <t>VALUE3</t>
        </is>
      </c>
      <c r="F1" s="66" t="inlineStr">
        <is>
          <t>INSERTED_DATE</t>
        </is>
      </c>
      <c r="G1" s="66" t="inlineStr">
        <is>
          <t>UPDATED_DATE</t>
        </is>
      </c>
      <c r="H1" s="66" t="inlineStr">
        <is>
          <t>DESCRIPTION</t>
        </is>
      </c>
    </row>
    <row r="2">
      <c r="A2" s="122" t="inlineStr">
        <is>
          <t>CM</t>
        </is>
      </c>
      <c r="B2" s="122" t="inlineStr">
        <is>
          <t>COMPANY</t>
        </is>
      </c>
      <c r="C2" s="123" t="inlineStr">
        <is>
          <t>XLWorks</t>
        </is>
      </c>
      <c r="D2" s="123" t="n"/>
      <c r="E2" s="123" t="n"/>
      <c r="F2" s="123" t="n"/>
      <c r="G2" s="123" t="n"/>
      <c r="H2" s="123" t="inlineStr">
        <is>
          <t>DO NOT UPDATE</t>
        </is>
      </c>
    </row>
    <row r="3">
      <c r="A3" s="122" t="inlineStr">
        <is>
          <t>CM</t>
        </is>
      </c>
      <c r="B3" s="122" t="inlineStr">
        <is>
          <t>AUTHOR_NAME</t>
        </is>
      </c>
      <c r="C3" s="123" t="inlineStr">
        <is>
          <t>XLWorks</t>
        </is>
      </c>
      <c r="D3" s="123" t="n"/>
      <c r="E3" s="123" t="n"/>
      <c r="F3" s="123" t="n"/>
      <c r="G3" s="123" t="n"/>
      <c r="H3" s="123" t="inlineStr">
        <is>
          <t>DO NOT UPDATE</t>
        </is>
      </c>
    </row>
    <row r="4">
      <c r="A4" s="122" t="inlineStr">
        <is>
          <t>CM</t>
        </is>
      </c>
      <c r="B4" s="122" t="inlineStr">
        <is>
          <t>AUTHOR_EMAIL</t>
        </is>
      </c>
      <c r="C4" s="138" t="inlineStr">
        <is>
          <t>admin@xlworks.net</t>
        </is>
      </c>
      <c r="D4" s="123" t="n"/>
      <c r="E4" s="123" t="n"/>
      <c r="F4" s="123" t="n"/>
      <c r="G4" s="123" t="n"/>
      <c r="H4" s="123" t="inlineStr">
        <is>
          <t>DO NOT UPDATE</t>
        </is>
      </c>
    </row>
    <row r="5">
      <c r="A5" s="122" t="inlineStr">
        <is>
          <t>CM</t>
        </is>
      </c>
      <c r="B5" s="122" t="inlineStr">
        <is>
          <t>PROGRAM_NAME</t>
        </is>
      </c>
      <c r="C5" s="123" t="inlineStr">
        <is>
          <t>XLGantt</t>
        </is>
      </c>
      <c r="D5" s="123" t="n"/>
      <c r="E5" s="123" t="n"/>
      <c r="F5" s="123" t="n"/>
      <c r="G5" s="123" t="n"/>
      <c r="H5" s="123" t="inlineStr">
        <is>
          <t>DO NOT UPDATE</t>
        </is>
      </c>
    </row>
    <row r="6" ht="13.5" customHeight="1">
      <c r="A6" s="122" t="inlineStr">
        <is>
          <t>CM</t>
        </is>
      </c>
      <c r="B6" s="122" t="inlineStr">
        <is>
          <t>PROGRAM_SITE</t>
        </is>
      </c>
      <c r="C6" s="139" t="inlineStr">
        <is>
          <t>https://xlworks.net/en/xlgantt-project-scheduler/</t>
        </is>
      </c>
      <c r="D6" s="123" t="n"/>
      <c r="E6" s="123" t="n"/>
      <c r="F6" s="123" t="n"/>
      <c r="G6" s="123" t="n"/>
      <c r="H6" s="123" t="inlineStr">
        <is>
          <t>DO NOT UPDATE</t>
        </is>
      </c>
    </row>
    <row r="7">
      <c r="A7" s="122" t="inlineStr">
        <is>
          <t>CM</t>
        </is>
      </c>
      <c r="B7" s="122" t="inlineStr">
        <is>
          <t>PROGRAM_SITE_DISP</t>
        </is>
      </c>
      <c r="C7" s="122" t="inlineStr">
        <is>
          <t>XLWorks</t>
        </is>
      </c>
      <c r="D7" s="123" t="n"/>
      <c r="E7" s="123" t="n"/>
      <c r="F7" s="123" t="n"/>
      <c r="G7" s="123" t="n"/>
      <c r="H7" s="123" t="inlineStr">
        <is>
          <t>DO NOT UPDATE</t>
        </is>
      </c>
    </row>
    <row r="8">
      <c r="A8" s="141" t="inlineStr">
        <is>
          <t>CM</t>
        </is>
      </c>
      <c r="B8" s="141" t="inlineStr">
        <is>
          <t>VERSION</t>
        </is>
      </c>
      <c r="C8" s="142" t="inlineStr">
        <is>
          <t>6.1.0</t>
        </is>
      </c>
      <c r="D8" s="143" t="inlineStr">
        <is>
          <t>{"TASK_FIRST_COL":"5","START_ROW":"5","WBS_AREA_LAST_COL":"31"}</t>
        </is>
      </c>
      <c r="E8" s="143" t="n">
        <v>82</v>
      </c>
      <c r="F8" s="143" t="n"/>
      <c r="G8" s="141" t="n"/>
      <c r="H8" s="143" t="inlineStr">
        <is>
          <t>DO NOT UPDATE, DO NOT MOVE ROW 8 TO ANOTHER ROW</t>
        </is>
      </c>
    </row>
    <row r="9">
      <c r="A9" s="122" t="inlineStr">
        <is>
          <t>CM</t>
        </is>
      </c>
      <c r="B9" s="122" t="inlineStr">
        <is>
          <t>RELEASE_DATE</t>
        </is>
      </c>
      <c r="C9" s="140" t="n">
        <v>46119</v>
      </c>
      <c r="D9" s="123" t="n"/>
      <c r="E9" s="123" t="n"/>
      <c r="F9" s="123" t="n"/>
      <c r="G9" s="123" t="n"/>
      <c r="H9" s="123" t="inlineStr">
        <is>
          <t>DO NOT UPDATE</t>
        </is>
      </c>
    </row>
    <row r="10">
      <c r="A10" s="122" t="inlineStr">
        <is>
          <t>CM</t>
        </is>
      </c>
      <c r="B10" s="122" t="inlineStr">
        <is>
          <t>LICENSE</t>
        </is>
      </c>
      <c r="C10" s="123" t="inlineStr">
        <is>
          <t>Freeware</t>
        </is>
      </c>
      <c r="D10" s="123" t="n"/>
      <c r="E10" s="123" t="n"/>
      <c r="F10" s="123" t="n"/>
      <c r="G10" s="123" t="n"/>
      <c r="H10" s="123" t="inlineStr">
        <is>
          <t>DO NOT UPDATE</t>
        </is>
      </c>
    </row>
    <row r="11">
      <c r="A11" s="68" t="inlineStr">
        <is>
          <t>OG</t>
        </is>
      </c>
      <c r="B11" s="68" t="inlineStr">
        <is>
          <t>chkAutoAdjustHeightRow1_4</t>
        </is>
      </c>
      <c r="C11" s="67" t="n">
        <v>1</v>
      </c>
      <c r="G11" s="70" t="n">
        <v>46119.03782407408</v>
      </c>
    </row>
    <row r="12">
      <c r="A12" s="68" t="inlineStr">
        <is>
          <t>OG</t>
        </is>
      </c>
      <c r="B12" s="68" t="inlineStr">
        <is>
          <t>chkAutoAdjustHeightRow1_5</t>
        </is>
      </c>
      <c r="C12" s="67" t="n">
        <v>1</v>
      </c>
    </row>
    <row r="13">
      <c r="A13" s="68" t="inlineStr">
        <is>
          <t>OG</t>
        </is>
      </c>
      <c r="B13" s="68" t="inlineStr">
        <is>
          <t>chkCheckForUpdatesOnStartup</t>
        </is>
      </c>
      <c r="C13" s="67" t="n">
        <v>1</v>
      </c>
      <c r="G13" s="70" t="n">
        <v>46119.03782407408</v>
      </c>
    </row>
    <row r="14">
      <c r="A14" s="68" t="inlineStr">
        <is>
          <t>OG</t>
        </is>
      </c>
      <c r="B14" s="68" t="inlineStr">
        <is>
          <t>chkImportDataOnStartup</t>
        </is>
      </c>
      <c r="C14" s="67" t="n">
        <v>0</v>
      </c>
      <c r="G14" s="70" t="n">
        <v>46119.03782407408</v>
      </c>
    </row>
    <row r="15">
      <c r="A15" s="68" t="inlineStr">
        <is>
          <t>OG</t>
        </is>
      </c>
      <c r="B15" s="68" t="inlineStr">
        <is>
          <t>chkWBSUpdateExecuteYN</t>
        </is>
      </c>
      <c r="C15" s="67" t="n">
        <v>1</v>
      </c>
      <c r="G15" s="70" t="n">
        <v>46119.03782407408</v>
      </c>
    </row>
    <row r="16">
      <c r="A16" s="68" t="inlineStr">
        <is>
          <t>OG</t>
        </is>
      </c>
      <c r="B16" s="68" t="inlineStr">
        <is>
          <t>isConfirmedProjectBasicInfo</t>
        </is>
      </c>
      <c r="C16" s="67" t="n">
        <v>1</v>
      </c>
      <c r="G16" s="70" t="n">
        <v>46119.03782407408</v>
      </c>
    </row>
    <row r="17">
      <c r="A17" s="68" t="inlineStr">
        <is>
          <t>OG</t>
        </is>
      </c>
      <c r="B17" s="68" t="inlineStr">
        <is>
          <t>optFirstDayOfWeek</t>
        </is>
      </c>
      <c r="C17" s="67" t="n">
        <v>1</v>
      </c>
      <c r="G17" s="70" t="n">
        <v>46119.03782407408</v>
      </c>
    </row>
    <row r="18">
      <c r="A18" s="68" t="inlineStr">
        <is>
          <t>OG</t>
        </is>
      </c>
      <c r="B18" s="68" t="inlineStr">
        <is>
          <t>optNonWorkingDays</t>
        </is>
      </c>
      <c r="C18" s="67" t="n">
        <v>1</v>
      </c>
      <c r="G18" s="70" t="n">
        <v>46119.03782407408</v>
      </c>
    </row>
    <row r="19">
      <c r="A19" s="68" t="inlineStr">
        <is>
          <t>OG</t>
        </is>
      </c>
      <c r="B19" s="68" t="inlineStr">
        <is>
          <t>optPlanRateCriteriaDate</t>
        </is>
      </c>
      <c r="C19" s="69" t="inlineStr">
        <is>
          <t>TODAY</t>
        </is>
      </c>
      <c r="G19" s="70" t="n">
        <v>46119.03782407408</v>
      </c>
    </row>
    <row r="20">
      <c r="A20" s="68" t="inlineStr">
        <is>
          <t>OG</t>
        </is>
      </c>
      <c r="B20" s="68" t="inlineStr">
        <is>
          <t>optRecalcWBSArea</t>
        </is>
      </c>
      <c r="C20" s="67" t="n">
        <v>0</v>
      </c>
      <c r="G20" s="70" t="n">
        <v>46119.03782407408</v>
      </c>
    </row>
    <row r="21">
      <c r="A21" s="68" t="inlineStr">
        <is>
          <t>OG</t>
        </is>
      </c>
      <c r="B21" s="68" t="inlineStr">
        <is>
          <t>optScheduleChangeMgt</t>
        </is>
      </c>
      <c r="C21" s="67" t="n">
        <v>0</v>
      </c>
      <c r="G21" s="70" t="n">
        <v>46119.03782407408</v>
      </c>
    </row>
    <row r="22">
      <c r="A22" s="68" t="inlineStr">
        <is>
          <t>OG</t>
        </is>
      </c>
      <c r="B22" s="68" t="inlineStr">
        <is>
          <t>optWeekNum</t>
        </is>
      </c>
      <c r="C22" s="67" t="n">
        <v>1</v>
      </c>
      <c r="G22" s="70" t="n">
        <v>46119.03782407408</v>
      </c>
    </row>
    <row r="23">
      <c r="A23" s="68" t="inlineStr">
        <is>
          <t>OG</t>
        </is>
      </c>
      <c r="B23" s="68" t="inlineStr">
        <is>
          <t>optWorkloadCalcByResourceAssignRate</t>
        </is>
      </c>
      <c r="C23" s="67" t="n">
        <v>1</v>
      </c>
      <c r="G23" s="70" t="n">
        <v>46119.03782407408</v>
      </c>
    </row>
    <row r="24">
      <c r="A24" s="68" t="inlineStr">
        <is>
          <t>OG</t>
        </is>
      </c>
      <c r="B24" s="68" t="inlineStr">
        <is>
          <t>projectEndDate</t>
        </is>
      </c>
      <c r="C24" s="69" t="n">
        <v>46295</v>
      </c>
      <c r="G24" s="70" t="n">
        <v>46233.77921296296</v>
      </c>
    </row>
    <row r="25">
      <c r="A25" s="68" t="inlineStr">
        <is>
          <t>OG</t>
        </is>
      </c>
      <c r="B25" s="68" t="inlineStr">
        <is>
          <t>projectName</t>
        </is>
      </c>
      <c r="C25" s="67" t="inlineStr">
        <is>
          <t>Project Nexus — 대두유 구매 의사결정 AI</t>
        </is>
      </c>
      <c r="G25" s="70" t="n">
        <v>46119.03782407408</v>
      </c>
    </row>
    <row r="26">
      <c r="A26" s="68" t="inlineStr">
        <is>
          <t>OG</t>
        </is>
      </c>
      <c r="B26" s="68" t="inlineStr">
        <is>
          <t>projectStartDate</t>
        </is>
      </c>
      <c r="C26" s="69" t="n">
        <v>46086</v>
      </c>
      <c r="G26" s="70" t="n">
        <v>46233.77921296296</v>
      </c>
    </row>
    <row r="27">
      <c r="A27" s="68" t="inlineStr">
        <is>
          <t>OG</t>
        </is>
      </c>
      <c r="B27" s="68" t="inlineStr">
        <is>
          <t>scheduleSheetPosition</t>
        </is>
      </c>
      <c r="C27" s="67" t="inlineStr">
        <is>
          <t>SCHEDULE_SHEET_POSITION:3545151617181920212223242526272829303132</t>
        </is>
      </c>
      <c r="G27" s="70" t="n">
        <v>46233.77909722222</v>
      </c>
    </row>
    <row r="28">
      <c r="A28" s="68" t="inlineStr">
        <is>
          <t>OG</t>
        </is>
      </c>
      <c r="B28" s="68" t="inlineStr">
        <is>
          <t>setTaskDateToProjectDate</t>
        </is>
      </c>
      <c r="C28" s="67" t="n">
        <v>1</v>
      </c>
      <c r="G28" s="70" t="n">
        <v>46119.03782407408</v>
      </c>
    </row>
    <row r="29">
      <c r="A29" s="68" t="inlineStr">
        <is>
          <t>OG</t>
        </is>
      </c>
      <c r="B29" s="68" t="inlineStr">
        <is>
          <t>txtAvgWorkingdays</t>
        </is>
      </c>
      <c r="C29" s="67" t="n">
        <v>20</v>
      </c>
      <c r="G29" s="70" t="n">
        <v>46119.03782407408</v>
      </c>
    </row>
    <row r="30">
      <c r="A30" s="68" t="inlineStr">
        <is>
          <t>OG</t>
        </is>
      </c>
      <c r="B30" s="68" t="inlineStr">
        <is>
          <t>txtPrintSpace</t>
        </is>
      </c>
      <c r="C30" s="67" t="n">
        <v>10</v>
      </c>
      <c r="G30" s="70" t="n">
        <v>46119.03782407408</v>
      </c>
    </row>
    <row r="31">
      <c r="A31" s="68" t="inlineStr">
        <is>
          <t>OG</t>
        </is>
      </c>
      <c r="B31" s="68" t="inlineStr">
        <is>
          <t>XLGanttFileCalcMode</t>
        </is>
      </c>
      <c r="C31" s="67" t="n">
        <v>-4105</v>
      </c>
      <c r="F31" s="70" t="n"/>
      <c r="G31" s="70" t="n">
        <v>46233.77921296296</v>
      </c>
    </row>
    <row r="32">
      <c r="A32" s="68" t="inlineStr">
        <is>
          <t>OW</t>
        </is>
      </c>
      <c r="B32" s="68" t="inlineStr">
        <is>
          <t>actualRateDisp</t>
        </is>
      </c>
      <c r="C32" s="67" t="n">
        <v>1</v>
      </c>
      <c r="G32" s="70" t="n">
        <v>46119.03782407408</v>
      </c>
    </row>
    <row r="33">
      <c r="A33" s="68" t="inlineStr">
        <is>
          <t>OW</t>
        </is>
      </c>
      <c r="B33" s="68" t="inlineStr">
        <is>
          <t>applyUserInputFirst</t>
        </is>
      </c>
      <c r="C33" s="67" t="n">
        <v>0</v>
      </c>
    </row>
    <row r="34">
      <c r="A34" s="68" t="inlineStr">
        <is>
          <t>OW</t>
        </is>
      </c>
      <c r="B34" s="68" t="inlineStr">
        <is>
          <t>cbxColorTheme</t>
        </is>
      </c>
      <c r="C34" s="67" t="n">
        <v>1</v>
      </c>
      <c r="G34" s="70" t="n">
        <v>46119.03782407408</v>
      </c>
    </row>
    <row r="35">
      <c r="A35" s="68" t="inlineStr">
        <is>
          <t>OW</t>
        </is>
      </c>
      <c r="B35" s="68" t="inlineStr">
        <is>
          <t>chkProjectWeekNumDispOverTimescale</t>
        </is>
      </c>
      <c r="C35" s="67" t="n">
        <v>1</v>
      </c>
      <c r="G35" s="70" t="n">
        <v>46119.03782407408</v>
      </c>
    </row>
    <row r="36">
      <c r="A36" s="68" t="inlineStr">
        <is>
          <t>OW</t>
        </is>
      </c>
      <c r="B36" s="68" t="inlineStr">
        <is>
          <t>chkYearDispOverTimescale</t>
        </is>
      </c>
      <c r="C36" s="67" t="n">
        <v>1</v>
      </c>
      <c r="G36" s="70" t="n">
        <v>46119.03782407408</v>
      </c>
    </row>
    <row r="37">
      <c r="A37" s="68" t="inlineStr">
        <is>
          <t>OW</t>
        </is>
      </c>
      <c r="B37" s="68" t="inlineStr">
        <is>
          <t>completeTaskGrayDisplay</t>
        </is>
      </c>
      <c r="C37" s="67" t="n">
        <v>0</v>
      </c>
      <c r="G37" s="70" t="n">
        <v>46119.03782407408</v>
      </c>
    </row>
    <row r="38">
      <c r="A38" s="68" t="inlineStr">
        <is>
          <t>OW</t>
        </is>
      </c>
      <c r="B38" s="68" t="inlineStr">
        <is>
          <t>dateDisp</t>
        </is>
      </c>
      <c r="C38" s="67" t="n">
        <v>1</v>
      </c>
      <c r="G38" s="70" t="n">
        <v>46119.03782407408</v>
      </c>
    </row>
    <row r="39">
      <c r="A39" s="68" t="inlineStr">
        <is>
          <t>OW</t>
        </is>
      </c>
      <c r="B39" s="68" t="inlineStr">
        <is>
          <t>dateDispOnTimescale</t>
        </is>
      </c>
      <c r="C39" s="67" t="n">
        <v>2</v>
      </c>
      <c r="G39" s="70" t="n">
        <v>46119.03782407408</v>
      </c>
    </row>
    <row r="40">
      <c r="A40" s="68" t="inlineStr">
        <is>
          <t>OW</t>
        </is>
      </c>
      <c r="B40" s="68" t="inlineStr">
        <is>
          <t>ganttColWidth</t>
        </is>
      </c>
      <c r="C40" s="67" t="n">
        <v>0.7</v>
      </c>
    </row>
    <row r="41">
      <c r="A41" s="68" t="inlineStr">
        <is>
          <t>OW</t>
        </is>
      </c>
      <c r="B41" s="68" t="inlineStr">
        <is>
          <t>groupRows</t>
        </is>
      </c>
      <c r="C41" s="67" t="n">
        <v>1</v>
      </c>
      <c r="G41" s="70" t="n">
        <v>46119.03782407408</v>
      </c>
    </row>
    <row r="42">
      <c r="A42" s="68" t="inlineStr">
        <is>
          <t>OW</t>
        </is>
      </c>
      <c r="B42" s="68" t="inlineStr">
        <is>
          <t>groupTaskInteriorGrayDisplay</t>
        </is>
      </c>
      <c r="C42" s="67" t="n">
        <v>1</v>
      </c>
      <c r="G42" s="70" t="n">
        <v>46119.03782407408</v>
      </c>
    </row>
    <row r="43">
      <c r="A43" s="68" t="inlineStr">
        <is>
          <t>OW</t>
        </is>
      </c>
      <c r="B43" s="68" t="inlineStr">
        <is>
          <t>optAlignWBSColumn</t>
        </is>
      </c>
      <c r="C43" s="67" t="n">
        <v>-4131</v>
      </c>
      <c r="G43" s="70" t="n">
        <v>46119.03782407408</v>
      </c>
    </row>
    <row r="44">
      <c r="A44" s="68" t="inlineStr">
        <is>
          <t>OW</t>
        </is>
      </c>
      <c r="B44" s="68" t="inlineStr">
        <is>
          <t>optGanttChartColumnDisplay</t>
        </is>
      </c>
      <c r="C44" s="67" t="n">
        <v>7</v>
      </c>
      <c r="G44" s="70" t="n">
        <v>46119.03782407408</v>
      </c>
    </row>
    <row r="45">
      <c r="A45" s="68" t="inlineStr">
        <is>
          <t>OW</t>
        </is>
      </c>
      <c r="B45" s="68" t="inlineStr">
        <is>
          <t>plannedRateDisp</t>
        </is>
      </c>
      <c r="C45" s="67" t="n">
        <v>0</v>
      </c>
      <c r="G45" s="70" t="n">
        <v>46119.03782407408</v>
      </c>
    </row>
    <row r="46">
      <c r="A46" s="68" t="inlineStr">
        <is>
          <t>OW</t>
        </is>
      </c>
      <c r="B46" s="68" t="inlineStr">
        <is>
          <t>resourceDisp</t>
        </is>
      </c>
      <c r="C46" s="67" t="n">
        <v>1</v>
      </c>
      <c r="G46" s="70" t="n">
        <v>46119.03782407408</v>
      </c>
    </row>
    <row r="47">
      <c r="A47" s="68" t="inlineStr">
        <is>
          <t>OW</t>
        </is>
      </c>
      <c r="B47" s="68" t="inlineStr">
        <is>
          <t>taskDisp</t>
        </is>
      </c>
      <c r="C47" s="67" t="n">
        <v>1</v>
      </c>
      <c r="G47" s="70" t="n">
        <v>46119.03782407408</v>
      </c>
    </row>
    <row r="48">
      <c r="A48" s="68" t="inlineStr">
        <is>
          <t>OW</t>
        </is>
      </c>
      <c r="B48" s="68" t="inlineStr">
        <is>
          <t>taskDispInGroup</t>
        </is>
      </c>
      <c r="C48" s="67" t="n">
        <v>1</v>
      </c>
    </row>
    <row r="49">
      <c r="A49" s="68" t="inlineStr">
        <is>
          <t>OW</t>
        </is>
      </c>
      <c r="B49" s="68" t="inlineStr">
        <is>
          <t>taskDispInSub</t>
        </is>
      </c>
      <c r="C49" s="67" t="n">
        <v>0</v>
      </c>
    </row>
    <row r="50">
      <c r="A50" s="68" t="inlineStr">
        <is>
          <t>OW</t>
        </is>
      </c>
      <c r="B50" s="68" t="inlineStr">
        <is>
          <t>taskNameDisplayPosition</t>
        </is>
      </c>
      <c r="C50" s="67" t="n">
        <v>2</v>
      </c>
      <c r="G50" s="70" t="n">
        <v>46119.03782407408</v>
      </c>
    </row>
    <row r="51">
      <c r="A51" s="68" t="inlineStr">
        <is>
          <t>OW</t>
        </is>
      </c>
      <c r="B51" s="68" t="inlineStr">
        <is>
          <t>themeColorList</t>
        </is>
      </c>
      <c r="C51" s="67" t="inlineStr">
        <is>
          <t>10066176;10066176;26367;8421504;26367;8421504;16764108;16737792;65280;16737792;13311;65280;14540253;65535;255</t>
        </is>
      </c>
      <c r="G51" s="70" t="n">
        <v>45811.50578703704</v>
      </c>
    </row>
    <row r="52">
      <c r="A52" s="68" t="inlineStr">
        <is>
          <t>OW</t>
        </is>
      </c>
      <c r="B52" s="68" t="inlineStr">
        <is>
          <t>txtGanttChartZoomRatio</t>
        </is>
      </c>
      <c r="C52" s="67" t="n">
        <v>100</v>
      </c>
      <c r="G52" s="70" t="n">
        <v>46119.03782407408</v>
      </c>
    </row>
    <row r="53">
      <c r="A53" s="68" t="inlineStr">
        <is>
          <t>OW</t>
        </is>
      </c>
      <c r="B53" s="68" t="inlineStr">
        <is>
          <t>txtNumberOfTaskColumn</t>
        </is>
      </c>
      <c r="C53" s="67" t="n">
        <v>9</v>
      </c>
    </row>
    <row r="54">
      <c r="A54" s="68" t="inlineStr">
        <is>
          <t>OW</t>
        </is>
      </c>
      <c r="B54" s="68" t="inlineStr">
        <is>
          <t>ganttChartDisp</t>
        </is>
      </c>
      <c r="C54" s="67" t="n">
        <v>1</v>
      </c>
      <c r="F54" s="70" t="n">
        <v>45811.00981481482</v>
      </c>
      <c r="G54" s="70" t="n">
        <v>46119.03782407408</v>
      </c>
    </row>
    <row r="55">
      <c r="A55" s="68" t="inlineStr">
        <is>
          <t>OD</t>
        </is>
      </c>
      <c r="B55" s="68" t="inlineStr">
        <is>
          <t>chkDeliverablesMgt</t>
        </is>
      </c>
      <c r="C55" s="67" t="n">
        <v>1</v>
      </c>
      <c r="G55" s="70" t="n">
        <v>46119.03782407408</v>
      </c>
    </row>
    <row r="56">
      <c r="A56" s="68" t="inlineStr">
        <is>
          <t>OD</t>
        </is>
      </c>
      <c r="B56" s="68" t="inlineStr">
        <is>
          <t>savePathType</t>
        </is>
      </c>
      <c r="C56" s="67" t="inlineStr">
        <is>
          <t>DEFINED</t>
        </is>
      </c>
      <c r="G56" s="70" t="n">
        <v>46119.03782407408</v>
      </c>
    </row>
    <row r="57">
      <c r="A57" s="68" t="inlineStr">
        <is>
          <t>OD</t>
        </is>
      </c>
      <c r="B57" s="68" t="inlineStr">
        <is>
          <t>txtAutoDefinedBasePath</t>
        </is>
      </c>
      <c r="C57" s="67" t="inlineStr">
        <is>
          <t>C:\Temp</t>
        </is>
      </c>
      <c r="G57" s="70" t="n">
        <v>46116.96946759259</v>
      </c>
    </row>
    <row r="58">
      <c r="A58" s="68" t="inlineStr">
        <is>
          <t>OD</t>
        </is>
      </c>
      <c r="B58" s="68" t="inlineStr">
        <is>
          <t>txtDefinedPath</t>
        </is>
      </c>
      <c r="C58" s="67" t="inlineStr">
        <is>
          <t>C:\Temp</t>
        </is>
      </c>
      <c r="G58" s="70" t="n">
        <v>46119.03782407408</v>
      </c>
    </row>
    <row r="59">
      <c r="A59" s="68" t="inlineStr">
        <is>
          <t>OL</t>
        </is>
      </c>
      <c r="B59" s="68" t="inlineStr">
        <is>
          <t>languageSelectedByManual</t>
        </is>
      </c>
      <c r="C59" s="67" t="n">
        <v>82</v>
      </c>
      <c r="G59" s="70" t="n">
        <v>46119.03782407408</v>
      </c>
    </row>
    <row r="60">
      <c r="A60" s="68" t="inlineStr">
        <is>
          <t>OL</t>
        </is>
      </c>
      <c r="B60" s="68" t="inlineStr">
        <is>
          <t>languageSelectionType</t>
        </is>
      </c>
      <c r="C60" s="67" t="n">
        <v>1</v>
      </c>
      <c r="G60" s="70" t="n">
        <v>46119.03782407408</v>
      </c>
    </row>
    <row r="61">
      <c r="A61" s="68" t="inlineStr">
        <is>
          <t>OL</t>
        </is>
      </c>
      <c r="B61" s="68" t="inlineStr">
        <is>
          <t>lastTranslatedLanguage</t>
        </is>
      </c>
      <c r="C61" s="67" t="n">
        <v>82</v>
      </c>
      <c r="G61" s="70" t="n">
        <v>46118.934375</v>
      </c>
    </row>
    <row r="62">
      <c r="A62" s="68" t="inlineStr">
        <is>
          <t>OL</t>
        </is>
      </c>
      <c r="B62" s="68" t="inlineStr">
        <is>
          <t>selectedLanguageList</t>
        </is>
      </c>
      <c r="C62" s="67" t="inlineStr">
        <is>
          <t>1:English,82:Korean,999:Custom</t>
        </is>
      </c>
      <c r="G62" s="70" t="n">
        <v>46119.03782407408</v>
      </c>
    </row>
    <row r="63">
      <c r="A63" s="68" t="inlineStr">
        <is>
          <t>OP</t>
        </is>
      </c>
      <c r="B63" s="68" t="inlineStr">
        <is>
          <t>chkInclude2SelectList1</t>
        </is>
      </c>
      <c r="C63" s="67" t="b">
        <v>0</v>
      </c>
      <c r="G63" s="70" t="n">
        <v>46119.03782407408</v>
      </c>
    </row>
    <row r="64">
      <c r="A64" s="68" t="inlineStr">
        <is>
          <t>OP</t>
        </is>
      </c>
      <c r="B64" s="68" t="inlineStr">
        <is>
          <t>chkInclude2SelectList2</t>
        </is>
      </c>
      <c r="C64" s="67" t="b">
        <v>0</v>
      </c>
      <c r="G64" s="70" t="n">
        <v>46119.03782407408</v>
      </c>
    </row>
    <row r="65">
      <c r="A65" s="68" t="inlineStr">
        <is>
          <t>OP</t>
        </is>
      </c>
      <c r="B65" s="68" t="inlineStr">
        <is>
          <t>chkInclude2SelectList3</t>
        </is>
      </c>
      <c r="C65" s="67" t="b">
        <v>1</v>
      </c>
      <c r="G65" s="70" t="n">
        <v>46119.03782407408</v>
      </c>
    </row>
    <row r="66">
      <c r="A66" s="68" t="inlineStr">
        <is>
          <t>OP</t>
        </is>
      </c>
      <c r="B66" s="68" t="inlineStr">
        <is>
          <t>chkInclude2SelectList4</t>
        </is>
      </c>
      <c r="C66" s="67" t="b">
        <v>1</v>
      </c>
      <c r="G66" s="70" t="n">
        <v>46119.03782407408</v>
      </c>
    </row>
    <row r="67">
      <c r="A67" s="68" t="inlineStr">
        <is>
          <t>OP</t>
        </is>
      </c>
      <c r="B67" s="68" t="inlineStr">
        <is>
          <t>chkInclude2SelectList5</t>
        </is>
      </c>
      <c r="C67" s="67" t="b">
        <v>1</v>
      </c>
      <c r="G67" s="70" t="n">
        <v>46119.03782407408</v>
      </c>
    </row>
    <row r="68">
      <c r="A68" s="68" t="inlineStr">
        <is>
          <t>OP</t>
        </is>
      </c>
      <c r="B68" s="68" t="inlineStr">
        <is>
          <t>chkInclude2SelectList6</t>
        </is>
      </c>
      <c r="C68" s="67" t="b">
        <v>1</v>
      </c>
      <c r="G68" s="70" t="n">
        <v>46119.03782407408</v>
      </c>
    </row>
    <row r="69">
      <c r="A69" s="68" t="inlineStr">
        <is>
          <t>OP</t>
        </is>
      </c>
      <c r="B69" s="68" t="inlineStr">
        <is>
          <t>chkInclude2SelectList7</t>
        </is>
      </c>
      <c r="C69" s="67" t="b">
        <v>1</v>
      </c>
      <c r="G69" s="70" t="n">
        <v>46119.03782407408</v>
      </c>
    </row>
    <row r="70">
      <c r="A70" s="68" t="inlineStr">
        <is>
          <t>OP</t>
        </is>
      </c>
      <c r="B70" s="68" t="inlineStr">
        <is>
          <t>chkInclude2SelectList8</t>
        </is>
      </c>
      <c r="G70" s="70" t="n">
        <v>46119.03782407408</v>
      </c>
    </row>
    <row r="71">
      <c r="A71" s="68" t="inlineStr">
        <is>
          <t>OP</t>
        </is>
      </c>
      <c r="B71" s="68" t="inlineStr">
        <is>
          <t>txtFileExt1</t>
        </is>
      </c>
      <c r="C71" s="67" t="inlineStr">
        <is>
          <t>ppt*</t>
        </is>
      </c>
      <c r="G71" s="70" t="n">
        <v>46119.03782407408</v>
      </c>
    </row>
    <row r="72">
      <c r="A72" s="68" t="inlineStr">
        <is>
          <t>OP</t>
        </is>
      </c>
      <c r="B72" s="68" t="inlineStr">
        <is>
          <t>txtFileExt2</t>
        </is>
      </c>
      <c r="C72" s="67" t="inlineStr">
        <is>
          <t>doc*</t>
        </is>
      </c>
      <c r="G72" s="70" t="n">
        <v>46119.03782407408</v>
      </c>
    </row>
    <row r="73">
      <c r="A73" s="68" t="inlineStr">
        <is>
          <t>OP</t>
        </is>
      </c>
      <c r="B73" s="68" t="inlineStr">
        <is>
          <t>txtFileExt3</t>
        </is>
      </c>
      <c r="C73" s="67" t="inlineStr">
        <is>
          <t>xls*</t>
        </is>
      </c>
      <c r="G73" s="70" t="n">
        <v>46119.03782407408</v>
      </c>
    </row>
    <row r="74">
      <c r="A74" s="68" t="inlineStr">
        <is>
          <t>OP</t>
        </is>
      </c>
      <c r="B74" s="68" t="inlineStr">
        <is>
          <t>txtFileExt4</t>
        </is>
      </c>
      <c r="C74" s="67" t="inlineStr">
        <is>
          <t>dwg</t>
        </is>
      </c>
      <c r="G74" s="70" t="n">
        <v>46119.03782407408</v>
      </c>
    </row>
    <row r="75">
      <c r="A75" s="68" t="inlineStr">
        <is>
          <t>OP</t>
        </is>
      </c>
      <c r="B75" s="68" t="inlineStr">
        <is>
          <t>txtFileExt5</t>
        </is>
      </c>
      <c r="C75" s="67" t="inlineStr">
        <is>
          <t>html</t>
        </is>
      </c>
      <c r="G75" s="70" t="n">
        <v>46119.03782407408</v>
      </c>
    </row>
    <row r="76">
      <c r="A76" s="68" t="inlineStr">
        <is>
          <t>OP</t>
        </is>
      </c>
      <c r="B76" s="68" t="inlineStr">
        <is>
          <t>txtFileExt6</t>
        </is>
      </c>
      <c r="C76" s="67" t="inlineStr">
        <is>
          <t>txt</t>
        </is>
      </c>
      <c r="G76" s="70" t="n">
        <v>46119.03782407408</v>
      </c>
    </row>
    <row r="77">
      <c r="A77" s="68" t="inlineStr">
        <is>
          <t>OP</t>
        </is>
      </c>
      <c r="B77" s="68" t="inlineStr">
        <is>
          <t>txtFileExt7</t>
        </is>
      </c>
      <c r="C77" s="67" t="inlineStr">
        <is>
          <t>pdf</t>
        </is>
      </c>
      <c r="G77" s="70" t="n">
        <v>46119.03782407408</v>
      </c>
    </row>
    <row r="78">
      <c r="A78" s="68" t="inlineStr">
        <is>
          <t>OP</t>
        </is>
      </c>
      <c r="B78" s="68" t="inlineStr">
        <is>
          <t>txtFileExt8</t>
        </is>
      </c>
      <c r="G78" s="70" t="n">
        <v>46119.03782407408</v>
      </c>
    </row>
    <row r="79">
      <c r="A79" s="68" t="inlineStr">
        <is>
          <t>OP</t>
        </is>
      </c>
      <c r="B79" s="68" t="inlineStr">
        <is>
          <t>txtPgmName1</t>
        </is>
      </c>
      <c r="C79" s="67" t="inlineStr">
        <is>
          <t>파워포인트</t>
        </is>
      </c>
      <c r="G79" s="70" t="n">
        <v>46119.03782407408</v>
      </c>
    </row>
    <row r="80">
      <c r="A80" s="68" t="inlineStr">
        <is>
          <t>OP</t>
        </is>
      </c>
      <c r="B80" s="68" t="inlineStr">
        <is>
          <t>txtPgmName2</t>
        </is>
      </c>
      <c r="C80" s="67" t="inlineStr">
        <is>
          <t>워드</t>
        </is>
      </c>
      <c r="G80" s="70" t="n">
        <v>46119.03782407408</v>
      </c>
    </row>
    <row r="81">
      <c r="A81" s="68" t="inlineStr">
        <is>
          <t>OP</t>
        </is>
      </c>
      <c r="B81" s="68" t="inlineStr">
        <is>
          <t>txtPgmName3</t>
        </is>
      </c>
      <c r="C81" s="67" t="inlineStr">
        <is>
          <t>엑셀</t>
        </is>
      </c>
      <c r="G81" s="70" t="n">
        <v>46119.03782407408</v>
      </c>
    </row>
    <row r="82">
      <c r="A82" s="68" t="inlineStr">
        <is>
          <t>OP</t>
        </is>
      </c>
      <c r="B82" s="68" t="inlineStr">
        <is>
          <t>txtPgmName4</t>
        </is>
      </c>
      <c r="C82" s="67" t="inlineStr">
        <is>
          <t>AutoCAD</t>
        </is>
      </c>
      <c r="G82" s="70" t="n">
        <v>46119.03782407408</v>
      </c>
    </row>
    <row r="83">
      <c r="A83" s="68" t="inlineStr">
        <is>
          <t>OP</t>
        </is>
      </c>
      <c r="B83" s="68" t="inlineStr">
        <is>
          <t>txtPgmName5</t>
        </is>
      </c>
      <c r="C83" s="67" t="inlineStr">
        <is>
          <t>Notepad++</t>
        </is>
      </c>
      <c r="G83" s="70" t="n">
        <v>46119.03782407408</v>
      </c>
    </row>
    <row r="84">
      <c r="A84" s="68" t="inlineStr">
        <is>
          <t>OP</t>
        </is>
      </c>
      <c r="B84" s="68" t="inlineStr">
        <is>
          <t>txtPgmName6</t>
        </is>
      </c>
      <c r="C84" s="67" t="inlineStr">
        <is>
          <t>메모장</t>
        </is>
      </c>
      <c r="G84" s="70" t="n">
        <v>46119.03782407408</v>
      </c>
    </row>
    <row r="85">
      <c r="A85" s="68" t="inlineStr">
        <is>
          <t>OP</t>
        </is>
      </c>
      <c r="B85" s="68" t="inlineStr">
        <is>
          <t>txtPgmName7</t>
        </is>
      </c>
      <c r="C85" s="67" t="inlineStr">
        <is>
          <t>PDF</t>
        </is>
      </c>
      <c r="G85" s="70" t="n">
        <v>46119.03782407408</v>
      </c>
    </row>
    <row r="86">
      <c r="A86" s="68" t="inlineStr">
        <is>
          <t>OP</t>
        </is>
      </c>
      <c r="B86" s="68" t="inlineStr">
        <is>
          <t>txtPgmName8</t>
        </is>
      </c>
      <c r="G86" s="70" t="n">
        <v>46119.03782407408</v>
      </c>
    </row>
    <row r="87">
      <c r="A87" s="68" t="inlineStr">
        <is>
          <t>OP</t>
        </is>
      </c>
      <c r="B87" s="68" t="inlineStr">
        <is>
          <t>txtPgmPath1</t>
        </is>
      </c>
      <c r="C87" s="67" t="inlineStr">
        <is>
          <t>자동지정</t>
        </is>
      </c>
      <c r="G87" s="70" t="n">
        <v>46119.03782407408</v>
      </c>
    </row>
    <row r="88">
      <c r="A88" s="68" t="inlineStr">
        <is>
          <t>OP</t>
        </is>
      </c>
      <c r="B88" s="68" t="inlineStr">
        <is>
          <t>txtPgmPath2</t>
        </is>
      </c>
      <c r="C88" s="67" t="inlineStr">
        <is>
          <t>자동지정</t>
        </is>
      </c>
      <c r="G88" s="70" t="n">
        <v>46119.03782407408</v>
      </c>
    </row>
    <row r="89">
      <c r="A89" s="68" t="inlineStr">
        <is>
          <t>OP</t>
        </is>
      </c>
      <c r="B89" s="68" t="inlineStr">
        <is>
          <t>txtPgmPath3</t>
        </is>
      </c>
      <c r="C89" s="67" t="inlineStr">
        <is>
          <t>자동지정</t>
        </is>
      </c>
      <c r="G89" s="70" t="n">
        <v>46119.03782407408</v>
      </c>
    </row>
    <row r="90">
      <c r="A90" s="68" t="inlineStr">
        <is>
          <t>OP</t>
        </is>
      </c>
      <c r="B90" s="68" t="inlineStr">
        <is>
          <t>txtPgmPath4</t>
        </is>
      </c>
      <c r="C90" s="67" t="inlineStr">
        <is>
          <t>C:\Program Files\Autodesk\AutoCAD 2019\acad.exe</t>
        </is>
      </c>
      <c r="G90" s="70" t="n">
        <v>46119.03782407408</v>
      </c>
    </row>
    <row r="91">
      <c r="A91" s="68" t="inlineStr">
        <is>
          <t>OP</t>
        </is>
      </c>
      <c r="B91" s="68" t="inlineStr">
        <is>
          <t>txtPgmPath5</t>
        </is>
      </c>
      <c r="C91" s="67" t="inlineStr">
        <is>
          <t>C:\Program Files\Notepad++\notepad++.exe</t>
        </is>
      </c>
      <c r="G91" s="70" t="n">
        <v>46119.03782407408</v>
      </c>
    </row>
    <row r="92">
      <c r="A92" s="68" t="inlineStr">
        <is>
          <t>OP</t>
        </is>
      </c>
      <c r="B92" s="68" t="inlineStr">
        <is>
          <t>txtPgmPath6</t>
        </is>
      </c>
      <c r="C92" s="67" t="inlineStr">
        <is>
          <t>C:\WINDOWS\system32\notepad.exe</t>
        </is>
      </c>
      <c r="G92" s="70" t="n">
        <v>46119.03782407408</v>
      </c>
    </row>
    <row r="93">
      <c r="A93" s="68" t="inlineStr">
        <is>
          <t>OP</t>
        </is>
      </c>
      <c r="B93" s="68" t="inlineStr">
        <is>
          <t>txtPgmPath7</t>
        </is>
      </c>
      <c r="C93" s="67" t="inlineStr">
        <is>
          <t>C:\Program Files\Adobe\Acrobat DC\Acrobat\acrobat.exe</t>
        </is>
      </c>
      <c r="G93" s="70" t="n">
        <v>46119.03782407408</v>
      </c>
    </row>
    <row r="94">
      <c r="A94" s="68" t="inlineStr">
        <is>
          <t>OP</t>
        </is>
      </c>
      <c r="B94" s="68" t="inlineStr">
        <is>
          <t>txtPgmPath8</t>
        </is>
      </c>
      <c r="G94" s="70" t="n">
        <v>46119.03782407408</v>
      </c>
    </row>
    <row r="95">
      <c r="A95" s="68" t="inlineStr">
        <is>
          <t>FS</t>
        </is>
      </c>
      <c r="B95" s="68" t="inlineStr">
        <is>
          <t>optAll</t>
        </is>
      </c>
      <c r="C95" s="67" t="b">
        <v>1</v>
      </c>
      <c r="F95" s="70" t="n"/>
      <c r="G95" s="70" t="n">
        <v>46119.03714120371</v>
      </c>
    </row>
    <row r="96">
      <c r="A96" s="68" t="inlineStr">
        <is>
          <t>FS</t>
        </is>
      </c>
      <c r="B96" s="68" t="inlineStr">
        <is>
          <t>optAllPercentWorkComplete</t>
        </is>
      </c>
      <c r="C96" s="67" t="b">
        <v>1</v>
      </c>
      <c r="F96" s="70" t="n"/>
      <c r="G96" s="70" t="n">
        <v>46119.03714120371</v>
      </c>
    </row>
    <row r="97">
      <c r="A97" s="68" t="inlineStr">
        <is>
          <t>FS</t>
        </is>
      </c>
      <c r="B97" s="68" t="inlineStr">
        <is>
          <t>optCompleted</t>
        </is>
      </c>
      <c r="C97" s="67" t="b">
        <v>0</v>
      </c>
      <c r="F97" s="70" t="n"/>
      <c r="G97" s="70" t="n">
        <v>46119.03714120371</v>
      </c>
    </row>
    <row r="98">
      <c r="A98" s="68" t="inlineStr">
        <is>
          <t>FS</t>
        </is>
      </c>
      <c r="B98" s="68" t="inlineStr">
        <is>
          <t>optDefinedDuration</t>
        </is>
      </c>
      <c r="C98" s="67" t="b">
        <v>0</v>
      </c>
      <c r="F98" s="70" t="n"/>
      <c r="G98" s="70" t="n">
        <v>46119.03714120371</v>
      </c>
    </row>
    <row r="99">
      <c r="A99" s="68" t="inlineStr">
        <is>
          <t>FS</t>
        </is>
      </c>
      <c r="B99" s="68" t="inlineStr">
        <is>
          <t>optDefinedPercentValue</t>
        </is>
      </c>
      <c r="C99" s="67" t="b">
        <v>0</v>
      </c>
      <c r="F99" s="70" t="n"/>
      <c r="G99" s="70" t="n">
        <v>46119.03714120371</v>
      </c>
    </row>
    <row r="100">
      <c r="A100" s="68" t="inlineStr">
        <is>
          <t>FS</t>
        </is>
      </c>
      <c r="B100" s="68" t="inlineStr">
        <is>
          <t>optExactMatch</t>
        </is>
      </c>
      <c r="C100" s="67" t="b">
        <v>1</v>
      </c>
      <c r="F100" s="70" t="n"/>
      <c r="G100" s="70" t="n">
        <v>46119.03714120371</v>
      </c>
    </row>
    <row r="101">
      <c r="A101" s="68" t="inlineStr">
        <is>
          <t>FS</t>
        </is>
      </c>
      <c r="B101" s="68" t="inlineStr">
        <is>
          <t>optLike</t>
        </is>
      </c>
      <c r="C101" s="67" t="b">
        <v>0</v>
      </c>
      <c r="F101" s="70" t="n"/>
      <c r="G101" s="70" t="n">
        <v>46119.03714120371</v>
      </c>
    </row>
    <row r="102">
      <c r="A102" s="68" t="inlineStr">
        <is>
          <t>FS</t>
        </is>
      </c>
      <c r="B102" s="68" t="inlineStr">
        <is>
          <t>optNotCompleted</t>
        </is>
      </c>
      <c r="C102" s="67" t="b">
        <v>0</v>
      </c>
      <c r="F102" s="70" t="n"/>
      <c r="G102" s="70" t="n">
        <v>46119.03714120371</v>
      </c>
    </row>
    <row r="103">
      <c r="A103" s="68" t="inlineStr">
        <is>
          <t>FS</t>
        </is>
      </c>
      <c r="B103" s="68" t="inlineStr">
        <is>
          <t>optThisMonth</t>
        </is>
      </c>
      <c r="C103" s="67" t="b">
        <v>0</v>
      </c>
      <c r="F103" s="70" t="n"/>
      <c r="G103" s="70" t="n">
        <v>46119.03714120371</v>
      </c>
    </row>
    <row r="104">
      <c r="A104" s="68" t="inlineStr">
        <is>
          <t>FS</t>
        </is>
      </c>
      <c r="B104" s="68" t="inlineStr">
        <is>
          <t>optThisWeek</t>
        </is>
      </c>
      <c r="C104" s="67" t="b">
        <v>0</v>
      </c>
      <c r="F104" s="70" t="n"/>
      <c r="G104" s="70" t="n">
        <v>46119.03714120371</v>
      </c>
    </row>
    <row r="105">
      <c r="A105" s="68" t="inlineStr">
        <is>
          <t>FS</t>
        </is>
      </c>
      <c r="B105" s="68" t="inlineStr">
        <is>
          <t>optToday</t>
        </is>
      </c>
      <c r="C105" s="67" t="b">
        <v>0</v>
      </c>
      <c r="F105" s="70" t="n"/>
      <c r="G105" s="70" t="n">
        <v>46119.03714120371</v>
      </c>
    </row>
    <row r="106">
      <c r="A106" s="68" t="inlineStr">
        <is>
          <t>FS</t>
        </is>
      </c>
      <c r="B106" s="68" t="inlineStr">
        <is>
          <t>txtPercentFrom</t>
        </is>
      </c>
      <c r="C106" s="67" t="n">
        <v>0</v>
      </c>
      <c r="F106" s="70" t="n"/>
      <c r="G106" s="70" t="n">
        <v>46119.03714120371</v>
      </c>
    </row>
    <row r="107">
      <c r="A107" s="68" t="inlineStr">
        <is>
          <t>FS</t>
        </is>
      </c>
      <c r="B107" s="68" t="inlineStr">
        <is>
          <t>txtPercentTo</t>
        </is>
      </c>
      <c r="C107" s="67" t="n">
        <v>80</v>
      </c>
      <c r="F107" s="70" t="n"/>
      <c r="G107" s="70" t="n">
        <v>46119.03714120371</v>
      </c>
    </row>
    <row r="108">
      <c r="A108" s="68" t="inlineStr">
        <is>
          <t>FS</t>
        </is>
      </c>
      <c r="B108" s="68" t="inlineStr">
        <is>
          <t>txtResource</t>
        </is>
      </c>
      <c r="F108" s="70" t="n"/>
      <c r="G108" s="70" t="n">
        <v>46119.03714120371</v>
      </c>
    </row>
    <row r="109">
      <c r="A109" s="68" t="inlineStr">
        <is>
          <t>FS</t>
        </is>
      </c>
      <c r="B109" s="68" t="inlineStr">
        <is>
          <t>txtTaskEndDate</t>
        </is>
      </c>
      <c r="C109" s="69" t="n">
        <v>45930</v>
      </c>
      <c r="F109" s="70" t="n"/>
      <c r="G109" s="70" t="n">
        <v>46119.03714120371</v>
      </c>
    </row>
    <row r="110">
      <c r="A110" s="68" t="inlineStr">
        <is>
          <t>FS</t>
        </is>
      </c>
      <c r="B110" s="68" t="inlineStr">
        <is>
          <t>txtTaskStartDate</t>
        </is>
      </c>
      <c r="C110" s="69" t="n">
        <v>45910</v>
      </c>
      <c r="F110" s="70" t="n"/>
      <c r="G110" s="70" t="n">
        <v>46119.03714120371</v>
      </c>
    </row>
    <row r="111">
      <c r="A111" s="68" t="inlineStr">
        <is>
          <t>OW</t>
        </is>
      </c>
      <c r="B111" s="68" t="inlineStr">
        <is>
          <t>txtBehindSchedulePct1</t>
        </is>
      </c>
      <c r="C111" s="67" t="n">
        <v>10</v>
      </c>
      <c r="F111" s="70" t="n">
        <v>45811.50524305556</v>
      </c>
      <c r="G111" s="70" t="n">
        <v>46119.03782407408</v>
      </c>
    </row>
    <row r="112">
      <c r="A112" s="68" t="inlineStr">
        <is>
          <t>OW</t>
        </is>
      </c>
      <c r="B112" s="68" t="inlineStr">
        <is>
          <t>useDefaultTheme</t>
        </is>
      </c>
      <c r="C112" s="67" t="n">
        <v>1</v>
      </c>
      <c r="F112" s="70" t="n">
        <v>45811.53648148148</v>
      </c>
      <c r="G112" s="70" t="n">
        <v>46119.03782407408</v>
      </c>
    </row>
    <row r="113">
      <c r="A113" s="68" t="inlineStr">
        <is>
          <t>OW</t>
        </is>
      </c>
      <c r="B113" s="68" t="inlineStr">
        <is>
          <t>themeColorList1</t>
        </is>
      </c>
      <c r="C113" s="67" t="inlineStr">
        <is>
          <t>12611584;16750899;35071;35071;35071;49407;16745263;16737792;52224;16737792;255;52224;16777215;52479;255</t>
        </is>
      </c>
      <c r="F113" s="70" t="n">
        <v>45811.54414351852</v>
      </c>
      <c r="G113" s="70" t="n">
        <v>45837.80583333333</v>
      </c>
    </row>
    <row r="114">
      <c r="A114" s="68" t="inlineStr">
        <is>
          <t>OW</t>
        </is>
      </c>
      <c r="B114" s="68" t="inlineStr">
        <is>
          <t>themeColorList2</t>
        </is>
      </c>
      <c r="C114" s="67" t="inlineStr">
        <is>
          <t>16711782;16737945;35071;35071;35071;49407;16745263;16737792;52224;16737792;255;52224;16777215;39423;255</t>
        </is>
      </c>
      <c r="F114" s="70" t="n">
        <v>45811.54707175926</v>
      </c>
      <c r="G114" s="70" t="n">
        <v>45830.93446759259</v>
      </c>
    </row>
    <row r="115">
      <c r="A115" s="68" t="inlineStr">
        <is>
          <t>OW</t>
        </is>
      </c>
      <c r="B115" s="68" t="inlineStr">
        <is>
          <t>themeColorList5</t>
        </is>
      </c>
      <c r="C115" s="67" t="inlineStr">
        <is>
          <t>10066176;10066176;26367;8421504;26367;8421504;16764108;16737792;65280;16737792;13311;65280;14540253;65535;255</t>
        </is>
      </c>
      <c r="F115" s="70" t="n">
        <v>45811.55704861111</v>
      </c>
      <c r="G115" s="70" t="n">
        <v>45811.94899305556</v>
      </c>
    </row>
    <row r="116">
      <c r="A116" s="68" t="inlineStr">
        <is>
          <t>OW</t>
        </is>
      </c>
      <c r="B116" s="68" t="inlineStr">
        <is>
          <t>themeColorList3</t>
        </is>
      </c>
      <c r="C116" s="67" t="inlineStr">
        <is>
          <t>3394611;39168;35071;35071;35071;49407;16745263;16737792;52224;16737792;255;52224;16777215;52428;255</t>
        </is>
      </c>
      <c r="F116" s="70" t="n">
        <v>45811.71400462963</v>
      </c>
      <c r="G116" s="70" t="n">
        <v>45830.93488425926</v>
      </c>
    </row>
    <row r="117">
      <c r="A117" s="68" t="inlineStr">
        <is>
          <t>OW</t>
        </is>
      </c>
      <c r="B117" s="68" t="inlineStr">
        <is>
          <t>themeColorList4</t>
        </is>
      </c>
      <c r="C117" s="67" t="inlineStr">
        <is>
          <t>4210752;8421504;11711154;2500134;2500134;49407;16745263;16737792;52224;16737792;255;52224;16777215;65535;255</t>
        </is>
      </c>
      <c r="F117" s="70" t="n">
        <v>45811.74052083334</v>
      </c>
      <c r="G117" s="70" t="n">
        <v>45830.93564814814</v>
      </c>
    </row>
    <row r="118">
      <c r="A118" s="68" t="inlineStr">
        <is>
          <t>OW</t>
        </is>
      </c>
      <c r="B118" s="68" t="inlineStr">
        <is>
          <t>chkTaskDependencies</t>
        </is>
      </c>
      <c r="C118" s="67" t="n">
        <v>1</v>
      </c>
      <c r="F118" s="70" t="n">
        <v>46096.86792824074</v>
      </c>
      <c r="G118" s="70" t="n">
        <v>46119.03782407408</v>
      </c>
    </row>
    <row r="119">
      <c r="A119" s="68" t="inlineStr">
        <is>
          <t>OG</t>
        </is>
      </c>
      <c r="B119" s="68" t="inlineStr">
        <is>
          <t>holidayCalendar</t>
        </is>
      </c>
      <c r="C119" s="67" t="n">
        <v>1</v>
      </c>
      <c r="F119" s="70" t="n">
        <v>46103.78863425926</v>
      </c>
      <c r="G119" s="70" t="n">
        <v>46119.03782407408</v>
      </c>
    </row>
  </sheetData>
  <hyperlinks>
    <hyperlink xmlns:r="http://schemas.openxmlformats.org/officeDocument/2006/relationships" ref="C6" r:id="rId1"/>
  </hyperlinks>
  <pageMargins left="0.7" right="0.7" top="0.75" bottom="0.75" header="0.3" footer="0.3"/>
  <pageSetup orientation="portrait" paperSize="9"/>
</worksheet>
</file>

<file path=xl/worksheets/sheet9.xml><?xml version="1.0" encoding="utf-8"?>
<worksheet xmlns="http://schemas.openxmlformats.org/spreadsheetml/2006/main">
  <sheetPr>
    <outlinePr summaryBelow="1" summaryRight="1"/>
    <pageSetUpPr/>
  </sheetPr>
  <dimension ref="A1:F15"/>
  <sheetViews>
    <sheetView workbookViewId="0">
      <pane ySplit="1" topLeftCell="A2" activePane="bottomLeft" state="frozen"/>
      <selection pane="bottomLeft" activeCell="A1" sqref="A1"/>
    </sheetView>
  </sheetViews>
  <sheetFormatPr baseColWidth="8" defaultRowHeight="15"/>
  <cols>
    <col width="22" customWidth="1" min="1" max="1"/>
    <col width="16" customWidth="1" min="2" max="2"/>
    <col width="14" customWidth="1" min="3" max="3"/>
    <col width="30" customWidth="1" min="4" max="4"/>
    <col width="24" customWidth="1" min="5" max="5"/>
    <col width="28" customWidth="1" min="6" max="6"/>
  </cols>
  <sheetData>
    <row r="1">
      <c r="A1" s="318" t="inlineStr">
        <is>
          <t>데이터</t>
        </is>
      </c>
      <c r="B1" s="318" t="inlineStr">
        <is>
          <t>지표/코드</t>
        </is>
      </c>
      <c r="C1" s="318" t="inlineStr">
        <is>
          <t>구분</t>
        </is>
      </c>
      <c r="D1" s="318" t="inlineStr">
        <is>
          <t>소스</t>
        </is>
      </c>
      <c r="E1" s="318" t="inlineStr">
        <is>
          <t>산정 비용</t>
        </is>
      </c>
      <c r="F1" s="318" t="inlineStr">
        <is>
          <t>비고</t>
        </is>
      </c>
    </row>
    <row r="2">
      <c r="A2" s="319" t="inlineStr">
        <is>
          <t>CBOT 대두유 선물</t>
        </is>
      </c>
      <c r="B2" s="319" t="inlineStr">
        <is>
          <t>BO=F / ZL</t>
        </is>
      </c>
      <c r="C2" s="319" t="inlineStr">
        <is>
          <t>🔴 유료(확보)</t>
        </is>
      </c>
      <c r="D2" s="319" t="inlineStr">
        <is>
          <t>Databento GLBX.MDP3 · ZL · ohlcv-1d</t>
        </is>
      </c>
      <c r="E2" s="319" t="inlineStr">
        <is>
          <t>약 $5~25 (15년 일봉 1회 종량제)</t>
        </is>
      </c>
      <c r="F2" s="319" t="inlineStr">
        <is>
          <t>✅ CBOT_BO_CLOSE 4,177일 발행 — 목표변수 게이트 개방</t>
        </is>
      </c>
    </row>
    <row r="3">
      <c r="A3" s="319" t="inlineStr">
        <is>
          <t>CBOT 정산가 교차검증</t>
        </is>
      </c>
      <c r="B3" s="319" t="inlineStr">
        <is>
          <t>ZL=F</t>
        </is>
      </c>
      <c r="C3" s="319" t="inlineStr">
        <is>
          <t>🟢 무료 API</t>
        </is>
      </c>
      <c r="D3" s="319" t="inlineStr">
        <is>
          <t>yfinance (BO=F 상장폐지 → ZL=F)</t>
        </is>
      </c>
      <c r="E3" s="319" t="inlineStr">
        <is>
          <t>0원</t>
        </is>
      </c>
      <c r="F3" s="319" t="inlineStr">
        <is>
          <t>6,565일(2000~2026) · 중앙값 괴리 0.1003%</t>
        </is>
      </c>
    </row>
    <row r="4">
      <c r="A4" s="319" t="inlineStr">
        <is>
          <t>팜유 일별 선물</t>
        </is>
      </c>
      <c r="B4" s="319" t="inlineStr">
        <is>
          <t>FCPO</t>
        </is>
      </c>
      <c r="C4" s="319" t="inlineStr">
        <is>
          <t>🔴 유료(미도입)</t>
        </is>
      </c>
      <c r="D4" s="319" t="inlineStr">
        <is>
          <t>Bursa Malaysia / Refinitiv</t>
        </is>
      </c>
      <c r="E4" s="319" t="inlineStr">
        <is>
          <t>약 $25~/월</t>
        </is>
      </c>
      <c r="F4" s="319" t="inlineStr">
        <is>
          <t>TE 일별로 대체 — 미구매 유지</t>
        </is>
      </c>
    </row>
    <row r="5">
      <c r="A5" s="319" t="inlineStr">
        <is>
          <t>해바라기유 흑해 FOB</t>
        </is>
      </c>
      <c r="B5" s="319" t="inlineStr">
        <is>
          <t>주별</t>
        </is>
      </c>
      <c r="C5" s="319" t="inlineStr">
        <is>
          <t>🔴 유료(미도입)</t>
        </is>
      </c>
      <c r="D5" s="319" t="inlineStr">
        <is>
          <t>APK-Inform</t>
        </is>
      </c>
      <c r="E5" s="319" t="inlineStr">
        <is>
          <t>견적(~$1,000+/년)</t>
        </is>
      </c>
      <c r="F5" s="319" t="inlineStr">
        <is>
          <t>FAO/GAIN 정성신호로 대체</t>
        </is>
      </c>
    </row>
    <row r="6">
      <c r="A6" s="319" t="inlineStr">
        <is>
          <t>유지류 평가가(basis)</t>
        </is>
      </c>
      <c r="B6" s="319" t="inlineStr">
        <is>
          <t>FOB/CIF 일별</t>
        </is>
      </c>
      <c r="C6" s="319" t="inlineStr">
        <is>
          <t>🔴 유료(미도입)</t>
        </is>
      </c>
      <c r="D6" s="319" t="inlineStr">
        <is>
          <t>Platts / Argus / Fastmarkets</t>
        </is>
      </c>
      <c r="E6" s="319" t="inlineStr">
        <is>
          <t>엔터프라이즈</t>
        </is>
      </c>
      <c r="F6" s="319" t="inlineStr">
        <is>
          <t>DQ-1 결정 대기 — 9월 판단</t>
        </is>
      </c>
    </row>
    <row r="7">
      <c r="A7" s="319" t="inlineStr">
        <is>
          <t>화물 추적(탱커)</t>
        </is>
      </c>
      <c r="B7" s="319" t="inlineStr">
        <is>
          <t>선박 단위</t>
        </is>
      </c>
      <c r="C7" s="319" t="inlineStr">
        <is>
          <t>🔴 유료(미도입)</t>
        </is>
      </c>
      <c r="D7" s="319" t="inlineStr">
        <is>
          <t>Kpler / Vortexa</t>
        </is>
      </c>
      <c r="E7" s="319" t="inlineStr">
        <is>
          <t>견적</t>
        </is>
      </c>
      <c r="F7" s="319" t="inlineStr">
        <is>
          <t>D-046 유료 지원 후보 — 미결</t>
        </is>
      </c>
    </row>
    <row r="8">
      <c r="A8" s="319" t="inlineStr">
        <is>
          <t>Trading Economics</t>
        </is>
      </c>
      <c r="B8" s="319" t="inlineStr">
        <is>
          <t>26지표 15개년</t>
        </is>
      </c>
      <c r="C8" s="319" t="inlineStr">
        <is>
          <t>🟢 무료(수동)</t>
        </is>
      </c>
      <c r="D8" s="319" t="inlineStr">
        <is>
          <t>TE 웹 → xlsx</t>
        </is>
      </c>
      <c r="E8" s="319" t="inlineStr">
        <is>
          <t>0원</t>
        </is>
      </c>
      <c r="F8" s="319" t="inlineStr">
        <is>
          <t>98,955행 · BDI 자기발견 BDIY:IND 4,169건</t>
        </is>
      </c>
    </row>
    <row r="9">
      <c r="A9" s="319" t="inlineStr">
        <is>
          <t>USDA WASDE·PSD</t>
        </is>
      </c>
      <c r="B9" s="319" t="inlineStr">
        <is>
          <t>113·27지표</t>
        </is>
      </c>
      <c r="C9" s="319" t="inlineStr">
        <is>
          <t>🟢 무료(수동)</t>
        </is>
      </c>
      <c r="D9" s="319" t="inlineStr">
        <is>
          <t>USDA 포털</t>
        </is>
      </c>
      <c r="E9" s="319" t="inlineStr">
        <is>
          <t>0원</t>
        </is>
      </c>
      <c r="F9" s="319" t="inlineStr">
        <is>
          <t>지표코드 충돌 0 · WASDE_USDOM_SBO_STU 신규</t>
        </is>
      </c>
    </row>
    <row r="10">
      <c r="A10" s="319" t="inlineStr">
        <is>
          <t>USDA GATS</t>
        </is>
      </c>
      <c r="B10" s="319" t="inlineStr">
        <is>
          <t>무역통계</t>
        </is>
      </c>
      <c r="C10" s="319" t="inlineStr">
        <is>
          <t>🟢 무료(수동)</t>
        </is>
      </c>
      <c r="D10" s="319" t="inlineStr">
        <is>
          <t>GATS 포털</t>
        </is>
      </c>
      <c r="E10" s="319" t="inlineStr">
        <is>
          <t>0원</t>
        </is>
      </c>
      <c r="F10" s="319" t="inlineStr">
        <is>
          <t>11,080행 · 한국 4지표 192/192개월(100%)</t>
        </is>
      </c>
    </row>
    <row r="11">
      <c r="A11" s="319" t="inlineStr">
        <is>
          <t>관세청 GW</t>
        </is>
      </c>
      <c r="B11" s="319" t="inlineStr">
        <is>
          <t>HS 1507 + 대체·보완 14품목</t>
        </is>
      </c>
      <c r="C11" s="319" t="inlineStr">
        <is>
          <t>🟢 무료 API</t>
        </is>
      </c>
      <c r="D11" s="319" t="inlineStr">
        <is>
          <t>data.go.kr</t>
        </is>
      </c>
      <c r="E11" s="319" t="inlineStr">
        <is>
          <t>0원</t>
        </is>
      </c>
      <c r="F11" s="319" t="inlineStr">
        <is>
          <t>10,591건 첫 등재 · ⚠️401 간헐(조정자 키 확인)</t>
        </is>
      </c>
    </row>
    <row r="12">
      <c r="A12" s="319" t="inlineStr">
        <is>
          <t>NASA POWER·Open-Meteo</t>
        </is>
      </c>
      <c r="B12" s="319" t="inlineStr">
        <is>
          <t>12산지 기후</t>
        </is>
      </c>
      <c r="C12" s="319" t="inlineStr">
        <is>
          <t>🟢 무료 API</t>
        </is>
      </c>
      <c r="D12" s="319" t="inlineStr">
        <is>
          <t>power.larc.nasa.gov · open-meteo</t>
        </is>
      </c>
      <c r="E12" s="319" t="inlineStr">
        <is>
          <t>0원</t>
        </is>
      </c>
      <c r="F12" s="319" t="inlineStr">
        <is>
          <t>⚠️NASA 422 아메리카 6지역 잔존</t>
        </is>
      </c>
    </row>
    <row r="13">
      <c r="A13" s="319" t="inlineStr">
        <is>
          <t>KOSIS·BOK·FRED·EIA</t>
        </is>
      </c>
      <c r="B13" s="319" t="inlineStr">
        <is>
          <t>거시지표</t>
        </is>
      </c>
      <c r="C13" s="319" t="inlineStr">
        <is>
          <t>🟢 무료 API</t>
        </is>
      </c>
      <c r="D13" s="319" t="inlineStr">
        <is>
          <t>각 기관</t>
        </is>
      </c>
      <c r="E13" s="319" t="inlineStr">
        <is>
          <t>0원</t>
        </is>
      </c>
      <c r="F13" s="319" t="inlineStr">
        <is>
          <t>FRED ALFRED 실측 게시일 적용 · DEXKOUS 이중화</t>
        </is>
      </c>
    </row>
    <row r="14">
      <c r="A14" s="319" t="inlineStr">
        <is>
          <t>GAIN·FAO AMIS PDF</t>
        </is>
      </c>
      <c r="B14" s="319" t="inlineStr">
        <is>
          <t>정성 신호</t>
        </is>
      </c>
      <c r="C14" s="319" t="inlineStr">
        <is>
          <t>🟢 무료(수동)</t>
        </is>
      </c>
      <c r="D14" s="319" t="inlineStr">
        <is>
          <t>USDA / FAO</t>
        </is>
      </c>
      <c r="E14" s="319" t="inlineStr">
        <is>
          <t>0원</t>
        </is>
      </c>
      <c r="F14" s="319" t="inlineStr">
        <is>
          <t>2,227건 판독(DRM 0) · 신호 시계열 2,542행·18지표</t>
        </is>
      </c>
    </row>
    <row r="15">
      <c r="A15" s="319" t="inlineStr">
        <is>
          <t>GPR·ICE</t>
        </is>
      </c>
      <c r="B15" s="319" t="inlineStr">
        <is>
          <t>지정학·거래량</t>
        </is>
      </c>
      <c r="C15" s="319" t="inlineStr">
        <is>
          <t>🟢 무료</t>
        </is>
      </c>
      <c r="D15" s="319" t="inlineStr">
        <is>
          <t>공개 xls / 리포트</t>
        </is>
      </c>
      <c r="E15" s="319" t="inlineStr">
        <is>
          <t>0원</t>
        </is>
      </c>
      <c r="F15" s="319" t="inlineStr">
        <is>
          <t>GPR 115건 재개 · ICE 8,794행(2015·16 손상 2건 대기)</t>
        </is>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F10"/>
  <sheetViews>
    <sheetView workbookViewId="0">
      <pane ySplit="1" topLeftCell="A2" activePane="bottomLeft" state="frozen"/>
      <selection pane="bottomLeft" activeCell="A1" sqref="A1"/>
    </sheetView>
  </sheetViews>
  <sheetFormatPr baseColWidth="8" defaultRowHeight="15"/>
  <cols>
    <col width="6" customWidth="1" min="1" max="1"/>
    <col width="30" customWidth="1" min="2" max="2"/>
    <col width="10" customWidth="1" min="3" max="3"/>
    <col width="10" customWidth="1" min="4" max="4"/>
    <col width="46" customWidth="1" min="5" max="5"/>
    <col width="44" customWidth="1" min="6" max="6"/>
  </cols>
  <sheetData>
    <row r="1">
      <c r="A1" s="318" t="inlineStr">
        <is>
          <t>ID</t>
        </is>
      </c>
      <c r="B1" s="318" t="inlineStr">
        <is>
          <t>항목</t>
        </is>
      </c>
      <c r="C1" s="318" t="inlineStr">
        <is>
          <t>위험도</t>
        </is>
      </c>
      <c r="D1" s="318" t="inlineStr">
        <is>
          <t>예상 지연</t>
        </is>
      </c>
      <c r="E1" s="318" t="inlineStr">
        <is>
          <t>원인</t>
        </is>
      </c>
      <c r="F1" s="318" t="inlineStr">
        <is>
          <t>대응 방안</t>
        </is>
      </c>
    </row>
    <row r="2">
      <c r="A2" s="319" t="inlineStr">
        <is>
          <t>R1</t>
        </is>
      </c>
      <c r="B2" s="319" t="inlineStr">
        <is>
          <t>관세청 API 401 간헐 (800건 중 291건)</t>
        </is>
      </c>
      <c r="C2" s="319" t="inlineStr">
        <is>
          <t>🔴 높음</t>
        </is>
      </c>
      <c r="D2" s="319" t="inlineStr">
        <is>
          <t>3~5일</t>
        </is>
      </c>
      <c r="E2" s="319" t="inlineStr">
        <is>
          <t>코드측 XML 파서·필드 정규화·%Y.%m 폴백 모두 적용 완료 → 잔여는 data.go.kr 키 상태</t>
        </is>
      </c>
      <c r="F2" s="319" t="inlineStr">
        <is>
          <t>조정자 키 재확인·재발급. 미해소 시 GW 수기 xlsx 템플릿(A-075)으로 대체</t>
        </is>
      </c>
    </row>
    <row r="3">
      <c r="A3" s="319" t="inlineStr">
        <is>
          <t>R2</t>
        </is>
      </c>
      <c r="B3" s="319" t="inlineStr">
        <is>
          <t>GitHub→Azure ML 이관</t>
        </is>
      </c>
      <c r="C3" s="319" t="inlineStr">
        <is>
          <t>🔴 높음</t>
        </is>
      </c>
      <c r="D3" s="319" t="inlineStr">
        <is>
          <t>3~4주</t>
        </is>
      </c>
      <c r="E3" s="319" t="inlineStr">
        <is>
          <t>방화벽·구독 권한 승인 · Blob/mlflow 재구성 · 담당 1인</t>
        </is>
      </c>
      <c r="F3" s="319" t="inlineStr">
        <is>
          <t>T3 하드데드라인 = Actions 종료 −30일(10월 초). G1(8/31)·G2(9/10)는 Actions에서 완결</t>
        </is>
      </c>
    </row>
    <row r="4">
      <c r="A4" s="319" t="inlineStr">
        <is>
          <t>R3</t>
        </is>
      </c>
      <c r="B4" s="319" t="inlineStr">
        <is>
          <t>결정 대기열 DQ-1·2·4·5·8 미결 (DQ-3·6·10 해소)</t>
        </is>
      </c>
      <c r="C4" s="319" t="inlineStr">
        <is>
          <t>🔴 높음</t>
        </is>
      </c>
      <c r="D4" s="319" t="inlineStr">
        <is>
          <t>2주+</t>
        </is>
      </c>
      <c r="E4" s="319" t="inlineStr">
        <is>
          <t>basis 호가 · Baltic BCAA · BFG 승인 · Layers 실체 · Azure 관문 — 9월 초 일괄 결정 요청</t>
        </is>
      </c>
      <c r="F4" s="319" t="inlineStr">
        <is>
          <t>decision_queue.md 기준 9월 초 일괄 결정 요청</t>
        </is>
      </c>
    </row>
    <row r="5">
      <c r="A5" s="319" t="inlineStr">
        <is>
          <t>R4</t>
        </is>
      </c>
      <c r="B5" s="319" t="inlineStr">
        <is>
          <t>Semantic Layer 인과엣지 확장 (P1-06)</t>
        </is>
      </c>
      <c r="C5" s="319" t="inlineStr">
        <is>
          <t>🟡 중간</t>
        </is>
      </c>
      <c r="D5" s="319" t="inlineStr">
        <is>
          <t>1~2주</t>
        </is>
      </c>
      <c r="E5" s="319" t="inlineStr">
        <is>
          <t>v3 골격 완료(73노드·엣지 21) — 도메인 검증·근거 스팬 수작업 잔여</t>
        </is>
      </c>
      <c r="F5" s="319" t="inlineStr">
        <is>
          <t>MVO 유지 · validated 엣지만 승격. G1 일정 비의존</t>
        </is>
      </c>
    </row>
    <row r="6">
      <c r="A6" s="319" t="inlineStr">
        <is>
          <t>R5</t>
        </is>
      </c>
      <c r="B6" s="319" t="inlineStr">
        <is>
          <t>ICE 2015·2016 원본 손상</t>
        </is>
      </c>
      <c r="C6" s="319" t="inlineStr">
        <is>
          <t>🟡 중간</t>
        </is>
      </c>
      <c r="D6" s="319" t="inlineStr">
        <is>
          <t>3~5일</t>
        </is>
      </c>
      <c r="E6" s="319" t="inlineStr">
        <is>
          <t>업로드 경로(사내 프록시·DLP)에서 16,384B 절단 — 코드 무관(D-036)</t>
        </is>
      </c>
      <c r="F6" s="319" t="inlineStr">
        <is>
          <t>zip 압축 후 incoming/ b64 반입(A-137) — 조정자 재업로드</t>
        </is>
      </c>
    </row>
    <row r="7">
      <c r="A7" s="319" t="inlineStr">
        <is>
          <t>R6</t>
        </is>
      </c>
      <c r="B7" s="319" t="inlineStr">
        <is>
          <t>개정 확정치 94종 vintage 미처리</t>
        </is>
      </c>
      <c r="C7" s="319" t="inlineStr">
        <is>
          <t>🟡 중간</t>
        </is>
      </c>
      <c r="D7" s="319" t="inlineStr">
        <is>
          <t>3~5일</t>
        </is>
      </c>
      <c r="E7" s="319" t="inlineStr">
        <is>
          <t>REVISION_HISTORY로 식별만 완료 — GPT [치명]은 표기가 아닌 분리·제외 요구</t>
        </is>
      </c>
      <c r="F7" s="319" t="inlineStr">
        <is>
          <t>M-009 단계에서 vintage 민감도 검증 후 오염 계열 분리</t>
        </is>
      </c>
    </row>
    <row r="8">
      <c r="A8" s="319" t="inlineStr">
        <is>
          <t>R7</t>
        </is>
      </c>
      <c r="B8" s="319" t="inlineStr">
        <is>
          <t>Granger 유의 0건 지속</t>
        </is>
      </c>
      <c r="C8" s="319" t="inlineStr">
        <is>
          <t>🟡 중간</t>
        </is>
      </c>
      <c r="D8" s="319" t="inlineStr">
        <is>
          <t>2~3일</t>
        </is>
      </c>
      <c r="E8" s="319" t="inlineStr">
        <is>
          <t>보수적 Bonferroni + 연도 분할 표본 부족 + ENSO_ONI 오염(A-179) 기여</t>
        </is>
      </c>
      <c r="F8" s="319" t="inlineStr">
        <is>
          <t>ONI 정정 후 재평가 · 국소투영 병행으로 시차 반응 확인</t>
        </is>
      </c>
    </row>
    <row r="9">
      <c r="A9" s="319" t="inlineStr">
        <is>
          <t>R8</t>
        </is>
      </c>
      <c r="B9" s="319" t="inlineStr">
        <is>
          <t>Blob 이관 8월 필수 3건</t>
        </is>
      </c>
      <c r="C9" s="319" t="inlineStr">
        <is>
          <t>🟡 중간</t>
        </is>
      </c>
      <c r="D9" s="319" t="inlineStr">
        <is>
          <t>1주</t>
        </is>
      </c>
      <c r="E9" s="319" t="inlineStr">
        <is>
          <t>스냅샷 게이트 미실증 · 방화벽 승인 리드타임</t>
        </is>
      </c>
      <c r="F9" s="319" t="inlineStr">
        <is>
          <t>8/28 실증 · 8/29 allowlist 제출. 미이행 시 9/11~10월 초 창이 압축됨</t>
        </is>
      </c>
    </row>
    <row r="10">
      <c r="A10" s="319" t="inlineStr">
        <is>
          <t>R9</t>
        </is>
      </c>
      <c r="B10" s="319" t="inlineStr">
        <is>
          <t>외부 API 잔여 오류 (NASA POWER 422)</t>
        </is>
      </c>
      <c r="C10" s="319" t="inlineStr">
        <is>
          <t>🟢 낮음</t>
        </is>
      </c>
      <c r="D10" s="319" t="inlineStr">
        <is>
          <t>1~2일</t>
        </is>
      </c>
      <c r="E10" s="319" t="inlineStr">
        <is>
          <t>아메리카 6지역 한정 — 음수 경도 처리 의심</t>
        </is>
      </c>
      <c r="F10" s="319" t="inlineStr">
        <is>
          <t>요청·응답 전문 로그 후 판정. 기후 1차 소스는 Open-Meteo ERA5-Land</t>
        </is>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G13"/>
  <sheetViews>
    <sheetView workbookViewId="0">
      <pane ySplit="1" topLeftCell="A2" activePane="bottomLeft" state="frozen"/>
      <selection pane="bottomLeft" activeCell="A1" sqref="A1"/>
    </sheetView>
  </sheetViews>
  <sheetFormatPr baseColWidth="8" defaultRowHeight="15"/>
  <cols>
    <col width="12" customWidth="1" min="1" max="1"/>
    <col width="46" customWidth="1" min="2" max="2"/>
    <col width="10" customWidth="1" min="3" max="3"/>
    <col width="10" customWidth="1" min="4" max="4"/>
    <col width="14" customWidth="1" min="5" max="5"/>
  </cols>
  <sheetData>
    <row r="1">
      <c r="A1" s="318" t="inlineStr">
        <is>
          <t>구분</t>
        </is>
      </c>
      <c r="B1" s="318" t="inlineStr">
        <is>
          <t>작업</t>
        </is>
      </c>
      <c r="C1" s="318" t="inlineStr">
        <is>
          <t>담당</t>
        </is>
      </c>
      <c r="D1" s="318" t="inlineStr">
        <is>
          <t>기한</t>
        </is>
      </c>
      <c r="E1" s="318" t="inlineStr">
        <is>
          <t>상태</t>
        </is>
      </c>
    </row>
    <row r="2">
      <c r="A2" s="319" t="inlineStr">
        <is>
          <t>분석</t>
        </is>
      </c>
      <c r="B2" s="319" t="inlineStr">
        <is>
          <t>M-009 방법론 확장 (ElasticNet·LightGBM+SHAP·Permutation·국소투영)</t>
        </is>
      </c>
      <c r="C2" s="319" t="inlineStr">
        <is>
          <t>조영훈</t>
        </is>
      </c>
      <c r="D2" s="319" t="inlineStr">
        <is>
          <t>8/27</t>
        </is>
      </c>
      <c r="E2" s="319" t="inlineStr">
        <is>
          <t>진행</t>
        </is>
      </c>
    </row>
    <row r="3">
      <c r="A3" s="319" t="inlineStr">
        <is>
          <t>분석</t>
        </is>
      </c>
      <c r="B3" s="319" t="inlineStr">
        <is>
          <t>horizon(1·5·20·60일)×레짐 중요도 분해 + 다중윈도우 6단계</t>
        </is>
      </c>
      <c r="C3" s="319" t="inlineStr">
        <is>
          <t>조영훈</t>
        </is>
      </c>
      <c r="D3" s="319" t="inlineStr">
        <is>
          <t>8/28</t>
        </is>
      </c>
      <c r="E3" s="319" t="inlineStr">
        <is>
          <t>착수</t>
        </is>
      </c>
    </row>
    <row r="4">
      <c r="A4" s="319" t="inlineStr">
        <is>
          <t>분석</t>
        </is>
      </c>
      <c r="B4" s="319" t="inlineStr">
        <is>
          <t>알림 임계 재보정 (P90·2σ·Bonferroni) · Granger 재평가(ONI 정정 반영)</t>
        </is>
      </c>
      <c r="C4" s="319" t="inlineStr">
        <is>
          <t>조영훈</t>
        </is>
      </c>
      <c r="D4" s="319" t="inlineStr">
        <is>
          <t>8/27</t>
        </is>
      </c>
      <c r="E4" s="319" t="inlineStr">
        <is>
          <t>대기</t>
        </is>
      </c>
    </row>
    <row r="5">
      <c r="A5" s="319" t="inlineStr">
        <is>
          <t>분석</t>
        </is>
      </c>
      <c r="B5" s="319" t="inlineStr">
        <is>
          <t>개정 확정치 94종 vintage 민감도 검증 (분리·제외 판정)</t>
        </is>
      </c>
      <c r="C5" s="319" t="inlineStr">
        <is>
          <t>조영훈</t>
        </is>
      </c>
      <c r="D5" s="319" t="inlineStr">
        <is>
          <t>8/28</t>
        </is>
      </c>
      <c r="E5" s="319" t="inlineStr">
        <is>
          <t>대기</t>
        </is>
      </c>
    </row>
    <row r="6">
      <c r="A6" s="319" t="inlineStr">
        <is>
          <t>분석</t>
        </is>
      </c>
      <c r="B6" s="319" t="inlineStr">
        <is>
          <t>G2 Preview 분위수 모델 착수 (SARIMAX·Quantile LGBM — 9/3 1차)</t>
        </is>
      </c>
      <c r="C6" s="319" t="inlineStr">
        <is>
          <t>조영훈</t>
        </is>
      </c>
      <c r="D6" s="319" t="inlineStr">
        <is>
          <t>9/3</t>
        </is>
      </c>
      <c r="E6" s="319" t="inlineStr">
        <is>
          <t>착수</t>
        </is>
      </c>
    </row>
    <row r="7">
      <c r="A7" s="319" t="inlineStr">
        <is>
          <t>시각화</t>
        </is>
      </c>
      <c r="B7" s="319" t="inlineStr">
        <is>
          <t>G1 일별 경보판 첫 가동 판정 (8/26 KST 05:30 런 — A-195 실효 확인)</t>
        </is>
      </c>
      <c r="C7" s="319" t="inlineStr">
        <is>
          <t>조영훈</t>
        </is>
      </c>
      <c r="D7" s="319" t="inlineStr">
        <is>
          <t>8/26</t>
        </is>
      </c>
      <c r="E7" s="319" t="inlineStr">
        <is>
          <t>검증 대기</t>
        </is>
      </c>
    </row>
    <row r="8">
      <c r="A8" s="319" t="inlineStr">
        <is>
          <t>시각화</t>
        </is>
      </c>
      <c r="B8" s="319" t="inlineStr">
        <is>
          <t>G1 정식판 발행 게이트 리허설 → ★8/31 G1 자동화 완료</t>
        </is>
      </c>
      <c r="C8" s="319" t="inlineStr">
        <is>
          <t>조영훈</t>
        </is>
      </c>
      <c r="D8" s="319" t="inlineStr">
        <is>
          <t>8/31</t>
        </is>
      </c>
      <c r="E8" s="319" t="inlineStr">
        <is>
          <t>착수</t>
        </is>
      </c>
    </row>
    <row r="9">
      <c r="A9" s="319" t="inlineStr">
        <is>
          <t>차별화</t>
        </is>
      </c>
      <c r="B9" s="319" t="inlineStr">
        <is>
          <t>E1 서명된 무소식 첫 실전 스탬프 확인 → D5(리드타임 D-day) 착수</t>
        </is>
      </c>
      <c r="C9" s="319" t="inlineStr">
        <is>
          <t>조영훈</t>
        </is>
      </c>
      <c r="D9" s="319" t="inlineStr">
        <is>
          <t>8/28</t>
        </is>
      </c>
      <c r="E9" s="319" t="inlineStr">
        <is>
          <t>진행</t>
        </is>
      </c>
    </row>
    <row r="10">
      <c r="A10" s="319" t="inlineStr">
        <is>
          <t>아키텍처</t>
        </is>
      </c>
      <c r="B10" s="319" t="inlineStr">
        <is>
          <t>egress allowlist v2.2(42호스트) 제출 ★8/29 하드</t>
        </is>
      </c>
      <c r="C10" s="319" t="inlineStr">
        <is>
          <t>조정자</t>
        </is>
      </c>
      <c r="D10" s="319" t="inlineStr">
        <is>
          <t>8/29</t>
        </is>
      </c>
      <c r="E10" s="319" t="inlineStr">
        <is>
          <t>🔴 제출 대기</t>
        </is>
      </c>
    </row>
    <row r="11">
      <c r="A11" s="319" t="inlineStr">
        <is>
          <t>아키텍처</t>
        </is>
      </c>
      <c r="B11" s="319" t="inlineStr">
        <is>
          <t>Azure Blob 스냅샷 게이트 1회 실증 (Secrets 등록 지원 필요)</t>
        </is>
      </c>
      <c r="C11" s="319" t="inlineStr">
        <is>
          <t>조영훈</t>
        </is>
      </c>
      <c r="D11" s="319" t="inlineStr">
        <is>
          <t>8/28</t>
        </is>
      </c>
      <c r="E11" s="319" t="inlineStr">
        <is>
          <t>대기</t>
        </is>
      </c>
    </row>
    <row r="12">
      <c r="A12" s="319" t="inlineStr">
        <is>
          <t>데이터수집</t>
        </is>
      </c>
      <c r="B12" s="319" t="inlineStr">
        <is>
          <t>관세청 10단위 수작업(가이드 A-197) · Cargill 2022~25 연차 공유</t>
        </is>
      </c>
      <c r="C12" s="319" t="inlineStr">
        <is>
          <t>조정자</t>
        </is>
      </c>
      <c r="D12" s="319" t="inlineStr">
        <is>
          <t>8/29</t>
        </is>
      </c>
      <c r="E12" s="319" t="inlineStr">
        <is>
          <t>진행</t>
        </is>
      </c>
    </row>
    <row r="13">
      <c r="A13" s="319" t="inlineStr">
        <is>
          <t>데이터수집</t>
        </is>
      </c>
      <c r="B13" s="319" t="inlineStr">
        <is>
          <t>ICE 2015·2016 zip 재업로드 · AISSTREAM 키 확인 · 물류신문 원문</t>
        </is>
      </c>
      <c r="C13" s="319" t="inlineStr">
        <is>
          <t>조정자</t>
        </is>
      </c>
      <c r="D13" s="319" t="inlineStr">
        <is>
          <t>8/29</t>
        </is>
      </c>
      <c r="E13" s="319" t="inlineStr">
        <is>
          <t>대기</t>
        </is>
      </c>
    </row>
  </sheetData>
  <pageMargins left="0.75" right="0.75" top="1" bottom="1" header="0.5" footer="0.5"/>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https://xlworks.net</dc:creator>
  <dcterms:created xsi:type="dcterms:W3CDTF">2018-02-18T09:45:14Z</dcterms:created>
  <dcterms:modified xsi:type="dcterms:W3CDTF">2026-08-25T12:19:37Z</dcterms:modified>
  <cp:lastModifiedBy>ds</cp:lastModifiedBy>
  <cp:lastPrinted>2022-06-05T11:24:31Z</cp:lastPrinted>
</cp:coreProperties>
</file>