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U:\데이터플랫폼팀\00 데이터플랫폼팀_공유\데이터플랫폼팀(23.03~)\08 데이터 분석\01 WBS\"/>
    </mc:Choice>
  </mc:AlternateContent>
  <bookViews>
    <workbookView xWindow="28680" yWindow="-120" windowWidth="29040" windowHeight="15720" tabRatio="636" activeTab="1"/>
  </bookViews>
  <sheets>
    <sheet name="Help" sheetId="9" r:id="rId1"/>
    <sheet name="Schedule" sheetId="31" r:id="rId2"/>
    <sheet name="Progress" sheetId="3" r:id="rId3"/>
    <sheet name="AnalysisReport" sheetId="4" r:id="rId4"/>
    <sheet name="Progress_Data" sheetId="35" r:id="rId5"/>
    <sheet name="Calendar" sheetId="5" r:id="rId6"/>
    <sheet name="TranslatedLanguages" sheetId="7" state="hidden" r:id="rId7"/>
    <sheet name="Settings" sheetId="6" state="veryHidden" r:id="rId8"/>
  </sheets>
  <functionGroups builtInGroupCount="18"/>
  <definedNames>
    <definedName name="_xlnm._FilterDatabase" localSheetId="1" hidden="1">Schedule!$P$3:$AB$4</definedName>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Schedule!$D$1:$BM$56</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N5" i="31" l="1"/>
  <c r="BB5" i="31"/>
  <c r="AH6" i="31"/>
  <c r="AF7" i="31"/>
  <c r="AH8" i="31"/>
  <c r="AH9" i="31"/>
  <c r="AH10" i="31"/>
  <c r="AK11" i="31"/>
  <c r="AS11" i="31"/>
  <c r="AJ12" i="31"/>
  <c r="AN13" i="31"/>
  <c r="AS14" i="31"/>
  <c r="AO15" i="31"/>
  <c r="AX16" i="31"/>
  <c r="BB16" i="31"/>
  <c r="AX17" i="31"/>
  <c r="AY18" i="31"/>
  <c r="BB19" i="31"/>
  <c r="BB20" i="31"/>
  <c r="AL22" i="31"/>
  <c r="BB22" i="31"/>
  <c r="AJ23" i="31"/>
  <c r="AJ24" i="31"/>
  <c r="AJ25" i="31"/>
  <c r="AI26" i="31"/>
  <c r="AJ27" i="31"/>
  <c r="AL28" i="31"/>
  <c r="AO28" i="31"/>
  <c r="AK29" i="31"/>
  <c r="AK30" i="31"/>
  <c r="AN30" i="31"/>
  <c r="AJ31" i="31"/>
  <c r="AL32" i="31"/>
  <c r="AK33" i="31"/>
  <c r="AN33" i="31"/>
  <c r="AN34" i="31"/>
  <c r="AO35" i="31"/>
  <c r="AY35" i="31"/>
  <c r="AO36" i="31"/>
  <c r="AW36" i="31"/>
  <c r="AO37" i="31"/>
  <c r="AO38" i="31"/>
  <c r="AW38" i="31"/>
  <c r="AQ39" i="31"/>
  <c r="AV39" i="31"/>
  <c r="AO40" i="31"/>
  <c r="AS41" i="31"/>
  <c r="AT42" i="31"/>
  <c r="AO43" i="31"/>
  <c r="AW43" i="31"/>
  <c r="AO44" i="31"/>
  <c r="AW44" i="31"/>
  <c r="AQ45" i="31"/>
  <c r="AW45" i="31"/>
  <c r="AU46" i="31"/>
  <c r="AY46" i="31"/>
  <c r="AU47" i="31"/>
  <c r="AX48" i="31"/>
  <c r="AY49" i="31"/>
  <c r="AY50" i="31"/>
  <c r="AY51" i="31"/>
  <c r="AY52" i="31"/>
  <c r="AY53" i="31"/>
  <c r="AZ54" i="31"/>
  <c r="BA55" i="31"/>
  <c r="BB56" i="31"/>
  <c r="C5" i="5" l="1"/>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B24" i="3" l="1"/>
  <c r="D1" i="31" a="1"/>
  <c r="AC1" i="31" a="1"/>
  <c r="D1" i="31" l="1"/>
  <c r="AC1" i="3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<sst xmlns="http://schemas.openxmlformats.org/spreadsheetml/2006/main" count="2613" uniqueCount="1686">
  <si>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</si>
  <si>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</si>
  <si>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</si>
  <si>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</si>
  <si>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</si>
  <si>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</si>
  <si>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</si>
  <si>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</si>
  <si>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</si>
  <si>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</si>
  <si>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</si>
  <si>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</si>
  <si>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</si>
  <si>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</si>
  <si>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</si>
  <si>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</si>
  <si>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</si>
  <si>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</si>
  <si>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</si>
  <si>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</si>
  <si>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</si>
  <si>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</si>
  <si>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</si>
  <si>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</si>
  <si>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</si>
  <si>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</si>
  <si>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</si>
  <si>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</si>
  <si>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</si>
  <si>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</si>
  <si>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</si>
  <si>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</si>
  <si>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</si>
  <si>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</si>
  <si>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</si>
  <si>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</si>
  <si>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</si>
  <si>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</si>
  <si>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</si>
  <si>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</si>
  <si>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</si>
  <si>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</si>
  <si>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</si>
  <si>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</si>
  <si>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</si>
  <si>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</si>
  <si>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</si>
  <si>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</si>
  <si>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</si>
  <si>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</si>
  <si>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</si>
  <si>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</si>
  <si>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</si>
  <si>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</si>
  <si>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</si>
  <si>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</si>
  <si>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</si>
  <si>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</si>
  <si>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</si>
  <si>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</si>
  <si>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</si>
  <si>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</si>
  <si>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</si>
  <si>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</si>
  <si>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</si>
  <si>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</si>
  <si>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</si>
  <si>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</si>
  <si>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</si>
  <si>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</si>
  <si>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</si>
  <si>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</si>
  <si>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</si>
  <si>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</si>
  <si>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</si>
  <si>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</si>
  <si>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</si>
  <si>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</si>
  <si>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</si>
  <si>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</si>
  <si>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</si>
  <si>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</si>
  <si>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</si>
  <si>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</si>
  <si>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</si>
  <si>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</si>
  <si>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</si>
  <si>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</si>
  <si>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</si>
  <si>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</si>
  <si>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</si>
  <si>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</si>
  <si>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</si>
  <si>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</si>
  <si>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</si>
  <si>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</si>
  <si>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</si>
  <si>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</si>
  <si>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</si>
  <si>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</si>
  <si>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</si>
  <si>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</si>
  <si>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</si>
  <si>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</si>
  <si>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</si>
  <si>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</si>
  <si>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</si>
  <si>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</si>
  <si>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</si>
  <si>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</si>
  <si>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</si>
  <si>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</si>
  <si>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</si>
  <si>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</si>
  <si>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</si>
  <si>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</si>
  <si>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</si>
  <si>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</si>
  <si>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</si>
  <si>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</si>
  <si>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</si>
  <si>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</si>
  <si>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</si>
  <si>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</si>
  <si>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</si>
  <si>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</si>
  <si>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</si>
  <si>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</si>
  <si>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</si>
  <si>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</si>
  <si>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</si>
  <si>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</si>
  <si>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</si>
  <si>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</si>
  <si>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</si>
  <si>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</si>
  <si>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</si>
  <si>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</si>
  <si>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</si>
  <si>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</si>
  <si>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</si>
  <si>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</si>
  <si>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</si>
  <si>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</si>
  <si>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</si>
  <si>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</si>
  <si>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</si>
  <si>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</si>
  <si>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</si>
  <si>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</si>
  <si>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</si>
  <si>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</si>
  <si>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</si>
  <si>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</si>
  <si>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</si>
  <si>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</si>
  <si>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</si>
  <si>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</si>
  <si>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</si>
  <si>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</si>
  <si>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</si>
  <si>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</si>
  <si>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</si>
  <si>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</si>
  <si>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</si>
  <si>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</si>
  <si>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</si>
  <si>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</si>
  <si>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</si>
  <si>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</si>
  <si>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</si>
  <si>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</si>
  <si>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</si>
  <si>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</si>
  <si>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</si>
  <si>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</si>
  <si>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</si>
  <si>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</si>
  <si>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</si>
  <si>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</si>
  <si>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</si>
  <si>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</si>
  <si>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</si>
  <si>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</si>
  <si>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</si>
  <si>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</si>
  <si>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</si>
  <si>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</si>
  <si>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</si>
  <si>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</si>
  <si>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</si>
  <si>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</si>
  <si>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</si>
  <si>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</si>
  <si>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</si>
  <si>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</si>
  <si>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</si>
  <si>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</si>
  <si>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</si>
  <si>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</si>
  <si>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</si>
  <si>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</si>
  <si>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</si>
  <si>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</si>
  <si>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</si>
  <si>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</si>
  <si>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</si>
  <si>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</si>
  <si>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</si>
  <si>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</si>
  <si>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</si>
  <si>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</si>
  <si>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</si>
  <si>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</si>
  <si>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</si>
  <si>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</si>
  <si>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</si>
  <si>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</si>
  <si>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</si>
  <si>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</si>
  <si>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</si>
  <si>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</si>
  <si>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</si>
  <si>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</si>
  <si>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</si>
  <si>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</si>
  <si>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</si>
  <si>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</si>
  <si>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</si>
  <si>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</si>
  <si>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</si>
  <si>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</si>
  <si>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</si>
  <si>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</si>
  <si>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</si>
  <si>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</si>
  <si>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</si>
  <si>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</si>
  <si>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</si>
  <si>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</si>
  <si>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</si>
  <si>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</si>
  <si>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</si>
  <si>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</si>
  <si>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</si>
  <si>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</si>
  <si>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</si>
  <si>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</si>
  <si>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</si>
  <si>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</si>
  <si>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</si>
  <si>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</si>
  <si>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</si>
  <si>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</si>
  <si>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</si>
  <si>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</si>
  <si>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</si>
  <si>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</si>
  <si>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</si>
  <si>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</si>
  <si>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</si>
  <si>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</si>
  <si>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</si>
  <si>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</si>
  <si>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</si>
  <si>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</si>
  <si>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</si>
  <si>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</si>
  <si>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</si>
  <si>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</si>
  <si>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</si>
  <si>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</si>
  <si>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</si>
  <si>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</si>
  <si>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</si>
  <si>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</si>
  <si>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</si>
  <si>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</si>
  <si>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</si>
  <si>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</si>
  <si>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</si>
  <si>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</si>
  <si>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</si>
  <si>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</si>
  <si>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</si>
  <si>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</si>
  <si>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</si>
  <si>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</si>
  <si>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</si>
  <si>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</si>
  <si>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</si>
  <si>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</si>
  <si>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</si>
  <si>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</si>
  <si>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</si>
  <si>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</si>
  <si>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</si>
  <si>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</si>
  <si>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</si>
  <si>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</si>
  <si>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</si>
  <si>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</si>
  <si>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</si>
  <si>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</si>
  <si>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</si>
  <si>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</si>
  <si>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</si>
  <si>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</si>
  <si>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</si>
  <si>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</si>
  <si>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</si>
  <si>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</si>
  <si>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</si>
  <si>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</si>
  <si>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</si>
  <si>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</si>
  <si>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</si>
  <si>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</si>
  <si>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</si>
  <si>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</si>
  <si>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</si>
  <si>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</si>
  <si>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</si>
  <si>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</si>
  <si>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</si>
  <si>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</si>
  <si>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</si>
  <si>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</si>
  <si>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</si>
  <si>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</si>
  <si>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</si>
  <si>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</si>
  <si>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</si>
  <si>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</si>
  <si>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</si>
  <si>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</si>
  <si>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</si>
  <si>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</si>
  <si>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</si>
  <si>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</si>
  <si>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</si>
  <si>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</si>
  <si>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</si>
  <si>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</si>
  <si>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</si>
  <si>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</si>
  <si>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</si>
  <si>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</si>
  <si>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</si>
  <si>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</si>
  <si>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</si>
  <si>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</si>
  <si>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</si>
  <si>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</si>
  <si>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</si>
  <si>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</si>
  <si>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</si>
  <si>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</si>
  <si>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</si>
  <si>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</si>
  <si>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</si>
  <si>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</si>
  <si>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</si>
  <si>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</si>
  <si>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</si>
  <si>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</si>
  <si>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</si>
  <si>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</si>
  <si>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</si>
  <si>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</si>
  <si>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</si>
  <si>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</si>
  <si>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</si>
  <si>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</si>
  <si>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</si>
  <si>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</si>
  <si>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</si>
  <si>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</si>
  <si>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</si>
  <si>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</si>
  <si>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</si>
  <si>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</si>
  <si>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</si>
  <si>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</si>
  <si>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</si>
  <si>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</si>
  <si>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</si>
  <si>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</si>
  <si>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</si>
  <si>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</si>
  <si>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</si>
  <si>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</si>
  <si>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</si>
  <si>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</si>
  <si>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</si>
  <si>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</si>
  <si>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</si>
  <si>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</si>
  <si>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</si>
  <si>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</si>
  <si>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</si>
  <si>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</si>
  <si>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</si>
  <si>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</si>
  <si>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</si>
  <si>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</si>
  <si>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</si>
  <si>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</si>
  <si>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</si>
  <si>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</si>
  <si>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</si>
  <si>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</si>
  <si>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</si>
  <si>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</si>
  <si>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</si>
  <si>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</si>
  <si>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</si>
  <si>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</si>
  <si>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</si>
  <si>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</si>
  <si>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</si>
  <si>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</si>
  <si>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</si>
  <si>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</si>
  <si>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</si>
  <si>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</si>
  <si>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</si>
  <si>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</si>
  <si>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</si>
  <si>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</si>
  <si>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</si>
  <si>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</si>
  <si>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</si>
  <si>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</si>
  <si>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</si>
  <si>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</si>
  <si>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</si>
  <si>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</si>
  <si>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</si>
  <si>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</si>
  <si>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</si>
  <si>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</si>
  <si>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</si>
  <si>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</si>
  <si>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</si>
  <si>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</si>
  <si>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</si>
  <si>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</si>
  <si>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</si>
  <si>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</si>
  <si>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</si>
  <si>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</si>
  <si>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</si>
  <si>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</si>
  <si>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</si>
  <si>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</si>
  <si>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</si>
  <si>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</si>
  <si>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</si>
  <si>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</si>
  <si>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</si>
  <si>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</si>
  <si>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</si>
  <si>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</si>
  <si>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</si>
  <si>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</si>
  <si>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</si>
  <si>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</si>
  <si>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</si>
  <si>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</si>
  <si>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</si>
  <si>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</si>
  <si>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</si>
  <si>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</si>
  <si>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</si>
  <si>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</si>
  <si>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</si>
  <si>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</si>
  <si>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</si>
  <si>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</si>
  <si>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Planned Workload(Man-Day)</t>
    <phoneticPr fontId="1" type="noConversion"/>
  </si>
  <si>
    <t>Planned Workload Accumulated(Man-Day)</t>
    <phoneticPr fontId="1" type="noConversion"/>
  </si>
  <si>
    <t>Planned Workload Progress</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</si>
  <si>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</si>
  <si>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</si>
  <si>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</si>
  <si>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</si>
  <si>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</si>
  <si>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</si>
  <si>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</si>
  <si>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</si>
  <si>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</si>
  <si>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</si>
  <si>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Value(C)\nMan-day</t>
    <phoneticPr fontId="1" type="noConversion"/>
  </si>
  <si>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</si>
  <si>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</si>
  <si>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</si>
  <si>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</si>
  <si>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</si>
  <si>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</si>
  <si>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</si>
  <si>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</si>
  <si>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</si>
  <si>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</si>
  <si>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</si>
  <si>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</si>
  <si>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</si>
  <si>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</si>
  <si>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</si>
  <si>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</si>
  <si>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</si>
  <si>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</si>
  <si>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</si>
  <si>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</si>
  <si>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</si>
  <si>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</si>
  <si>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</si>
  <si>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</si>
  <si>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</si>
  <si>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</si>
  <si>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</si>
  <si>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</si>
  <si>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</si>
  <si>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</si>
  <si>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</si>
  <si>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</si>
  <si>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</si>
  <si>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</si>
  <si>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</si>
  <si>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</si>
  <si>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</si>
  <si>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</si>
  <si>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</si>
  <si>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</si>
  <si>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</si>
  <si>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</si>
  <si>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</si>
  <si>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</si>
  <si>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</si>
  <si>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</si>
  <si>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</si>
  <si>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</si>
  <si>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</si>
  <si>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</si>
  <si>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</si>
  <si>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</si>
  <si>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</si>
  <si>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</si>
  <si>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</si>
  <si>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</si>
  <si>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</si>
  <si>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</si>
  <si>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</si>
  <si>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</si>
  <si>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Purple</t>
    <phoneticPr fontId="1" type="noConversion"/>
  </si>
  <si>
    <t>Green</t>
    <phoneticPr fontId="1" type="noConversion"/>
  </si>
  <si>
    <t>Custom</t>
    <phoneticPr fontId="1" type="noConversion"/>
  </si>
  <si>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</si>
  <si>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</si>
  <si>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</si>
  <si>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</si>
  <si>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</si>
  <si>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</si>
  <si>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</si>
  <si>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</si>
  <si>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</si>
  <si>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</si>
  <si>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</si>
  <si>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F</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</si>
  <si>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</si>
  <si>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</si>
  <si>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</si>
  <si>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</si>
  <si>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</si>
  <si>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</si>
  <si>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</si>
  <si>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</si>
  <si>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</si>
  <si>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</si>
  <si>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</si>
  <si>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</si>
  <si>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12/1/2018</t>
    <phoneticPr fontId="1" type="noConversion"/>
  </si>
  <si>
    <t>&lt;&lt; Unmap</t>
    <phoneticPr fontId="1" type="noConversion"/>
  </si>
  <si>
    <t>&lt;&lt; Remove</t>
    <phoneticPr fontId="1"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</si>
  <si>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</si>
  <si>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</si>
  <si>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</si>
  <si>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</si>
  <si>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</si>
  <si>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</si>
  <si>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</si>
  <si>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</si>
  <si>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</si>
  <si>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</si>
  <si>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</si>
  <si>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</si>
  <si>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</si>
  <si>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</si>
  <si>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</si>
  <si>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</si>
  <si>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</si>
  <si>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</si>
  <si>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</si>
  <si>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</si>
  <si>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</si>
  <si>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</si>
  <si>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</si>
  <si>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</si>
  <si>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</si>
  <si>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</si>
  <si>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</si>
  <si>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</si>
  <si>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</si>
  <si>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</si>
  <si>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</si>
  <si>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</si>
  <si>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</si>
  <si>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</si>
  <si>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</si>
  <si>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</si>
  <si>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</si>
  <si>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</si>
  <si>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</si>
  <si>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</si>
  <si>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</si>
  <si>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</si>
  <si>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</si>
  <si>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</si>
  <si>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</si>
  <si>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</si>
  <si>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</si>
  <si>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</si>
  <si>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</si>
  <si>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</si>
  <si>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</si>
  <si>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</si>
  <si>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</si>
  <si>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</si>
  <si>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</si>
  <si>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</si>
  <si>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</si>
  <si>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</si>
  <si>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</si>
  <si>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</si>
  <si>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</si>
  <si>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</si>
  <si>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</si>
  <si>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</si>
  <si>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</si>
  <si>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</si>
  <si>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</si>
  <si>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</si>
  <si>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</si>
  <si>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</si>
  <si>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</si>
  <si>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</si>
  <si>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</si>
  <si>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</si>
  <si>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</si>
  <si>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</si>
  <si>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C:\Program Files\Notepad++\notepad++.exe</t>
    <phoneticPr fontId="1" type="noConversion"/>
  </si>
  <si>
    <t>C:\WINDOWS\system32\notepad.exe</t>
    <phoneticPr fontId="1" type="noConversion"/>
  </si>
  <si>
    <t>AutoCAD</t>
    <phoneticPr fontId="1" type="noConversion"/>
  </si>
  <si>
    <t>메모장</t>
    <phoneticPr fontId="1" type="noConversion"/>
  </si>
  <si>
    <t>Notepad++</t>
    <phoneticPr fontId="1" type="noConversion"/>
  </si>
  <si>
    <t>dwg</t>
    <phoneticPr fontId="1" type="noConversion"/>
  </si>
  <si>
    <t>txt</t>
    <phoneticPr fontId="1" type="noConversion"/>
  </si>
  <si>
    <t>html</t>
    <phoneticPr fontId="1" type="noConversion"/>
  </si>
  <si>
    <t>ppt*</t>
    <phoneticPr fontId="1" type="noConversion"/>
  </si>
  <si>
    <t>xls*</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</si>
  <si>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</si>
  <si>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</si>
  <si>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</si>
  <si>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</si>
  <si>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</si>
  <si>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</si>
  <si>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</si>
  <si>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</si>
  <si>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</si>
  <si>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</si>
  <si>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</si>
  <si>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</si>
  <si>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</si>
  <si>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</si>
  <si>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</si>
  <si>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</si>
  <si>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</si>
  <si>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</si>
  <si>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</si>
  <si>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</si>
  <si>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</si>
  <si>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</si>
  <si>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</si>
  <si>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</si>
  <si>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</si>
  <si>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</si>
  <si>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</si>
  <si>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</si>
  <si>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</si>
  <si>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</si>
  <si>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</si>
  <si>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</si>
  <si>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</si>
  <si>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</si>
  <si>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</si>
  <si>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</si>
  <si>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</si>
  <si>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</si>
  <si>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</si>
  <si>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</si>
  <si>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</si>
  <si>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</si>
  <si>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</si>
  <si>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</si>
  <si>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</si>
  <si>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</si>
  <si>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</si>
  <si>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</si>
  <si>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</si>
  <si>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</si>
  <si>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</si>
  <si>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</si>
  <si>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</si>
  <si>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</si>
  <si>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</si>
  <si>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</si>
  <si>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</si>
  <si>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</si>
  <si>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</si>
  <si>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</si>
  <si>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</si>
  <si>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</si>
  <si>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</si>
  <si>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</si>
  <si>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</si>
  <si>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</si>
  <si>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</si>
  <si>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OG</t>
    <phoneticPr fontId="1" type="noConversion"/>
  </si>
  <si>
    <t>OW</t>
    <phoneticPr fontId="1" type="noConversion"/>
  </si>
  <si>
    <t>OD</t>
    <phoneticPr fontId="1" type="noConversion"/>
  </si>
  <si>
    <t>OP</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</si>
  <si>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</si>
  <si>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</si>
  <si>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</si>
  <si>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</si>
  <si>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</si>
  <si>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</si>
  <si>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</si>
  <si>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</si>
  <si>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</si>
  <si>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</si>
  <si>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</si>
  <si>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</si>
  <si>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</si>
  <si>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</si>
  <si>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</si>
  <si>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</si>
  <si>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</si>
  <si>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</si>
  <si>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</si>
  <si>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</si>
  <si>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</si>
  <si>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</si>
  <si>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</si>
  <si>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</si>
  <si>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</si>
  <si>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</si>
  <si>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</si>
  <si>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</si>
  <si>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</si>
  <si>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</si>
  <si>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</si>
  <si>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</si>
  <si>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</si>
  <si>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</si>
  <si>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</si>
  <si>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</si>
  <si>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</si>
  <si>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</si>
  <si>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</si>
  <si>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</si>
  <si>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</si>
  <si>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</si>
  <si>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</si>
  <si>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</si>
  <si>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</si>
  <si>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</si>
  <si>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</si>
  <si>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</si>
  <si>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</si>
  <si>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</si>
  <si>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</si>
  <si>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</si>
  <si>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</si>
  <si>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</si>
  <si>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</si>
  <si>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</si>
  <si>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</si>
  <si>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</si>
  <si>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</si>
  <si>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</si>
  <si>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</si>
  <si>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</si>
  <si>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</si>
  <si>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</si>
  <si>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</si>
  <si>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</si>
  <si>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</si>
  <si>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</si>
  <si>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</si>
  <si>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</si>
  <si>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</si>
  <si>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</si>
  <si>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</si>
  <si>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</si>
  <si>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</si>
  <si>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</si>
  <si>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</si>
  <si>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</si>
  <si>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</si>
  <si>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</si>
  <si>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</si>
  <si>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</si>
  <si>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</si>
  <si>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</si>
  <si>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</si>
  <si>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</si>
  <si>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</si>
  <si>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</si>
  <si>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</si>
  <si>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</si>
  <si>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</si>
  <si>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</si>
  <si>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</si>
  <si>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</si>
  <si>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</si>
  <si>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</si>
  <si>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</si>
  <si>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</si>
  <si>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</si>
  <si>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</si>
  <si>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</si>
  <si>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</si>
  <si>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</si>
  <si>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</si>
  <si>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</si>
  <si>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</si>
  <si>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</si>
  <si>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</si>
  <si>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</si>
  <si>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</si>
  <si>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</si>
  <si>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</si>
  <si>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</si>
  <si>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</si>
  <si>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</si>
  <si>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</si>
  <si>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</si>
  <si>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</si>
  <si>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</si>
  <si>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</si>
  <si>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</si>
  <si>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</si>
  <si>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</si>
  <si>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</si>
  <si>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</si>
  <si>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</si>
  <si>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</si>
  <si>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</si>
  <si>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</si>
  <si>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</si>
  <si>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</si>
  <si>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</si>
  <si>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</si>
  <si>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</si>
  <si>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</si>
  <si>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</si>
  <si>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</si>
  <si>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</si>
  <si>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</si>
  <si>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</si>
  <si>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</si>
  <si>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</si>
  <si>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</si>
  <si>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</si>
  <si>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</si>
  <si>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</si>
  <si>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</si>
  <si>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</si>
  <si>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</si>
  <si>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</si>
  <si>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</si>
  <si>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</si>
  <si>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</si>
  <si>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</si>
  <si>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</si>
  <si>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</si>
  <si>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</si>
  <si>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</si>
  <si>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</si>
  <si>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</si>
  <si>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</si>
  <si>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</si>
  <si>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</si>
  <si>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</si>
  <si>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</si>
  <si>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</si>
  <si>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</si>
  <si>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</si>
  <si>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</si>
  <si>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</si>
  <si>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</si>
  <si>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</si>
  <si>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</si>
  <si>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</si>
  <si>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</si>
  <si>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</si>
  <si>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</si>
  <si>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</si>
  <si>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</si>
  <si>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</si>
  <si>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</si>
  <si>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</si>
  <si>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</si>
  <si>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</si>
  <si>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</si>
  <si>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</si>
  <si>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</si>
  <si>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</si>
  <si>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</si>
  <si>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</si>
  <si>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</si>
  <si>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</si>
  <si>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</si>
  <si>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</si>
  <si>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</si>
  <si>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</si>
  <si>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</si>
  <si>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</si>
  <si>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</si>
  <si>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</si>
  <si>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</si>
  <si>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</si>
  <si>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</si>
  <si>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</si>
  <si>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</si>
  <si>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</si>
  <si>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</si>
  <si>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</si>
  <si>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</si>
  <si>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</si>
  <si>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</si>
  <si>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</si>
  <si>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</si>
  <si>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</si>
  <si>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</si>
  <si>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</si>
  <si>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</si>
  <si>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</si>
  <si>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</si>
  <si>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</si>
  <si>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</si>
  <si>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</si>
  <si>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</si>
  <si>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</si>
  <si>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</si>
  <si>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</si>
  <si>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</si>
  <si>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</si>
  <si>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</si>
  <si>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</si>
  <si>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</si>
  <si>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</si>
  <si>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</si>
  <si>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</si>
  <si>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</si>
  <si>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</si>
  <si>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</si>
  <si>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</si>
  <si>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</si>
  <si>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</si>
  <si>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</si>
  <si>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</si>
  <si>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</si>
  <si>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</si>
  <si>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</si>
  <si>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</si>
  <si>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</si>
  <si>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</si>
  <si>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</si>
  <si>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</si>
  <si>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</si>
  <si>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</si>
  <si>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</si>
  <si>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</si>
  <si>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</si>
  <si>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</si>
  <si>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</si>
  <si>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</si>
  <si>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</si>
  <si>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</si>
  <si>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</si>
  <si>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</si>
  <si>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</si>
  <si>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</si>
  <si>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</si>
  <si>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</si>
  <si>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</si>
  <si>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</si>
  <si>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</si>
  <si>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</si>
  <si>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</si>
  <si>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</si>
  <si>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</si>
  <si>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</si>
  <si>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</si>
  <si>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</si>
  <si>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</si>
  <si>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</si>
  <si>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</si>
  <si>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</si>
  <si>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</si>
  <si>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</si>
  <si>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</si>
  <si>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</si>
  <si>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</si>
  <si>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</si>
  <si>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</si>
  <si>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</si>
  <si>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</si>
  <si>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</si>
  <si>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</si>
  <si>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</si>
  <si>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</si>
  <si>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</si>
  <si>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</si>
  <si>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</si>
  <si>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</si>
  <si>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</si>
  <si>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</si>
  <si>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</si>
  <si>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</si>
  <si>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</si>
  <si>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</si>
  <si>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</si>
  <si>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</si>
  <si>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</si>
  <si>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</si>
  <si>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</si>
  <si>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</si>
  <si>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</si>
  <si>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</si>
  <si>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</si>
  <si>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</si>
  <si>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</si>
  <si>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</si>
  <si>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</si>
  <si>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</si>
  <si>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</si>
  <si>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</si>
  <si>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</si>
  <si>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</si>
  <si>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</si>
  <si>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</si>
  <si>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</si>
  <si>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</si>
  <si>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</si>
  <si>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</si>
  <si>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</si>
  <si>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</si>
  <si>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</si>
  <si>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</si>
  <si>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</si>
  <si>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</si>
  <si>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</si>
  <si>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</si>
  <si>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</si>
  <si>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</si>
  <si>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</si>
  <si>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</si>
  <si>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</si>
  <si>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</si>
  <si>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</si>
  <si>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</si>
  <si>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</si>
  <si>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</si>
  <si>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</si>
  <si>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</si>
  <si>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</si>
  <si>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</si>
  <si>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</si>
  <si>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</si>
  <si>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</si>
  <si>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</si>
  <si>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</si>
  <si>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</si>
  <si>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</si>
  <si>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</si>
  <si>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</si>
  <si>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</si>
  <si>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</si>
  <si>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</si>
  <si>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</si>
  <si>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</si>
  <si>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</si>
  <si>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</si>
  <si>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</si>
  <si>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</si>
  <si>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</si>
  <si>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</si>
  <si>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</si>
  <si>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</si>
  <si>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</si>
  <si>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</si>
  <si>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</si>
  <si>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</si>
  <si>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</si>
  <si>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</si>
  <si>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</si>
  <si>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</si>
  <si>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</si>
  <si>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</si>
  <si>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</si>
  <si>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</si>
  <si>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</si>
  <si>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</si>
  <si>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</si>
  <si>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</si>
  <si>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</si>
  <si>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</si>
  <si>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</si>
  <si>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</si>
  <si>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</si>
  <si>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</si>
  <si>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</si>
  <si>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</si>
  <si>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</si>
  <si>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</si>
  <si>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</si>
  <si>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</si>
  <si>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</si>
  <si>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</si>
  <si>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</si>
  <si>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</si>
  <si>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</si>
  <si>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</si>
  <si>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</si>
  <si>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</si>
  <si>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</si>
  <si>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</si>
  <si>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</si>
  <si>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</si>
  <si>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</si>
  <si>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</si>
  <si>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</si>
  <si>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</si>
  <si>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</si>
  <si>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</si>
  <si>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</si>
  <si>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</si>
  <si>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</si>
  <si>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</si>
  <si>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</si>
  <si>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</si>
  <si>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</si>
  <si>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</si>
  <si>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</si>
  <si>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</si>
  <si>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</si>
  <si>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</si>
  <si>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</si>
  <si>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</si>
  <si>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</si>
  <si>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</si>
  <si>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</si>
  <si>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</si>
  <si>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</si>
  <si>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</si>
  <si>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</si>
  <si>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</si>
  <si>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</si>
  <si>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</si>
  <si>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</si>
  <si>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</si>
  <si>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</si>
  <si>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</si>
  <si>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</si>
  <si>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</si>
  <si>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</si>
  <si>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</si>
  <si>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</si>
  <si>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</si>
  <si>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</si>
  <si>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</si>
  <si>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</si>
  <si>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</si>
  <si>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</si>
  <si>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</si>
  <si>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</si>
  <si>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</si>
  <si>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</si>
  <si>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</si>
  <si>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</si>
  <si>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</si>
  <si>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</si>
  <si>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</si>
  <si>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</si>
  <si>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</si>
  <si>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</si>
  <si>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</si>
  <si>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</si>
  <si>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</si>
  <si>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</si>
  <si>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</si>
  <si>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</si>
  <si>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</si>
  <si>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</si>
  <si>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</si>
  <si>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</si>
  <si>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</si>
  <si>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</si>
  <si>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</si>
  <si>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</si>
  <si>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</si>
  <si>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</si>
  <si>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</si>
  <si>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https://xlworks.net/xlgantt-howto-14-workloads/</t>
    <phoneticPr fontId="1" type="noConversion"/>
  </si>
  <si>
    <t>https://xlworks.net/xlgantt-howto-15-color-theme/</t>
    <phoneticPr fontId="1" type="noConversion"/>
  </si>
  <si>
    <t>OG</t>
  </si>
  <si>
    <t>XLGanttFileCalcMode</t>
  </si>
  <si>
    <t>pdf</t>
    <phoneticPr fontId="1" type="noConversion"/>
  </si>
  <si>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</si>
  <si>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</si>
  <si>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</si>
  <si>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</si>
  <si>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https://xlworks.net/xlgantt-howto-16-task-dependencies/</t>
    <phoneticPr fontId="1" type="noConversion"/>
  </si>
  <si>
    <t>작업 의존관계(FS,SS,FF,SF)를 설정할 수 있다.</t>
    <phoneticPr fontId="1" type="noConversion"/>
  </si>
  <si>
    <t>PDF</t>
    <phoneticPr fontId="1" type="noConversion"/>
  </si>
  <si>
    <t>Star(*) marks - required fields</t>
    <phoneticPr fontId="1" type="noConversion"/>
  </si>
  <si>
    <t>Copy Sheet</t>
    <phoneticPr fontId="1" type="noConversion"/>
  </si>
  <si>
    <r>
      <rPr>
        <sz val="9"/>
        <color theme="1"/>
        <rFont val="맑은 고딕"/>
        <family val="3"/>
        <charset val="129"/>
      </rPr>
      <t>시트</t>
    </r>
    <r>
      <rPr>
        <sz val="9"/>
        <color theme="1"/>
        <rFont val="돋움"/>
        <family val="3"/>
        <charset val="129"/>
      </rPr>
      <t>복사</t>
    </r>
    <phoneticPr fontId="1" type="noConversion"/>
  </si>
  <si>
    <t>OW</t>
  </si>
  <si>
    <t>ganttChartDisp</t>
  </si>
  <si>
    <t>Display Gantt Chart</t>
    <phoneticPr fontId="1" type="noConversion"/>
  </si>
  <si>
    <r>
      <rPr>
        <sz val="9"/>
        <color theme="1"/>
        <rFont val="Calibri"/>
        <family val="3"/>
      </rPr>
      <t xml:space="preserve">Gantt Chart  </t>
    </r>
    <r>
      <rPr>
        <sz val="9"/>
        <color theme="1"/>
        <rFont val="맑은 고딕"/>
        <family val="3"/>
        <charset val="129"/>
      </rPr>
      <t>표시</t>
    </r>
    <phoneticPr fontId="1" type="noConversion"/>
  </si>
  <si>
    <r>
      <t xml:space="preserve">Gantt chart </t>
    </r>
    <r>
      <rPr>
        <sz val="9"/>
        <color theme="1"/>
        <rFont val="맑은 고딕"/>
        <family val="3"/>
        <charset val="129"/>
      </rPr>
      <t>표시</t>
    </r>
    <r>
      <rPr>
        <sz val="9"/>
        <color theme="1"/>
        <rFont val="Calibri"/>
        <family val="2"/>
      </rPr>
      <t xml:space="preserve"> </t>
    </r>
    <r>
      <rPr>
        <sz val="9"/>
        <color theme="1"/>
        <rFont val="맑은 고딕"/>
        <family val="3"/>
        <charset val="129"/>
      </rPr>
      <t>방법</t>
    </r>
    <phoneticPr fontId="1" type="noConversion"/>
  </si>
  <si>
    <t>txtBehindSchedulePct1</t>
  </si>
  <si>
    <t>10066176;10066176;26367;8421504;26367;8421504;16764108;16737792;65280;16737792;13311;65280;14540253;65535;255</t>
    <phoneticPr fontId="1" type="noConversion"/>
  </si>
  <si>
    <t>useDefaultTheme</t>
  </si>
  <si>
    <t>themeColorList1</t>
  </si>
  <si>
    <t>themeColorList2</t>
  </si>
  <si>
    <t>themeColorList5</t>
  </si>
  <si>
    <t>themeColorList3</t>
  </si>
  <si>
    <t>themeColorList4</t>
  </si>
  <si>
    <t>Basic</t>
    <phoneticPr fontId="1" type="noConversion"/>
  </si>
  <si>
    <t>Use default color theme</t>
    <phoneticPr fontId="1" type="noConversion"/>
  </si>
  <si>
    <t>3394611;39168;35071;35071;35071;49407;16745263;16737792;52224;16737792;255;52224;16777215;52428;255</t>
    <phoneticPr fontId="1" type="noConversion"/>
  </si>
  <si>
    <t>초기 설정 컬러 테마 사용</t>
    <phoneticPr fontId="1" type="noConversion"/>
  </si>
  <si>
    <t>실제 총작업량\n(총ManDay,_x000D_자원수 감안)</t>
  </si>
  <si>
    <t>자원수로 계산</t>
  </si>
  <si>
    <t>계획 작업량_x000D_
(현재일까지ManDay,_x000D_
자원수 감안)</t>
  </si>
  <si>
    <t>자원수 열이 삭제되었습니다. 원래대로 복구한 후 작업하세요.</t>
  </si>
  <si>
    <t>{2} sheet의 {1}행의 자원수가 숫자가 아닙니다.</t>
  </si>
  <si>
    <t>총 작업량_x000D_
(총ManDay,_x000D_
자원수 감안)</t>
  </si>
  <si>
    <t>자원수</t>
  </si>
  <si>
    <t>자원수의 숫자형식이 잘못되었습니다.</t>
  </si>
  <si>
    <t>자원수는 0보다 커야 합니다.</t>
  </si>
  <si>
    <t>by Resource Count</t>
    <phoneticPr fontId="1" type="noConversion"/>
  </si>
  <si>
    <t>The "Resource Count" column has been deleted. Please retry after changing the sheet to its previous state.</t>
    <phoneticPr fontId="1" type="noConversion"/>
  </si>
  <si>
    <t>The resource count of row number {1} in the {2} sheet is not a number.</t>
    <phoneticPr fontId="1" type="noConversion"/>
  </si>
  <si>
    <t>Resource Count</t>
    <phoneticPr fontId="1" type="noConversion"/>
  </si>
  <si>
    <t>Resource Count is invalid.</t>
    <phoneticPr fontId="1" type="noConversion"/>
  </si>
  <si>
    <t>Resource Count must be greater than zero.</t>
    <phoneticPr fontId="1" type="noConversion"/>
  </si>
  <si>
    <t>Weight</t>
    <phoneticPr fontId="1" type="noConversion"/>
  </si>
  <si>
    <t>가중치</t>
    <phoneticPr fontId="1" type="noConversion"/>
  </si>
  <si>
    <t>16711782;16737945;35071;35071;35071;49407;16745263;16737792;52224;16737792;255;52224;16777215;39423;255</t>
    <phoneticPr fontId="1" type="noConversion"/>
  </si>
  <si>
    <t>4210752;8421504;11711154;2500134;2500134;49407;16745263;16737792;52224;16737792;255;52224;16777215;65535;255</t>
    <phoneticPr fontId="1" type="noConversion"/>
  </si>
  <si>
    <t>task_group</t>
    <phoneticPr fontId="1" type="noConversion"/>
  </si>
  <si>
    <t>https://xlworks.net/en/</t>
  </si>
  <si>
    <t>https://xlworks.net/en/xlgantt-project-scheduler/</t>
  </si>
  <si>
    <t>https://xlworks.net/en/xlgantt-howto-1-getting-started-with-xlgantt/</t>
  </si>
  <si>
    <t>https://xlworks.net/en/xlgantt-howto-2-input-task-update-schedule/</t>
  </si>
  <si>
    <t>https://xlworks.net/en/xlgantt-howto-03-gantt-chart/</t>
  </si>
  <si>
    <t>https://xlworks.net/en/xlgantt-howto-04-project-progress/</t>
  </si>
  <si>
    <t>https://xlworks.net/en/xlgantt-howto-05-analysis-report/</t>
  </si>
  <si>
    <t>https://xlworks.net/en/xlgantt-howto-06-schedule-change-management/</t>
  </si>
  <si>
    <t>https://xlworks.net/en/xlgantt-howto-07-deliverables/</t>
  </si>
  <si>
    <t>https://xlworks.net/en/xlgantt-howto-08-add-tasks-to-outlook/</t>
  </si>
  <si>
    <t>https://xlworks.net/en/xlgantt-howto-09-multilingual-support/</t>
  </si>
  <si>
    <t>https://xlworks.net/en/xlgantt-howto-10-import-schedule/</t>
  </si>
  <si>
    <t>https://xlworks.net/en/xlgantt-howto-11-calendar/</t>
  </si>
  <si>
    <t>https://xlworks.net/en/xlgantt-howto-12-integration-with-excel/</t>
  </si>
  <si>
    <t>https://xlworks.net/en/xlgantt-howto-13-server-data/</t>
  </si>
  <si>
    <t>https://xlworks.net/en/xlgantt-howto-14-workloads/</t>
  </si>
  <si>
    <t>https://xlworks.net/en/xlgantt-howto-15-color-theme/</t>
  </si>
  <si>
    <t>https://xlworks.net/en/xlgantt-howto-16-task-dependencies/</t>
  </si>
  <si>
    <t>https://xlworks.net/en/xlgantt-project-scheduler/</t>
    <phoneticPr fontId="3" type="noConversion"/>
  </si>
  <si>
    <t>ABC 프로젝트</t>
    <phoneticPr fontId="1" type="noConversion"/>
  </si>
  <si>
    <t>12611584;16750899;35071;35071;35071;49407;16745263;16737792;52224;16737792;255;52224;16777215;52479;255</t>
    <phoneticPr fontId="1" type="noConversion"/>
  </si>
  <si>
    <t>The date format in Windows is not the default format. If you've changed the date format to a custom format, change the date format to the default format in the 'Date and Time' item in Control Panel.</t>
    <phoneticPr fontId="1" type="noConversion"/>
  </si>
  <si>
    <r>
      <rPr>
        <sz val="9"/>
        <color theme="1"/>
        <rFont val="맑은 고딕"/>
        <family val="2"/>
        <charset val="129"/>
      </rPr>
      <t>윈도우의</t>
    </r>
    <r>
      <rPr>
        <sz val="9"/>
        <color theme="1"/>
        <rFont val="Calibri"/>
        <family val="2"/>
      </rPr>
      <t xml:space="preserve"> </t>
    </r>
    <r>
      <rPr>
        <sz val="9"/>
        <color theme="1"/>
        <rFont val="맑은 고딕"/>
        <family val="2"/>
        <charset val="129"/>
      </rPr>
      <t>날짜</t>
    </r>
    <r>
      <rPr>
        <sz val="9"/>
        <color theme="1"/>
        <rFont val="Calibri"/>
        <family val="2"/>
      </rPr>
      <t xml:space="preserve"> </t>
    </r>
    <r>
      <rPr>
        <sz val="9"/>
        <color theme="1"/>
        <rFont val="맑은 고딕"/>
        <family val="2"/>
        <charset val="129"/>
      </rPr>
      <t>형식이</t>
    </r>
    <r>
      <rPr>
        <sz val="9"/>
        <color theme="1"/>
        <rFont val="Calibri"/>
        <family val="2"/>
      </rPr>
      <t xml:space="preserve"> </t>
    </r>
    <r>
      <rPr>
        <sz val="9"/>
        <color theme="1"/>
        <rFont val="맑은 고딕"/>
        <family val="2"/>
        <charset val="129"/>
      </rPr>
      <t>기본</t>
    </r>
    <r>
      <rPr>
        <sz val="9"/>
        <color theme="1"/>
        <rFont val="Calibri"/>
        <family val="2"/>
      </rPr>
      <t xml:space="preserve"> </t>
    </r>
    <r>
      <rPr>
        <sz val="9"/>
        <color theme="1"/>
        <rFont val="맑은 고딕"/>
        <family val="2"/>
        <charset val="129"/>
      </rPr>
      <t>포맷이</t>
    </r>
    <r>
      <rPr>
        <sz val="9"/>
        <color theme="1"/>
        <rFont val="Calibri"/>
        <family val="2"/>
      </rPr>
      <t xml:space="preserve"> </t>
    </r>
    <r>
      <rPr>
        <sz val="9"/>
        <color theme="1"/>
        <rFont val="맑은 고딕"/>
        <family val="2"/>
        <charset val="129"/>
      </rPr>
      <t>아닙니다</t>
    </r>
    <r>
      <rPr>
        <sz val="9"/>
        <color theme="1"/>
        <rFont val="Calibri"/>
        <family val="2"/>
      </rPr>
      <t xml:space="preserve">. </t>
    </r>
    <r>
      <rPr>
        <sz val="9"/>
        <color theme="1"/>
        <rFont val="맑은 고딕"/>
        <family val="2"/>
        <charset val="129"/>
      </rPr>
      <t>날짜</t>
    </r>
    <r>
      <rPr>
        <sz val="9"/>
        <color theme="1"/>
        <rFont val="Calibri"/>
        <family val="2"/>
      </rPr>
      <t xml:space="preserve"> </t>
    </r>
    <r>
      <rPr>
        <sz val="9"/>
        <color theme="1"/>
        <rFont val="맑은 고딕"/>
        <family val="2"/>
        <charset val="129"/>
      </rPr>
      <t>형식을</t>
    </r>
    <r>
      <rPr>
        <sz val="9"/>
        <color theme="1"/>
        <rFont val="Calibri"/>
        <family val="2"/>
      </rPr>
      <t xml:space="preserve"> </t>
    </r>
    <r>
      <rPr>
        <sz val="9"/>
        <color theme="1"/>
        <rFont val="맑은 고딕"/>
        <family val="2"/>
        <charset val="129"/>
      </rPr>
      <t>사용자</t>
    </r>
    <r>
      <rPr>
        <sz val="9"/>
        <color theme="1"/>
        <rFont val="Calibri"/>
        <family val="2"/>
      </rPr>
      <t xml:space="preserve"> </t>
    </r>
    <r>
      <rPr>
        <sz val="9"/>
        <color theme="1"/>
        <rFont val="맑은 고딕"/>
        <family val="2"/>
        <charset val="129"/>
      </rPr>
      <t>지정</t>
    </r>
    <r>
      <rPr>
        <sz val="9"/>
        <color theme="1"/>
        <rFont val="Calibri"/>
        <family val="2"/>
      </rPr>
      <t xml:space="preserve"> </t>
    </r>
    <r>
      <rPr>
        <sz val="9"/>
        <color theme="1"/>
        <rFont val="맑은 고딕"/>
        <family val="2"/>
        <charset val="129"/>
      </rPr>
      <t>형식으로</t>
    </r>
    <r>
      <rPr>
        <sz val="9"/>
        <color theme="1"/>
        <rFont val="Calibri"/>
        <family val="2"/>
      </rPr>
      <t xml:space="preserve"> </t>
    </r>
    <r>
      <rPr>
        <sz val="9"/>
        <color theme="1"/>
        <rFont val="맑은 고딕"/>
        <family val="2"/>
        <charset val="129"/>
      </rPr>
      <t>변경했다면</t>
    </r>
    <r>
      <rPr>
        <sz val="9"/>
        <color theme="1"/>
        <rFont val="Calibri"/>
        <family val="2"/>
      </rPr>
      <t xml:space="preserve"> </t>
    </r>
    <r>
      <rPr>
        <sz val="9"/>
        <color theme="1"/>
        <rFont val="맑은 고딕"/>
        <family val="2"/>
        <charset val="129"/>
      </rPr>
      <t>제어판의</t>
    </r>
    <r>
      <rPr>
        <sz val="9"/>
        <color theme="1"/>
        <rFont val="Calibri"/>
        <family val="2"/>
      </rPr>
      <t xml:space="preserve"> '</t>
    </r>
    <r>
      <rPr>
        <sz val="9"/>
        <color theme="1"/>
        <rFont val="맑은 고딕"/>
        <family val="2"/>
        <charset val="129"/>
      </rPr>
      <t>날짜</t>
    </r>
    <r>
      <rPr>
        <sz val="9"/>
        <color theme="1"/>
        <rFont val="Calibri"/>
        <family val="2"/>
      </rPr>
      <t xml:space="preserve"> </t>
    </r>
    <r>
      <rPr>
        <sz val="9"/>
        <color theme="1"/>
        <rFont val="맑은 고딕"/>
        <family val="2"/>
        <charset val="129"/>
      </rPr>
      <t>및</t>
    </r>
    <r>
      <rPr>
        <sz val="9"/>
        <color theme="1"/>
        <rFont val="Calibri"/>
        <family val="2"/>
      </rPr>
      <t xml:space="preserve"> </t>
    </r>
    <r>
      <rPr>
        <sz val="9"/>
        <color theme="1"/>
        <rFont val="맑은 고딕"/>
        <family val="2"/>
        <charset val="129"/>
      </rPr>
      <t>시간</t>
    </r>
    <r>
      <rPr>
        <sz val="9"/>
        <color theme="1"/>
        <rFont val="Calibri"/>
        <family val="2"/>
      </rPr>
      <t xml:space="preserve">' </t>
    </r>
    <r>
      <rPr>
        <sz val="9"/>
        <color theme="1"/>
        <rFont val="맑은 고딕"/>
        <family val="2"/>
        <charset val="129"/>
      </rPr>
      <t>항목에서</t>
    </r>
    <r>
      <rPr>
        <sz val="9"/>
        <color theme="1"/>
        <rFont val="Calibri"/>
        <family val="2"/>
      </rPr>
      <t xml:space="preserve"> </t>
    </r>
    <r>
      <rPr>
        <sz val="9"/>
        <color theme="1"/>
        <rFont val="맑은 고딕"/>
        <family val="2"/>
        <charset val="129"/>
      </rPr>
      <t>날자를</t>
    </r>
    <r>
      <rPr>
        <sz val="9"/>
        <color theme="1"/>
        <rFont val="Calibri"/>
        <family val="2"/>
      </rPr>
      <t xml:space="preserve"> </t>
    </r>
    <r>
      <rPr>
        <sz val="9"/>
        <color theme="1"/>
        <rFont val="맑은 고딕"/>
        <family val="2"/>
        <charset val="129"/>
      </rPr>
      <t>기본</t>
    </r>
    <r>
      <rPr>
        <sz val="9"/>
        <color theme="1"/>
        <rFont val="Calibri"/>
        <family val="2"/>
      </rPr>
      <t xml:space="preserve"> </t>
    </r>
    <r>
      <rPr>
        <sz val="9"/>
        <color theme="1"/>
        <rFont val="맑은 고딕"/>
        <family val="2"/>
        <charset val="129"/>
      </rPr>
      <t>형식으로</t>
    </r>
    <r>
      <rPr>
        <sz val="9"/>
        <color theme="1"/>
        <rFont val="Calibri"/>
        <family val="2"/>
      </rPr>
      <t xml:space="preserve"> </t>
    </r>
    <r>
      <rPr>
        <sz val="9"/>
        <color theme="1"/>
        <rFont val="맑은 고딕"/>
        <family val="2"/>
        <charset val="129"/>
      </rPr>
      <t>변경하세요</t>
    </r>
    <r>
      <rPr>
        <sz val="9"/>
        <color theme="1"/>
        <rFont val="Calibri"/>
        <family val="2"/>
      </rPr>
      <t>.</t>
    </r>
    <phoneticPr fontId="1" type="noConversion"/>
  </si>
  <si>
    <t>* 담당별로 투입된 Task와 총작업량, 계획작업량, 진척작업을 Man-day로 보여주고, 계획/실적 진행률을 보여줍니다.</t>
  </si>
  <si>
    <t>* "담당별진행률" 메뉴를 클릭해야 내용이 갱신됩니다.</t>
  </si>
  <si>
    <t>일정변경관리 하지 않을 때 현재까지 실제로 진행된 작업기간을 표시함(총기간 x 총실적진행률)</t>
  </si>
  <si>
    <t>담당별\n진행률</t>
  </si>
  <si>
    <t>프로젝트의 현황을 파악할 수 있는 진행률, Workload 등의 분석 리포트와 분석용 Workload data를 제공한다.</t>
  </si>
  <si>
    <t>담당별 진행률, Workload등 분석용 Report를 만들어서 보여준다.</t>
  </si>
  <si>
    <t>작업량, 진척률 등을 볼 수 있다.</t>
  </si>
  <si>
    <t>실적진척률 열이 삭제되었습니다. 원래대로 복구한 후 작업하세요.</t>
  </si>
  <si>
    <t>{2} sheet의 {1}행의 실적진척률이 숫자가 아닙니다.</t>
  </si>
  <si>
    <t>계획진척률 열이 삭제되었습니다. 원래대로 복구한 후 작업하세요.</t>
  </si>
  <si>
    <t>계획진척률 계산 기준일자의 날짜형식이 잘못되었습니다.</t>
  </si>
  <si>
    <t>진척률선 그리기 작업 중 에러가 발생했습니다. 실제시작일 또는 실제완료일이 프로젝트 기간을 벗어난 경우에 발생할 수 있습니다. 아래의 메시지를 확인하십시오.</t>
  </si>
  <si>
    <t>{2} sheet의 {1}행의 실적진척률을 0~100% 범위로 입력해주세요.</t>
  </si>
  <si>
    <t>작업과 일정을 입력하면 진척률이 계산되며 작업의 일정을 간트차트로 표시해 준다.</t>
  </si>
  <si>
    <t>작업명, 시작일, 완료일, 진척률을 입력하면 휴무일, 자원수를 고려하여 자동으로 작업기간, 계획진척률, 실적진척률 등이 계산된다.</t>
  </si>
  <si>
    <t>진척률을 이용하여 프로젝트 전체 진행상황을 파악할 수 있다.</t>
  </si>
  <si>
    <t>실적진척률은 0~100% 범위만 입력가능합니다.</t>
  </si>
  <si>
    <t>실적진척률</t>
  </si>
  <si>
    <t>실적 진척률(B)</t>
  </si>
  <si>
    <t>* 프로젝트 작업량과 진척률을 보여줍니다.</t>
  </si>
  <si>
    <t>* "진척률(월별)" 메뉴를 클릭해야 갱신됨</t>
  </si>
  <si>
    <t>* "진척률(주별)" 메뉴를 클릭해야 갱신됨</t>
  </si>
  <si>
    <t>실적진척률에 숫자가 아닌 값이 포함되어 있습니다. Import하는 파일의 {}행을 확인하세요.</t>
  </si>
  <si>
    <t>실제진척률</t>
  </si>
  <si>
    <t>실제진척률 필드입니다. 현재까지 실제 진척된 작업량을 %로 표현합니다.</t>
  </si>
  <si>
    <t>계획진척률 계산 기준일자</t>
  </si>
  <si>
    <t>계획진척률 계산 기준일자는 프로젝트 시작일보다 크거나 같아야 합니다.</t>
  </si>
  <si>
    <t>계획진척률 계산 기준일자는 프로젝트 완료일보다 작거나 같아야 합니다.</t>
  </si>
  <si>
    <t>실적진척률 표시</t>
  </si>
  <si>
    <t>계획진척률 표시</t>
  </si>
  <si>
    <t>진척률선 그리기</t>
  </si>
  <si>
    <t>실적기성 진척률</t>
  </si>
  <si>
    <t>간트차트 진척률선</t>
  </si>
  <si>
    <t>계획진척률</t>
  </si>
  <si>
    <t>계획 진척률(A)</t>
  </si>
  <si>
    <t>계획작업량 진척률</t>
  </si>
  <si>
    <t>진척률</t>
  </si>
  <si>
    <t>진척률(월별)</t>
  </si>
  <si>
    <t>진척률(주별)</t>
  </si>
  <si>
    <t>프로젝트 진척률 - 일정변경 관리할때</t>
  </si>
  <si>
    <t>프로젝트 진척률 - 일정변경 관리하지 않을때</t>
  </si>
  <si>
    <t>프로젝트 진척률(월별)</t>
  </si>
  <si>
    <t>프로젝트 진척률(주별)</t>
  </si>
  <si>
    <t>1.2</t>
  </si>
  <si>
    <r>
      <rPr>
        <sz val="9"/>
        <color theme="1"/>
        <rFont val="맑은 고딕"/>
        <family val="3"/>
        <charset val="129"/>
      </rPr>
      <t>실제투입량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</si>
  <si>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실제투입량</t>
    </r>
    <r>
      <rPr>
        <sz val="9"/>
        <color theme="1"/>
        <rFont val="Calibri"/>
        <family val="2"/>
      </rPr>
      <t xml:space="preserve"> </t>
    </r>
    <r>
      <rPr>
        <sz val="9"/>
        <color theme="1"/>
        <rFont val="맑은 고딕"/>
        <family val="3"/>
        <charset val="129"/>
      </rPr>
      <t>진척률</t>
    </r>
    <phoneticPr fontId="1" type="noConversion"/>
  </si>
  <si>
    <r>
      <rPr>
        <sz val="9"/>
        <color theme="1"/>
        <rFont val="맑은 고딕"/>
        <family val="3"/>
        <charset val="129"/>
      </rPr>
      <t>실제투입량</t>
    </r>
    <r>
      <rPr>
        <sz val="9"/>
        <color theme="1"/>
        <rFont val="Calibri"/>
        <family val="2"/>
      </rPr>
      <t>(Man-Day)</t>
    </r>
    <phoneticPr fontId="1" type="noConversion"/>
  </si>
  <si>
    <t>W5</t>
  </si>
  <si>
    <t>W9</t>
  </si>
  <si>
    <t>분석</t>
  </si>
  <si>
    <t>1.1.1</t>
  </si>
  <si>
    <t>1.2.1</t>
  </si>
  <si>
    <t>1.2.2</t>
  </si>
  <si>
    <t>시스템 개발</t>
  </si>
  <si>
    <t>요구사항정의</t>
  </si>
  <si>
    <t>논리모델구축</t>
  </si>
  <si>
    <t>설계</t>
  </si>
  <si>
    <t>UI 설계</t>
  </si>
  <si>
    <t>데이터베이스설계</t>
  </si>
  <si>
    <t>프로그램설계</t>
  </si>
  <si>
    <t>테스트 설계</t>
  </si>
  <si>
    <t>1.1.2</t>
  </si>
  <si>
    <t>1.2.3</t>
  </si>
  <si>
    <t>1.2.4</t>
  </si>
  <si>
    <t>chkTaskDependencies</t>
  </si>
  <si>
    <t>Display task dependencies</t>
    <phoneticPr fontId="1" type="noConversion"/>
  </si>
  <si>
    <t>Planned workload from the start date to the current date(PV)</t>
    <phoneticPr fontId="1" type="noConversion"/>
  </si>
  <si>
    <r>
      <rPr>
        <sz val="9"/>
        <color theme="1"/>
        <rFont val="맑은 고딕"/>
        <family val="3"/>
        <charset val="129"/>
      </rPr>
      <t>실적기성</t>
    </r>
    <r>
      <rPr>
        <sz val="9"/>
        <color theme="1"/>
        <rFont val="Calibri"/>
        <family val="2"/>
      </rPr>
      <t>(</t>
    </r>
    <r>
      <rPr>
        <sz val="9"/>
        <color theme="1"/>
        <rFont val="맑은 고딕"/>
        <family val="2"/>
        <charset val="129"/>
      </rPr>
      <t>프로젝트</t>
    </r>
    <r>
      <rPr>
        <sz val="9"/>
        <color theme="1"/>
        <rFont val="Calibri"/>
        <family val="2"/>
      </rPr>
      <t xml:space="preserve"> </t>
    </r>
    <r>
      <rPr>
        <sz val="9"/>
        <color theme="1"/>
        <rFont val="맑은 고딕"/>
        <family val="2"/>
        <charset val="129"/>
      </rPr>
      <t>전체</t>
    </r>
    <r>
      <rPr>
        <sz val="9"/>
        <color theme="1"/>
        <rFont val="Calibri"/>
        <family val="2"/>
      </rPr>
      <t xml:space="preserve"> </t>
    </r>
    <r>
      <rPr>
        <sz val="9"/>
        <color theme="1"/>
        <rFont val="맑은 고딕"/>
        <family val="2"/>
        <charset val="129"/>
      </rPr>
      <t>작업량</t>
    </r>
    <r>
      <rPr>
        <sz val="9"/>
        <color theme="1"/>
        <rFont val="Calibri"/>
        <family val="2"/>
      </rPr>
      <t xml:space="preserve"> x </t>
    </r>
    <r>
      <rPr>
        <sz val="9"/>
        <color theme="1"/>
        <rFont val="맑은 고딕"/>
        <family val="2"/>
        <charset val="129"/>
      </rPr>
      <t>실적</t>
    </r>
    <r>
      <rPr>
        <sz val="9"/>
        <color theme="1"/>
        <rFont val="Calibri"/>
        <family val="2"/>
      </rPr>
      <t xml:space="preserve"> </t>
    </r>
    <r>
      <rPr>
        <sz val="9"/>
        <color theme="1"/>
        <rFont val="맑은 고딕"/>
        <family val="2"/>
        <charset val="129"/>
      </rPr>
      <t>진척률</t>
    </r>
    <r>
      <rPr>
        <sz val="9"/>
        <color theme="1"/>
        <rFont val="Calibri"/>
        <family val="2"/>
      </rPr>
      <t>)</t>
    </r>
    <r>
      <rPr>
        <sz val="9"/>
        <color theme="1"/>
        <rFont val="Calibri"/>
        <family val="3"/>
        <charset val="129"/>
      </rPr>
      <t xml:space="preserve"> (EV)</t>
    </r>
    <phoneticPr fontId="1" type="noConversion"/>
  </si>
  <si>
    <t>Earned value on planned schedule(Total Duration x %Work Complete) (EV)</t>
    <phoneticPr fontId="1" type="noConversion"/>
  </si>
  <si>
    <t>Actually performed workload when not managing schedule changes(Total Duration x %Work Complete)</t>
    <phoneticPr fontId="1" type="noConversion"/>
  </si>
  <si>
    <t>Actual Incurred workload</t>
    <phoneticPr fontId="1" type="noConversion"/>
  </si>
  <si>
    <t>Actual Incurred Accumulated(Man-Day)</t>
    <phoneticPr fontId="1" type="noConversion"/>
  </si>
  <si>
    <t>Actual Incurred Progress</t>
    <phoneticPr fontId="1" type="noConversion"/>
  </si>
  <si>
    <t>Actual Incurred(Man-Day)</t>
    <phoneticPr fontId="1" type="noConversion"/>
  </si>
  <si>
    <t>Earned value on planned schedule when managing schedule changes(Total Duration x %Work Complete) (EV)</t>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</si>
  <si>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프로젝트</t>
    </r>
    <r>
      <rPr>
        <sz val="9"/>
        <color theme="1"/>
        <rFont val="Calibri"/>
        <family val="3"/>
      </rPr>
      <t xml:space="preserve"> </t>
    </r>
    <r>
      <rPr>
        <sz val="9"/>
        <color theme="1"/>
        <rFont val="맑은 고딕"/>
        <family val="3"/>
        <charset val="129"/>
      </rPr>
      <t>전체</t>
    </r>
    <r>
      <rPr>
        <sz val="9"/>
        <color theme="1"/>
        <rFont val="Calibri"/>
        <family val="3"/>
      </rPr>
      <t xml:space="preserve"> </t>
    </r>
    <r>
      <rPr>
        <sz val="9"/>
        <color theme="1"/>
        <rFont val="맑은 고딕"/>
        <family val="3"/>
        <charset val="129"/>
      </rPr>
      <t>작업량</t>
    </r>
    <r>
      <rPr>
        <sz val="9"/>
        <color theme="1"/>
        <rFont val="Calibri"/>
        <family val="2"/>
      </rPr>
      <t xml:space="preserve"> x </t>
    </r>
    <r>
      <rPr>
        <sz val="9"/>
        <color theme="1"/>
        <rFont val="맑은 고딕"/>
        <family val="3"/>
        <charset val="129"/>
      </rPr>
      <t>실적 진척률</t>
    </r>
    <r>
      <rPr>
        <sz val="9"/>
        <color theme="1"/>
        <rFont val="Calibri"/>
        <family val="2"/>
      </rPr>
      <t>)</t>
    </r>
    <r>
      <rPr>
        <sz val="9"/>
        <color theme="1"/>
        <rFont val="Calibri"/>
        <family val="3"/>
        <charset val="129"/>
      </rPr>
      <t xml:space="preserve"> (EV)</t>
    </r>
    <phoneticPr fontId="1" type="noConversion"/>
  </si>
  <si>
    <t>Actual incurred workload to date when managing schedule changes (AC)</t>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</si>
  <si>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표시함 (</t>
    </r>
    <r>
      <rPr>
        <sz val="9"/>
        <color theme="1"/>
        <rFont val="Calibri"/>
        <family val="3"/>
      </rPr>
      <t>AC)</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</si>
  <si>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총실적진행률</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</si>
  <si>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자원수를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</si>
  <si>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진척률</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실적진척률</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진척률을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</si>
  <si>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진척률</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계획진척률</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진척률을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</si>
  <si>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작업량(현재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2"/>
        <charset val="129"/>
      </rPr>
      <t xml:space="preserve">작업량) </t>
    </r>
    <r>
      <rPr>
        <sz val="9"/>
        <color theme="1"/>
        <rFont val="Calibri"/>
        <family val="2"/>
      </rPr>
      <t>(PV)</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</si>
  <si>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작업 의존관계(연결선) 표시</t>
    </r>
    <phoneticPr fontId="1" type="noConversion"/>
  </si>
  <si>
    <t>6.1.0</t>
    <phoneticPr fontId="1" type="noConversion"/>
  </si>
  <si>
    <t xml:space="preserve">XLGantt 6.1.0 ©XLWorks </t>
    <phoneticPr fontId="3" type="noConversion"/>
  </si>
  <si>
    <r>
      <rPr>
        <sz val="9"/>
        <color theme="1"/>
        <rFont val="맑은 고딕"/>
        <family val="2"/>
        <charset val="129"/>
      </rPr>
      <t>서버에서</t>
    </r>
    <r>
      <rPr>
        <sz val="9"/>
        <color theme="1"/>
        <rFont val="Calibri"/>
        <family val="2"/>
      </rPr>
      <t xml:space="preserve"> 3</t>
    </r>
    <r>
      <rPr>
        <sz val="9"/>
        <color theme="1"/>
        <rFont val="맑은 고딕"/>
        <family val="2"/>
        <charset val="129"/>
      </rPr>
      <t>년간</t>
    </r>
    <r>
      <rPr>
        <sz val="9"/>
        <color theme="1"/>
        <rFont val="Calibri"/>
        <family val="2"/>
      </rPr>
      <t>(</t>
    </r>
    <r>
      <rPr>
        <sz val="9"/>
        <color theme="1"/>
        <rFont val="맑은 고딕"/>
        <family val="2"/>
        <charset val="129"/>
      </rPr>
      <t>전년</t>
    </r>
    <r>
      <rPr>
        <sz val="9"/>
        <color theme="1"/>
        <rFont val="Calibri"/>
        <family val="2"/>
      </rPr>
      <t>,</t>
    </r>
    <r>
      <rPr>
        <sz val="9"/>
        <color theme="1"/>
        <rFont val="맑은 고딕"/>
        <family val="2"/>
        <charset val="129"/>
      </rPr>
      <t>금년</t>
    </r>
    <r>
      <rPr>
        <sz val="9"/>
        <color theme="1"/>
        <rFont val="Calibri"/>
        <family val="2"/>
      </rPr>
      <t>,</t>
    </r>
    <r>
      <rPr>
        <sz val="9"/>
        <color theme="1"/>
        <rFont val="맑은 고딕"/>
        <family val="2"/>
        <charset val="129"/>
      </rPr>
      <t>내년</t>
    </r>
    <r>
      <rPr>
        <sz val="9"/>
        <color theme="1"/>
        <rFont val="Calibri"/>
        <family val="2"/>
      </rPr>
      <t>)</t>
    </r>
    <r>
      <rPr>
        <sz val="9"/>
        <color theme="1"/>
        <rFont val="맑은 고딕"/>
        <family val="2"/>
        <charset val="129"/>
      </rPr>
      <t>의 공휴일을</t>
    </r>
    <r>
      <rPr>
        <sz val="9"/>
        <color theme="1"/>
        <rFont val="Calibri"/>
        <family val="2"/>
      </rPr>
      <t xml:space="preserve"> </t>
    </r>
    <r>
      <rPr>
        <sz val="9"/>
        <color theme="1"/>
        <rFont val="맑은 고딕"/>
        <family val="2"/>
        <charset val="129"/>
      </rPr>
      <t>가져옵니다</t>
    </r>
    <r>
      <rPr>
        <sz val="9"/>
        <color theme="1"/>
        <rFont val="Calibri"/>
        <family val="2"/>
      </rPr>
      <t>. Calendar sheet</t>
    </r>
    <r>
      <rPr>
        <sz val="9"/>
        <color theme="1"/>
        <rFont val="맑은 고딕"/>
        <family val="2"/>
        <charset val="129"/>
      </rPr>
      <t>에</t>
    </r>
    <r>
      <rPr>
        <sz val="9"/>
        <color theme="1"/>
        <rFont val="Calibri"/>
        <family val="2"/>
      </rPr>
      <t xml:space="preserve"> </t>
    </r>
    <r>
      <rPr>
        <sz val="9"/>
        <color theme="1"/>
        <rFont val="맑은 고딕"/>
        <family val="2"/>
        <charset val="129"/>
      </rPr>
      <t>이미</t>
    </r>
    <r>
      <rPr>
        <sz val="9"/>
        <color theme="1"/>
        <rFont val="Calibri"/>
        <family val="2"/>
      </rPr>
      <t xml:space="preserve"> </t>
    </r>
    <r>
      <rPr>
        <sz val="9"/>
        <color theme="1"/>
        <rFont val="맑은 고딕"/>
        <family val="2"/>
        <charset val="129"/>
      </rPr>
      <t>있는</t>
    </r>
    <r>
      <rPr>
        <sz val="9"/>
        <color theme="1"/>
        <rFont val="Calibri"/>
        <family val="2"/>
      </rPr>
      <t xml:space="preserve"> </t>
    </r>
    <r>
      <rPr>
        <sz val="9"/>
        <color theme="1"/>
        <rFont val="맑은 고딕"/>
        <family val="2"/>
        <charset val="129"/>
      </rPr>
      <t>날짜는</t>
    </r>
    <r>
      <rPr>
        <sz val="9"/>
        <color theme="1"/>
        <rFont val="Calibri"/>
        <family val="2"/>
      </rPr>
      <t xml:space="preserve"> </t>
    </r>
    <r>
      <rPr>
        <sz val="9"/>
        <color theme="1"/>
        <rFont val="맑은 고딕"/>
        <family val="2"/>
        <charset val="129"/>
      </rPr>
      <t>그대로</t>
    </r>
    <r>
      <rPr>
        <sz val="9"/>
        <color theme="1"/>
        <rFont val="Calibri"/>
        <family val="2"/>
      </rPr>
      <t xml:space="preserve"> </t>
    </r>
    <r>
      <rPr>
        <sz val="9"/>
        <color theme="1"/>
        <rFont val="맑은 고딕"/>
        <family val="2"/>
        <charset val="129"/>
      </rPr>
      <t>유지됩니다</t>
    </r>
    <r>
      <rPr>
        <sz val="9"/>
        <color theme="1"/>
        <rFont val="Calibri"/>
        <family val="2"/>
      </rPr>
      <t>.</t>
    </r>
    <phoneticPr fontId="1" type="noConversion"/>
  </si>
  <si>
    <t>공휴일 가져오기</t>
    <phoneticPr fontId="1" type="noConversion"/>
  </si>
  <si>
    <t>Retrieve holidays for 3 years (last, current, and next) from the server. Existing dates in the Calendar sheet remain unchanged.</t>
    <phoneticPr fontId="1" type="noConversion"/>
  </si>
  <si>
    <t>Retrieve Holidays</t>
    <phoneticPr fontId="1" type="noConversion"/>
  </si>
  <si>
    <t>G</t>
  </si>
  <si>
    <t>홍길동</t>
  </si>
  <si>
    <t>Korean Public Holidays</t>
    <phoneticPr fontId="1" type="noConversion"/>
  </si>
  <si>
    <t>대한민국 공휴일</t>
    <phoneticPr fontId="1" type="noConversion"/>
  </si>
  <si>
    <t>U.S. Federal Holidays</t>
    <phoneticPr fontId="1" type="noConversion"/>
  </si>
  <si>
    <t>미국 연방 공휴일</t>
    <phoneticPr fontId="1" type="noConversion"/>
  </si>
  <si>
    <t>Choose a holiday calendar from the list.</t>
    <phoneticPr fontId="1" type="noConversion"/>
  </si>
  <si>
    <t>목록에서 공휴일 캘린더를 선택하세요.</t>
    <phoneticPr fontId="1" type="noConversion"/>
  </si>
  <si>
    <t>An error occurred while choosing a holiday calendar.</t>
    <phoneticPr fontId="1" type="noConversion"/>
  </si>
  <si>
    <r>
      <rPr>
        <sz val="9"/>
        <color theme="1"/>
        <rFont val="맑은 고딕"/>
        <family val="2"/>
        <charset val="129"/>
      </rPr>
      <t>공휴일</t>
    </r>
    <r>
      <rPr>
        <sz val="9"/>
        <color theme="1"/>
        <rFont val="Calibri"/>
        <family val="2"/>
      </rPr>
      <t xml:space="preserve"> </t>
    </r>
    <r>
      <rPr>
        <sz val="9"/>
        <color theme="1"/>
        <rFont val="맑은 고딕"/>
        <family val="2"/>
        <charset val="129"/>
      </rPr>
      <t>캘린더</t>
    </r>
    <r>
      <rPr>
        <sz val="9"/>
        <color theme="1"/>
        <rFont val="Calibri"/>
        <family val="2"/>
      </rPr>
      <t xml:space="preserve"> </t>
    </r>
    <r>
      <rPr>
        <sz val="9"/>
        <color theme="1"/>
        <rFont val="맑은 고딕"/>
        <family val="2"/>
        <charset val="129"/>
      </rPr>
      <t>선택</t>
    </r>
    <r>
      <rPr>
        <sz val="9"/>
        <color theme="1"/>
        <rFont val="Calibri"/>
        <family val="2"/>
      </rPr>
      <t xml:space="preserve"> </t>
    </r>
    <r>
      <rPr>
        <sz val="9"/>
        <color theme="1"/>
        <rFont val="맑은 고딕"/>
        <family val="2"/>
        <charset val="129"/>
      </rPr>
      <t>오류입니다</t>
    </r>
    <r>
      <rPr>
        <sz val="9"/>
        <color theme="1"/>
        <rFont val="Calibri"/>
        <family val="2"/>
      </rPr>
      <t>.</t>
    </r>
    <phoneticPr fontId="1" type="noConversion"/>
  </si>
  <si>
    <t>holidayCalendar</t>
  </si>
  <si>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phoneticPr fontId="1" type="noConversion"/>
  </si>
  <si>
    <t>Error! Calculated Total Man-Day is different from the Total Man-Day of the {} sheet.</t>
    <phoneticPr fontId="1" type="noConversion"/>
  </si>
  <si>
    <r>
      <t xml:space="preserve">Calendar </t>
    </r>
    <r>
      <rPr>
        <sz val="9"/>
        <color theme="1"/>
        <rFont val="돋움"/>
        <family val="3"/>
        <charset val="129"/>
      </rPr>
      <t>시트가</t>
    </r>
    <r>
      <rPr>
        <sz val="9"/>
        <color theme="1"/>
        <rFont val="Calibri"/>
        <family val="2"/>
      </rPr>
      <t xml:space="preserve"> </t>
    </r>
    <r>
      <rPr>
        <sz val="9"/>
        <color theme="1"/>
        <rFont val="돋움"/>
        <family val="3"/>
        <charset val="129"/>
      </rPr>
      <t>없습니다</t>
    </r>
    <r>
      <rPr>
        <sz val="9"/>
        <color theme="1"/>
        <rFont val="Calibri"/>
        <family val="2"/>
      </rPr>
      <t>.</t>
    </r>
    <phoneticPr fontId="1" type="noConversion"/>
  </si>
  <si>
    <r>
      <t>서버에서</t>
    </r>
    <r>
      <rPr>
        <sz val="9"/>
        <color theme="1"/>
        <rFont val="Calibri"/>
        <family val="2"/>
        <charset val="129"/>
      </rPr>
      <t xml:space="preserve"> </t>
    </r>
    <r>
      <rPr>
        <sz val="9"/>
        <color theme="1"/>
        <rFont val="돋움"/>
        <family val="3"/>
        <charset val="129"/>
      </rPr>
      <t>데이터를</t>
    </r>
    <r>
      <rPr>
        <sz val="9"/>
        <color theme="1"/>
        <rFont val="Calibri"/>
        <family val="2"/>
        <charset val="129"/>
      </rPr>
      <t xml:space="preserve"> </t>
    </r>
    <r>
      <rPr>
        <sz val="9"/>
        <color theme="1"/>
        <rFont val="돋움"/>
        <family val="3"/>
        <charset val="129"/>
      </rPr>
      <t>가져오지</t>
    </r>
    <r>
      <rPr>
        <sz val="9"/>
        <color theme="1"/>
        <rFont val="Calibri"/>
        <family val="2"/>
        <charset val="129"/>
      </rPr>
      <t xml:space="preserve"> </t>
    </r>
    <r>
      <rPr>
        <sz val="9"/>
        <color theme="1"/>
        <rFont val="돋움"/>
        <family val="3"/>
        <charset val="129"/>
      </rPr>
      <t>못했습니다</t>
    </r>
    <r>
      <rPr>
        <sz val="9"/>
        <color theme="1"/>
        <rFont val="Calibri"/>
        <family val="2"/>
        <charset val="129"/>
      </rPr>
      <t>.</t>
    </r>
    <phoneticPr fontId="1" type="noConversion"/>
  </si>
  <si>
    <r>
      <rPr>
        <sz val="9"/>
        <color theme="1"/>
        <rFont val="맑은 고딕"/>
        <family val="3"/>
        <charset val="129"/>
      </rPr>
      <t>서버에서</t>
    </r>
    <r>
      <rPr>
        <sz val="9"/>
        <color theme="1"/>
        <rFont val="Calibri"/>
        <family val="2"/>
      </rPr>
      <t xml:space="preserve"> {}</t>
    </r>
    <r>
      <rPr>
        <sz val="9"/>
        <color theme="1"/>
        <rFont val="돋움"/>
        <family val="3"/>
        <charset val="129"/>
      </rPr>
      <t>개의</t>
    </r>
    <r>
      <rPr>
        <sz val="9"/>
        <color theme="1"/>
        <rFont val="Calibri"/>
        <family val="2"/>
      </rPr>
      <t xml:space="preserve"> </t>
    </r>
    <r>
      <rPr>
        <sz val="9"/>
        <color theme="1"/>
        <rFont val="돋움"/>
        <family val="3"/>
        <charset val="129"/>
      </rPr>
      <t>새로운</t>
    </r>
    <r>
      <rPr>
        <sz val="9"/>
        <color theme="1"/>
        <rFont val="Calibri"/>
        <family val="2"/>
      </rPr>
      <t xml:space="preserve"> </t>
    </r>
    <r>
      <rPr>
        <sz val="9"/>
        <color theme="1"/>
        <rFont val="돋움"/>
        <family val="3"/>
        <charset val="129"/>
      </rPr>
      <t>공휴일을</t>
    </r>
    <r>
      <rPr>
        <sz val="9"/>
        <color theme="1"/>
        <rFont val="Calibri"/>
        <family val="2"/>
      </rPr>
      <t xml:space="preserve"> </t>
    </r>
    <r>
      <rPr>
        <sz val="9"/>
        <color theme="1"/>
        <rFont val="돋움"/>
        <family val="3"/>
        <charset val="129"/>
      </rPr>
      <t>가져와</t>
    </r>
    <r>
      <rPr>
        <sz val="9"/>
        <color theme="1"/>
        <rFont val="Calibri"/>
        <family val="2"/>
      </rPr>
      <t xml:space="preserve"> </t>
    </r>
    <r>
      <rPr>
        <sz val="9"/>
        <color theme="1"/>
        <rFont val="돋움"/>
        <family val="3"/>
        <charset val="129"/>
      </rPr>
      <t>추가했습니다</t>
    </r>
    <r>
      <rPr>
        <sz val="9"/>
        <color theme="1"/>
        <rFont val="Calibri"/>
        <family val="2"/>
      </rPr>
      <t>.</t>
    </r>
    <phoneticPr fontId="1" type="noConversion"/>
  </si>
  <si>
    <r>
      <rPr>
        <sz val="9"/>
        <color theme="1"/>
        <rFont val="맑은 고딕"/>
        <family val="3"/>
        <charset val="129"/>
      </rPr>
      <t>공휴일</t>
    </r>
    <r>
      <rPr>
        <sz val="9"/>
        <color theme="1"/>
        <rFont val="Calibri"/>
        <family val="2"/>
      </rPr>
      <t xml:space="preserve"> </t>
    </r>
    <r>
      <rPr>
        <sz val="9"/>
        <color theme="1"/>
        <rFont val="돋움"/>
        <family val="3"/>
        <charset val="129"/>
      </rPr>
      <t>정보를</t>
    </r>
    <r>
      <rPr>
        <sz val="9"/>
        <color theme="1"/>
        <rFont val="Calibri"/>
        <family val="2"/>
      </rPr>
      <t xml:space="preserve"> </t>
    </r>
    <r>
      <rPr>
        <sz val="9"/>
        <color theme="1"/>
        <rFont val="돋움"/>
        <family val="3"/>
        <charset val="129"/>
      </rPr>
      <t>가져오는</t>
    </r>
    <r>
      <rPr>
        <sz val="9"/>
        <color theme="1"/>
        <rFont val="Calibri"/>
        <family val="2"/>
      </rPr>
      <t xml:space="preserve"> </t>
    </r>
    <r>
      <rPr>
        <sz val="9"/>
        <color theme="1"/>
        <rFont val="돋움"/>
        <family val="3"/>
        <charset val="129"/>
      </rPr>
      <t>중</t>
    </r>
    <r>
      <rPr>
        <sz val="9"/>
        <color theme="1"/>
        <rFont val="Calibri"/>
        <family val="2"/>
      </rPr>
      <t xml:space="preserve"> </t>
    </r>
    <r>
      <rPr>
        <sz val="9"/>
        <color theme="1"/>
        <rFont val="돋움"/>
        <family val="3"/>
        <charset val="129"/>
      </rPr>
      <t>오류가</t>
    </r>
    <r>
      <rPr>
        <sz val="9"/>
        <color theme="1"/>
        <rFont val="Calibri"/>
        <family val="2"/>
      </rPr>
      <t xml:space="preserve"> </t>
    </r>
    <r>
      <rPr>
        <sz val="9"/>
        <color theme="1"/>
        <rFont val="돋움"/>
        <family val="3"/>
        <charset val="129"/>
      </rPr>
      <t>발생했습니다</t>
    </r>
    <r>
      <rPr>
        <sz val="9"/>
        <color theme="1"/>
        <rFont val="Calibri"/>
        <family val="2"/>
        <charset val="129"/>
      </rPr>
      <t>.</t>
    </r>
    <phoneticPr fontId="1" type="noConversion"/>
  </si>
  <si>
    <t>The Calendar sheet does not exist.</t>
  </si>
  <si>
    <t>Successfully retrieved and added {} new holiday(s) from the server.</t>
    <phoneticPr fontId="1" type="noConversion"/>
  </si>
  <si>
    <t>No new holidays to add. (Already up to date.)</t>
  </si>
  <si>
    <t>An error occurred while retrieving holiday information.</t>
  </si>
  <si>
    <r>
      <rPr>
        <sz val="9"/>
        <color theme="1"/>
        <rFont val="맑은 고딕"/>
        <family val="3"/>
        <charset val="129"/>
      </rPr>
      <t>새롭게</t>
    </r>
    <r>
      <rPr>
        <sz val="9"/>
        <color theme="1"/>
        <rFont val="Calibri"/>
        <family val="2"/>
      </rPr>
      <t xml:space="preserve"> </t>
    </r>
    <r>
      <rPr>
        <sz val="9"/>
        <color theme="1"/>
        <rFont val="돋움"/>
        <family val="3"/>
        <charset val="129"/>
      </rPr>
      <t>추가할</t>
    </r>
    <r>
      <rPr>
        <sz val="9"/>
        <color theme="1"/>
        <rFont val="Calibri"/>
        <family val="2"/>
      </rPr>
      <t xml:space="preserve"> </t>
    </r>
    <r>
      <rPr>
        <sz val="9"/>
        <color theme="1"/>
        <rFont val="돋움"/>
        <family val="3"/>
        <charset val="129"/>
      </rPr>
      <t>공휴일이</t>
    </r>
    <r>
      <rPr>
        <sz val="9"/>
        <color theme="1"/>
        <rFont val="Calibri"/>
        <family val="2"/>
      </rPr>
      <t xml:space="preserve"> </t>
    </r>
    <r>
      <rPr>
        <sz val="9"/>
        <color theme="1"/>
        <rFont val="돋움"/>
        <family val="3"/>
        <charset val="129"/>
      </rPr>
      <t>없습니다</t>
    </r>
    <r>
      <rPr>
        <sz val="9"/>
        <color theme="1"/>
        <rFont val="Calibri"/>
        <family val="2"/>
      </rPr>
      <t>.(</t>
    </r>
    <r>
      <rPr>
        <sz val="9"/>
        <color theme="1"/>
        <rFont val="돋움"/>
        <family val="3"/>
        <charset val="129"/>
      </rPr>
      <t>이미</t>
    </r>
    <r>
      <rPr>
        <sz val="9"/>
        <color theme="1"/>
        <rFont val="Calibri"/>
        <family val="2"/>
      </rPr>
      <t xml:space="preserve"> </t>
    </r>
    <r>
      <rPr>
        <sz val="9"/>
        <color theme="1"/>
        <rFont val="돋움"/>
        <family val="3"/>
        <charset val="129"/>
      </rPr>
      <t>최신</t>
    </r>
    <r>
      <rPr>
        <sz val="9"/>
        <color theme="1"/>
        <rFont val="Calibri"/>
        <family val="2"/>
      </rPr>
      <t xml:space="preserve"> </t>
    </r>
    <r>
      <rPr>
        <sz val="9"/>
        <color theme="1"/>
        <rFont val="돋움"/>
        <family val="3"/>
        <charset val="129"/>
      </rPr>
      <t>상태입니다.</t>
    </r>
    <r>
      <rPr>
        <sz val="9"/>
        <color theme="1"/>
        <rFont val="Calibri"/>
        <family val="2"/>
      </rPr>
      <t>)</t>
    </r>
    <phoneticPr fontId="1" type="noConversion"/>
  </si>
  <si>
    <t>Failed to retrieve data from the server.</t>
    <phoneticPr fontId="1" type="noConversion"/>
  </si>
  <si>
    <t>2025년 임시공휴일</t>
  </si>
  <si>
    <t>2025년 설 연휴</t>
  </si>
  <si>
    <t>2025년 설날</t>
  </si>
  <si>
    <t>2025년 어린이날</t>
  </si>
  <si>
    <t>2025년 개천절</t>
  </si>
  <si>
    <t>2025년 추석</t>
  </si>
  <si>
    <t>2025년 추석 연휴</t>
  </si>
  <si>
    <t>2025년 한글날</t>
  </si>
  <si>
    <t>2026년 설날</t>
  </si>
  <si>
    <t>2026년 설 연휴</t>
  </si>
  <si>
    <t>2026년 어린이날</t>
  </si>
  <si>
    <t>2026년 추석 연휴</t>
  </si>
  <si>
    <t>2026년 추석</t>
  </si>
  <si>
    <t>2026년 한글날</t>
  </si>
  <si>
    <t>2025년 신정</t>
  </si>
  <si>
    <t>2025년 성탄절</t>
  </si>
  <si>
    <t>2026년 신정</t>
  </si>
  <si>
    <t>2026년 성탄절</t>
  </si>
  <si>
    <t>21대 대통령 선거일</t>
  </si>
  <si>
    <t>2025년 현충일</t>
  </si>
  <si>
    <t>2025년 광복절</t>
  </si>
  <si>
    <t>Progress Data</t>
    <phoneticPr fontId="1" type="noConversion"/>
  </si>
  <si>
    <t>진척률 데이터</t>
    <phoneticPr fontId="1" type="noConversion"/>
  </si>
  <si>
    <t>Daily Planned Workload(Man-Day)</t>
  </si>
  <si>
    <t>Daily Earned Value(Man-Day)</t>
  </si>
  <si>
    <t>Daily Actual Incurred(Man-Day)</t>
  </si>
  <si>
    <t>일일 계획작업량(Man-Day)</t>
  </si>
  <si>
    <t>일일 실적기성(Man-Day)</t>
  </si>
  <si>
    <t>일일 실제 투입작업량(Man-Day)</t>
  </si>
  <si>
    <t>Week Number</t>
    <phoneticPr fontId="1" type="noConversion"/>
  </si>
  <si>
    <t>주차</t>
    <phoneticPr fontId="1" type="noConversion"/>
  </si>
  <si>
    <r>
      <rPr>
        <sz val="9"/>
        <color theme="1"/>
        <rFont val="맑은 고딕"/>
        <family val="3"/>
        <charset val="129"/>
      </rPr>
      <t>실제투입작업량</t>
    </r>
    <r>
      <rPr>
        <sz val="9"/>
        <color theme="1"/>
        <rFont val="Calibri"/>
        <family val="2"/>
      </rPr>
      <t>(Man-Day)</t>
    </r>
    <phoneticPr fontId="1" type="noConversion"/>
  </si>
  <si>
    <r>
      <rPr>
        <sz val="9"/>
        <color theme="1"/>
        <rFont val="맑은 고딕"/>
        <family val="3"/>
        <charset val="129"/>
      </rPr>
      <t>실제투입작업량</t>
    </r>
    <r>
      <rPr>
        <sz val="9"/>
        <color theme="1"/>
        <rFont val="Calibri"/>
        <family val="2"/>
      </rPr>
      <t xml:space="preserve"> </t>
    </r>
    <r>
      <rPr>
        <sz val="9"/>
        <color theme="1"/>
        <rFont val="맑은 고딕"/>
        <family val="3"/>
        <charset val="129"/>
      </rPr>
      <t>진척률</t>
    </r>
    <phoneticPr fontId="1" type="noConversion"/>
  </si>
  <si>
    <r>
      <rPr>
        <sz val="9"/>
        <color theme="1"/>
        <rFont val="맑은 고딕"/>
        <family val="3"/>
        <charset val="129"/>
      </rPr>
      <t>실제투입작업량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</si>
  <si>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일일</t>
    </r>
    <r>
      <rPr>
        <sz val="9"/>
        <color theme="1"/>
        <rFont val="Calibri"/>
        <family val="2"/>
      </rPr>
      <t xml:space="preserve"> </t>
    </r>
    <r>
      <rPr>
        <sz val="9"/>
        <color theme="1"/>
        <rFont val="맑은 고딕"/>
        <family val="3"/>
        <charset val="129"/>
      </rPr>
      <t>실제투입작업량</t>
    </r>
    <r>
      <rPr>
        <sz val="9"/>
        <color theme="1"/>
        <rFont val="Calibri"/>
        <family val="2"/>
      </rPr>
      <t>(Man-Day)</t>
    </r>
    <phoneticPr fontId="1" type="noConversion"/>
  </si>
  <si>
    <r>
      <t>Workload</t>
    </r>
    <r>
      <rPr>
        <sz val="9"/>
        <color theme="1"/>
        <rFont val="맑은 고딕"/>
        <family val="2"/>
        <charset val="129"/>
      </rPr>
      <t>현황</t>
    </r>
    <r>
      <rPr>
        <sz val="9"/>
        <color theme="1"/>
        <rFont val="Calibri"/>
        <family val="2"/>
      </rPr>
      <t>(</t>
    </r>
    <r>
      <rPr>
        <sz val="9"/>
        <color theme="1"/>
        <rFont val="맑은 고딕"/>
        <family val="3"/>
        <charset val="129"/>
      </rPr>
      <t>담당별</t>
    </r>
    <r>
      <rPr>
        <sz val="9"/>
        <color theme="1"/>
        <rFont val="Calibri"/>
        <family val="2"/>
      </rPr>
      <t>)</t>
    </r>
    <phoneticPr fontId="1" type="noConversion"/>
  </si>
  <si>
    <t>* 월별로 프로젝트 진척률을 보여줍니다.</t>
  </si>
  <si>
    <t>* 주별로 프로젝트 진척률을 보여줍니다.</t>
  </si>
  <si>
    <t>프로젝트 관리</t>
  </si>
  <si>
    <t>프로젝트 착수 및 계획수립</t>
  </si>
  <si>
    <t>프로젝트,착수</t>
  </si>
  <si>
    <t>이지은,김분석</t>
  </si>
  <si>
    <t>프로젝트 범위정의</t>
  </si>
  <si>
    <t>1.1.2.1</t>
  </si>
  <si>
    <t>프로젝트 계획 수립</t>
  </si>
  <si>
    <t>이지은</t>
  </si>
  <si>
    <t>1;6</t>
  </si>
  <si>
    <t>1.1.2.2</t>
  </si>
  <si>
    <t>착수보고(Kick off)</t>
  </si>
  <si>
    <t>프로젝트 수행 및 통제</t>
  </si>
  <si>
    <t>월간보고1</t>
  </si>
  <si>
    <t>박피엠[20%]</t>
  </si>
  <si>
    <t>월간보고2</t>
  </si>
  <si>
    <t>월간보고3</t>
  </si>
  <si>
    <t>중간보고</t>
  </si>
  <si>
    <t>프로젝트 종료</t>
  </si>
  <si>
    <t>1.3.1</t>
  </si>
  <si>
    <t>종료계획수립</t>
  </si>
  <si>
    <t>김분석,이지은</t>
  </si>
  <si>
    <t>1.3.2</t>
  </si>
  <si>
    <t>시스템 인수인계</t>
  </si>
  <si>
    <t>1.3.3</t>
  </si>
  <si>
    <t>종료보고</t>
  </si>
  <si>
    <t>나고객,이고객</t>
  </si>
  <si>
    <t>1;16</t>
  </si>
  <si>
    <t>1.3.4</t>
  </si>
  <si>
    <t>검수 및 종료</t>
  </si>
  <si>
    <t>2.1.1</t>
  </si>
  <si>
    <t>2.1.2</t>
  </si>
  <si>
    <t>2.1.2.1</t>
  </si>
  <si>
    <t>프로세스모델링</t>
  </si>
  <si>
    <t>2.1.2.2</t>
  </si>
  <si>
    <t>데이터모델링</t>
  </si>
  <si>
    <t>박설계[120%],이지은[50%]</t>
  </si>
  <si>
    <t>2.2.1</t>
  </si>
  <si>
    <t>2.2.2</t>
  </si>
  <si>
    <t>시스템 설계</t>
  </si>
  <si>
    <t>2.2.2.1</t>
  </si>
  <si>
    <t>Architecture설계</t>
  </si>
  <si>
    <t>2.2.2.2</t>
  </si>
  <si>
    <t>2.2.2.3</t>
  </si>
  <si>
    <t>2.2.3</t>
  </si>
  <si>
    <t>개발</t>
  </si>
  <si>
    <t>2.3.1</t>
  </si>
  <si>
    <t>프로그램 개발</t>
  </si>
  <si>
    <t>2.3.1.1</t>
  </si>
  <si>
    <t>단위테스트시나리오작성</t>
  </si>
  <si>
    <t>2.3.1.2</t>
  </si>
  <si>
    <t>프로그램코딩 및 단위테스트</t>
  </si>
  <si>
    <t>2.3.1.2.1</t>
  </si>
  <si>
    <t>모듈A</t>
  </si>
  <si>
    <t>2.3.1.2.1.1</t>
  </si>
  <si>
    <t>프로그램A</t>
  </si>
  <si>
    <t>2.3.1.2.1.2</t>
  </si>
  <si>
    <t>프로그램B</t>
  </si>
  <si>
    <t>2.3.1.2.1.3</t>
  </si>
  <si>
    <t>프로그램C</t>
  </si>
  <si>
    <t>2.3.1.2.2</t>
  </si>
  <si>
    <t>모듈B</t>
  </si>
  <si>
    <t>2.3.1.2.3</t>
  </si>
  <si>
    <t>모듈C</t>
  </si>
  <si>
    <t>2.3.1.2.4</t>
  </si>
  <si>
    <t>모듈D</t>
  </si>
  <si>
    <t>2.3.2</t>
  </si>
  <si>
    <t>테스트실시</t>
  </si>
  <si>
    <t>2.3.2.1</t>
  </si>
  <si>
    <t>통합테스트실시</t>
  </si>
  <si>
    <t>2.3.2.2</t>
  </si>
  <si>
    <t>시스템테스트실시</t>
  </si>
  <si>
    <t>구현</t>
  </si>
  <si>
    <t>2.4.1</t>
  </si>
  <si>
    <t>구현준비</t>
  </si>
  <si>
    <t>2.4.1.1</t>
  </si>
  <si>
    <t>Release 및 Contingency plan수립</t>
  </si>
  <si>
    <t>2.4.2</t>
  </si>
  <si>
    <t>Conversion 및 Release</t>
  </si>
  <si>
    <t>2.4.2.1</t>
  </si>
  <si>
    <t>데이터베이스구축</t>
  </si>
  <si>
    <t>2.4.2.2</t>
  </si>
  <si>
    <t>소프트웨어설치</t>
  </si>
  <si>
    <t>2.4.2.3</t>
  </si>
  <si>
    <t>인수테스트실시</t>
  </si>
  <si>
    <t>1;52</t>
  </si>
  <si>
    <t>2.4.2.4</t>
  </si>
  <si>
    <t>시스템오픈</t>
  </si>
  <si>
    <t>W13</t>
  </si>
  <si>
    <t>W17</t>
  </si>
  <si>
    <t>W21</t>
  </si>
  <si>
    <t>1.3</t>
  </si>
  <si>
    <t>2</t>
  </si>
  <si>
    <t>2.1</t>
  </si>
  <si>
    <t>2.2</t>
  </si>
  <si>
    <t>2.3</t>
  </si>
  <si>
    <t>2.4</t>
  </si>
  <si>
    <t>03/01
W10</t>
  </si>
  <si>
    <t>03/29
W14</t>
  </si>
  <si>
    <t>04/26
W18</t>
  </si>
  <si>
    <t>05/24
W22</t>
  </si>
  <si>
    <t>06/21
W26</t>
  </si>
  <si>
    <t>07/19
W30</t>
  </si>
  <si>
    <t>Progress_Data</t>
    <phoneticPr fontId="1" type="noConversion"/>
  </si>
  <si>
    <t>There is no valid Progress data.</t>
    <phoneticPr fontId="1" type="noConversion"/>
  </si>
  <si>
    <t>유효한 진척률 데이터가 없습니다.</t>
    <phoneticPr fontId="1" type="noConversion"/>
  </si>
  <si>
    <t>TODAY</t>
    <phoneticPr fontId="1" type="noConversion"/>
  </si>
  <si>
    <t>DEFINED</t>
    <phoneticPr fontId="1" type="noConversion"/>
  </si>
  <si>
    <r>
      <rPr>
        <sz val="9"/>
        <color theme="1"/>
        <rFont val="맑은 고딕"/>
        <family val="2"/>
        <charset val="129"/>
      </rPr>
      <t>진척률</t>
    </r>
    <r>
      <rPr>
        <sz val="9"/>
        <color theme="1"/>
        <rFont val="Calibri"/>
        <family val="2"/>
      </rPr>
      <t xml:space="preserve"> </t>
    </r>
    <r>
      <rPr>
        <sz val="9"/>
        <color theme="1"/>
        <rFont val="맑은 고딕"/>
        <family val="2"/>
        <charset val="129"/>
      </rPr>
      <t>정보를</t>
    </r>
    <r>
      <rPr>
        <sz val="9"/>
        <color theme="1"/>
        <rFont val="Calibri"/>
        <family val="2"/>
      </rPr>
      <t xml:space="preserve"> </t>
    </r>
    <r>
      <rPr>
        <sz val="9"/>
        <color theme="1"/>
        <rFont val="맑은 고딕"/>
        <family val="2"/>
        <charset val="129"/>
      </rPr>
      <t>일단위</t>
    </r>
    <r>
      <rPr>
        <sz val="9"/>
        <color theme="1"/>
        <rFont val="Calibri"/>
        <family val="2"/>
      </rPr>
      <t xml:space="preserve"> Raw data</t>
    </r>
    <r>
      <rPr>
        <sz val="9"/>
        <color theme="1"/>
        <rFont val="맑은 고딕"/>
        <family val="2"/>
        <charset val="129"/>
      </rPr>
      <t>로</t>
    </r>
    <r>
      <rPr>
        <sz val="9"/>
        <color theme="1"/>
        <rFont val="Calibri"/>
        <family val="2"/>
      </rPr>
      <t xml:space="preserve"> </t>
    </r>
    <r>
      <rPr>
        <sz val="9"/>
        <color theme="1"/>
        <rFont val="맑은 고딕"/>
        <family val="2"/>
        <charset val="129"/>
      </rPr>
      <t>생성한다</t>
    </r>
    <r>
      <rPr>
        <sz val="9"/>
        <color theme="1"/>
        <rFont val="Calibri"/>
        <family val="2"/>
      </rPr>
      <t xml:space="preserve">. </t>
    </r>
    <r>
      <rPr>
        <sz val="9"/>
        <color theme="1"/>
        <rFont val="맑은 고딕"/>
        <family val="2"/>
        <charset val="129"/>
      </rPr>
      <t>차트를</t>
    </r>
    <r>
      <rPr>
        <sz val="9"/>
        <color theme="1"/>
        <rFont val="Calibri"/>
        <family val="2"/>
      </rPr>
      <t xml:space="preserve"> </t>
    </r>
    <r>
      <rPr>
        <sz val="9"/>
        <color theme="1"/>
        <rFont val="맑은 고딕"/>
        <family val="2"/>
        <charset val="129"/>
      </rPr>
      <t>그리거나</t>
    </r>
    <r>
      <rPr>
        <sz val="9"/>
        <color theme="1"/>
        <rFont val="Calibri"/>
        <family val="2"/>
      </rPr>
      <t xml:space="preserve"> </t>
    </r>
    <r>
      <rPr>
        <sz val="9"/>
        <color theme="1"/>
        <rFont val="맑은 고딕"/>
        <family val="2"/>
        <charset val="129"/>
      </rPr>
      <t>사용자가</t>
    </r>
    <r>
      <rPr>
        <sz val="9"/>
        <color theme="1"/>
        <rFont val="Calibri"/>
        <family val="2"/>
      </rPr>
      <t xml:space="preserve"> </t>
    </r>
    <r>
      <rPr>
        <sz val="9"/>
        <color theme="1"/>
        <rFont val="맑은 고딕"/>
        <family val="2"/>
        <charset val="129"/>
      </rPr>
      <t>원하는대로</t>
    </r>
    <r>
      <rPr>
        <sz val="9"/>
        <color theme="1"/>
        <rFont val="Calibri"/>
        <family val="2"/>
      </rPr>
      <t xml:space="preserve"> </t>
    </r>
    <r>
      <rPr>
        <sz val="9"/>
        <color theme="1"/>
        <rFont val="맑은 고딕"/>
        <family val="2"/>
        <charset val="129"/>
      </rPr>
      <t>분석을</t>
    </r>
    <r>
      <rPr>
        <sz val="9"/>
        <color theme="1"/>
        <rFont val="Calibri"/>
        <family val="2"/>
      </rPr>
      <t xml:space="preserve"> </t>
    </r>
    <r>
      <rPr>
        <sz val="9"/>
        <color theme="1"/>
        <rFont val="맑은 고딕"/>
        <family val="2"/>
        <charset val="129"/>
      </rPr>
      <t>할</t>
    </r>
    <r>
      <rPr>
        <sz val="9"/>
        <color theme="1"/>
        <rFont val="Calibri"/>
        <family val="2"/>
      </rPr>
      <t xml:space="preserve"> </t>
    </r>
    <r>
      <rPr>
        <sz val="9"/>
        <color theme="1"/>
        <rFont val="맑은 고딕"/>
        <family val="2"/>
        <charset val="129"/>
      </rPr>
      <t>수</t>
    </r>
    <r>
      <rPr>
        <sz val="9"/>
        <color theme="1"/>
        <rFont val="Calibri"/>
        <family val="2"/>
      </rPr>
      <t xml:space="preserve"> </t>
    </r>
    <r>
      <rPr>
        <sz val="9"/>
        <color theme="1"/>
        <rFont val="맑은 고딕"/>
        <family val="2"/>
        <charset val="129"/>
      </rPr>
      <t>있다</t>
    </r>
    <r>
      <rPr>
        <sz val="9"/>
        <color theme="1"/>
        <rFont val="Calibri"/>
        <family val="2"/>
      </rPr>
      <t>.</t>
    </r>
    <phoneticPr fontId="1" type="noConversion"/>
  </si>
  <si>
    <t>Create daily raw data for progress rates, supporting customized charting and analysis.</t>
    <phoneticPr fontId="1" type="noConversion"/>
  </si>
  <si>
    <t>계획작업량 누적(Man-Day)</t>
  </si>
  <si>
    <t>실적기성 누적(Man-Day)</t>
  </si>
  <si>
    <t>실제투입작업량 누적(Man-Day)</t>
  </si>
  <si>
    <t>실제투입작업량 진척률</t>
  </si>
  <si>
    <t>날짜</t>
  </si>
  <si>
    <t>주차</t>
  </si>
  <si>
    <t>일일 실제투입작업량(Man-Day)</t>
  </si>
  <si>
    <t>2026년 전국동시지방선거</t>
  </si>
  <si>
    <t>2026년 제헌절</t>
  </si>
  <si>
    <t>2027년 신정</t>
  </si>
  <si>
    <t>2027년 설 연휴</t>
  </si>
  <si>
    <t>2027년 대체공휴일(설날)</t>
  </si>
  <si>
    <t>2027년 삼일절</t>
  </si>
  <si>
    <t>2027년 어린이날</t>
  </si>
  <si>
    <t>2027년 부처님오신날</t>
  </si>
  <si>
    <t>2027년 대체공휴일(광복절)</t>
  </si>
  <si>
    <t>2027년 추석연휴</t>
  </si>
  <si>
    <t>2027년 추석</t>
  </si>
  <si>
    <t>2027년 대체공휴일(개천절)</t>
  </si>
  <si>
    <t>2027년 대체공휴일(한글날)</t>
  </si>
  <si>
    <t>2027년 대체공휴일(성탄절)</t>
  </si>
  <si>
    <t>2025년 대체공휴일(삼일절)</t>
  </si>
  <si>
    <t>2025년 대체공휴일</t>
  </si>
  <si>
    <t>2025년 대체공휴일(추석)</t>
  </si>
  <si>
    <t>2026년 대체공휴일(삼일절)</t>
  </si>
  <si>
    <t>2026년 대체공휴일(부처님오신날)</t>
  </si>
  <si>
    <t>2026년 대체공휴일(광복절)</t>
  </si>
  <si>
    <t>2026년 대체공휴일(개천절)</t>
  </si>
  <si>
    <t>엑셀간트(XLGantt) - 엑셀 일정관리</t>
    <phoneticPr fontId="1"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</si>
  <si>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</si>
  <si>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</si>
  <si>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</si>
  <si>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작업과 일정을 입력하면 진척률이 계산되며 작업의 일정을 간트차트로 표시해 준다.</t>
    <phoneticPr fontId="1" type="noConversion"/>
  </si>
  <si>
    <t>작업량, 진척률 등을 볼 수 있다.</t>
    <phoneticPr fontId="1" type="noConversion"/>
  </si>
  <si>
    <t>담당별 진행률, Workload등 분석용 Report를 만들어서 보여준다.</t>
    <phoneticPr fontId="1" type="noConversion"/>
  </si>
  <si>
    <t>프로젝트의 휴무일을 설정한다.</t>
    <phoneticPr fontId="1" type="noConversion"/>
  </si>
  <si>
    <t>진척률 정보를 일단위 Raw data로 생성한다. 차트를 그리거나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</si>
  <si>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</si>
  <si>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</si>
  <si>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</si>
  <si>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</si>
  <si>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</si>
  <si>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</si>
  <si>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</si>
  <si>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</si>
  <si>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</si>
  <si>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</si>
  <si>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</si>
  <si>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</si>
  <si>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</si>
  <si>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</si>
  <si>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</si>
  <si>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작업명, 시작일, 완료일, 진척률을 입력하면 휴무일, 자원수를 고려하여 자동으로 작업기간, 계획진척률, 실적진척률 등이 계산된다.</t>
    <phoneticPr fontId="1" type="noConversion"/>
  </si>
  <si>
    <t>Bar chart형태로 간트차트를 보여주며 여러 가지 표시방법을 옵션에서 설정할 수 있다.</t>
    <phoneticPr fontId="1" type="noConversion"/>
  </si>
  <si>
    <t>진척률을 이용하여 프로젝트 전체 진행상황을 파악할 수 있다.</t>
    <phoneticPr fontId="1" type="noConversion"/>
  </si>
  <si>
    <t>프로젝트의 현황을 파악할 수 있는 진행률, Workload 등의 분석 리포트와 분석용 Workload data를 제공한다.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</si>
  <si>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</si>
  <si>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</si>
  <si>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</si>
  <si>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</si>
  <si>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</si>
  <si>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</si>
  <si>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</si>
  <si>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</si>
  <si>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XLGantt Version 6.1.0 사용조건</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</si>
  <si>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</si>
  <si>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 프로젝트 작업량과 진척률을 보여줍니다.</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</si>
  <si>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</si>
  <si>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</si>
  <si>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 자원수를 적용한 값</t>
    <phoneticPr fontId="3" type="noConversion"/>
  </si>
  <si>
    <t>현재일까지 계획된 작업량</t>
    <phoneticPr fontId="3" type="noConversion"/>
  </si>
  <si>
    <t>프로젝트 시작일부터 현재일까지의 작업량(현재 날짜까지 진행되었어야 할 작업량) (PV)</t>
    <phoneticPr fontId="3" type="noConversion"/>
  </si>
  <si>
    <t>실제 투입된 작업량</t>
    <phoneticPr fontId="3" type="noConversion"/>
  </si>
  <si>
    <t>일정변경 관리할 때 현재까지 실제로 투입된 작업량을 표시함 (AC)</t>
    <phoneticPr fontId="3" type="noConversion"/>
  </si>
  <si>
    <t>계획 진척률(A)</t>
    <phoneticPr fontId="3" type="noConversion"/>
  </si>
  <si>
    <t>현재날짜까지 계획된 진척률, WBS의 "계획진척률"의 전체 합계 진척률을 표시</t>
    <phoneticPr fontId="3" type="noConversion"/>
  </si>
  <si>
    <t>실적 진척률(B)</t>
    <phoneticPr fontId="3" type="noConversion"/>
  </si>
  <si>
    <t>현재날짜까지 실제로 진행된 진척률, WBS의 "실적진척률"의 전체 합계 진척률을 표시</t>
    <phoneticPr fontId="3" type="noConversion"/>
  </si>
  <si>
    <t>차이(B-A)</t>
    <phoneticPr fontId="3" type="noConversion"/>
  </si>
  <si>
    <t>양수이면 계획보다 빨리 진행, 음수이면 지연</t>
    <phoneticPr fontId="3" type="noConversion"/>
  </si>
  <si>
    <r>
      <t xml:space="preserve">XLGantt 6.1.0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</si>
  <si>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작업*</t>
    <phoneticPr fontId="1" type="noConversion"/>
  </si>
  <si>
    <t>비고</t>
    <phoneticPr fontId="1" type="noConversion"/>
  </si>
  <si>
    <t>시작일*</t>
    <phoneticPr fontId="1" type="noConversion"/>
  </si>
  <si>
    <t>완료일*</t>
    <phoneticPr fontId="1" type="noConversion"/>
  </si>
  <si>
    <t>총_x000D_
작업량</t>
    <phoneticPr fontId="1" type="noConversion"/>
  </si>
  <si>
    <t>계획_x000D_
작업량</t>
    <phoneticPr fontId="1" type="noConversion"/>
  </si>
  <si>
    <t>총_x000D_
기간</t>
    <phoneticPr fontId="1" type="noConversion"/>
  </si>
  <si>
    <t>계획_x000D_
기간</t>
    <phoneticPr fontId="1" type="noConversion"/>
  </si>
  <si>
    <t>실제_x000D_
총기간</t>
    <phoneticPr fontId="1" type="noConversion"/>
  </si>
  <si>
    <t>자원수</t>
    <phoneticPr fontId="1" type="noConversion"/>
  </si>
  <si>
    <t>시작일</t>
  </si>
  <si>
    <t>완료일</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</si>
  <si>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</si>
  <si>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</si>
  <si>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</si>
  <si>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</si>
  <si>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</si>
  <si>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</si>
  <si>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</si>
  <si>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</si>
  <si>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작업입력, 스케줄 업데이트</t>
  </si>
  <si>
    <t>작업입력, 스케줄 업데이트</t>
    <phoneticPr fontId="1" type="noConversion"/>
  </si>
  <si>
    <t>파워포인트</t>
    <phoneticPr fontId="1" type="noConversion"/>
  </si>
  <si>
    <t>자동지정</t>
    <phoneticPr fontId="1" type="noConversion"/>
  </si>
  <si>
    <t>워드</t>
    <phoneticPr fontId="1" type="noConversion"/>
  </si>
  <si>
    <t>엑셀</t>
    <phoneticPr fontId="1" type="noConversion"/>
  </si>
  <si>
    <t>계획작업량(Man-Day)</t>
  </si>
  <si>
    <t>실적기성(Man-Day)</t>
  </si>
  <si>
    <t>실제투입작업량(Man-Day)</t>
  </si>
  <si>
    <t>{"TASK_FIRST_COL":"5","START_ROW":"5","WBS_AREA_LAST_COL":"31"}</t>
    <phoneticPr fontId="1" type="noConversion"/>
  </si>
  <si>
    <t>SCHEDULE_SHEET_POSITION:3545151617181920212223242526272829303132</t>
    <phoneticPr fontId="1" type="noConversion"/>
  </si>
  <si>
    <t>reserved</t>
    <phoneticPr fontId="1" type="noConversion"/>
  </si>
  <si>
    <t>wbs_level</t>
    <phoneticPr fontId="1" type="noConversion"/>
  </si>
  <si>
    <t>WBS</t>
    <phoneticPr fontId="1" type="noConversion"/>
  </si>
  <si>
    <t>실제_x000D_
시작일</t>
    <phoneticPr fontId="1" type="noConversion"/>
  </si>
  <si>
    <t>실제_x000D_
완료일</t>
    <phoneticPr fontId="1" type="noConversion"/>
  </si>
  <si>
    <t>실제_x000D_
총작업량</t>
    <phoneticPr fontId="1" type="noConversion"/>
  </si>
  <si>
    <t>담당</t>
    <phoneticPr fontId="1" type="noConversion"/>
  </si>
  <si>
    <t>산출물</t>
    <phoneticPr fontId="1" type="noConversion"/>
  </si>
  <si>
    <t>계획</t>
    <phoneticPr fontId="1" type="noConversion"/>
  </si>
  <si>
    <t>실적*</t>
    <phoneticPr fontId="1" type="noConversion"/>
  </si>
  <si>
    <t>프로젝트 진척률 - 일정변경 관리하지 않을때</t>
    <phoneticPr fontId="3" type="noConversion"/>
  </si>
  <si>
    <t>실적기성</t>
    <phoneticPr fontId="3" type="noConversion"/>
  </si>
  <si>
    <t>실적기성(프로젝트 전체 작업량 x 실적 진척률) (EV)</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</si>
</sst>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0_);[Red]\(0\)"/>
    <numFmt numFmtId="177" formatCode="0.0"/>
    <numFmt numFmtId="178" formatCode="0.0_);[Red]\(0.0\)"/>
    <numFmt numFmtId="179" formatCode="0.00_);[Red]\(0.00\)"/>
    <numFmt numFmtId="180" formatCode="yyyy\-mm\-dd"/>
  </numFmts>
  <fonts count="68">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0"/>
      <color theme="10"/>
      <name val="Calibri"/>
      <family val="2"/>
    </font>
    <font>
      <sz val="11"/>
      <color theme="1"/>
      <name val="맑은 고딕"/>
      <family val="2"/>
      <scheme val="minor"/>
    </font>
    <font>
      <sz val="8"/>
      <color theme="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sz val="9"/>
      <color theme="1"/>
      <name val="돋움"/>
      <family val="3"/>
      <charset val="129"/>
    </font>
    <font>
      <sz val="9"/>
      <color theme="1"/>
      <name val="Calibri"/>
      <family val="3"/>
    </font>
    <font>
      <sz val="9"/>
      <color rgb="FFFF8800"/>
      <name val="Calibri"/>
      <family val="2"/>
    </font>
    <font>
      <sz val="8"/>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20"/>
      <color rgb="FFFF8800"/>
      <name val="Calibri"/>
      <family val="2"/>
    </font>
    <font>
      <b/>
      <sz val="18"/>
      <name val="Calibri"/>
      <family val="3"/>
      <charset val="129"/>
    </font>
    <font>
      <sz val="9"/>
      <color theme="1"/>
      <name val="Calibri"/>
      <family val="2"/>
      <charset val="129"/>
    </font>
    <font>
      <b/>
      <sz val="9"/>
      <name val="맑은 고딕"/>
      <family val="3"/>
      <charset val="129"/>
      <scheme val="minor"/>
    </font>
    <font>
      <b/>
      <sz val="11"/>
      <color theme="1"/>
      <name val="맑은 고딕"/>
      <family val="3"/>
      <charset val="129"/>
      <scheme val="minor"/>
    </font>
    <font>
      <sz val="9"/>
      <color rgb="FFFF8800"/>
      <name val="맑은 고딕"/>
      <family val="3"/>
      <charset val="129"/>
      <scheme val="minor"/>
    </font>
    <font>
      <sz val="11"/>
      <name val="Calibri"/>
      <family val="2"/>
      <charset val="129"/>
    </font>
    <font>
      <sz val="16"/>
      <color theme="1"/>
      <name val="Calibri"/>
      <family val="2"/>
    </font>
    <font>
      <b/>
      <sz val="10"/>
      <color theme="10"/>
      <name val="Malgun Gothic"/>
      <family val="3"/>
      <charset val="129"/>
    </font>
    <font>
      <b/>
      <sz val="9"/>
      <color rgb="FFFF8800"/>
      <name val="돋움"/>
      <family val="3"/>
      <charset val="129"/>
    </font>
    <font>
      <sz val="11"/>
      <name val="Calibri"/>
      <family val="3"/>
      <charset val="129"/>
    </font>
    <font>
      <sz val="9"/>
      <color theme="1"/>
      <name val="맑은 고딕"/>
      <family val="3"/>
      <charset val="129"/>
      <scheme val="minor"/>
    </font>
    <font>
      <sz val="9"/>
      <color rgb="FFFF0000"/>
      <name val="맑은 고딕"/>
      <family val="3"/>
      <charset val="129"/>
      <scheme val="minor"/>
    </font>
  </fonts>
  <fills count="23">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EAEAEA"/>
        <bgColor indexed="64"/>
      </patternFill>
    </fill>
    <fill>
      <patternFill patternType="solid">
        <fgColor rgb="FFDCE6F1"/>
        <bgColor indexed="64"/>
      </patternFill>
    </fill>
    <fill>
      <patternFill patternType="solid">
        <fgColor rgb="FFFF00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style="thin">
        <color theme="0" tint="-0.14993743705557422"/>
      </top>
      <bottom style="thin">
        <color theme="0" tint="-0.14993743705557422"/>
      </bottom>
      <diagonal/>
    </border>
  </borders>
  <cellStyleXfs count="3">
    <xf numFmtId="0" fontId="0" fillId="0" borderId="0"/>
    <xf numFmtId="0" fontId="2" fillId="0" borderId="0" applyNumberFormat="0" applyFill="0" applyBorder="0" applyAlignment="0" applyProtection="0"/>
    <xf numFmtId="9" fontId="30" fillId="0" borderId="0" applyFont="0" applyFill="0" applyBorder="0" applyAlignment="0" applyProtection="0">
      <alignment vertical="center"/>
    </xf>
  </cellStyleXfs>
  <cellXfs count="285">
    <xf numFmtId="0" fontId="0" fillId="0" borderId="0" xfId="0"/>
    <xf numFmtId="0" fontId="5" fillId="0" borderId="0" xfId="0" applyFont="1" applyAlignment="1">
      <alignment vertical="center"/>
    </xf>
    <xf numFmtId="0" fontId="4" fillId="0" borderId="0" xfId="0" applyFont="1" applyAlignment="1">
      <alignment vertical="center"/>
    </xf>
    <xf numFmtId="14" fontId="6" fillId="0" borderId="0" xfId="0" applyNumberFormat="1" applyFont="1" applyAlignment="1">
      <alignment vertical="center"/>
    </xf>
    <xf numFmtId="14" fontId="7" fillId="0" borderId="0" xfId="0" applyNumberFormat="1" applyFont="1" applyAlignment="1">
      <alignment vertical="center"/>
    </xf>
    <xf numFmtId="14" fontId="8" fillId="2" borderId="0" xfId="0" quotePrefix="1" applyNumberFormat="1" applyFont="1" applyFill="1"/>
    <xf numFmtId="14" fontId="8" fillId="2" borderId="0" xfId="0" applyNumberFormat="1" applyFont="1" applyFill="1" applyAlignment="1">
      <alignment vertical="center"/>
    </xf>
    <xf numFmtId="0" fontId="8" fillId="2" borderId="0" xfId="0" applyFont="1" applyFill="1"/>
    <xf numFmtId="176" fontId="10" fillId="2" borderId="0" xfId="0" applyNumberFormat="1" applyFont="1" applyFill="1" applyAlignment="1" applyProtection="1">
      <alignment vertical="center"/>
      <protection locked="0"/>
    </xf>
    <xf numFmtId="14" fontId="9" fillId="2" borderId="0" xfId="0" applyNumberFormat="1" applyFont="1" applyFill="1" applyAlignment="1">
      <alignment vertical="center"/>
    </xf>
    <xf numFmtId="14" fontId="8" fillId="0" borderId="6" xfId="0" applyNumberFormat="1" applyFont="1" applyBorder="1" applyAlignment="1" applyProtection="1">
      <alignment vertical="top"/>
      <protection locked="0"/>
    </xf>
    <xf numFmtId="14" fontId="8" fillId="0" borderId="6" xfId="0" applyNumberFormat="1" applyFont="1" applyBorder="1" applyAlignment="1" applyProtection="1">
      <alignment vertical="center"/>
      <protection locked="0"/>
    </xf>
    <xf numFmtId="0" fontId="8" fillId="0" borderId="6" xfId="0" applyFont="1" applyBorder="1" applyAlignment="1" applyProtection="1">
      <alignment vertical="top"/>
      <protection locked="0"/>
    </xf>
    <xf numFmtId="0" fontId="8" fillId="0" borderId="6" xfId="0" applyFont="1" applyBorder="1" applyAlignment="1" applyProtection="1">
      <alignment vertical="center" wrapText="1"/>
      <protection locked="0"/>
    </xf>
    <xf numFmtId="0" fontId="8" fillId="0" borderId="6" xfId="0" applyFont="1" applyBorder="1" applyAlignment="1" applyProtection="1">
      <alignment vertical="center"/>
      <protection locked="0"/>
    </xf>
    <xf numFmtId="0" fontId="8" fillId="0" borderId="0" xfId="0" applyFont="1" applyAlignment="1" applyProtection="1">
      <alignment vertical="top"/>
      <protection locked="0"/>
    </xf>
    <xf numFmtId="14" fontId="11" fillId="0" borderId="0" xfId="0" applyNumberFormat="1" applyFont="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Border="1" applyAlignment="1" applyProtection="1">
      <alignment horizontal="right" vertical="top"/>
      <protection locked="0"/>
    </xf>
    <xf numFmtId="14" fontId="8" fillId="0" borderId="8" xfId="0" applyNumberFormat="1" applyFont="1" applyBorder="1" applyAlignment="1" applyProtection="1">
      <alignment vertical="center"/>
      <protection locked="0"/>
    </xf>
    <xf numFmtId="0" fontId="8" fillId="0" borderId="8" xfId="0" applyFont="1" applyBorder="1" applyAlignment="1" applyProtection="1">
      <alignment vertical="top"/>
      <protection locked="0"/>
    </xf>
    <xf numFmtId="0" fontId="8" fillId="0" borderId="8" xfId="0" applyFont="1" applyBorder="1" applyAlignment="1" applyProtection="1">
      <alignment vertical="center"/>
      <protection locked="0"/>
    </xf>
    <xf numFmtId="14" fontId="11" fillId="0" borderId="0" xfId="0" applyNumberFormat="1" applyFont="1" applyAlignment="1" applyProtection="1">
      <alignment vertical="top"/>
      <protection locked="0"/>
    </xf>
    <xf numFmtId="14" fontId="8" fillId="0" borderId="0" xfId="0" applyNumberFormat="1" applyFont="1" applyAlignment="1" applyProtection="1">
      <alignment vertical="center"/>
      <protection locked="0"/>
    </xf>
    <xf numFmtId="0" fontId="8" fillId="0" borderId="9" xfId="0" applyFont="1" applyBorder="1" applyAlignment="1" applyProtection="1">
      <alignment vertical="center" wrapText="1"/>
      <protection locked="0"/>
    </xf>
    <xf numFmtId="14" fontId="8" fillId="0" borderId="0" xfId="0" applyNumberFormat="1" applyFont="1" applyAlignment="1" applyProtection="1">
      <alignment vertical="top"/>
      <protection locked="0"/>
    </xf>
    <xf numFmtId="14" fontId="11" fillId="0" borderId="8" xfId="0" applyNumberFormat="1" applyFont="1" applyBorder="1" applyAlignment="1" applyProtection="1">
      <alignment vertical="top"/>
      <protection locked="0"/>
    </xf>
    <xf numFmtId="0" fontId="8" fillId="0" borderId="8" xfId="0" applyFont="1" applyBorder="1" applyAlignment="1" applyProtection="1">
      <alignment vertical="center" wrapText="1"/>
      <protection locked="0"/>
    </xf>
    <xf numFmtId="14" fontId="11" fillId="0" borderId="9" xfId="0" applyNumberFormat="1" applyFont="1" applyBorder="1" applyAlignment="1" applyProtection="1">
      <alignment vertical="center" wrapText="1"/>
      <protection locked="0"/>
    </xf>
    <xf numFmtId="14" fontId="11" fillId="0" borderId="0" xfId="0" applyNumberFormat="1" applyFont="1" applyAlignment="1" applyProtection="1">
      <alignment horizontal="right" vertical="center" wrapText="1"/>
      <protection locked="0"/>
    </xf>
    <xf numFmtId="14" fontId="11" fillId="0" borderId="8" xfId="0" applyNumberFormat="1" applyFont="1" applyBorder="1" applyAlignment="1" applyProtection="1">
      <alignment vertical="center" wrapText="1"/>
      <protection locked="0"/>
    </xf>
    <xf numFmtId="0" fontId="8" fillId="0" borderId="8" xfId="0" applyFont="1" applyBorder="1" applyProtection="1">
      <protection locked="0"/>
    </xf>
    <xf numFmtId="0" fontId="8" fillId="0" borderId="0" xfId="0" applyFont="1" applyProtection="1">
      <protection locked="0"/>
    </xf>
    <xf numFmtId="14" fontId="8" fillId="0" borderId="0" xfId="0" applyNumberFormat="1" applyFont="1" applyProtection="1">
      <protection locked="0"/>
    </xf>
    <xf numFmtId="14" fontId="8" fillId="0" borderId="9" xfId="0" applyNumberFormat="1" applyFont="1" applyBorder="1" applyAlignment="1" applyProtection="1">
      <alignment vertical="center"/>
      <protection locked="0"/>
    </xf>
    <xf numFmtId="0" fontId="8" fillId="0" borderId="9" xfId="0" applyFont="1" applyBorder="1" applyProtection="1">
      <protection locked="0"/>
    </xf>
    <xf numFmtId="14" fontId="8" fillId="0" borderId="10" xfId="0" applyNumberFormat="1" applyFont="1" applyBorder="1" applyAlignment="1" applyProtection="1">
      <alignment vertical="center"/>
      <protection locked="0"/>
    </xf>
    <xf numFmtId="0" fontId="8" fillId="0" borderId="10" xfId="0" applyFont="1" applyBorder="1" applyAlignment="1" applyProtection="1">
      <alignment vertical="top"/>
      <protection locked="0"/>
    </xf>
    <xf numFmtId="14" fontId="11" fillId="0" borderId="9" xfId="0" applyNumberFormat="1" applyFont="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Border="1" applyAlignment="1" applyProtection="1">
      <alignment horizontal="right" vertical="top"/>
      <protection locked="0"/>
    </xf>
    <xf numFmtId="14" fontId="11" fillId="0" borderId="6" xfId="0" applyNumberFormat="1" applyFont="1" applyBorder="1" applyAlignment="1" applyProtection="1">
      <alignment horizontal="right" vertical="top"/>
      <protection locked="0"/>
    </xf>
    <xf numFmtId="14" fontId="11" fillId="0" borderId="11" xfId="0" applyNumberFormat="1" applyFont="1" applyBorder="1" applyAlignment="1" applyProtection="1">
      <alignment horizontal="right" vertical="top"/>
      <protection locked="0"/>
    </xf>
    <xf numFmtId="14" fontId="8" fillId="0" borderId="11" xfId="0" applyNumberFormat="1" applyFont="1" applyBorder="1" applyAlignment="1" applyProtection="1">
      <alignment vertical="center"/>
      <protection locked="0"/>
    </xf>
    <xf numFmtId="0" fontId="8" fillId="0" borderId="11" xfId="0" applyFont="1" applyBorder="1" applyAlignment="1" applyProtection="1">
      <alignment vertical="top"/>
      <protection locked="0"/>
    </xf>
    <xf numFmtId="14" fontId="11" fillId="0" borderId="12" xfId="0" applyNumberFormat="1" applyFont="1" applyBorder="1" applyAlignment="1" applyProtection="1">
      <alignment vertical="top"/>
      <protection locked="0"/>
    </xf>
    <xf numFmtId="14" fontId="8" fillId="0" borderId="12" xfId="0" applyNumberFormat="1" applyFont="1" applyBorder="1" applyAlignment="1" applyProtection="1">
      <alignment vertical="center"/>
      <protection locked="0"/>
    </xf>
    <xf numFmtId="0" fontId="8" fillId="0" borderId="12" xfId="0" applyFont="1" applyBorder="1" applyAlignment="1" applyProtection="1">
      <alignment vertical="top"/>
      <protection locked="0"/>
    </xf>
    <xf numFmtId="0" fontId="8" fillId="0" borderId="9" xfId="0" applyFont="1" applyBorder="1" applyAlignment="1" applyProtection="1">
      <alignment vertical="center"/>
      <protection locked="0"/>
    </xf>
    <xf numFmtId="10" fontId="8" fillId="4" borderId="7" xfId="0" applyNumberFormat="1" applyFont="1" applyFill="1" applyBorder="1" applyAlignment="1">
      <alignment vertical="center"/>
    </xf>
    <xf numFmtId="14" fontId="8" fillId="0" borderId="13" xfId="0" applyNumberFormat="1" applyFont="1" applyBorder="1" applyAlignment="1" applyProtection="1">
      <alignment horizontal="right" vertical="top"/>
      <protection locked="0"/>
    </xf>
    <xf numFmtId="14" fontId="8" fillId="0" borderId="13" xfId="0" applyNumberFormat="1" applyFont="1" applyBorder="1" applyAlignment="1" applyProtection="1">
      <alignment vertical="center"/>
      <protection locked="0"/>
    </xf>
    <xf numFmtId="0" fontId="8" fillId="0" borderId="13" xfId="0" applyFont="1" applyBorder="1" applyAlignment="1" applyProtection="1">
      <alignment vertical="top"/>
      <protection locked="0"/>
    </xf>
    <xf numFmtId="0" fontId="8" fillId="0" borderId="13" xfId="0" applyFont="1" applyBorder="1" applyAlignment="1" applyProtection="1">
      <alignment vertical="center"/>
      <protection locked="0"/>
    </xf>
    <xf numFmtId="14" fontId="7" fillId="0" borderId="0" xfId="0" applyNumberFormat="1" applyFont="1" applyAlignment="1" applyProtection="1">
      <alignment vertical="top"/>
      <protection locked="0"/>
    </xf>
    <xf numFmtId="14" fontId="7" fillId="0" borderId="0" xfId="0" applyNumberFormat="1" applyFont="1" applyAlignment="1" applyProtection="1">
      <alignment vertical="center"/>
      <protection locked="0"/>
    </xf>
    <xf numFmtId="0" fontId="7" fillId="0" borderId="0" xfId="0" applyFont="1" applyAlignment="1" applyProtection="1">
      <alignment vertical="top"/>
      <protection locked="0"/>
    </xf>
    <xf numFmtId="14" fontId="7" fillId="0" borderId="0" xfId="0" applyNumberFormat="1" applyFont="1" applyProtection="1">
      <protection locked="0"/>
    </xf>
    <xf numFmtId="179" fontId="7" fillId="0" borderId="0" xfId="0" applyNumberFormat="1" applyFont="1" applyAlignment="1" applyProtection="1">
      <alignment vertical="center"/>
      <protection locked="0"/>
    </xf>
    <xf numFmtId="0" fontId="7" fillId="0" borderId="0" xfId="0" applyFont="1" applyProtection="1">
      <protection locked="0"/>
    </xf>
    <xf numFmtId="1" fontId="7" fillId="0" borderId="0" xfId="0" applyNumberFormat="1" applyFont="1" applyAlignment="1" applyProtection="1">
      <alignment vertical="center"/>
      <protection locked="0"/>
    </xf>
    <xf numFmtId="176" fontId="7" fillId="0" borderId="0" xfId="0" applyNumberFormat="1" applyFont="1" applyAlignment="1" applyProtection="1">
      <alignment vertical="center"/>
      <protection locked="0"/>
    </xf>
    <xf numFmtId="14" fontId="7" fillId="0" borderId="0" xfId="0" applyNumberFormat="1" applyFont="1"/>
    <xf numFmtId="14" fontId="7" fillId="2" borderId="0" xfId="0" applyNumberFormat="1" applyFont="1" applyFill="1" applyAlignment="1">
      <alignment vertical="top"/>
    </xf>
    <xf numFmtId="14" fontId="13" fillId="3" borderId="14" xfId="0" applyNumberFormat="1" applyFont="1" applyFill="1" applyBorder="1" applyAlignment="1">
      <alignment horizontal="center" vertical="center"/>
    </xf>
    <xf numFmtId="14" fontId="7" fillId="0" borderId="0" xfId="0" applyNumberFormat="1" applyFont="1" applyAlignment="1">
      <alignment horizontal="center" vertical="center"/>
    </xf>
    <xf numFmtId="0" fontId="8" fillId="6" borderId="15" xfId="0" applyFont="1" applyFill="1" applyBorder="1" applyAlignment="1">
      <alignment horizontal="left" vertical="top"/>
    </xf>
    <xf numFmtId="0" fontId="8" fillId="0" borderId="0" xfId="0" applyFont="1" applyAlignment="1">
      <alignment horizontal="left" vertical="top"/>
    </xf>
    <xf numFmtId="0" fontId="8" fillId="0" borderId="0" xfId="0" applyFont="1" applyAlignment="1">
      <alignment vertical="top"/>
    </xf>
    <xf numFmtId="14" fontId="8" fillId="0" borderId="0" xfId="0" applyNumberFormat="1" applyFont="1" applyAlignment="1">
      <alignment horizontal="left" vertical="top"/>
    </xf>
    <xf numFmtId="22" fontId="8" fillId="0" borderId="0" xfId="0" applyNumberFormat="1" applyFont="1" applyAlignment="1">
      <alignment horizontal="left" vertical="top"/>
    </xf>
    <xf numFmtId="14" fontId="16" fillId="5"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xf numFmtId="0" fontId="19" fillId="0" borderId="0" xfId="0" applyFont="1"/>
    <xf numFmtId="14" fontId="16" fillId="0" borderId="14" xfId="0" applyNumberFormat="1" applyFont="1" applyBorder="1"/>
    <xf numFmtId="0" fontId="21" fillId="0" borderId="0" xfId="0" applyFont="1"/>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0"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4" fillId="11"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8" borderId="17" xfId="1" applyFont="1" applyFill="1" applyBorder="1" applyAlignment="1" applyProtection="1">
      <alignment horizontal="center" vertical="center" wrapText="1"/>
      <protection locked="0"/>
    </xf>
    <xf numFmtId="0" fontId="25" fillId="8"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7"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3" borderId="0" xfId="0" applyFont="1" applyFill="1" applyAlignment="1" applyProtection="1">
      <alignment horizontal="left"/>
      <protection locked="0"/>
    </xf>
    <xf numFmtId="0" fontId="8" fillId="13" borderId="0" xfId="0" applyFont="1" applyFill="1" applyProtection="1">
      <protection locked="0"/>
    </xf>
    <xf numFmtId="0" fontId="23" fillId="13" borderId="0" xfId="0" applyFont="1" applyFill="1" applyProtection="1">
      <protection locked="0"/>
    </xf>
    <xf numFmtId="0" fontId="8" fillId="13"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18" fillId="15" borderId="0" xfId="0" applyFont="1" applyFill="1" applyAlignment="1">
      <alignment horizontal="left" vertical="center"/>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center"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18" fillId="0" borderId="24" xfId="0" applyFont="1" applyBorder="1" applyAlignment="1" applyProtection="1">
      <alignment horizontal="left" vertical="center"/>
      <protection locked="0"/>
    </xf>
    <xf numFmtId="0" fontId="18" fillId="0" borderId="28" xfId="0" applyFont="1" applyBorder="1" applyAlignment="1" applyProtection="1">
      <alignment horizontal="left" vertical="center"/>
      <protection locked="0"/>
    </xf>
    <xf numFmtId="0" fontId="18" fillId="0" borderId="29" xfId="0" applyFont="1" applyBorder="1" applyAlignment="1" applyProtection="1">
      <alignment horizontal="left" vertical="center"/>
      <protection locked="0"/>
    </xf>
    <xf numFmtId="0" fontId="8" fillId="19" borderId="0" xfId="0" applyFont="1" applyFill="1" applyAlignment="1">
      <alignment vertical="top"/>
    </xf>
    <xf numFmtId="0" fontId="8" fillId="19" borderId="0" xfId="0" applyFont="1" applyFill="1" applyAlignment="1">
      <alignment horizontal="left" vertical="top"/>
    </xf>
    <xf numFmtId="0" fontId="34" fillId="3" borderId="1" xfId="0" applyFont="1" applyFill="1" applyBorder="1" applyAlignment="1">
      <alignment horizontal="center" vertical="center"/>
    </xf>
    <xf numFmtId="0" fontId="34" fillId="3" borderId="1" xfId="0" applyFont="1" applyFill="1" applyBorder="1" applyAlignment="1">
      <alignment horizontal="center" vertical="center" wrapText="1"/>
    </xf>
    <xf numFmtId="0" fontId="35" fillId="0" borderId="0" xfId="0" applyFont="1" applyAlignment="1">
      <alignment vertical="top"/>
    </xf>
    <xf numFmtId="0" fontId="35" fillId="0" borderId="0" xfId="0" applyFont="1" applyAlignment="1">
      <alignment horizontal="center" vertical="top"/>
    </xf>
    <xf numFmtId="0" fontId="36" fillId="0" borderId="0" xfId="0" applyFont="1" applyAlignment="1">
      <alignment vertical="top"/>
    </xf>
    <xf numFmtId="0" fontId="35" fillId="0" borderId="0" xfId="0" applyFont="1" applyAlignment="1">
      <alignment vertical="top" wrapText="1"/>
    </xf>
    <xf numFmtId="0" fontId="35" fillId="0" borderId="0" xfId="0" applyFont="1" applyAlignment="1">
      <alignment horizontal="left" vertical="top" wrapText="1"/>
    </xf>
    <xf numFmtId="0" fontId="35" fillId="0" borderId="0" xfId="0" applyFont="1" applyAlignment="1">
      <alignment horizontal="left" vertical="top"/>
    </xf>
    <xf numFmtId="0" fontId="36" fillId="0" borderId="0" xfId="0" applyFont="1" applyAlignment="1">
      <alignment horizontal="left" vertical="top"/>
    </xf>
    <xf numFmtId="14" fontId="35" fillId="0" borderId="0" xfId="0" applyNumberFormat="1" applyFont="1" applyAlignment="1">
      <alignment horizontal="left" vertical="top" wrapText="1"/>
    </xf>
    <xf numFmtId="0" fontId="35" fillId="0" borderId="0" xfId="0" applyFont="1"/>
    <xf numFmtId="0" fontId="33" fillId="0" borderId="0" xfId="0" applyFont="1" applyAlignment="1">
      <alignment horizontal="left" vertical="top"/>
    </xf>
    <xf numFmtId="0" fontId="36" fillId="0" borderId="0" xfId="0" applyFont="1" applyAlignment="1">
      <alignment horizontal="left" vertical="top" wrapText="1"/>
    </xf>
    <xf numFmtId="0" fontId="38" fillId="7" borderId="17" xfId="1" applyFont="1" applyFill="1" applyBorder="1" applyAlignment="1" applyProtection="1">
      <alignment horizontal="center" vertical="center" wrapText="1"/>
      <protection locked="0"/>
    </xf>
    <xf numFmtId="0" fontId="14" fillId="19" borderId="0" xfId="0" applyFont="1" applyFill="1"/>
    <xf numFmtId="0" fontId="2" fillId="19" borderId="0" xfId="1" applyFill="1" applyBorder="1" applyAlignment="1">
      <alignment horizontal="left" vertical="top"/>
    </xf>
    <xf numFmtId="14" fontId="8" fillId="19" borderId="0" xfId="0" applyNumberFormat="1" applyFont="1" applyFill="1" applyAlignment="1">
      <alignment horizontal="left" vertical="top"/>
    </xf>
    <xf numFmtId="0" fontId="8" fillId="17" borderId="0" xfId="0" applyFont="1" applyFill="1" applyAlignment="1">
      <alignment vertical="top"/>
    </xf>
    <xf numFmtId="0" fontId="8" fillId="17" borderId="0" xfId="0" quotePrefix="1" applyFont="1" applyFill="1" applyAlignment="1">
      <alignment horizontal="left" vertical="top"/>
    </xf>
    <xf numFmtId="0" fontId="8" fillId="17" borderId="0" xfId="0" applyFont="1" applyFill="1" applyAlignment="1">
      <alignment horizontal="left" vertical="top"/>
    </xf>
    <xf numFmtId="0" fontId="40" fillId="0" borderId="0" xfId="0" applyFont="1" applyAlignment="1">
      <alignment vertical="top" wrapText="1"/>
    </xf>
    <xf numFmtId="0" fontId="41" fillId="0" borderId="0" xfId="0" applyFont="1" applyAlignment="1">
      <alignment vertical="top" wrapText="1"/>
    </xf>
    <xf numFmtId="0" fontId="42" fillId="0" borderId="0" xfId="0" applyFont="1" applyAlignment="1">
      <alignment vertical="top" wrapText="1"/>
    </xf>
    <xf numFmtId="0" fontId="28" fillId="18" borderId="21" xfId="0" applyFont="1" applyFill="1" applyBorder="1" applyAlignment="1">
      <alignment vertical="center"/>
    </xf>
    <xf numFmtId="0" fontId="28" fillId="18" borderId="22" xfId="0" applyFont="1" applyFill="1" applyBorder="1" applyAlignment="1">
      <alignment vertical="center"/>
    </xf>
    <xf numFmtId="0" fontId="28" fillId="18" borderId="20" xfId="0" applyFont="1" applyFill="1" applyBorder="1"/>
    <xf numFmtId="0" fontId="21" fillId="18" borderId="20" xfId="0" applyFont="1" applyFill="1" applyBorder="1"/>
    <xf numFmtId="0" fontId="28" fillId="18" borderId="19" xfId="0" applyFont="1" applyFill="1" applyBorder="1" applyAlignment="1">
      <alignment horizontal="left"/>
    </xf>
    <xf numFmtId="0" fontId="18" fillId="0" borderId="30" xfId="0" applyFont="1" applyBorder="1" applyAlignment="1" applyProtection="1">
      <alignment vertical="top"/>
      <protection locked="0"/>
    </xf>
    <xf numFmtId="0" fontId="18" fillId="0" borderId="30" xfId="0" applyFont="1" applyBorder="1" applyAlignment="1" applyProtection="1">
      <alignment horizontal="center" vertical="top"/>
      <protection locked="0"/>
    </xf>
    <xf numFmtId="0" fontId="18" fillId="0" borderId="30" xfId="0" applyFont="1" applyBorder="1" applyAlignment="1" applyProtection="1">
      <alignment horizontal="left" vertical="top"/>
      <protection locked="0"/>
    </xf>
    <xf numFmtId="14" fontId="18" fillId="0" borderId="30" xfId="0" applyNumberFormat="1" applyFont="1" applyBorder="1" applyAlignment="1" applyProtection="1">
      <alignment horizontal="center" vertical="top"/>
      <protection locked="0"/>
    </xf>
    <xf numFmtId="178" fontId="18" fillId="0" borderId="30" xfId="0" applyNumberFormat="1" applyFont="1" applyBorder="1" applyAlignment="1" applyProtection="1">
      <alignment horizontal="center" vertical="top"/>
      <protection locked="0"/>
    </xf>
    <xf numFmtId="177" fontId="18" fillId="0" borderId="30" xfId="0" applyNumberFormat="1" applyFont="1" applyBorder="1" applyAlignment="1" applyProtection="1">
      <alignment horizontal="center" vertical="top"/>
      <protection locked="0"/>
    </xf>
    <xf numFmtId="1" fontId="18" fillId="0" borderId="30" xfId="0" applyNumberFormat="1" applyFont="1" applyBorder="1" applyAlignment="1" applyProtection="1">
      <alignment horizontal="center" vertical="top"/>
      <protection locked="0"/>
    </xf>
    <xf numFmtId="10" fontId="18" fillId="0" borderId="30" xfId="0" applyNumberFormat="1" applyFont="1" applyBorder="1" applyAlignment="1" applyProtection="1">
      <alignment horizontal="right" vertical="top" wrapText="1"/>
      <protection locked="0"/>
    </xf>
    <xf numFmtId="10" fontId="18" fillId="0" borderId="30" xfId="0" applyNumberFormat="1" applyFont="1" applyBorder="1" applyAlignment="1" applyProtection="1">
      <alignment horizontal="right" vertical="top"/>
      <protection locked="0"/>
    </xf>
    <xf numFmtId="0" fontId="44" fillId="0" borderId="0" xfId="0" applyFont="1" applyAlignment="1">
      <alignment vertical="top" wrapText="1"/>
    </xf>
    <xf numFmtId="14" fontId="46" fillId="17" borderId="25" xfId="0" applyNumberFormat="1" applyFont="1" applyFill="1" applyBorder="1" applyAlignment="1">
      <alignment horizontal="center" vertical="center"/>
    </xf>
    <xf numFmtId="14" fontId="46" fillId="17" borderId="26" xfId="0" applyNumberFormat="1" applyFont="1" applyFill="1" applyBorder="1" applyAlignment="1">
      <alignment horizontal="center" vertical="center"/>
    </xf>
    <xf numFmtId="0" fontId="47" fillId="15" borderId="0" xfId="0" applyFont="1" applyFill="1" applyAlignment="1">
      <alignment horizontal="left"/>
    </xf>
    <xf numFmtId="0" fontId="48" fillId="15" borderId="0" xfId="0" applyFont="1" applyFill="1" applyAlignment="1">
      <alignment horizontal="left"/>
    </xf>
    <xf numFmtId="0" fontId="52" fillId="15" borderId="0" xfId="1" applyNumberFormat="1" applyFont="1" applyFill="1" applyBorder="1" applyAlignment="1">
      <alignment horizontal="right"/>
    </xf>
    <xf numFmtId="10" fontId="52" fillId="15" borderId="0" xfId="0" applyNumberFormat="1" applyFont="1" applyFill="1" applyAlignment="1">
      <alignment horizontal="right"/>
    </xf>
    <xf numFmtId="178" fontId="52" fillId="15" borderId="0" xfId="1" applyNumberFormat="1" applyFont="1" applyFill="1" applyBorder="1" applyAlignment="1">
      <alignment horizontal="right"/>
    </xf>
    <xf numFmtId="0" fontId="53" fillId="15" borderId="0" xfId="1" applyNumberFormat="1" applyFont="1" applyFill="1" applyBorder="1" applyAlignment="1"/>
    <xf numFmtId="0" fontId="53" fillId="15" borderId="0" xfId="1" applyNumberFormat="1" applyFont="1" applyFill="1" applyBorder="1" applyAlignment="1">
      <alignment horizontal="right"/>
    </xf>
    <xf numFmtId="0" fontId="37" fillId="0" borderId="0" xfId="0" applyFont="1" applyAlignment="1">
      <alignment vertical="top" wrapText="1"/>
    </xf>
    <xf numFmtId="0" fontId="56" fillId="18" borderId="20" xfId="0" applyFont="1" applyFill="1" applyBorder="1"/>
    <xf numFmtId="0" fontId="47" fillId="15" borderId="0" xfId="0" applyFont="1" applyFill="1" applyAlignment="1">
      <alignment horizontal="left" vertical="top"/>
    </xf>
    <xf numFmtId="0" fontId="47" fillId="15" borderId="0" xfId="0" applyFont="1" applyFill="1" applyAlignment="1">
      <alignment horizontal="left" vertical="center"/>
    </xf>
    <xf numFmtId="0" fontId="48" fillId="15" borderId="0" xfId="0" applyFont="1" applyFill="1" applyAlignment="1">
      <alignment horizontal="left" vertical="top"/>
    </xf>
    <xf numFmtId="0" fontId="51" fillId="15" borderId="0" xfId="1" applyFont="1" applyFill="1" applyBorder="1" applyAlignment="1">
      <alignment vertical="top" wrapText="1"/>
    </xf>
    <xf numFmtId="0" fontId="51" fillId="15" borderId="0" xfId="1" applyNumberFormat="1" applyFont="1" applyFill="1" applyBorder="1" applyAlignment="1">
      <alignment vertical="top"/>
    </xf>
    <xf numFmtId="0" fontId="48" fillId="15" borderId="0" xfId="1" applyFont="1" applyFill="1" applyBorder="1" applyAlignment="1">
      <alignment horizontal="right" vertical="center"/>
    </xf>
    <xf numFmtId="0" fontId="52" fillId="15" borderId="0" xfId="0" applyFont="1" applyFill="1" applyAlignment="1">
      <alignment horizontal="left" vertical="center"/>
    </xf>
    <xf numFmtId="0" fontId="49" fillId="15" borderId="0" xfId="0" applyFont="1" applyFill="1" applyAlignment="1">
      <alignment horizontal="left" vertical="center"/>
    </xf>
    <xf numFmtId="0" fontId="49" fillId="15" borderId="0" xfId="0" applyFont="1" applyFill="1" applyAlignment="1">
      <alignment vertical="center"/>
    </xf>
    <xf numFmtId="14" fontId="49" fillId="15" borderId="0" xfId="0" applyNumberFormat="1" applyFont="1" applyFill="1" applyAlignment="1">
      <alignment vertical="top"/>
    </xf>
    <xf numFmtId="14" fontId="50" fillId="15" borderId="0" xfId="0" applyNumberFormat="1" applyFont="1" applyFill="1" applyAlignment="1">
      <alignment horizontal="left" vertical="top" wrapText="1"/>
    </xf>
    <xf numFmtId="178" fontId="51" fillId="15" borderId="0" xfId="0" applyNumberFormat="1" applyFont="1" applyFill="1" applyAlignment="1">
      <alignment horizontal="center" vertical="top"/>
    </xf>
    <xf numFmtId="178" fontId="47" fillId="15" borderId="0" xfId="0" applyNumberFormat="1" applyFont="1" applyFill="1" applyAlignment="1">
      <alignment horizontal="center" vertical="top"/>
    </xf>
    <xf numFmtId="178" fontId="49" fillId="15" borderId="0" xfId="0" applyNumberFormat="1" applyFont="1" applyFill="1" applyAlignment="1">
      <alignment horizontal="center" vertical="top"/>
    </xf>
    <xf numFmtId="14" fontId="49" fillId="15" borderId="0" xfId="0" applyNumberFormat="1" applyFont="1" applyFill="1" applyAlignment="1">
      <alignment horizontal="center" vertical="top"/>
    </xf>
    <xf numFmtId="1" fontId="49" fillId="15" borderId="0" xfId="0" applyNumberFormat="1" applyFont="1" applyFill="1" applyAlignment="1">
      <alignment horizontal="center" vertical="top"/>
    </xf>
    <xf numFmtId="0" fontId="55" fillId="15" borderId="0" xfId="1" applyFont="1" applyFill="1" applyAlignment="1">
      <alignment horizontal="left" vertical="center"/>
    </xf>
    <xf numFmtId="0" fontId="2" fillId="15" borderId="0" xfId="1" applyFill="1" applyAlignment="1">
      <alignment horizontal="left" vertical="center"/>
    </xf>
    <xf numFmtId="0" fontId="57" fillId="0" borderId="0" xfId="0" applyFont="1" applyAlignment="1">
      <alignment vertical="top" wrapText="1"/>
    </xf>
    <xf numFmtId="0" fontId="52" fillId="15" borderId="0" xfId="0" applyFont="1" applyFill="1"/>
    <xf numFmtId="0" fontId="48" fillId="15" borderId="0" xfId="1" applyNumberFormat="1" applyFont="1" applyFill="1" applyBorder="1" applyAlignment="1">
      <alignment horizontal="right" vertical="center"/>
    </xf>
    <xf numFmtId="10" fontId="0" fillId="0" borderId="0" xfId="0" applyNumberFormat="1"/>
    <xf numFmtId="2" fontId="7" fillId="0" borderId="0" xfId="0" applyNumberFormat="1" applyFont="1" applyAlignment="1" applyProtection="1">
      <alignment vertical="center"/>
      <protection locked="0"/>
    </xf>
    <xf numFmtId="0" fontId="5" fillId="15" borderId="0" xfId="0" applyFont="1" applyFill="1" applyAlignment="1">
      <alignment horizontal="left" vertical="center"/>
    </xf>
    <xf numFmtId="0" fontId="57" fillId="0" borderId="0" xfId="0" quotePrefix="1" applyFont="1" applyAlignment="1">
      <alignment vertical="top" wrapText="1"/>
    </xf>
    <xf numFmtId="0" fontId="40" fillId="0" borderId="0" xfId="0" quotePrefix="1" applyFont="1" applyAlignment="1">
      <alignment vertical="top" wrapText="1"/>
    </xf>
    <xf numFmtId="10" fontId="18" fillId="15" borderId="23" xfId="2" applyNumberFormat="1" applyFont="1" applyFill="1" applyBorder="1" applyAlignment="1" applyProtection="1">
      <alignment horizontal="right" vertical="top"/>
      <protection locked="0"/>
    </xf>
    <xf numFmtId="0" fontId="7" fillId="20" borderId="1" xfId="0" applyFont="1" applyFill="1" applyBorder="1" applyAlignment="1">
      <alignment horizontal="left" wrapText="1"/>
    </xf>
    <xf numFmtId="0" fontId="7" fillId="20" borderId="2" xfId="0" applyFont="1" applyFill="1" applyBorder="1" applyAlignment="1">
      <alignment horizontal="left" wrapText="1"/>
    </xf>
    <xf numFmtId="0" fontId="59" fillId="21" borderId="7" xfId="0" applyFont="1" applyFill="1" applyBorder="1"/>
    <xf numFmtId="180" fontId="0" fillId="0" borderId="0" xfId="0" applyNumberFormat="1"/>
    <xf numFmtId="1" fontId="0" fillId="0" borderId="0" xfId="0" applyNumberFormat="1"/>
    <xf numFmtId="4" fontId="0" fillId="0" borderId="0" xfId="0" applyNumberFormat="1"/>
    <xf numFmtId="10" fontId="18" fillId="0" borderId="23" xfId="2" applyNumberFormat="1" applyFont="1" applyFill="1" applyBorder="1" applyAlignment="1" applyProtection="1">
      <alignment horizontal="right" vertical="top"/>
      <protection locked="0"/>
    </xf>
    <xf numFmtId="10" fontId="58" fillId="15" borderId="23" xfId="2" applyNumberFormat="1" applyFont="1" applyFill="1" applyBorder="1" applyAlignment="1" applyProtection="1">
      <alignment horizontal="right" vertical="top"/>
      <protection locked="0"/>
    </xf>
    <xf numFmtId="0" fontId="46" fillId="17" borderId="27" xfId="0" applyFont="1" applyFill="1" applyBorder="1" applyAlignment="1">
      <alignment horizontal="left" vertical="center"/>
    </xf>
    <xf numFmtId="0" fontId="60" fillId="0" borderId="0" xfId="0" applyFont="1" applyAlignment="1">
      <alignment horizontal="left" vertical="center"/>
    </xf>
    <xf numFmtId="0" fontId="62" fillId="19" borderId="0" xfId="0" applyFont="1" applyFill="1" applyAlignment="1">
      <alignment vertical="top"/>
    </xf>
    <xf numFmtId="0" fontId="62" fillId="19" borderId="0" xfId="0" applyFont="1" applyFill="1" applyAlignment="1">
      <alignment horizontal="left" vertical="top" wrapText="1"/>
    </xf>
    <xf numFmtId="0" fontId="18" fillId="0" borderId="23" xfId="0" applyFont="1" applyBorder="1" applyAlignment="1" applyProtection="1">
      <alignment horizontal="left" vertical="center"/>
      <protection locked="0"/>
    </xf>
    <xf numFmtId="10" fontId="18" fillId="15" borderId="23" xfId="2" applyNumberFormat="1" applyFont="1" applyFill="1" applyBorder="1" applyAlignment="1" applyProtection="1">
      <alignment horizontal="right" vertical="top" wrapText="1"/>
      <protection locked="0"/>
    </xf>
    <xf numFmtId="10" fontId="18" fillId="22" borderId="23" xfId="2" applyNumberFormat="1" applyFont="1" applyFill="1" applyBorder="1" applyAlignment="1" applyProtection="1">
      <alignment horizontal="right" vertical="top"/>
      <protection locked="0"/>
    </xf>
    <xf numFmtId="0" fontId="66" fillId="0" borderId="0" xfId="0" applyFont="1" applyAlignment="1">
      <alignment vertical="top"/>
    </xf>
    <xf numFmtId="0" fontId="67" fillId="0" borderId="0" xfId="0" applyFont="1" applyAlignment="1">
      <alignment vertical="top"/>
    </xf>
    <xf numFmtId="0" fontId="66" fillId="0" borderId="0" xfId="0" applyFont="1" applyAlignment="1">
      <alignment vertical="top" wrapText="1"/>
    </xf>
    <xf numFmtId="10" fontId="7" fillId="20" borderId="2" xfId="0" applyNumberFormat="1" applyFont="1" applyFill="1" applyBorder="1" applyAlignment="1">
      <alignment horizontal="left" wrapText="1"/>
    </xf>
    <xf numFmtId="0" fontId="7" fillId="20" borderId="3" xfId="0" applyFont="1" applyFill="1" applyBorder="1" applyAlignment="1">
      <alignment horizontal="left" wrapText="1"/>
    </xf>
    <xf numFmtId="10" fontId="58" fillId="22" borderId="23" xfId="2" applyNumberFormat="1" applyFont="1" applyFill="1" applyBorder="1" applyAlignment="1" applyProtection="1">
      <alignment horizontal="right" vertical="top"/>
      <protection locked="0"/>
    </xf>
    <xf numFmtId="10" fontId="58" fillId="19" borderId="23" xfId="2" applyNumberFormat="1" applyFont="1" applyFill="1" applyBorder="1" applyAlignment="1" applyProtection="1">
      <alignment horizontal="right" vertical="top"/>
      <protection locked="0"/>
    </xf>
    <xf numFmtId="0" fontId="45" fillId="15" borderId="0" xfId="0" applyFont="1" applyFill="1" applyAlignment="1">
      <alignment horizontal="left" vertical="center"/>
    </xf>
    <xf numFmtId="0" fontId="7" fillId="0" borderId="0" xfId="0" applyFont="1" applyBorder="1"/>
    <xf numFmtId="10" fontId="7" fillId="0" borderId="0" xfId="0" applyNumberFormat="1" applyFont="1" applyBorder="1"/>
    <xf numFmtId="0" fontId="5" fillId="0" borderId="0" xfId="0" applyFont="1" applyFill="1" applyBorder="1" applyAlignment="1">
      <alignment vertical="center"/>
    </xf>
    <xf numFmtId="14" fontId="7" fillId="0" borderId="10" xfId="0" applyNumberFormat="1" applyFont="1" applyBorder="1"/>
    <xf numFmtId="0" fontId="7" fillId="0" borderId="10" xfId="0" applyFont="1" applyBorder="1"/>
    <xf numFmtId="14" fontId="7" fillId="0" borderId="31" xfId="0" applyNumberFormat="1" applyFont="1" applyBorder="1"/>
    <xf numFmtId="0" fontId="7" fillId="0" borderId="31" xfId="0" applyFont="1" applyBorder="1"/>
    <xf numFmtId="10" fontId="7" fillId="0" borderId="10" xfId="0" applyNumberFormat="1" applyFont="1" applyBorder="1"/>
    <xf numFmtId="10" fontId="7" fillId="0" borderId="31" xfId="0" applyNumberFormat="1" applyFont="1" applyBorder="1"/>
    <xf numFmtId="0" fontId="7" fillId="0" borderId="18" xfId="0" applyFont="1" applyBorder="1" applyAlignment="1" applyProtection="1">
      <alignment horizontal="left" vertical="top" wrapText="1"/>
      <protection locked="0"/>
    </xf>
    <xf numFmtId="0" fontId="27" fillId="13" borderId="0" xfId="0" applyFont="1" applyFill="1" applyAlignment="1">
      <alignment horizontal="left" vertical="top" wrapText="1"/>
    </xf>
    <xf numFmtId="0" fontId="29" fillId="18" borderId="22" xfId="1" applyFont="1" applyFill="1" applyBorder="1" applyAlignment="1">
      <alignment vertical="center"/>
    </xf>
    <xf numFmtId="0" fontId="0" fillId="18" borderId="22" xfId="0" applyFill="1" applyBorder="1" applyAlignment="1">
      <alignment vertical="center"/>
    </xf>
    <xf numFmtId="0" fontId="32" fillId="18" borderId="20" xfId="1" applyFont="1" applyFill="1" applyBorder="1" applyAlignment="1">
      <alignment horizontal="right"/>
    </xf>
    <xf numFmtId="0" fontId="0" fillId="18" borderId="20" xfId="0" applyFill="1" applyBorder="1" applyAlignment="1">
      <alignment horizontal="right"/>
    </xf>
    <xf numFmtId="0" fontId="39" fillId="0" borderId="0" xfId="0" applyFont="1" applyAlignment="1">
      <alignment horizontal="left" vertical="top" wrapText="1"/>
    </xf>
    <xf numFmtId="0" fontId="21" fillId="0" borderId="0" xfId="0" applyFont="1" applyAlignment="1">
      <alignment horizontal="left" vertical="top" wrapText="1"/>
    </xf>
    <xf numFmtId="0" fontId="7" fillId="0" borderId="18" xfId="0" applyFont="1" applyBorder="1" applyAlignment="1" applyProtection="1">
      <alignment horizontal="left" vertical="center" wrapText="1"/>
      <protection locked="0"/>
    </xf>
    <xf numFmtId="0" fontId="61" fillId="0" borderId="18" xfId="0" applyFont="1" applyBorder="1" applyAlignment="1" applyProtection="1">
      <alignment horizontal="left" vertical="center" wrapText="1"/>
      <protection locked="0"/>
    </xf>
    <xf numFmtId="0" fontId="45" fillId="15" borderId="0" xfId="0" applyFont="1" applyFill="1" applyAlignment="1">
      <alignment horizontal="left" vertical="center"/>
    </xf>
    <xf numFmtId="0" fontId="31" fillId="17" borderId="26" xfId="0" applyFont="1" applyFill="1" applyBorder="1" applyAlignment="1">
      <alignment horizontal="left" vertical="center" wrapText="1"/>
    </xf>
    <xf numFmtId="0" fontId="31" fillId="17" borderId="26" xfId="0" applyFont="1" applyFill="1" applyBorder="1" applyAlignment="1">
      <alignment horizontal="left" vertical="center"/>
    </xf>
    <xf numFmtId="0" fontId="31" fillId="17" borderId="27" xfId="0" applyFont="1" applyFill="1" applyBorder="1" applyAlignment="1">
      <alignment horizontal="left" vertical="center"/>
    </xf>
    <xf numFmtId="14" fontId="17" fillId="7" borderId="2" xfId="0" applyNumberFormat="1" applyFont="1" applyFill="1" applyBorder="1" applyAlignment="1">
      <alignment horizontal="center" vertical="center"/>
    </xf>
    <xf numFmtId="14" fontId="17" fillId="16" borderId="2" xfId="0" applyNumberFormat="1" applyFont="1" applyFill="1" applyBorder="1" applyAlignment="1">
      <alignment horizontal="center" vertical="center"/>
    </xf>
    <xf numFmtId="14" fontId="17" fillId="7" borderId="2" xfId="0" applyNumberFormat="1" applyFont="1" applyFill="1" applyBorder="1" applyAlignment="1">
      <alignment horizontal="center" vertical="center" wrapText="1"/>
    </xf>
    <xf numFmtId="178" fontId="17" fillId="17" borderId="2" xfId="0" applyNumberFormat="1" applyFont="1" applyFill="1" applyBorder="1" applyAlignment="1">
      <alignment horizontal="center" vertical="top" wrapText="1"/>
    </xf>
    <xf numFmtId="178" fontId="17" fillId="9" borderId="2" xfId="0" applyNumberFormat="1" applyFont="1" applyFill="1" applyBorder="1" applyAlignment="1">
      <alignment horizontal="center" vertical="top" wrapText="1"/>
    </xf>
    <xf numFmtId="0" fontId="17" fillId="14" borderId="1" xfId="0" applyFont="1" applyFill="1" applyBorder="1" applyAlignment="1">
      <alignment horizontal="center" vertical="center" wrapText="1"/>
    </xf>
    <xf numFmtId="0" fontId="17" fillId="14" borderId="0" xfId="0" applyFont="1" applyFill="1" applyAlignment="1">
      <alignment horizontal="center" vertical="center" wrapText="1"/>
    </xf>
    <xf numFmtId="0" fontId="17" fillId="14" borderId="2" xfId="0" applyFont="1" applyFill="1" applyBorder="1" applyAlignment="1">
      <alignment horizontal="center" vertical="center"/>
    </xf>
    <xf numFmtId="0" fontId="17" fillId="14" borderId="16" xfId="0" applyFont="1" applyFill="1" applyBorder="1" applyAlignment="1">
      <alignment horizontal="center" vertical="center"/>
    </xf>
    <xf numFmtId="0" fontId="17" fillId="14" borderId="2" xfId="0" applyFont="1" applyFill="1" applyBorder="1" applyAlignment="1">
      <alignment horizontal="center" vertical="center" wrapText="1"/>
    </xf>
    <xf numFmtId="0" fontId="17" fillId="17" borderId="2" xfId="0" applyFont="1" applyFill="1" applyBorder="1" applyAlignment="1">
      <alignment horizontal="center" vertical="center"/>
    </xf>
    <xf numFmtId="0" fontId="17" fillId="16" borderId="2" xfId="0" applyFont="1" applyFill="1" applyBorder="1" applyAlignment="1">
      <alignment horizontal="center" vertical="center"/>
    </xf>
    <xf numFmtId="0" fontId="17" fillId="7" borderId="3" xfId="0" applyFont="1" applyFill="1" applyBorder="1" applyAlignment="1">
      <alignment horizontal="center" vertical="center"/>
    </xf>
    <xf numFmtId="0" fontId="17" fillId="16" borderId="0" xfId="0" applyFont="1" applyFill="1" applyAlignment="1">
      <alignment horizontal="center" vertical="center"/>
    </xf>
    <xf numFmtId="0" fontId="17" fillId="16" borderId="3" xfId="0" applyFont="1" applyFill="1" applyBorder="1" applyAlignment="1">
      <alignment horizontal="center" vertical="center"/>
    </xf>
    <xf numFmtId="0" fontId="17" fillId="7" borderId="2" xfId="0" applyFont="1" applyFill="1" applyBorder="1" applyAlignment="1">
      <alignment horizontal="center" vertical="center"/>
    </xf>
    <xf numFmtId="178" fontId="17" fillId="17" borderId="2" xfId="0" applyNumberFormat="1" applyFont="1" applyFill="1" applyBorder="1" applyAlignment="1">
      <alignment horizontal="center" vertical="center" wrapText="1"/>
    </xf>
    <xf numFmtId="178" fontId="17" fillId="9" borderId="2" xfId="0" applyNumberFormat="1" applyFont="1" applyFill="1" applyBorder="1" applyAlignment="1">
      <alignment horizontal="center" vertical="center" wrapText="1"/>
    </xf>
    <xf numFmtId="10" fontId="17" fillId="7" borderId="3" xfId="0" applyNumberFormat="1" applyFont="1" applyFill="1" applyBorder="1" applyAlignment="1">
      <alignment horizontal="center" vertical="center" wrapText="1"/>
    </xf>
    <xf numFmtId="10" fontId="17" fillId="16" borderId="3" xfId="0" applyNumberFormat="1" applyFont="1" applyFill="1" applyBorder="1" applyAlignment="1">
      <alignment horizontal="center" vertical="center" wrapText="1"/>
    </xf>
    <xf numFmtId="0" fontId="31" fillId="17" borderId="25" xfId="0" applyFont="1" applyFill="1" applyBorder="1" applyAlignment="1">
      <alignment horizontal="left" vertical="center" wrapText="1"/>
    </xf>
    <xf numFmtId="10" fontId="17" fillId="17" borderId="2" xfId="0" applyNumberFormat="1" applyFont="1" applyFill="1" applyBorder="1" applyAlignment="1">
      <alignment horizontal="center" vertical="center" wrapText="1"/>
    </xf>
    <xf numFmtId="10" fontId="17" fillId="9"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77" fontId="17" fillId="16" borderId="2" xfId="0" applyNumberFormat="1" applyFont="1" applyFill="1" applyBorder="1" applyAlignment="1">
      <alignment horizontal="center" vertical="center" wrapText="1"/>
    </xf>
    <xf numFmtId="176" fontId="17" fillId="7" borderId="2" xfId="0" applyNumberFormat="1" applyFont="1" applyFill="1" applyBorder="1" applyAlignment="1">
      <alignment horizontal="center" vertical="center" wrapText="1"/>
    </xf>
    <xf numFmtId="176" fontId="17" fillId="16" borderId="2" xfId="0" applyNumberFormat="1" applyFont="1" applyFill="1" applyBorder="1" applyAlignment="1">
      <alignment horizontal="center" vertical="center"/>
    </xf>
    <xf numFmtId="1" fontId="17" fillId="17" borderId="2" xfId="0" applyNumberFormat="1" applyFont="1" applyFill="1" applyBorder="1" applyAlignment="1">
      <alignment horizontal="center" vertical="center" wrapText="1"/>
    </xf>
    <xf numFmtId="1" fontId="17" fillId="16" borderId="2" xfId="0" applyNumberFormat="1" applyFont="1" applyFill="1" applyBorder="1" applyAlignment="1">
      <alignment horizontal="center" vertical="center" wrapText="1"/>
    </xf>
    <xf numFmtId="0" fontId="8" fillId="0" borderId="0" xfId="0" applyFont="1" applyAlignment="1" applyProtection="1">
      <alignment horizontal="left" vertical="center" wrapText="1"/>
      <protection locked="0"/>
    </xf>
    <xf numFmtId="0" fontId="8" fillId="0" borderId="0" xfId="0" applyFont="1" applyAlignment="1" applyProtection="1">
      <alignment horizontal="left" vertical="center"/>
      <protection locked="0"/>
    </xf>
    <xf numFmtId="0" fontId="5" fillId="0" borderId="0" xfId="0" applyFont="1" applyAlignment="1">
      <alignment horizontal="left" vertical="center"/>
    </xf>
    <xf numFmtId="0" fontId="4" fillId="0" borderId="0" xfId="0" applyFont="1" applyAlignment="1">
      <alignment horizontal="left" vertical="center"/>
    </xf>
    <xf numFmtId="14" fontId="9" fillId="2" borderId="0" xfId="0" applyNumberFormat="1" applyFont="1" applyFill="1" applyAlignment="1">
      <alignment horizontal="right" vertical="center"/>
    </xf>
    <xf numFmtId="0" fontId="20" fillId="0" borderId="0" xfId="0" applyFont="1" applyAlignment="1" applyProtection="1">
      <alignment horizontal="left" vertical="center" wrapText="1"/>
      <protection locked="0"/>
    </xf>
    <xf numFmtId="14" fontId="65" fillId="2" borderId="0" xfId="0" applyNumberFormat="1" applyFont="1" applyFill="1" applyAlignment="1">
      <alignment horizontal="left" vertical="top" wrapText="1"/>
    </xf>
    <xf numFmtId="14" fontId="7" fillId="2" borderId="0" xfId="0" applyNumberFormat="1" applyFont="1" applyFill="1" applyAlignment="1">
      <alignment horizontal="left" vertical="top" wrapText="1"/>
    </xf>
    <xf numFmtId="14" fontId="12" fillId="5" borderId="14" xfId="0" applyNumberFormat="1" applyFont="1" applyFill="1" applyBorder="1" applyAlignment="1" applyProtection="1">
      <alignment horizontal="center" vertical="center"/>
      <protection locked="0"/>
    </xf>
    <xf numFmtId="10" fontId="58" fillId="22" borderId="23" xfId="2" applyNumberFormat="1" applyFont="1" applyFill="1" applyBorder="1" applyAlignment="1" applyProtection="1">
      <alignment horizontal="right" vertical="top" wrapText="1"/>
      <protection locked="0"/>
    </xf>
  </cellXfs>
  <cellStyles count="3">
    <cellStyle name="백분율" xfId="2" builtinId="5"/>
    <cellStyle name="표준" xfId="0" builtinId="0"/>
    <cellStyle name="하이퍼링크" xfId="1" builtinId="8"/>
  </cellStyles>
  <dxfs count="3">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2592FF"/>
      <color rgb="FF009900"/>
      <color rgb="FFFFFF99"/>
      <color rgb="FF7F7F7F"/>
      <color rgb="FFFF8800"/>
      <color rgb="FFFF0000"/>
      <color rgb="FFFF6600"/>
      <color rgb="FF0000FF"/>
      <color rgb="FF11EFAA"/>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계획작업량 진척률</c:v>
                </c:pt>
              </c:strCache>
            </c:strRef>
          </c:tx>
          <c:cat>
            <c:numRef>
              <c:f>AnalysisReport!$C$7:$C$29</c:f>
              <c:numCache>
                <c:formatCode>m/d/yyyy</c:formatCode>
                <c:ptCount val="23"/>
                <c:pt idx="0">
                  <c:v>46088</c:v>
                </c:pt>
                <c:pt idx="1">
                  <c:v>46095</c:v>
                </c:pt>
                <c:pt idx="2">
                  <c:v>46102</c:v>
                </c:pt>
                <c:pt idx="3">
                  <c:v>46109</c:v>
                </c:pt>
                <c:pt idx="4">
                  <c:v>46116</c:v>
                </c:pt>
                <c:pt idx="5">
                  <c:v>46123</c:v>
                </c:pt>
                <c:pt idx="6">
                  <c:v>46130</c:v>
                </c:pt>
                <c:pt idx="7">
                  <c:v>46137</c:v>
                </c:pt>
                <c:pt idx="8">
                  <c:v>46144</c:v>
                </c:pt>
                <c:pt idx="9">
                  <c:v>46151</c:v>
                </c:pt>
                <c:pt idx="10">
                  <c:v>46158</c:v>
                </c:pt>
                <c:pt idx="11">
                  <c:v>46165</c:v>
                </c:pt>
                <c:pt idx="12">
                  <c:v>46172</c:v>
                </c:pt>
                <c:pt idx="13">
                  <c:v>46179</c:v>
                </c:pt>
                <c:pt idx="14">
                  <c:v>46186</c:v>
                </c:pt>
                <c:pt idx="15">
                  <c:v>46193</c:v>
                </c:pt>
                <c:pt idx="16">
                  <c:v>46200</c:v>
                </c:pt>
                <c:pt idx="17">
                  <c:v>46207</c:v>
                </c:pt>
                <c:pt idx="18">
                  <c:v>46214</c:v>
                </c:pt>
                <c:pt idx="19">
                  <c:v>46221</c:v>
                </c:pt>
                <c:pt idx="20">
                  <c:v>46228</c:v>
                </c:pt>
                <c:pt idx="21">
                  <c:v>46235</c:v>
                </c:pt>
                <c:pt idx="22">
                  <c:v>46240</c:v>
                </c:pt>
              </c:numCache>
            </c:numRef>
          </c:cat>
          <c:val>
            <c:numRef>
              <c:f>AnalysisReport!$F$7:$F$29</c:f>
              <c:numCache>
                <c:formatCode>0.00%</c:formatCode>
                <c:ptCount val="23"/>
                <c:pt idx="0">
                  <c:v>1.5766653527788728E-2</c:v>
                </c:pt>
                <c:pt idx="1">
                  <c:v>4.3358297201419004E-2</c:v>
                </c:pt>
                <c:pt idx="2">
                  <c:v>7.4891604256996452E-2</c:v>
                </c:pt>
                <c:pt idx="3">
                  <c:v>0.13953488372093023</c:v>
                </c:pt>
                <c:pt idx="4">
                  <c:v>0.18249901458415452</c:v>
                </c:pt>
                <c:pt idx="5">
                  <c:v>0.2258573117855735</c:v>
                </c:pt>
                <c:pt idx="6">
                  <c:v>0.24950729207725661</c:v>
                </c:pt>
                <c:pt idx="7">
                  <c:v>0.26921560898699254</c:v>
                </c:pt>
                <c:pt idx="8">
                  <c:v>0.28182893180922353</c:v>
                </c:pt>
                <c:pt idx="9">
                  <c:v>0.34095388253843123</c:v>
                </c:pt>
                <c:pt idx="10">
                  <c:v>0.40007883326763899</c:v>
                </c:pt>
                <c:pt idx="11">
                  <c:v>0.47102877414268823</c:v>
                </c:pt>
                <c:pt idx="12">
                  <c:v>0.53409538825384317</c:v>
                </c:pt>
                <c:pt idx="13">
                  <c:v>0.59795033504138739</c:v>
                </c:pt>
                <c:pt idx="14">
                  <c:v>0.67678360268033111</c:v>
                </c:pt>
                <c:pt idx="15">
                  <c:v>0.76350019708316907</c:v>
                </c:pt>
                <c:pt idx="16">
                  <c:v>0.8581001182499014</c:v>
                </c:pt>
                <c:pt idx="17">
                  <c:v>0.88963342530547895</c:v>
                </c:pt>
                <c:pt idx="18">
                  <c:v>0.91722506897910916</c:v>
                </c:pt>
                <c:pt idx="19">
                  <c:v>0.93693338588884512</c:v>
                </c:pt>
                <c:pt idx="20">
                  <c:v>0.96452502956247532</c:v>
                </c:pt>
                <c:pt idx="21">
                  <c:v>0.9881750098541584</c:v>
                </c:pt>
                <c:pt idx="22">
                  <c:v>1</c:v>
                </c:pt>
              </c:numCache>
            </c:numRef>
          </c:val>
          <c:smooth val="0"/>
          <c:extLst>
            <c:ext xmlns:c16="http://schemas.microsoft.com/office/drawing/2014/chart" uri="{C3380CC4-5D6E-409C-BE32-E72D297353CC}">
              <c16:uniqueId val="{00000000-9536-49FC-9AAB-A0244F191060}"/>
            </c:ext>
          </c:extLst>
        </c:ser>
        <c:ser>
          <c:idx val="1"/>
          <c:order val="1"/>
          <c:tx>
            <c:strRef>
              <c:f>AnalysisReport!$I$6</c:f>
              <c:strCache>
                <c:ptCount val="1"/>
                <c:pt idx="0">
                  <c:v>실적기성 진척률</c:v>
                </c:pt>
              </c:strCache>
            </c:strRef>
          </c:tx>
          <c:cat>
            <c:numRef>
              <c:f>AnalysisReport!$C$7:$C$29</c:f>
              <c:numCache>
                <c:formatCode>m/d/yyyy</c:formatCode>
                <c:ptCount val="23"/>
                <c:pt idx="0">
                  <c:v>46088</c:v>
                </c:pt>
                <c:pt idx="1">
                  <c:v>46095</c:v>
                </c:pt>
                <c:pt idx="2">
                  <c:v>46102</c:v>
                </c:pt>
                <c:pt idx="3">
                  <c:v>46109</c:v>
                </c:pt>
                <c:pt idx="4">
                  <c:v>46116</c:v>
                </c:pt>
                <c:pt idx="5">
                  <c:v>46123</c:v>
                </c:pt>
                <c:pt idx="6">
                  <c:v>46130</c:v>
                </c:pt>
                <c:pt idx="7">
                  <c:v>46137</c:v>
                </c:pt>
                <c:pt idx="8">
                  <c:v>46144</c:v>
                </c:pt>
                <c:pt idx="9">
                  <c:v>46151</c:v>
                </c:pt>
                <c:pt idx="10">
                  <c:v>46158</c:v>
                </c:pt>
                <c:pt idx="11">
                  <c:v>46165</c:v>
                </c:pt>
                <c:pt idx="12">
                  <c:v>46172</c:v>
                </c:pt>
                <c:pt idx="13">
                  <c:v>46179</c:v>
                </c:pt>
                <c:pt idx="14">
                  <c:v>46186</c:v>
                </c:pt>
                <c:pt idx="15">
                  <c:v>46193</c:v>
                </c:pt>
                <c:pt idx="16">
                  <c:v>46200</c:v>
                </c:pt>
                <c:pt idx="17">
                  <c:v>46207</c:v>
                </c:pt>
                <c:pt idx="18">
                  <c:v>46214</c:v>
                </c:pt>
                <c:pt idx="19">
                  <c:v>46221</c:v>
                </c:pt>
                <c:pt idx="20">
                  <c:v>46228</c:v>
                </c:pt>
                <c:pt idx="21">
                  <c:v>46235</c:v>
                </c:pt>
                <c:pt idx="22">
                  <c:v>46240</c:v>
                </c:pt>
              </c:numCache>
            </c:numRef>
          </c:cat>
          <c:val>
            <c:numRef>
              <c:f>AnalysisReport!$I$7:$I$29</c:f>
              <c:numCache>
                <c:formatCode>0.00%</c:formatCode>
                <c:ptCount val="23"/>
                <c:pt idx="0">
                  <c:v>1.5766653527788728E-2</c:v>
                </c:pt>
                <c:pt idx="1">
                  <c:v>4.3358297201419004E-2</c:v>
                </c:pt>
                <c:pt idx="2">
                  <c:v>7.4891604256996452E-2</c:v>
                </c:pt>
                <c:pt idx="3">
                  <c:v>0.13551438707134408</c:v>
                </c:pt>
                <c:pt idx="4">
                  <c:v>0.18435159637366968</c:v>
                </c:pt>
                <c:pt idx="5">
                  <c:v>0.23441072132439891</c:v>
                </c:pt>
                <c:pt idx="6">
                  <c:v>0.23441072132439891</c:v>
                </c:pt>
                <c:pt idx="7">
                  <c:v>0.23441072132439891</c:v>
                </c:pt>
                <c:pt idx="8">
                  <c:v>0.23441072132439891</c:v>
                </c:pt>
                <c:pt idx="9">
                  <c:v>0.23441072132439891</c:v>
                </c:pt>
                <c:pt idx="10">
                  <c:v>0.23441072132439891</c:v>
                </c:pt>
                <c:pt idx="11">
                  <c:v>0.23441072132439891</c:v>
                </c:pt>
                <c:pt idx="12">
                  <c:v>0.23441072132439891</c:v>
                </c:pt>
                <c:pt idx="13">
                  <c:v>0.23441072132439891</c:v>
                </c:pt>
                <c:pt idx="14">
                  <c:v>0.23441072132439891</c:v>
                </c:pt>
                <c:pt idx="15">
                  <c:v>0.23441072132439891</c:v>
                </c:pt>
                <c:pt idx="16">
                  <c:v>0.23441072132439891</c:v>
                </c:pt>
                <c:pt idx="17">
                  <c:v>0.23441072132439891</c:v>
                </c:pt>
                <c:pt idx="18">
                  <c:v>0.23441072132439891</c:v>
                </c:pt>
                <c:pt idx="19">
                  <c:v>0.23441072132439891</c:v>
                </c:pt>
                <c:pt idx="20">
                  <c:v>0.23441072132439891</c:v>
                </c:pt>
                <c:pt idx="21">
                  <c:v>0.23441072132439891</c:v>
                </c:pt>
                <c:pt idx="22">
                  <c:v>0.23441072132439891</c:v>
                </c:pt>
              </c:numCache>
            </c:numRef>
          </c:val>
          <c:smooth val="0"/>
          <c:extLst>
            <c:ext xmlns:c16="http://schemas.microsoft.com/office/drawing/2014/chart" uri="{C3380CC4-5D6E-409C-BE32-E72D297353CC}">
              <c16:uniqueId val="{00000001-9536-49FC-9AAB-A0244F191060}"/>
            </c:ext>
          </c:extLst>
        </c:ser>
        <c:ser>
          <c:idx val="2"/>
          <c:order val="2"/>
          <c:tx>
            <c:strRef>
              <c:f>AnalysisReport!$L$6</c:f>
              <c:strCache>
                <c:ptCount val="1"/>
                <c:pt idx="0">
                  <c:v>실제투입작업량 진척률</c:v>
                </c:pt>
              </c:strCache>
            </c:strRef>
          </c:tx>
          <c:cat>
            <c:numRef>
              <c:f>AnalysisReport!$C$7:$C$29</c:f>
              <c:numCache>
                <c:formatCode>m/d/yyyy</c:formatCode>
                <c:ptCount val="23"/>
                <c:pt idx="0">
                  <c:v>46088</c:v>
                </c:pt>
                <c:pt idx="1">
                  <c:v>46095</c:v>
                </c:pt>
                <c:pt idx="2">
                  <c:v>46102</c:v>
                </c:pt>
                <c:pt idx="3">
                  <c:v>46109</c:v>
                </c:pt>
                <c:pt idx="4">
                  <c:v>46116</c:v>
                </c:pt>
                <c:pt idx="5">
                  <c:v>46123</c:v>
                </c:pt>
                <c:pt idx="6">
                  <c:v>46130</c:v>
                </c:pt>
                <c:pt idx="7">
                  <c:v>46137</c:v>
                </c:pt>
                <c:pt idx="8">
                  <c:v>46144</c:v>
                </c:pt>
                <c:pt idx="9">
                  <c:v>46151</c:v>
                </c:pt>
                <c:pt idx="10">
                  <c:v>46158</c:v>
                </c:pt>
                <c:pt idx="11">
                  <c:v>46165</c:v>
                </c:pt>
                <c:pt idx="12">
                  <c:v>46172</c:v>
                </c:pt>
                <c:pt idx="13">
                  <c:v>46179</c:v>
                </c:pt>
                <c:pt idx="14">
                  <c:v>46186</c:v>
                </c:pt>
                <c:pt idx="15">
                  <c:v>46193</c:v>
                </c:pt>
                <c:pt idx="16">
                  <c:v>46200</c:v>
                </c:pt>
                <c:pt idx="17">
                  <c:v>46207</c:v>
                </c:pt>
                <c:pt idx="18">
                  <c:v>46214</c:v>
                </c:pt>
                <c:pt idx="19">
                  <c:v>46221</c:v>
                </c:pt>
                <c:pt idx="20">
                  <c:v>46228</c:v>
                </c:pt>
                <c:pt idx="21">
                  <c:v>46235</c:v>
                </c:pt>
                <c:pt idx="22">
                  <c:v>46240</c:v>
                </c:pt>
              </c:numCache>
            </c:numRef>
          </c:cat>
          <c:val>
            <c:numRef>
              <c:f>AnalysisReport!$L$7:$L$29</c:f>
              <c:numCache>
                <c:formatCode>0.00%</c:formatCode>
                <c:ptCount val="2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numCache>
            </c:numRef>
          </c:val>
          <c:smooth val="0"/>
          <c:extLst>
            <c:ext xmlns:c16="http://schemas.microsoft.com/office/drawing/2014/chart" uri="{C3380CC4-5D6E-409C-BE32-E72D297353CC}">
              <c16:uniqueId val="{00000002-9536-49FC-9AAB-A0244F191060}"/>
            </c:ext>
          </c:extLst>
        </c:ser>
        <c:dLbls>
          <c:showLegendKey val="0"/>
          <c:showVal val="0"/>
          <c:showCatName val="0"/>
          <c:showSerName val="0"/>
          <c:showPercent val="0"/>
          <c:showBubbleSize val="0"/>
        </c:dLbls>
        <c:marker val="1"/>
        <c:smooth val="0"/>
        <c:axId val="2090335535"/>
        <c:axId val="2090336495"/>
      </c:lineChart>
      <c:dateAx>
        <c:axId val="2090335535"/>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2090336495"/>
        <c:crosses val="autoZero"/>
        <c:auto val="1"/>
        <c:lblOffset val="100"/>
        <c:baseTimeUnit val="days"/>
      </c:dateAx>
      <c:valAx>
        <c:axId val="2090336495"/>
        <c:scaling>
          <c:orientation val="minMax"/>
          <c:max val="1"/>
          <c:min val="0"/>
        </c:scaling>
        <c:delete val="0"/>
        <c:axPos val="l"/>
        <c:majorGridlines/>
        <c:numFmt formatCode="0%" sourceLinked="0"/>
        <c:majorTickMark val="out"/>
        <c:minorTickMark val="none"/>
        <c:tickLblPos val="nextTo"/>
        <c:crossAx val="2090335535"/>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47</xdr:col>
      <xdr:colOff>0</xdr:colOff>
      <xdr:row>3</xdr:row>
      <xdr:rowOff>76073</xdr:rowOff>
    </xdr:from>
    <xdr:to>
      <xdr:col>47</xdr:col>
      <xdr:colOff>0</xdr:colOff>
      <xdr:row>56</xdr:row>
      <xdr:rowOff>0</xdr:rowOff>
    </xdr:to>
    <xdr:cxnSp macro="">
      <xdr:nvCxnSpPr>
        <xdr:cNvPr id="2" name="직선 화살표 연결선 1"/>
        <xdr:cNvCxnSpPr/>
      </xdr:nvCxnSpPr>
      <xdr:spPr>
        <a:xfrm>
          <a:off x="22717125" y="819023"/>
          <a:ext cx="0" cy="79249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102054</xdr:colOff>
      <xdr:row>3</xdr:row>
      <xdr:rowOff>76073</xdr:rowOff>
    </xdr:from>
    <xdr:to>
      <xdr:col>52</xdr:col>
      <xdr:colOff>102054</xdr:colOff>
      <xdr:row>56</xdr:row>
      <xdr:rowOff>0</xdr:rowOff>
    </xdr:to>
    <xdr:cxnSp macro="">
      <xdr:nvCxnSpPr>
        <xdr:cNvPr id="3" name="직선 화살표 연결선 2"/>
        <xdr:cNvCxnSpPr/>
      </xdr:nvCxnSpPr>
      <xdr:spPr>
        <a:xfrm>
          <a:off x="13627554" y="819023"/>
          <a:ext cx="0" cy="79249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81643</xdr:colOff>
      <xdr:row>55</xdr:row>
      <xdr:rowOff>19050</xdr:rowOff>
    </xdr:from>
    <xdr:to>
      <xdr:col>54</xdr:col>
      <xdr:colOff>65768</xdr:colOff>
      <xdr:row>55</xdr:row>
      <xdr:rowOff>146050</xdr:rowOff>
    </xdr:to>
    <xdr:sp macro="" textlink="">
      <xdr:nvSpPr>
        <xdr:cNvPr id="4" name="52"/>
        <xdr:cNvSpPr/>
      </xdr:nvSpPr>
      <xdr:spPr>
        <a:xfrm>
          <a:off x="13750018" y="861060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102054</xdr:colOff>
      <xdr:row>54</xdr:row>
      <xdr:rowOff>19050</xdr:rowOff>
    </xdr:from>
    <xdr:to>
      <xdr:col>53</xdr:col>
      <xdr:colOff>42090</xdr:colOff>
      <xdr:row>54</xdr:row>
      <xdr:rowOff>133350</xdr:rowOff>
    </xdr:to>
    <xdr:sp macro="" textlink="">
      <xdr:nvSpPr>
        <xdr:cNvPr id="5" name="51"/>
        <xdr:cNvSpPr/>
      </xdr:nvSpPr>
      <xdr:spPr>
        <a:xfrm>
          <a:off x="13627554" y="8458200"/>
          <a:ext cx="829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102054</xdr:colOff>
      <xdr:row>54</xdr:row>
      <xdr:rowOff>76200</xdr:rowOff>
    </xdr:from>
    <xdr:to>
      <xdr:col>52</xdr:col>
      <xdr:colOff>102054</xdr:colOff>
      <xdr:row>54</xdr:row>
      <xdr:rowOff>76200</xdr:rowOff>
    </xdr:to>
    <xdr:cxnSp macro="">
      <xdr:nvCxnSpPr>
        <xdr:cNvPr id="6" name="직선 화살표 연결선 5"/>
        <xdr:cNvCxnSpPr/>
      </xdr:nvCxnSpPr>
      <xdr:spPr>
        <a:xfrm>
          <a:off x="13627554" y="8515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81643</xdr:colOff>
      <xdr:row>53</xdr:row>
      <xdr:rowOff>19050</xdr:rowOff>
    </xdr:from>
    <xdr:to>
      <xdr:col>52</xdr:col>
      <xdr:colOff>103324</xdr:colOff>
      <xdr:row>53</xdr:row>
      <xdr:rowOff>133350</xdr:rowOff>
    </xdr:to>
    <xdr:sp macro="" textlink="">
      <xdr:nvSpPr>
        <xdr:cNvPr id="7" name="50"/>
        <xdr:cNvSpPr/>
      </xdr:nvSpPr>
      <xdr:spPr>
        <a:xfrm>
          <a:off x="13464268" y="8305800"/>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51</xdr:col>
      <xdr:colOff>81643</xdr:colOff>
      <xdr:row>53</xdr:row>
      <xdr:rowOff>76200</xdr:rowOff>
    </xdr:from>
    <xdr:to>
      <xdr:col>51</xdr:col>
      <xdr:colOff>81643</xdr:colOff>
      <xdr:row>53</xdr:row>
      <xdr:rowOff>76200</xdr:rowOff>
    </xdr:to>
    <xdr:cxnSp macro="">
      <xdr:nvCxnSpPr>
        <xdr:cNvPr id="8" name="직선 화살표 연결선 7"/>
        <xdr:cNvCxnSpPr/>
      </xdr:nvCxnSpPr>
      <xdr:spPr>
        <a:xfrm>
          <a:off x="13464268" y="836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122464</xdr:colOff>
      <xdr:row>52</xdr:row>
      <xdr:rowOff>19050</xdr:rowOff>
    </xdr:from>
    <xdr:to>
      <xdr:col>51</xdr:col>
      <xdr:colOff>21681</xdr:colOff>
      <xdr:row>52</xdr:row>
      <xdr:rowOff>133350</xdr:rowOff>
    </xdr:to>
    <xdr:sp macro="" textlink="">
      <xdr:nvSpPr>
        <xdr:cNvPr id="9" name="49"/>
        <xdr:cNvSpPr/>
      </xdr:nvSpPr>
      <xdr:spPr>
        <a:xfrm>
          <a:off x="13362214" y="8153400"/>
          <a:ext cx="420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122464</xdr:colOff>
      <xdr:row>52</xdr:row>
      <xdr:rowOff>76200</xdr:rowOff>
    </xdr:from>
    <xdr:to>
      <xdr:col>50</xdr:col>
      <xdr:colOff>122464</xdr:colOff>
      <xdr:row>52</xdr:row>
      <xdr:rowOff>76200</xdr:rowOff>
    </xdr:to>
    <xdr:cxnSp macro="">
      <xdr:nvCxnSpPr>
        <xdr:cNvPr id="10" name="직선 화살표 연결선 9"/>
        <xdr:cNvCxnSpPr/>
      </xdr:nvCxnSpPr>
      <xdr:spPr>
        <a:xfrm>
          <a:off x="13362214" y="8210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122464</xdr:colOff>
      <xdr:row>51</xdr:row>
      <xdr:rowOff>19050</xdr:rowOff>
    </xdr:from>
    <xdr:to>
      <xdr:col>53</xdr:col>
      <xdr:colOff>103324</xdr:colOff>
      <xdr:row>51</xdr:row>
      <xdr:rowOff>133350</xdr:rowOff>
    </xdr:to>
    <xdr:sp macro="" textlink="">
      <xdr:nvSpPr>
        <xdr:cNvPr id="11" name="48"/>
        <xdr:cNvSpPr/>
      </xdr:nvSpPr>
      <xdr:spPr>
        <a:xfrm>
          <a:off x="13362214" y="8001000"/>
          <a:ext cx="4094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122464</xdr:colOff>
      <xdr:row>51</xdr:row>
      <xdr:rowOff>76200</xdr:rowOff>
    </xdr:from>
    <xdr:to>
      <xdr:col>50</xdr:col>
      <xdr:colOff>122464</xdr:colOff>
      <xdr:row>51</xdr:row>
      <xdr:rowOff>76200</xdr:rowOff>
    </xdr:to>
    <xdr:cxnSp macro="">
      <xdr:nvCxnSpPr>
        <xdr:cNvPr id="12" name="직선 화살표 연결선 11"/>
        <xdr:cNvCxnSpPr/>
      </xdr:nvCxnSpPr>
      <xdr:spPr>
        <a:xfrm>
          <a:off x="13362214" y="8058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81643</xdr:colOff>
      <xdr:row>50</xdr:row>
      <xdr:rowOff>19050</xdr:rowOff>
    </xdr:from>
    <xdr:to>
      <xdr:col>50</xdr:col>
      <xdr:colOff>103324</xdr:colOff>
      <xdr:row>50</xdr:row>
      <xdr:rowOff>133350</xdr:rowOff>
    </xdr:to>
    <xdr:sp macro="" textlink="">
      <xdr:nvSpPr>
        <xdr:cNvPr id="13" name="47"/>
        <xdr:cNvSpPr/>
      </xdr:nvSpPr>
      <xdr:spPr>
        <a:xfrm>
          <a:off x="13321393" y="7848600"/>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81643</xdr:colOff>
      <xdr:row>50</xdr:row>
      <xdr:rowOff>76200</xdr:rowOff>
    </xdr:from>
    <xdr:to>
      <xdr:col>50</xdr:col>
      <xdr:colOff>81643</xdr:colOff>
      <xdr:row>50</xdr:row>
      <xdr:rowOff>76200</xdr:rowOff>
    </xdr:to>
    <xdr:cxnSp macro="">
      <xdr:nvCxnSpPr>
        <xdr:cNvPr id="14" name="직선 화살표 연결선 13"/>
        <xdr:cNvCxnSpPr/>
      </xdr:nvCxnSpPr>
      <xdr:spPr>
        <a:xfrm>
          <a:off x="13321393" y="7905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81643</xdr:colOff>
      <xdr:row>49</xdr:row>
      <xdr:rowOff>19050</xdr:rowOff>
    </xdr:from>
    <xdr:to>
      <xdr:col>50</xdr:col>
      <xdr:colOff>103324</xdr:colOff>
      <xdr:row>49</xdr:row>
      <xdr:rowOff>133350</xdr:rowOff>
    </xdr:to>
    <xdr:sp macro="" textlink="">
      <xdr:nvSpPr>
        <xdr:cNvPr id="15" name="46"/>
        <xdr:cNvSpPr/>
      </xdr:nvSpPr>
      <xdr:spPr>
        <a:xfrm>
          <a:off x="13321393" y="7696200"/>
          <a:ext cx="216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81643</xdr:colOff>
      <xdr:row>49</xdr:row>
      <xdr:rowOff>76200</xdr:rowOff>
    </xdr:from>
    <xdr:to>
      <xdr:col>50</xdr:col>
      <xdr:colOff>81643</xdr:colOff>
      <xdr:row>49</xdr:row>
      <xdr:rowOff>76200</xdr:rowOff>
    </xdr:to>
    <xdr:cxnSp macro="">
      <xdr:nvCxnSpPr>
        <xdr:cNvPr id="16" name="직선 화살표 연결선 15"/>
        <xdr:cNvCxnSpPr/>
      </xdr:nvCxnSpPr>
      <xdr:spPr>
        <a:xfrm>
          <a:off x="13321393" y="7753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81643</xdr:colOff>
      <xdr:row>48</xdr:row>
      <xdr:rowOff>19050</xdr:rowOff>
    </xdr:from>
    <xdr:to>
      <xdr:col>53</xdr:col>
      <xdr:colOff>103324</xdr:colOff>
      <xdr:row>48</xdr:row>
      <xdr:rowOff>133350</xdr:rowOff>
    </xdr:to>
    <xdr:sp macro="" textlink="">
      <xdr:nvSpPr>
        <xdr:cNvPr id="17" name="45"/>
        <xdr:cNvSpPr/>
      </xdr:nvSpPr>
      <xdr:spPr>
        <a:xfrm>
          <a:off x="13321393" y="7543800"/>
          <a:ext cx="4503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81643</xdr:colOff>
      <xdr:row>48</xdr:row>
      <xdr:rowOff>76200</xdr:rowOff>
    </xdr:from>
    <xdr:to>
      <xdr:col>50</xdr:col>
      <xdr:colOff>81643</xdr:colOff>
      <xdr:row>48</xdr:row>
      <xdr:rowOff>76200</xdr:rowOff>
    </xdr:to>
    <xdr:cxnSp macro="">
      <xdr:nvCxnSpPr>
        <xdr:cNvPr id="18" name="직선 화살표 연결선 17"/>
        <xdr:cNvCxnSpPr/>
      </xdr:nvCxnSpPr>
      <xdr:spPr>
        <a:xfrm>
          <a:off x="13321393" y="7600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81643</xdr:colOff>
      <xdr:row>47</xdr:row>
      <xdr:rowOff>19050</xdr:rowOff>
    </xdr:from>
    <xdr:to>
      <xdr:col>50</xdr:col>
      <xdr:colOff>42090</xdr:colOff>
      <xdr:row>47</xdr:row>
      <xdr:rowOff>133350</xdr:rowOff>
    </xdr:to>
    <xdr:sp macro="" textlink="">
      <xdr:nvSpPr>
        <xdr:cNvPr id="19" name="44"/>
        <xdr:cNvSpPr/>
      </xdr:nvSpPr>
      <xdr:spPr>
        <a:xfrm>
          <a:off x="13178518" y="7391400"/>
          <a:ext cx="1033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81643</xdr:colOff>
      <xdr:row>47</xdr:row>
      <xdr:rowOff>76200</xdr:rowOff>
    </xdr:from>
    <xdr:to>
      <xdr:col>49</xdr:col>
      <xdr:colOff>81643</xdr:colOff>
      <xdr:row>47</xdr:row>
      <xdr:rowOff>76200</xdr:rowOff>
    </xdr:to>
    <xdr:cxnSp macro="">
      <xdr:nvCxnSpPr>
        <xdr:cNvPr id="20" name="직선 화살표 연결선 19"/>
        <xdr:cNvCxnSpPr/>
      </xdr:nvCxnSpPr>
      <xdr:spPr>
        <a:xfrm>
          <a:off x="13178518" y="7448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81643</xdr:colOff>
      <xdr:row>46</xdr:row>
      <xdr:rowOff>19050</xdr:rowOff>
    </xdr:from>
    <xdr:to>
      <xdr:col>49</xdr:col>
      <xdr:colOff>42090</xdr:colOff>
      <xdr:row>46</xdr:row>
      <xdr:rowOff>133350</xdr:rowOff>
    </xdr:to>
    <xdr:sp macro="" textlink="">
      <xdr:nvSpPr>
        <xdr:cNvPr id="21" name="43"/>
        <xdr:cNvSpPr/>
      </xdr:nvSpPr>
      <xdr:spPr>
        <a:xfrm>
          <a:off x="12749893" y="7239000"/>
          <a:ext cx="38907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81643</xdr:colOff>
      <xdr:row>46</xdr:row>
      <xdr:rowOff>76200</xdr:rowOff>
    </xdr:from>
    <xdr:to>
      <xdr:col>46</xdr:col>
      <xdr:colOff>81643</xdr:colOff>
      <xdr:row>46</xdr:row>
      <xdr:rowOff>76200</xdr:rowOff>
    </xdr:to>
    <xdr:cxnSp macro="">
      <xdr:nvCxnSpPr>
        <xdr:cNvPr id="22" name="직선 화살표 연결선 21"/>
        <xdr:cNvCxnSpPr/>
      </xdr:nvCxnSpPr>
      <xdr:spPr>
        <a:xfrm>
          <a:off x="12749893" y="7296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81643</xdr:colOff>
      <xdr:row>45</xdr:row>
      <xdr:rowOff>19050</xdr:rowOff>
    </xdr:from>
    <xdr:to>
      <xdr:col>50</xdr:col>
      <xdr:colOff>42090</xdr:colOff>
      <xdr:row>45</xdr:row>
      <xdr:rowOff>133350</xdr:rowOff>
    </xdr:to>
    <xdr:sp macro="" textlink="">
      <xdr:nvSpPr>
        <xdr:cNvPr id="23" name="42"/>
        <xdr:cNvSpPr/>
      </xdr:nvSpPr>
      <xdr:spPr>
        <a:xfrm>
          <a:off x="12749893" y="7086600"/>
          <a:ext cx="53194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81643</xdr:colOff>
      <xdr:row>45</xdr:row>
      <xdr:rowOff>76200</xdr:rowOff>
    </xdr:from>
    <xdr:to>
      <xdr:col>46</xdr:col>
      <xdr:colOff>81643</xdr:colOff>
      <xdr:row>45</xdr:row>
      <xdr:rowOff>76200</xdr:rowOff>
    </xdr:to>
    <xdr:cxnSp macro="">
      <xdr:nvCxnSpPr>
        <xdr:cNvPr id="24" name="직선 화살표 연결선 23"/>
        <xdr:cNvCxnSpPr/>
      </xdr:nvCxnSpPr>
      <xdr:spPr>
        <a:xfrm>
          <a:off x="12749893" y="7143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20410</xdr:colOff>
      <xdr:row>44</xdr:row>
      <xdr:rowOff>19050</xdr:rowOff>
    </xdr:from>
    <xdr:to>
      <xdr:col>48</xdr:col>
      <xdr:colOff>42091</xdr:colOff>
      <xdr:row>44</xdr:row>
      <xdr:rowOff>133350</xdr:rowOff>
    </xdr:to>
    <xdr:sp macro="" textlink="">
      <xdr:nvSpPr>
        <xdr:cNvPr id="25" name="41"/>
        <xdr:cNvSpPr/>
      </xdr:nvSpPr>
      <xdr:spPr>
        <a:xfrm>
          <a:off x="12117160" y="6934200"/>
          <a:ext cx="8789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20410</xdr:colOff>
      <xdr:row>44</xdr:row>
      <xdr:rowOff>76200</xdr:rowOff>
    </xdr:from>
    <xdr:to>
      <xdr:col>42</xdr:col>
      <xdr:colOff>20410</xdr:colOff>
      <xdr:row>44</xdr:row>
      <xdr:rowOff>76200</xdr:rowOff>
    </xdr:to>
    <xdr:cxnSp macro="">
      <xdr:nvCxnSpPr>
        <xdr:cNvPr id="26" name="직선 화살표 연결선 25"/>
        <xdr:cNvCxnSpPr/>
      </xdr:nvCxnSpPr>
      <xdr:spPr>
        <a:xfrm>
          <a:off x="12117160" y="6991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43</xdr:row>
      <xdr:rowOff>19050</xdr:rowOff>
    </xdr:from>
    <xdr:to>
      <xdr:col>48</xdr:col>
      <xdr:colOff>42091</xdr:colOff>
      <xdr:row>43</xdr:row>
      <xdr:rowOff>133350</xdr:rowOff>
    </xdr:to>
    <xdr:sp macro="" textlink="">
      <xdr:nvSpPr>
        <xdr:cNvPr id="27" name="40"/>
        <xdr:cNvSpPr/>
      </xdr:nvSpPr>
      <xdr:spPr>
        <a:xfrm>
          <a:off x="11831410" y="6781800"/>
          <a:ext cx="1164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43</xdr:row>
      <xdr:rowOff>76200</xdr:rowOff>
    </xdr:from>
    <xdr:to>
      <xdr:col>40</xdr:col>
      <xdr:colOff>20410</xdr:colOff>
      <xdr:row>43</xdr:row>
      <xdr:rowOff>76200</xdr:rowOff>
    </xdr:to>
    <xdr:cxnSp macro="">
      <xdr:nvCxnSpPr>
        <xdr:cNvPr id="28" name="직선 화살표 연결선 27"/>
        <xdr:cNvCxnSpPr/>
      </xdr:nvCxnSpPr>
      <xdr:spPr>
        <a:xfrm>
          <a:off x="11831410" y="683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42</xdr:row>
      <xdr:rowOff>19050</xdr:rowOff>
    </xdr:from>
    <xdr:to>
      <xdr:col>48</xdr:col>
      <xdr:colOff>42091</xdr:colOff>
      <xdr:row>42</xdr:row>
      <xdr:rowOff>133350</xdr:rowOff>
    </xdr:to>
    <xdr:sp macro="" textlink="">
      <xdr:nvSpPr>
        <xdr:cNvPr id="29" name="39"/>
        <xdr:cNvSpPr/>
      </xdr:nvSpPr>
      <xdr:spPr>
        <a:xfrm>
          <a:off x="11831410" y="6629400"/>
          <a:ext cx="1164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42</xdr:row>
      <xdr:rowOff>76200</xdr:rowOff>
    </xdr:from>
    <xdr:to>
      <xdr:col>40</xdr:col>
      <xdr:colOff>20410</xdr:colOff>
      <xdr:row>42</xdr:row>
      <xdr:rowOff>76200</xdr:rowOff>
    </xdr:to>
    <xdr:cxnSp macro="">
      <xdr:nvCxnSpPr>
        <xdr:cNvPr id="30" name="직선 화살표 연결선 29"/>
        <xdr:cNvCxnSpPr/>
      </xdr:nvCxnSpPr>
      <xdr:spPr>
        <a:xfrm>
          <a:off x="11831410" y="668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102053</xdr:colOff>
      <xdr:row>41</xdr:row>
      <xdr:rowOff>19050</xdr:rowOff>
    </xdr:from>
    <xdr:to>
      <xdr:col>47</xdr:col>
      <xdr:colOff>103323</xdr:colOff>
      <xdr:row>41</xdr:row>
      <xdr:rowOff>133350</xdr:rowOff>
    </xdr:to>
    <xdr:sp macro="" textlink="">
      <xdr:nvSpPr>
        <xdr:cNvPr id="31" name="38"/>
        <xdr:cNvSpPr/>
      </xdr:nvSpPr>
      <xdr:spPr>
        <a:xfrm>
          <a:off x="12627428" y="6477000"/>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102053</xdr:colOff>
      <xdr:row>41</xdr:row>
      <xdr:rowOff>76200</xdr:rowOff>
    </xdr:from>
    <xdr:to>
      <xdr:col>45</xdr:col>
      <xdr:colOff>102053</xdr:colOff>
      <xdr:row>41</xdr:row>
      <xdr:rowOff>76200</xdr:rowOff>
    </xdr:to>
    <xdr:cxnSp macro="">
      <xdr:nvCxnSpPr>
        <xdr:cNvPr id="32" name="직선 화살표 연결선 31"/>
        <xdr:cNvCxnSpPr/>
      </xdr:nvCxnSpPr>
      <xdr:spPr>
        <a:xfrm>
          <a:off x="12627428" y="6534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81643</xdr:colOff>
      <xdr:row>40</xdr:row>
      <xdr:rowOff>19050</xdr:rowOff>
    </xdr:from>
    <xdr:to>
      <xdr:col>45</xdr:col>
      <xdr:colOff>103323</xdr:colOff>
      <xdr:row>40</xdr:row>
      <xdr:rowOff>133350</xdr:rowOff>
    </xdr:to>
    <xdr:sp macro="" textlink="">
      <xdr:nvSpPr>
        <xdr:cNvPr id="33" name="37"/>
        <xdr:cNvSpPr/>
      </xdr:nvSpPr>
      <xdr:spPr>
        <a:xfrm>
          <a:off x="12178393" y="6324600"/>
          <a:ext cx="45030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81643</xdr:colOff>
      <xdr:row>40</xdr:row>
      <xdr:rowOff>76200</xdr:rowOff>
    </xdr:from>
    <xdr:to>
      <xdr:col>44</xdr:col>
      <xdr:colOff>42863</xdr:colOff>
      <xdr:row>40</xdr:row>
      <xdr:rowOff>76200</xdr:rowOff>
    </xdr:to>
    <xdr:cxnSp macro="">
      <xdr:nvCxnSpPr>
        <xdr:cNvPr id="34" name="직선 화살표 연결선 33"/>
        <xdr:cNvCxnSpPr/>
      </xdr:nvCxnSpPr>
      <xdr:spPr>
        <a:xfrm>
          <a:off x="12178393" y="6381750"/>
          <a:ext cx="24697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81643</xdr:colOff>
      <xdr:row>39</xdr:row>
      <xdr:rowOff>19050</xdr:rowOff>
    </xdr:from>
    <xdr:to>
      <xdr:col>42</xdr:col>
      <xdr:colOff>42091</xdr:colOff>
      <xdr:row>39</xdr:row>
      <xdr:rowOff>133350</xdr:rowOff>
    </xdr:to>
    <xdr:sp macro="" textlink="">
      <xdr:nvSpPr>
        <xdr:cNvPr id="35" name="36"/>
        <xdr:cNvSpPr/>
      </xdr:nvSpPr>
      <xdr:spPr>
        <a:xfrm>
          <a:off x="11892643" y="6172200"/>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81643</xdr:colOff>
      <xdr:row>39</xdr:row>
      <xdr:rowOff>76200</xdr:rowOff>
    </xdr:from>
    <xdr:to>
      <xdr:col>40</xdr:col>
      <xdr:colOff>81643</xdr:colOff>
      <xdr:row>39</xdr:row>
      <xdr:rowOff>76200</xdr:rowOff>
    </xdr:to>
    <xdr:cxnSp macro="">
      <xdr:nvCxnSpPr>
        <xdr:cNvPr id="36" name="직선 화살표 연결선 35"/>
        <xdr:cNvCxnSpPr/>
      </xdr:nvCxnSpPr>
      <xdr:spPr>
        <a:xfrm>
          <a:off x="11892643" y="622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81643</xdr:colOff>
      <xdr:row>38</xdr:row>
      <xdr:rowOff>19050</xdr:rowOff>
    </xdr:from>
    <xdr:to>
      <xdr:col>47</xdr:col>
      <xdr:colOff>103323</xdr:colOff>
      <xdr:row>38</xdr:row>
      <xdr:rowOff>133350</xdr:rowOff>
    </xdr:to>
    <xdr:sp macro="" textlink="">
      <xdr:nvSpPr>
        <xdr:cNvPr id="37" name="35"/>
        <xdr:cNvSpPr/>
      </xdr:nvSpPr>
      <xdr:spPr>
        <a:xfrm>
          <a:off x="11892643" y="6019800"/>
          <a:ext cx="102180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81643</xdr:colOff>
      <xdr:row>38</xdr:row>
      <xdr:rowOff>76200</xdr:rowOff>
    </xdr:from>
    <xdr:to>
      <xdr:col>42</xdr:col>
      <xdr:colOff>41459</xdr:colOff>
      <xdr:row>38</xdr:row>
      <xdr:rowOff>76200</xdr:rowOff>
    </xdr:to>
    <xdr:cxnSp macro="">
      <xdr:nvCxnSpPr>
        <xdr:cNvPr id="38" name="직선 화살표 연결선 37"/>
        <xdr:cNvCxnSpPr/>
      </xdr:nvCxnSpPr>
      <xdr:spPr>
        <a:xfrm>
          <a:off x="11892643" y="6076950"/>
          <a:ext cx="2455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37</xdr:row>
      <xdr:rowOff>19050</xdr:rowOff>
    </xdr:from>
    <xdr:to>
      <xdr:col>48</xdr:col>
      <xdr:colOff>42091</xdr:colOff>
      <xdr:row>37</xdr:row>
      <xdr:rowOff>133350</xdr:rowOff>
    </xdr:to>
    <xdr:sp macro="" textlink="">
      <xdr:nvSpPr>
        <xdr:cNvPr id="39" name="34"/>
        <xdr:cNvSpPr/>
      </xdr:nvSpPr>
      <xdr:spPr>
        <a:xfrm>
          <a:off x="11831410" y="5867400"/>
          <a:ext cx="11646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37</xdr:row>
      <xdr:rowOff>76200</xdr:rowOff>
    </xdr:from>
    <xdr:to>
      <xdr:col>40</xdr:col>
      <xdr:colOff>85799</xdr:colOff>
      <xdr:row>37</xdr:row>
      <xdr:rowOff>76200</xdr:rowOff>
    </xdr:to>
    <xdr:cxnSp macro="">
      <xdr:nvCxnSpPr>
        <xdr:cNvPr id="40" name="직선 화살표 연결선 39"/>
        <xdr:cNvCxnSpPr/>
      </xdr:nvCxnSpPr>
      <xdr:spPr>
        <a:xfrm>
          <a:off x="11831410" y="5924550"/>
          <a:ext cx="6538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36</xdr:row>
      <xdr:rowOff>19050</xdr:rowOff>
    </xdr:from>
    <xdr:to>
      <xdr:col>40</xdr:col>
      <xdr:colOff>123734</xdr:colOff>
      <xdr:row>36</xdr:row>
      <xdr:rowOff>133350</xdr:rowOff>
    </xdr:to>
    <xdr:sp macro="" textlink="">
      <xdr:nvSpPr>
        <xdr:cNvPr id="41" name="33"/>
        <xdr:cNvSpPr/>
      </xdr:nvSpPr>
      <xdr:spPr>
        <a:xfrm>
          <a:off x="11831410" y="5715000"/>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36</xdr:row>
      <xdr:rowOff>76200</xdr:rowOff>
    </xdr:from>
    <xdr:to>
      <xdr:col>40</xdr:col>
      <xdr:colOff>20410</xdr:colOff>
      <xdr:row>36</xdr:row>
      <xdr:rowOff>76200</xdr:rowOff>
    </xdr:to>
    <xdr:cxnSp macro="">
      <xdr:nvCxnSpPr>
        <xdr:cNvPr id="42" name="직선 화살표 연결선 41"/>
        <xdr:cNvCxnSpPr/>
      </xdr:nvCxnSpPr>
      <xdr:spPr>
        <a:xfrm>
          <a:off x="11831410" y="5772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35</xdr:row>
      <xdr:rowOff>19050</xdr:rowOff>
    </xdr:from>
    <xdr:to>
      <xdr:col>48</xdr:col>
      <xdr:colOff>42091</xdr:colOff>
      <xdr:row>35</xdr:row>
      <xdr:rowOff>133350</xdr:rowOff>
    </xdr:to>
    <xdr:sp macro="" textlink="">
      <xdr:nvSpPr>
        <xdr:cNvPr id="43" name="32"/>
        <xdr:cNvSpPr/>
      </xdr:nvSpPr>
      <xdr:spPr>
        <a:xfrm>
          <a:off x="11831410" y="5562600"/>
          <a:ext cx="11646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35</xdr:row>
      <xdr:rowOff>76200</xdr:rowOff>
    </xdr:from>
    <xdr:to>
      <xdr:col>40</xdr:col>
      <xdr:colOff>83944</xdr:colOff>
      <xdr:row>35</xdr:row>
      <xdr:rowOff>76200</xdr:rowOff>
    </xdr:to>
    <xdr:cxnSp macro="">
      <xdr:nvCxnSpPr>
        <xdr:cNvPr id="44" name="직선 화살표 연결선 43"/>
        <xdr:cNvCxnSpPr/>
      </xdr:nvCxnSpPr>
      <xdr:spPr>
        <a:xfrm>
          <a:off x="11831410" y="5619750"/>
          <a:ext cx="635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34</xdr:row>
      <xdr:rowOff>19050</xdr:rowOff>
    </xdr:from>
    <xdr:to>
      <xdr:col>50</xdr:col>
      <xdr:colOff>42090</xdr:colOff>
      <xdr:row>34</xdr:row>
      <xdr:rowOff>133350</xdr:rowOff>
    </xdr:to>
    <xdr:sp macro="" textlink="">
      <xdr:nvSpPr>
        <xdr:cNvPr id="45" name="31"/>
        <xdr:cNvSpPr/>
      </xdr:nvSpPr>
      <xdr:spPr>
        <a:xfrm>
          <a:off x="11831410" y="5410200"/>
          <a:ext cx="145043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34</xdr:row>
      <xdr:rowOff>76200</xdr:rowOff>
    </xdr:from>
    <xdr:to>
      <xdr:col>40</xdr:col>
      <xdr:colOff>91484</xdr:colOff>
      <xdr:row>34</xdr:row>
      <xdr:rowOff>76200</xdr:rowOff>
    </xdr:to>
    <xdr:cxnSp macro="">
      <xdr:nvCxnSpPr>
        <xdr:cNvPr id="46" name="직선 화살표 연결선 45"/>
        <xdr:cNvCxnSpPr/>
      </xdr:nvCxnSpPr>
      <xdr:spPr>
        <a:xfrm>
          <a:off x="11831410" y="5467350"/>
          <a:ext cx="710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81643</xdr:colOff>
      <xdr:row>33</xdr:row>
      <xdr:rowOff>19050</xdr:rowOff>
    </xdr:from>
    <xdr:to>
      <xdr:col>40</xdr:col>
      <xdr:colOff>21680</xdr:colOff>
      <xdr:row>33</xdr:row>
      <xdr:rowOff>133350</xdr:rowOff>
    </xdr:to>
    <xdr:sp macro="" textlink="">
      <xdr:nvSpPr>
        <xdr:cNvPr id="47" name="30"/>
        <xdr:cNvSpPr/>
      </xdr:nvSpPr>
      <xdr:spPr>
        <a:xfrm>
          <a:off x="11749768" y="5257800"/>
          <a:ext cx="829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81643</xdr:colOff>
      <xdr:row>33</xdr:row>
      <xdr:rowOff>76200</xdr:rowOff>
    </xdr:from>
    <xdr:to>
      <xdr:col>39</xdr:col>
      <xdr:colOff>81643</xdr:colOff>
      <xdr:row>33</xdr:row>
      <xdr:rowOff>76200</xdr:rowOff>
    </xdr:to>
    <xdr:cxnSp macro="">
      <xdr:nvCxnSpPr>
        <xdr:cNvPr id="48" name="직선 화살표 연결선 47"/>
        <xdr:cNvCxnSpPr/>
      </xdr:nvCxnSpPr>
      <xdr:spPr>
        <a:xfrm>
          <a:off x="11749768" y="5314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32</xdr:row>
      <xdr:rowOff>19050</xdr:rowOff>
    </xdr:from>
    <xdr:to>
      <xdr:col>39</xdr:col>
      <xdr:colOff>42091</xdr:colOff>
      <xdr:row>32</xdr:row>
      <xdr:rowOff>133350</xdr:rowOff>
    </xdr:to>
    <xdr:sp macro="" textlink="">
      <xdr:nvSpPr>
        <xdr:cNvPr id="49" name="29"/>
        <xdr:cNvSpPr/>
      </xdr:nvSpPr>
      <xdr:spPr>
        <a:xfrm>
          <a:off x="11239500" y="5105400"/>
          <a:ext cx="47071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32</xdr:row>
      <xdr:rowOff>76200</xdr:rowOff>
    </xdr:from>
    <xdr:to>
      <xdr:col>36</xdr:col>
      <xdr:colOff>0</xdr:colOff>
      <xdr:row>32</xdr:row>
      <xdr:rowOff>76200</xdr:rowOff>
    </xdr:to>
    <xdr:cxnSp macro="">
      <xdr:nvCxnSpPr>
        <xdr:cNvPr id="50" name="직선 화살표 연결선 49"/>
        <xdr:cNvCxnSpPr/>
      </xdr:nvCxnSpPr>
      <xdr:spPr>
        <a:xfrm>
          <a:off x="11239500" y="5162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81643</xdr:colOff>
      <xdr:row>31</xdr:row>
      <xdr:rowOff>19050</xdr:rowOff>
    </xdr:from>
    <xdr:to>
      <xdr:col>37</xdr:col>
      <xdr:colOff>42091</xdr:colOff>
      <xdr:row>31</xdr:row>
      <xdr:rowOff>133350</xdr:rowOff>
    </xdr:to>
    <xdr:sp macro="" textlink="">
      <xdr:nvSpPr>
        <xdr:cNvPr id="51" name="28"/>
        <xdr:cNvSpPr/>
      </xdr:nvSpPr>
      <xdr:spPr>
        <a:xfrm>
          <a:off x="11178268" y="4953000"/>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81643</xdr:colOff>
      <xdr:row>31</xdr:row>
      <xdr:rowOff>76200</xdr:rowOff>
    </xdr:from>
    <xdr:to>
      <xdr:col>37</xdr:col>
      <xdr:colOff>40822</xdr:colOff>
      <xdr:row>31</xdr:row>
      <xdr:rowOff>76200</xdr:rowOff>
    </xdr:to>
    <xdr:cxnSp macro="">
      <xdr:nvCxnSpPr>
        <xdr:cNvPr id="52" name="직선 화살표 연결선 51"/>
        <xdr:cNvCxnSpPr/>
      </xdr:nvCxnSpPr>
      <xdr:spPr>
        <a:xfrm>
          <a:off x="11178268" y="5010150"/>
          <a:ext cx="2449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30</xdr:row>
      <xdr:rowOff>19050</xdr:rowOff>
    </xdr:from>
    <xdr:to>
      <xdr:col>35</xdr:col>
      <xdr:colOff>42091</xdr:colOff>
      <xdr:row>30</xdr:row>
      <xdr:rowOff>133350</xdr:rowOff>
    </xdr:to>
    <xdr:sp macro="" textlink="">
      <xdr:nvSpPr>
        <xdr:cNvPr id="53" name="27"/>
        <xdr:cNvSpPr/>
      </xdr:nvSpPr>
      <xdr:spPr>
        <a:xfrm>
          <a:off x="11035393" y="4800600"/>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30</xdr:row>
      <xdr:rowOff>76200</xdr:rowOff>
    </xdr:from>
    <xdr:to>
      <xdr:col>35</xdr:col>
      <xdr:colOff>40822</xdr:colOff>
      <xdr:row>30</xdr:row>
      <xdr:rowOff>76200</xdr:rowOff>
    </xdr:to>
    <xdr:cxnSp macro="">
      <xdr:nvCxnSpPr>
        <xdr:cNvPr id="54" name="직선 화살표 연결선 53"/>
        <xdr:cNvCxnSpPr/>
      </xdr:nvCxnSpPr>
      <xdr:spPr>
        <a:xfrm>
          <a:off x="11035393" y="4857750"/>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29</xdr:row>
      <xdr:rowOff>19050</xdr:rowOff>
    </xdr:from>
    <xdr:to>
      <xdr:col>39</xdr:col>
      <xdr:colOff>42091</xdr:colOff>
      <xdr:row>29</xdr:row>
      <xdr:rowOff>133350</xdr:rowOff>
    </xdr:to>
    <xdr:sp macro="" textlink="">
      <xdr:nvSpPr>
        <xdr:cNvPr id="55" name="26"/>
        <xdr:cNvSpPr/>
      </xdr:nvSpPr>
      <xdr:spPr>
        <a:xfrm>
          <a:off x="11035393" y="4648200"/>
          <a:ext cx="6748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29</xdr:row>
      <xdr:rowOff>76200</xdr:rowOff>
    </xdr:from>
    <xdr:to>
      <xdr:col>36</xdr:col>
      <xdr:colOff>70303</xdr:colOff>
      <xdr:row>29</xdr:row>
      <xdr:rowOff>76200</xdr:rowOff>
    </xdr:to>
    <xdr:cxnSp macro="">
      <xdr:nvCxnSpPr>
        <xdr:cNvPr id="56" name="직선 화살표 연결선 55"/>
        <xdr:cNvCxnSpPr/>
      </xdr:nvCxnSpPr>
      <xdr:spPr>
        <a:xfrm>
          <a:off x="11035393" y="4705350"/>
          <a:ext cx="274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28</xdr:row>
      <xdr:rowOff>19050</xdr:rowOff>
    </xdr:from>
    <xdr:to>
      <xdr:col>36</xdr:col>
      <xdr:colOff>42091</xdr:colOff>
      <xdr:row>28</xdr:row>
      <xdr:rowOff>133350</xdr:rowOff>
    </xdr:to>
    <xdr:sp macro="" textlink="">
      <xdr:nvSpPr>
        <xdr:cNvPr id="57" name="25"/>
        <xdr:cNvSpPr/>
      </xdr:nvSpPr>
      <xdr:spPr>
        <a:xfrm>
          <a:off x="11035393" y="4495800"/>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28</xdr:row>
      <xdr:rowOff>76200</xdr:rowOff>
    </xdr:from>
    <xdr:to>
      <xdr:col>36</xdr:col>
      <xdr:colOff>40822</xdr:colOff>
      <xdr:row>28</xdr:row>
      <xdr:rowOff>76200</xdr:rowOff>
    </xdr:to>
    <xdr:cxnSp macro="">
      <xdr:nvCxnSpPr>
        <xdr:cNvPr id="58" name="직선 화살표 연결선 57"/>
        <xdr:cNvCxnSpPr/>
      </xdr:nvCxnSpPr>
      <xdr:spPr>
        <a:xfrm>
          <a:off x="11035393" y="4552950"/>
          <a:ext cx="2449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27</xdr:row>
      <xdr:rowOff>19050</xdr:rowOff>
    </xdr:from>
    <xdr:to>
      <xdr:col>40</xdr:col>
      <xdr:colOff>21680</xdr:colOff>
      <xdr:row>27</xdr:row>
      <xdr:rowOff>133350</xdr:rowOff>
    </xdr:to>
    <xdr:sp macro="" textlink="">
      <xdr:nvSpPr>
        <xdr:cNvPr id="59" name="24"/>
        <xdr:cNvSpPr/>
      </xdr:nvSpPr>
      <xdr:spPr>
        <a:xfrm>
          <a:off x="11035393" y="4343400"/>
          <a:ext cx="79728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27</xdr:row>
      <xdr:rowOff>76200</xdr:rowOff>
    </xdr:from>
    <xdr:to>
      <xdr:col>37</xdr:col>
      <xdr:colOff>61784</xdr:colOff>
      <xdr:row>27</xdr:row>
      <xdr:rowOff>76200</xdr:rowOff>
    </xdr:to>
    <xdr:cxnSp macro="">
      <xdr:nvCxnSpPr>
        <xdr:cNvPr id="60" name="직선 화살표 연결선 59"/>
        <xdr:cNvCxnSpPr/>
      </xdr:nvCxnSpPr>
      <xdr:spPr>
        <a:xfrm>
          <a:off x="11035393" y="4400550"/>
          <a:ext cx="4087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26</xdr:row>
      <xdr:rowOff>19050</xdr:rowOff>
    </xdr:from>
    <xdr:to>
      <xdr:col>35</xdr:col>
      <xdr:colOff>42091</xdr:colOff>
      <xdr:row>26</xdr:row>
      <xdr:rowOff>133350</xdr:rowOff>
    </xdr:to>
    <xdr:sp macro="" textlink="">
      <xdr:nvSpPr>
        <xdr:cNvPr id="61" name="23"/>
        <xdr:cNvSpPr/>
      </xdr:nvSpPr>
      <xdr:spPr>
        <a:xfrm>
          <a:off x="11035393" y="4191000"/>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26</xdr:row>
      <xdr:rowOff>76200</xdr:rowOff>
    </xdr:from>
    <xdr:to>
      <xdr:col>35</xdr:col>
      <xdr:colOff>10206</xdr:colOff>
      <xdr:row>26</xdr:row>
      <xdr:rowOff>76200</xdr:rowOff>
    </xdr:to>
    <xdr:cxnSp macro="">
      <xdr:nvCxnSpPr>
        <xdr:cNvPr id="62" name="직선 화살표 연결선 61"/>
        <xdr:cNvCxnSpPr/>
      </xdr:nvCxnSpPr>
      <xdr:spPr>
        <a:xfrm>
          <a:off x="11035393" y="4248150"/>
          <a:ext cx="7143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81643</xdr:colOff>
      <xdr:row>25</xdr:row>
      <xdr:rowOff>19050</xdr:rowOff>
    </xdr:from>
    <xdr:to>
      <xdr:col>34</xdr:col>
      <xdr:colOff>103323</xdr:colOff>
      <xdr:row>25</xdr:row>
      <xdr:rowOff>133350</xdr:rowOff>
    </xdr:to>
    <xdr:sp macro="" textlink="">
      <xdr:nvSpPr>
        <xdr:cNvPr id="63" name="22"/>
        <xdr:cNvSpPr/>
      </xdr:nvSpPr>
      <xdr:spPr>
        <a:xfrm>
          <a:off x="10892518" y="4038600"/>
          <a:ext cx="1645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81643</xdr:colOff>
      <xdr:row>25</xdr:row>
      <xdr:rowOff>76200</xdr:rowOff>
    </xdr:from>
    <xdr:to>
      <xdr:col>34</xdr:col>
      <xdr:colOff>102053</xdr:colOff>
      <xdr:row>25</xdr:row>
      <xdr:rowOff>76200</xdr:rowOff>
    </xdr:to>
    <xdr:cxnSp macro="">
      <xdr:nvCxnSpPr>
        <xdr:cNvPr id="22923" name="직선 화살표 연결선 22922"/>
        <xdr:cNvCxnSpPr/>
      </xdr:nvCxnSpPr>
      <xdr:spPr>
        <a:xfrm>
          <a:off x="10892518" y="4095750"/>
          <a:ext cx="1632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81643</xdr:colOff>
      <xdr:row>24</xdr:row>
      <xdr:rowOff>19050</xdr:rowOff>
    </xdr:from>
    <xdr:to>
      <xdr:col>35</xdr:col>
      <xdr:colOff>42091</xdr:colOff>
      <xdr:row>24</xdr:row>
      <xdr:rowOff>133350</xdr:rowOff>
    </xdr:to>
    <xdr:sp macro="" textlink="">
      <xdr:nvSpPr>
        <xdr:cNvPr id="22924" name="21"/>
        <xdr:cNvSpPr/>
      </xdr:nvSpPr>
      <xdr:spPr>
        <a:xfrm>
          <a:off x="10892518" y="3886200"/>
          <a:ext cx="2461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81643</xdr:colOff>
      <xdr:row>24</xdr:row>
      <xdr:rowOff>76200</xdr:rowOff>
    </xdr:from>
    <xdr:to>
      <xdr:col>35</xdr:col>
      <xdr:colOff>7061</xdr:colOff>
      <xdr:row>24</xdr:row>
      <xdr:rowOff>76200</xdr:rowOff>
    </xdr:to>
    <xdr:cxnSp macro="">
      <xdr:nvCxnSpPr>
        <xdr:cNvPr id="22925" name="직선 화살표 연결선 22924"/>
        <xdr:cNvCxnSpPr/>
      </xdr:nvCxnSpPr>
      <xdr:spPr>
        <a:xfrm>
          <a:off x="10892518" y="3943350"/>
          <a:ext cx="21116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81643</xdr:colOff>
      <xdr:row>23</xdr:row>
      <xdr:rowOff>19050</xdr:rowOff>
    </xdr:from>
    <xdr:to>
      <xdr:col>35</xdr:col>
      <xdr:colOff>42091</xdr:colOff>
      <xdr:row>23</xdr:row>
      <xdr:rowOff>133350</xdr:rowOff>
    </xdr:to>
    <xdr:sp macro="" textlink="">
      <xdr:nvSpPr>
        <xdr:cNvPr id="22926" name="20"/>
        <xdr:cNvSpPr/>
      </xdr:nvSpPr>
      <xdr:spPr>
        <a:xfrm>
          <a:off x="10749643" y="3733800"/>
          <a:ext cx="389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81643</xdr:colOff>
      <xdr:row>23</xdr:row>
      <xdr:rowOff>76200</xdr:rowOff>
    </xdr:from>
    <xdr:to>
      <xdr:col>35</xdr:col>
      <xdr:colOff>40822</xdr:colOff>
      <xdr:row>23</xdr:row>
      <xdr:rowOff>76200</xdr:rowOff>
    </xdr:to>
    <xdr:cxnSp macro="">
      <xdr:nvCxnSpPr>
        <xdr:cNvPr id="22927" name="직선 화살표 연결선 22926"/>
        <xdr:cNvCxnSpPr/>
      </xdr:nvCxnSpPr>
      <xdr:spPr>
        <a:xfrm>
          <a:off x="10749643" y="3790950"/>
          <a:ext cx="38780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81643</xdr:colOff>
      <xdr:row>22</xdr:row>
      <xdr:rowOff>19050</xdr:rowOff>
    </xdr:from>
    <xdr:to>
      <xdr:col>35</xdr:col>
      <xdr:colOff>42091</xdr:colOff>
      <xdr:row>22</xdr:row>
      <xdr:rowOff>133350</xdr:rowOff>
    </xdr:to>
    <xdr:sp macro="" textlink="">
      <xdr:nvSpPr>
        <xdr:cNvPr id="22928" name="19"/>
        <xdr:cNvSpPr/>
      </xdr:nvSpPr>
      <xdr:spPr>
        <a:xfrm>
          <a:off x="10749643" y="3581400"/>
          <a:ext cx="38907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81643</xdr:colOff>
      <xdr:row>22</xdr:row>
      <xdr:rowOff>76200</xdr:rowOff>
    </xdr:from>
    <xdr:to>
      <xdr:col>35</xdr:col>
      <xdr:colOff>16201</xdr:colOff>
      <xdr:row>22</xdr:row>
      <xdr:rowOff>76200</xdr:rowOff>
    </xdr:to>
    <xdr:cxnSp macro="">
      <xdr:nvCxnSpPr>
        <xdr:cNvPr id="22929" name="직선 화살표 연결선 22928"/>
        <xdr:cNvCxnSpPr/>
      </xdr:nvCxnSpPr>
      <xdr:spPr>
        <a:xfrm>
          <a:off x="10749643" y="3638550"/>
          <a:ext cx="3631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81643</xdr:colOff>
      <xdr:row>21</xdr:row>
      <xdr:rowOff>19050</xdr:rowOff>
    </xdr:from>
    <xdr:to>
      <xdr:col>53</xdr:col>
      <xdr:colOff>103324</xdr:colOff>
      <xdr:row>21</xdr:row>
      <xdr:rowOff>133350</xdr:rowOff>
    </xdr:to>
    <xdr:sp macro="" textlink="">
      <xdr:nvSpPr>
        <xdr:cNvPr id="22930" name="18"/>
        <xdr:cNvSpPr/>
      </xdr:nvSpPr>
      <xdr:spPr>
        <a:xfrm>
          <a:off x="10749643" y="3429000"/>
          <a:ext cx="30220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81643</xdr:colOff>
      <xdr:row>21</xdr:row>
      <xdr:rowOff>76200</xdr:rowOff>
    </xdr:from>
    <xdr:to>
      <xdr:col>37</xdr:col>
      <xdr:colOff>22637</xdr:colOff>
      <xdr:row>21</xdr:row>
      <xdr:rowOff>76200</xdr:rowOff>
    </xdr:to>
    <xdr:cxnSp macro="">
      <xdr:nvCxnSpPr>
        <xdr:cNvPr id="22931" name="직선 화살표 연결선 22930"/>
        <xdr:cNvCxnSpPr/>
      </xdr:nvCxnSpPr>
      <xdr:spPr>
        <a:xfrm>
          <a:off x="10749643" y="3486150"/>
          <a:ext cx="65536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20411</xdr:colOff>
      <xdr:row>19</xdr:row>
      <xdr:rowOff>19050</xdr:rowOff>
    </xdr:from>
    <xdr:to>
      <xdr:col>54</xdr:col>
      <xdr:colOff>4536</xdr:colOff>
      <xdr:row>19</xdr:row>
      <xdr:rowOff>146050</xdr:rowOff>
    </xdr:to>
    <xdr:sp macro="" textlink="">
      <xdr:nvSpPr>
        <xdr:cNvPr id="22932" name="16"/>
        <xdr:cNvSpPr/>
      </xdr:nvSpPr>
      <xdr:spPr>
        <a:xfrm>
          <a:off x="13688786" y="312420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20411</xdr:colOff>
      <xdr:row>18</xdr:row>
      <xdr:rowOff>19050</xdr:rowOff>
    </xdr:from>
    <xdr:to>
      <xdr:col>53</xdr:col>
      <xdr:colOff>42090</xdr:colOff>
      <xdr:row>18</xdr:row>
      <xdr:rowOff>133350</xdr:rowOff>
    </xdr:to>
    <xdr:sp macro="" textlink="">
      <xdr:nvSpPr>
        <xdr:cNvPr id="22933" name="15"/>
        <xdr:cNvSpPr/>
      </xdr:nvSpPr>
      <xdr:spPr>
        <a:xfrm>
          <a:off x="13688786" y="2971800"/>
          <a:ext cx="2167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20411</xdr:colOff>
      <xdr:row>18</xdr:row>
      <xdr:rowOff>76200</xdr:rowOff>
    </xdr:from>
    <xdr:to>
      <xdr:col>53</xdr:col>
      <xdr:colOff>20411</xdr:colOff>
      <xdr:row>18</xdr:row>
      <xdr:rowOff>76200</xdr:rowOff>
    </xdr:to>
    <xdr:cxnSp macro="">
      <xdr:nvCxnSpPr>
        <xdr:cNvPr id="22934" name="직선 화살표 연결선 22933"/>
        <xdr:cNvCxnSpPr/>
      </xdr:nvCxnSpPr>
      <xdr:spPr>
        <a:xfrm>
          <a:off x="13688786" y="302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81643</xdr:colOff>
      <xdr:row>17</xdr:row>
      <xdr:rowOff>19050</xdr:rowOff>
    </xdr:from>
    <xdr:to>
      <xdr:col>52</xdr:col>
      <xdr:colOff>42090</xdr:colOff>
      <xdr:row>17</xdr:row>
      <xdr:rowOff>133350</xdr:rowOff>
    </xdr:to>
    <xdr:sp macro="" textlink="">
      <xdr:nvSpPr>
        <xdr:cNvPr id="22935" name="14"/>
        <xdr:cNvSpPr/>
      </xdr:nvSpPr>
      <xdr:spPr>
        <a:xfrm>
          <a:off x="13321393" y="2819400"/>
          <a:ext cx="24619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81643</xdr:colOff>
      <xdr:row>17</xdr:row>
      <xdr:rowOff>76200</xdr:rowOff>
    </xdr:from>
    <xdr:to>
      <xdr:col>50</xdr:col>
      <xdr:colOff>81643</xdr:colOff>
      <xdr:row>17</xdr:row>
      <xdr:rowOff>76200</xdr:rowOff>
    </xdr:to>
    <xdr:cxnSp macro="">
      <xdr:nvCxnSpPr>
        <xdr:cNvPr id="22936" name="직선 화살표 연결선 22935"/>
        <xdr:cNvCxnSpPr/>
      </xdr:nvCxnSpPr>
      <xdr:spPr>
        <a:xfrm>
          <a:off x="13321393" y="287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81643</xdr:colOff>
      <xdr:row>16</xdr:row>
      <xdr:rowOff>19050</xdr:rowOff>
    </xdr:from>
    <xdr:to>
      <xdr:col>50</xdr:col>
      <xdr:colOff>42090</xdr:colOff>
      <xdr:row>16</xdr:row>
      <xdr:rowOff>133350</xdr:rowOff>
    </xdr:to>
    <xdr:sp macro="" textlink="">
      <xdr:nvSpPr>
        <xdr:cNvPr id="22937" name="13"/>
        <xdr:cNvSpPr/>
      </xdr:nvSpPr>
      <xdr:spPr>
        <a:xfrm>
          <a:off x="13178518" y="2667000"/>
          <a:ext cx="1033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81643</xdr:colOff>
      <xdr:row>16</xdr:row>
      <xdr:rowOff>76200</xdr:rowOff>
    </xdr:from>
    <xdr:to>
      <xdr:col>49</xdr:col>
      <xdr:colOff>81643</xdr:colOff>
      <xdr:row>16</xdr:row>
      <xdr:rowOff>76200</xdr:rowOff>
    </xdr:to>
    <xdr:cxnSp macro="">
      <xdr:nvCxnSpPr>
        <xdr:cNvPr id="22938" name="직선 화살표 연결선 22937"/>
        <xdr:cNvCxnSpPr/>
      </xdr:nvCxnSpPr>
      <xdr:spPr>
        <a:xfrm>
          <a:off x="13178518" y="2724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81643</xdr:colOff>
      <xdr:row>15</xdr:row>
      <xdr:rowOff>19050</xdr:rowOff>
    </xdr:from>
    <xdr:to>
      <xdr:col>53</xdr:col>
      <xdr:colOff>42090</xdr:colOff>
      <xdr:row>15</xdr:row>
      <xdr:rowOff>133350</xdr:rowOff>
    </xdr:to>
    <xdr:sp macro="" textlink="">
      <xdr:nvSpPr>
        <xdr:cNvPr id="22939" name="12"/>
        <xdr:cNvSpPr/>
      </xdr:nvSpPr>
      <xdr:spPr>
        <a:xfrm>
          <a:off x="13178518" y="2514600"/>
          <a:ext cx="53194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81643</xdr:colOff>
      <xdr:row>15</xdr:row>
      <xdr:rowOff>76200</xdr:rowOff>
    </xdr:from>
    <xdr:to>
      <xdr:col>49</xdr:col>
      <xdr:colOff>81643</xdr:colOff>
      <xdr:row>15</xdr:row>
      <xdr:rowOff>76200</xdr:rowOff>
    </xdr:to>
    <xdr:cxnSp macro="">
      <xdr:nvCxnSpPr>
        <xdr:cNvPr id="22940" name="직선 화살표 연결선 22939"/>
        <xdr:cNvCxnSpPr/>
      </xdr:nvCxnSpPr>
      <xdr:spPr>
        <a:xfrm>
          <a:off x="13178518" y="2571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81643</xdr:colOff>
      <xdr:row>14</xdr:row>
      <xdr:rowOff>19050</xdr:rowOff>
    </xdr:from>
    <xdr:to>
      <xdr:col>40</xdr:col>
      <xdr:colOff>103323</xdr:colOff>
      <xdr:row>14</xdr:row>
      <xdr:rowOff>133350</xdr:rowOff>
    </xdr:to>
    <xdr:sp macro="" textlink="">
      <xdr:nvSpPr>
        <xdr:cNvPr id="22941" name="11"/>
        <xdr:cNvSpPr/>
      </xdr:nvSpPr>
      <xdr:spPr>
        <a:xfrm>
          <a:off x="11892643" y="23622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81643</xdr:colOff>
      <xdr:row>14</xdr:row>
      <xdr:rowOff>76200</xdr:rowOff>
    </xdr:from>
    <xdr:to>
      <xdr:col>40</xdr:col>
      <xdr:colOff>81643</xdr:colOff>
      <xdr:row>14</xdr:row>
      <xdr:rowOff>76200</xdr:rowOff>
    </xdr:to>
    <xdr:cxnSp macro="">
      <xdr:nvCxnSpPr>
        <xdr:cNvPr id="22942" name="직선 화살표 연결선 22941"/>
        <xdr:cNvCxnSpPr/>
      </xdr:nvCxnSpPr>
      <xdr:spPr>
        <a:xfrm>
          <a:off x="11892643" y="241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81643</xdr:colOff>
      <xdr:row>13</xdr:row>
      <xdr:rowOff>19050</xdr:rowOff>
    </xdr:from>
    <xdr:to>
      <xdr:col>44</xdr:col>
      <xdr:colOff>103323</xdr:colOff>
      <xdr:row>13</xdr:row>
      <xdr:rowOff>133350</xdr:rowOff>
    </xdr:to>
    <xdr:sp macro="" textlink="">
      <xdr:nvSpPr>
        <xdr:cNvPr id="22943" name="10"/>
        <xdr:cNvSpPr/>
      </xdr:nvSpPr>
      <xdr:spPr>
        <a:xfrm>
          <a:off x="12464143" y="22098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81643</xdr:colOff>
      <xdr:row>13</xdr:row>
      <xdr:rowOff>76200</xdr:rowOff>
    </xdr:from>
    <xdr:to>
      <xdr:col>44</xdr:col>
      <xdr:colOff>81643</xdr:colOff>
      <xdr:row>13</xdr:row>
      <xdr:rowOff>76200</xdr:rowOff>
    </xdr:to>
    <xdr:cxnSp macro="">
      <xdr:nvCxnSpPr>
        <xdr:cNvPr id="22944" name="직선 화살표 연결선 22943"/>
        <xdr:cNvCxnSpPr/>
      </xdr:nvCxnSpPr>
      <xdr:spPr>
        <a:xfrm>
          <a:off x="12464143" y="2266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81643</xdr:colOff>
      <xdr:row>12</xdr:row>
      <xdr:rowOff>19050</xdr:rowOff>
    </xdr:from>
    <xdr:to>
      <xdr:col>39</xdr:col>
      <xdr:colOff>103323</xdr:colOff>
      <xdr:row>12</xdr:row>
      <xdr:rowOff>133350</xdr:rowOff>
    </xdr:to>
    <xdr:sp macro="" textlink="">
      <xdr:nvSpPr>
        <xdr:cNvPr id="22945" name="9"/>
        <xdr:cNvSpPr/>
      </xdr:nvSpPr>
      <xdr:spPr>
        <a:xfrm>
          <a:off x="11749768" y="20574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81643</xdr:colOff>
      <xdr:row>12</xdr:row>
      <xdr:rowOff>76200</xdr:rowOff>
    </xdr:from>
    <xdr:to>
      <xdr:col>39</xdr:col>
      <xdr:colOff>81643</xdr:colOff>
      <xdr:row>12</xdr:row>
      <xdr:rowOff>76200</xdr:rowOff>
    </xdr:to>
    <xdr:cxnSp macro="">
      <xdr:nvCxnSpPr>
        <xdr:cNvPr id="22946" name="직선 화살표 연결선 22945"/>
        <xdr:cNvCxnSpPr/>
      </xdr:nvCxnSpPr>
      <xdr:spPr>
        <a:xfrm>
          <a:off x="11749768" y="211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81643</xdr:colOff>
      <xdr:row>11</xdr:row>
      <xdr:rowOff>19050</xdr:rowOff>
    </xdr:from>
    <xdr:to>
      <xdr:col>35</xdr:col>
      <xdr:colOff>103323</xdr:colOff>
      <xdr:row>11</xdr:row>
      <xdr:rowOff>133350</xdr:rowOff>
    </xdr:to>
    <xdr:sp macro="" textlink="">
      <xdr:nvSpPr>
        <xdr:cNvPr id="22947" name="8"/>
        <xdr:cNvSpPr/>
      </xdr:nvSpPr>
      <xdr:spPr>
        <a:xfrm>
          <a:off x="11178268" y="19050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81643</xdr:colOff>
      <xdr:row>11</xdr:row>
      <xdr:rowOff>76200</xdr:rowOff>
    </xdr:from>
    <xdr:to>
      <xdr:col>35</xdr:col>
      <xdr:colOff>102053</xdr:colOff>
      <xdr:row>11</xdr:row>
      <xdr:rowOff>76200</xdr:rowOff>
    </xdr:to>
    <xdr:cxnSp macro="">
      <xdr:nvCxnSpPr>
        <xdr:cNvPr id="22948" name="직선 화살표 연결선 22947"/>
        <xdr:cNvCxnSpPr/>
      </xdr:nvCxnSpPr>
      <xdr:spPr>
        <a:xfrm>
          <a:off x="11178268" y="19621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81643</xdr:colOff>
      <xdr:row>10</xdr:row>
      <xdr:rowOff>19050</xdr:rowOff>
    </xdr:from>
    <xdr:to>
      <xdr:col>44</xdr:col>
      <xdr:colOff>103323</xdr:colOff>
      <xdr:row>10</xdr:row>
      <xdr:rowOff>133350</xdr:rowOff>
    </xdr:to>
    <xdr:sp macro="" textlink="">
      <xdr:nvSpPr>
        <xdr:cNvPr id="22949" name="7"/>
        <xdr:cNvSpPr/>
      </xdr:nvSpPr>
      <xdr:spPr>
        <a:xfrm>
          <a:off x="11178268" y="1752600"/>
          <a:ext cx="13075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81643</xdr:colOff>
      <xdr:row>10</xdr:row>
      <xdr:rowOff>76200</xdr:rowOff>
    </xdr:from>
    <xdr:to>
      <xdr:col>36</xdr:col>
      <xdr:colOff>102053</xdr:colOff>
      <xdr:row>10</xdr:row>
      <xdr:rowOff>76200</xdr:rowOff>
    </xdr:to>
    <xdr:cxnSp macro="">
      <xdr:nvCxnSpPr>
        <xdr:cNvPr id="22950" name="직선 화살표 연결선 22949"/>
        <xdr:cNvCxnSpPr/>
      </xdr:nvCxnSpPr>
      <xdr:spPr>
        <a:xfrm>
          <a:off x="11178268" y="1809750"/>
          <a:ext cx="1632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81643</xdr:colOff>
      <xdr:row>9</xdr:row>
      <xdr:rowOff>19050</xdr:rowOff>
    </xdr:from>
    <xdr:to>
      <xdr:col>34</xdr:col>
      <xdr:colOff>65768</xdr:colOff>
      <xdr:row>9</xdr:row>
      <xdr:rowOff>146050</xdr:rowOff>
    </xdr:to>
    <xdr:sp macro="" textlink="">
      <xdr:nvSpPr>
        <xdr:cNvPr id="22951" name="6"/>
        <xdr:cNvSpPr/>
      </xdr:nvSpPr>
      <xdr:spPr>
        <a:xfrm>
          <a:off x="10892518" y="160020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8</xdr:row>
      <xdr:rowOff>19050</xdr:rowOff>
    </xdr:from>
    <xdr:to>
      <xdr:col>33</xdr:col>
      <xdr:colOff>42091</xdr:colOff>
      <xdr:row>8</xdr:row>
      <xdr:rowOff>133350</xdr:rowOff>
    </xdr:to>
    <xdr:sp macro="" textlink="">
      <xdr:nvSpPr>
        <xdr:cNvPr id="22952" name="5"/>
        <xdr:cNvSpPr/>
      </xdr:nvSpPr>
      <xdr:spPr>
        <a:xfrm>
          <a:off x="10606768" y="1447800"/>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8</xdr:row>
      <xdr:rowOff>76200</xdr:rowOff>
    </xdr:from>
    <xdr:to>
      <xdr:col>33</xdr:col>
      <xdr:colOff>40822</xdr:colOff>
      <xdr:row>8</xdr:row>
      <xdr:rowOff>76200</xdr:rowOff>
    </xdr:to>
    <xdr:cxnSp macro="">
      <xdr:nvCxnSpPr>
        <xdr:cNvPr id="22953" name="직선 화살표 연결선 22952"/>
        <xdr:cNvCxnSpPr/>
      </xdr:nvCxnSpPr>
      <xdr:spPr>
        <a:xfrm>
          <a:off x="10606768" y="1504950"/>
          <a:ext cx="2449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7</xdr:row>
      <xdr:rowOff>19050</xdr:rowOff>
    </xdr:from>
    <xdr:to>
      <xdr:col>33</xdr:col>
      <xdr:colOff>103323</xdr:colOff>
      <xdr:row>7</xdr:row>
      <xdr:rowOff>133350</xdr:rowOff>
    </xdr:to>
    <xdr:sp macro="" textlink="">
      <xdr:nvSpPr>
        <xdr:cNvPr id="22954" name="4"/>
        <xdr:cNvSpPr/>
      </xdr:nvSpPr>
      <xdr:spPr>
        <a:xfrm>
          <a:off x="10606768" y="1295400"/>
          <a:ext cx="30743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7</xdr:row>
      <xdr:rowOff>76200</xdr:rowOff>
    </xdr:from>
    <xdr:to>
      <xdr:col>33</xdr:col>
      <xdr:colOff>102053</xdr:colOff>
      <xdr:row>7</xdr:row>
      <xdr:rowOff>76200</xdr:rowOff>
    </xdr:to>
    <xdr:cxnSp macro="">
      <xdr:nvCxnSpPr>
        <xdr:cNvPr id="22955" name="직선 화살표 연결선 22954"/>
        <xdr:cNvCxnSpPr/>
      </xdr:nvCxnSpPr>
      <xdr:spPr>
        <a:xfrm>
          <a:off x="10606768" y="1352550"/>
          <a:ext cx="3061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6</xdr:row>
      <xdr:rowOff>19050</xdr:rowOff>
    </xdr:from>
    <xdr:to>
      <xdr:col>31</xdr:col>
      <xdr:colOff>103323</xdr:colOff>
      <xdr:row>6</xdr:row>
      <xdr:rowOff>133350</xdr:rowOff>
    </xdr:to>
    <xdr:sp macro="" textlink="">
      <xdr:nvSpPr>
        <xdr:cNvPr id="22956" name="3"/>
        <xdr:cNvSpPr/>
      </xdr:nvSpPr>
      <xdr:spPr>
        <a:xfrm>
          <a:off x="10606768" y="11430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6</xdr:row>
      <xdr:rowOff>76200</xdr:rowOff>
    </xdr:from>
    <xdr:to>
      <xdr:col>31</xdr:col>
      <xdr:colOff>102053</xdr:colOff>
      <xdr:row>6</xdr:row>
      <xdr:rowOff>76200</xdr:rowOff>
    </xdr:to>
    <xdr:cxnSp macro="">
      <xdr:nvCxnSpPr>
        <xdr:cNvPr id="22957" name="직선 화살표 연결선 22956"/>
        <xdr:cNvCxnSpPr/>
      </xdr:nvCxnSpPr>
      <xdr:spPr>
        <a:xfrm>
          <a:off x="10606768" y="1200150"/>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5</xdr:row>
      <xdr:rowOff>19050</xdr:rowOff>
    </xdr:from>
    <xdr:to>
      <xdr:col>33</xdr:col>
      <xdr:colOff>103323</xdr:colOff>
      <xdr:row>5</xdr:row>
      <xdr:rowOff>133350</xdr:rowOff>
    </xdr:to>
    <xdr:sp macro="" textlink="">
      <xdr:nvSpPr>
        <xdr:cNvPr id="22958" name="2"/>
        <xdr:cNvSpPr/>
      </xdr:nvSpPr>
      <xdr:spPr>
        <a:xfrm>
          <a:off x="10606768" y="990600"/>
          <a:ext cx="30743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5</xdr:row>
      <xdr:rowOff>76200</xdr:rowOff>
    </xdr:from>
    <xdr:to>
      <xdr:col>33</xdr:col>
      <xdr:colOff>102053</xdr:colOff>
      <xdr:row>5</xdr:row>
      <xdr:rowOff>76200</xdr:rowOff>
    </xdr:to>
    <xdr:cxnSp macro="">
      <xdr:nvCxnSpPr>
        <xdr:cNvPr id="22959" name="직선 화살표 연결선 22958"/>
        <xdr:cNvCxnSpPr/>
      </xdr:nvCxnSpPr>
      <xdr:spPr>
        <a:xfrm>
          <a:off x="10606768" y="1047750"/>
          <a:ext cx="3061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4</xdr:row>
      <xdr:rowOff>19050</xdr:rowOff>
    </xdr:from>
    <xdr:to>
      <xdr:col>53</xdr:col>
      <xdr:colOff>42090</xdr:colOff>
      <xdr:row>4</xdr:row>
      <xdr:rowOff>133350</xdr:rowOff>
    </xdr:to>
    <xdr:sp macro="" textlink="">
      <xdr:nvSpPr>
        <xdr:cNvPr id="22960" name="1"/>
        <xdr:cNvSpPr/>
      </xdr:nvSpPr>
      <xdr:spPr>
        <a:xfrm>
          <a:off x="10606768" y="838200"/>
          <a:ext cx="310369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4</xdr:row>
      <xdr:rowOff>76200</xdr:rowOff>
    </xdr:from>
    <xdr:to>
      <xdr:col>39</xdr:col>
      <xdr:colOff>128296</xdr:colOff>
      <xdr:row>4</xdr:row>
      <xdr:rowOff>76200</xdr:rowOff>
    </xdr:to>
    <xdr:cxnSp macro="">
      <xdr:nvCxnSpPr>
        <xdr:cNvPr id="22961" name="직선 화살표 연결선 22960"/>
        <xdr:cNvCxnSpPr/>
      </xdr:nvCxnSpPr>
      <xdr:spPr>
        <a:xfrm>
          <a:off x="10606768" y="895350"/>
          <a:ext cx="11896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139700</xdr:colOff>
      <xdr:row>0</xdr:row>
      <xdr:rowOff>88011</xdr:rowOff>
    </xdr:from>
    <xdr:to>
      <xdr:col>30</xdr:col>
      <xdr:colOff>574675</xdr:colOff>
      <xdr:row>0</xdr:row>
      <xdr:rowOff>265811</xdr:rowOff>
    </xdr:to>
    <xdr:sp macro="" textlink="">
      <xdr:nvSpPr>
        <xdr:cNvPr id="22962" name="ProgressContainer"/>
        <xdr:cNvSpPr/>
      </xdr:nvSpPr>
      <xdr:spPr>
        <a:xfrm>
          <a:off x="9445625" y="88011"/>
          <a:ext cx="1016000" cy="177800"/>
        </a:xfrm>
        <a:prstGeom prst="rect">
          <a:avLst/>
        </a:prstGeom>
        <a:solidFill>
          <a:srgbClr val="FFFFFF"/>
        </a:solidFill>
        <a:ln w="12700">
          <a:solidFill>
            <a:srgbClr val="505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139700</xdr:colOff>
      <xdr:row>0</xdr:row>
      <xdr:rowOff>132461</xdr:rowOff>
    </xdr:from>
    <xdr:to>
      <xdr:col>29</xdr:col>
      <xdr:colOff>377861</xdr:colOff>
      <xdr:row>0</xdr:row>
      <xdr:rowOff>221361</xdr:rowOff>
    </xdr:to>
    <xdr:sp macro="" textlink="">
      <xdr:nvSpPr>
        <xdr:cNvPr id="22963" name="ActualBar"/>
        <xdr:cNvSpPr/>
      </xdr:nvSpPr>
      <xdr:spPr>
        <a:xfrm>
          <a:off x="9445625" y="132461"/>
          <a:ext cx="238161" cy="88900"/>
        </a:xfrm>
        <a:prstGeom prst="rect">
          <a:avLst/>
        </a:prstGeom>
        <a:solidFill>
          <a:srgbClr val="FF0000"/>
        </a:solidFill>
        <a:ln w="12700">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558656</xdr:colOff>
      <xdr:row>0</xdr:row>
      <xdr:rowOff>70231</xdr:rowOff>
    </xdr:from>
    <xdr:to>
      <xdr:col>30</xdr:col>
      <xdr:colOff>558656</xdr:colOff>
      <xdr:row>0</xdr:row>
      <xdr:rowOff>301371</xdr:rowOff>
    </xdr:to>
    <xdr:cxnSp macro="">
      <xdr:nvCxnSpPr>
        <xdr:cNvPr id="22964" name="PlannedMarker"/>
        <xdr:cNvCxnSpPr/>
      </xdr:nvCxnSpPr>
      <xdr:spPr>
        <a:xfrm>
          <a:off x="10445606" y="70231"/>
          <a:ext cx="0" cy="231140"/>
        </a:xfrm>
        <a:prstGeom prst="line">
          <a:avLst/>
        </a:prstGeom>
        <a:ln w="127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768350</xdr:colOff>
      <xdr:row>0</xdr:row>
      <xdr:rowOff>265811</xdr:rowOff>
    </xdr:from>
    <xdr:to>
      <xdr:col>30</xdr:col>
      <xdr:colOff>574675</xdr:colOff>
      <xdr:row>2</xdr:row>
      <xdr:rowOff>14986</xdr:rowOff>
    </xdr:to>
    <xdr:sp macro="" textlink="">
      <xdr:nvSpPr>
        <xdr:cNvPr id="22965" name="ActualLabel"/>
        <xdr:cNvSpPr txBox="1"/>
      </xdr:nvSpPr>
      <xdr:spPr>
        <a:xfrm>
          <a:off x="4111625" y="265811"/>
          <a:ext cx="6350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r"/>
          <a:r>
            <a:rPr lang="ko-KR" altLang="en-US" sz="1050">
              <a:solidFill>
                <a:srgbClr val="0070C0"/>
              </a:solidFill>
              <a:latin typeface="Arial" panose="020B0604020202020204" pitchFamily="34" charset="0"/>
            </a:rPr>
            <a:t>계획진척률 계산 기준일자 </a:t>
          </a:r>
          <a:r>
            <a:rPr lang="en-US" altLang="ko-KR" sz="1050">
              <a:solidFill>
                <a:srgbClr val="0070C0"/>
              </a:solidFill>
              <a:latin typeface="Arial" panose="020B0604020202020204" pitchFamily="34" charset="0"/>
            </a:rPr>
            <a:t>: </a:t>
          </a:r>
          <a:r>
            <a:rPr lang="ko-KR" altLang="en-US" sz="1050">
              <a:solidFill>
                <a:srgbClr val="0070C0"/>
              </a:solidFill>
              <a:latin typeface="Arial" panose="020B0604020202020204" pitchFamily="34" charset="0"/>
            </a:rPr>
            <a:t>오늘 </a:t>
          </a:r>
          <a:r>
            <a:rPr lang="en-US" altLang="ko-KR" sz="1050">
              <a:solidFill>
                <a:srgbClr val="0070C0"/>
              </a:solidFill>
              <a:latin typeface="Arial" panose="020B0604020202020204" pitchFamily="34" charset="0"/>
            </a:rPr>
            <a:t>2026-07-30,  </a:t>
          </a:r>
          <a:r>
            <a:rPr lang="ko-KR" altLang="en-US" sz="1050">
              <a:solidFill>
                <a:srgbClr val="0070C0"/>
              </a:solidFill>
              <a:latin typeface="Arial" panose="020B0604020202020204" pitchFamily="34" charset="0"/>
            </a:rPr>
            <a:t>실적 </a:t>
          </a:r>
          <a:r>
            <a:rPr lang="en-US" altLang="ko-KR" sz="1050">
              <a:solidFill>
                <a:srgbClr val="0070C0"/>
              </a:solidFill>
              <a:latin typeface="Arial" panose="020B0604020202020204" pitchFamily="34" charset="0"/>
            </a:rPr>
            <a:t>23.44% / </a:t>
          </a:r>
          <a:r>
            <a:rPr lang="ko-KR" altLang="en-US" sz="1050">
              <a:solidFill>
                <a:srgbClr val="0070C0"/>
              </a:solidFill>
              <a:latin typeface="Arial" panose="020B0604020202020204" pitchFamily="34" charset="0"/>
            </a:rPr>
            <a:t>계획 </a:t>
          </a:r>
          <a:r>
            <a:rPr lang="en-US" altLang="ko-KR" sz="1050">
              <a:solidFill>
                <a:srgbClr val="0070C0"/>
              </a:solidFill>
              <a:latin typeface="Arial" panose="020B0604020202020204" pitchFamily="34" charset="0"/>
            </a:rPr>
            <a:t>98.42%</a:t>
          </a:r>
          <a:endParaRPr lang="ko-KR" altLang="en-US" sz="1050">
            <a:solidFill>
              <a:srgbClr val="0070C0"/>
            </a:solidFill>
            <a:latin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141007</xdr:colOff>
      <xdr:row>4</xdr:row>
      <xdr:rowOff>186578</xdr:rowOff>
    </xdr:from>
    <xdr:to>
      <xdr:col>20</xdr:col>
      <xdr:colOff>297890</xdr:colOff>
      <xdr:row>18</xdr:row>
      <xdr:rowOff>123078</xdr:rowOff>
    </xdr:to>
    <xdr:graphicFrame macro="">
      <xdr:nvGraphicFramePr>
        <xdr:cNvPr id="2" name="차트 1">
          <a:extLst>
            <a:ext uri="{FF2B5EF4-FFF2-40B4-BE49-F238E27FC236}">
              <a16:creationId xmlns:a16="http://schemas.microsoft.com/office/drawing/2014/main" id="{BF875830-46AF-57CB-E0A4-BBF210A468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xlworks.net/en/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L35"/>
  <sheetViews>
    <sheetView showGridLines="0" zoomScale="90" zoomScaleNormal="90" workbookViewId="0"/>
  </sheetViews>
  <sheetFormatPr defaultRowHeight="15.75"/>
  <cols>
    <col min="1" max="1" width="5.875" style="76" customWidth="1"/>
    <col min="2" max="2" width="29.875" style="97" customWidth="1"/>
    <col min="3" max="3" width="1.25" style="76" customWidth="1"/>
    <col min="4" max="11" width="9" style="76"/>
    <col min="12" max="12" width="19.5" style="76" customWidth="1"/>
    <col min="13" max="21" width="9" style="76"/>
    <col min="22" max="22" width="0" style="76" hidden="1" customWidth="1"/>
    <col min="23" max="26" width="9" style="76"/>
    <col min="27" max="28" width="0" style="76" hidden="1" customWidth="1"/>
    <col min="29" max="16384" width="9" style="76"/>
  </cols>
  <sheetData>
    <row r="1" spans="1:12" ht="45" customHeight="1">
      <c r="A1" s="151"/>
      <c r="B1" s="172" t="s">
        <v>1589</v>
      </c>
      <c r="C1" s="149"/>
      <c r="D1" s="149"/>
      <c r="E1" s="149"/>
      <c r="F1" s="149"/>
      <c r="G1" s="149"/>
      <c r="H1" s="150"/>
      <c r="I1" s="150"/>
      <c r="J1" s="236" t="s">
        <v>1386</v>
      </c>
      <c r="K1" s="237"/>
      <c r="L1" s="237"/>
    </row>
    <row r="2" spans="1:12" s="32" customFormat="1" ht="18" customHeight="1">
      <c r="A2" s="147"/>
      <c r="B2" s="148"/>
      <c r="C2" s="148"/>
      <c r="D2" s="148"/>
      <c r="E2" s="148"/>
      <c r="F2" s="148"/>
      <c r="G2" s="148"/>
      <c r="H2" s="234" t="s">
        <v>1590</v>
      </c>
      <c r="I2" s="235"/>
      <c r="J2" s="235"/>
      <c r="K2" s="235"/>
      <c r="L2" s="235"/>
    </row>
    <row r="4" spans="1:12" ht="17.25" customHeight="1">
      <c r="B4" s="238" t="s">
        <v>1591</v>
      </c>
      <c r="C4" s="239"/>
      <c r="D4" s="239"/>
      <c r="E4" s="239"/>
      <c r="F4" s="239"/>
      <c r="G4" s="239"/>
      <c r="H4" s="239"/>
      <c r="I4" s="239"/>
      <c r="J4" s="239"/>
      <c r="K4" s="239"/>
      <c r="L4" s="239"/>
    </row>
    <row r="5" spans="1:12" ht="27.75" customHeight="1">
      <c r="B5" s="239"/>
      <c r="C5" s="239"/>
      <c r="D5" s="239"/>
      <c r="E5" s="239"/>
      <c r="F5" s="239"/>
      <c r="G5" s="239"/>
      <c r="H5" s="239"/>
      <c r="I5" s="239"/>
      <c r="J5" s="239"/>
      <c r="K5" s="239"/>
      <c r="L5" s="239"/>
    </row>
    <row r="6" spans="1:12" s="32" customFormat="1" ht="12.75">
      <c r="B6" s="77"/>
    </row>
    <row r="7" spans="1:12" s="32" customFormat="1" ht="18.75">
      <c r="B7" s="78" t="s">
        <v>1592</v>
      </c>
      <c r="D7" s="79"/>
    </row>
    <row r="8" spans="1:12" s="32" customFormat="1" ht="7.5" customHeight="1">
      <c r="B8" s="77"/>
    </row>
    <row r="9" spans="1:12" s="32" customFormat="1" ht="29.25" customHeight="1" thickBot="1">
      <c r="A9" s="80"/>
      <c r="B9" s="81" t="s">
        <v>434</v>
      </c>
      <c r="C9" s="80"/>
      <c r="D9" s="240" t="s">
        <v>1593</v>
      </c>
      <c r="E9" s="240"/>
      <c r="F9" s="240"/>
      <c r="G9" s="240"/>
      <c r="H9" s="240"/>
      <c r="I9" s="240"/>
      <c r="J9" s="240"/>
      <c r="K9" s="240"/>
      <c r="L9" s="240"/>
    </row>
    <row r="10" spans="1:12" s="32" customFormat="1" ht="29.25" customHeight="1" thickTop="1" thickBot="1">
      <c r="A10" s="80"/>
      <c r="B10" s="82" t="s">
        <v>435</v>
      </c>
      <c r="C10" s="80"/>
      <c r="D10" s="240" t="s">
        <v>1594</v>
      </c>
      <c r="E10" s="240"/>
      <c r="F10" s="240"/>
      <c r="G10" s="240"/>
      <c r="H10" s="240"/>
      <c r="I10" s="240"/>
      <c r="J10" s="240"/>
      <c r="K10" s="240"/>
      <c r="L10" s="240"/>
    </row>
    <row r="11" spans="1:12" s="32" customFormat="1" ht="29.25" customHeight="1" thickTop="1" thickBot="1">
      <c r="A11" s="80"/>
      <c r="B11" s="83" t="s">
        <v>436</v>
      </c>
      <c r="C11" s="80"/>
      <c r="D11" s="240" t="s">
        <v>1595</v>
      </c>
      <c r="E11" s="240"/>
      <c r="F11" s="240"/>
      <c r="G11" s="240"/>
      <c r="H11" s="240"/>
      <c r="I11" s="240"/>
      <c r="J11" s="240"/>
      <c r="K11" s="240"/>
      <c r="L11" s="240"/>
    </row>
    <row r="12" spans="1:12" s="32" customFormat="1" ht="29.25" customHeight="1" thickTop="1" thickBot="1">
      <c r="A12" s="80"/>
      <c r="B12" s="84" t="s">
        <v>437</v>
      </c>
      <c r="C12" s="80"/>
      <c r="D12" s="240" t="s">
        <v>1596</v>
      </c>
      <c r="E12" s="240"/>
      <c r="F12" s="240"/>
      <c r="G12" s="240"/>
      <c r="H12" s="240"/>
      <c r="I12" s="240"/>
      <c r="J12" s="240"/>
      <c r="K12" s="240"/>
      <c r="L12" s="240"/>
    </row>
    <row r="13" spans="1:12" s="32" customFormat="1" ht="29.25" customHeight="1" thickTop="1" thickBot="1">
      <c r="A13" s="80"/>
      <c r="B13" s="85" t="s">
        <v>1554</v>
      </c>
      <c r="C13" s="80"/>
      <c r="D13" s="241" t="s">
        <v>1597</v>
      </c>
      <c r="E13" s="240"/>
      <c r="F13" s="240"/>
      <c r="G13" s="240"/>
      <c r="H13" s="240"/>
      <c r="I13" s="240"/>
      <c r="J13" s="240"/>
      <c r="K13" s="240"/>
      <c r="L13" s="240"/>
    </row>
    <row r="14" spans="1:12" s="32" customFormat="1" ht="29.25" customHeight="1" thickTop="1" thickBot="1">
      <c r="A14" s="80"/>
      <c r="B14" s="86" t="s">
        <v>438</v>
      </c>
      <c r="C14" s="80"/>
      <c r="D14" s="240" t="s">
        <v>1598</v>
      </c>
      <c r="E14" s="240"/>
      <c r="F14" s="240"/>
      <c r="G14" s="240"/>
      <c r="H14" s="240"/>
      <c r="I14" s="240"/>
      <c r="J14" s="240"/>
      <c r="K14" s="240"/>
      <c r="L14" s="240"/>
    </row>
    <row r="15" spans="1:12" ht="16.5" thickTop="1">
      <c r="A15" s="87"/>
      <c r="B15" s="88"/>
      <c r="C15" s="87"/>
      <c r="D15" s="89"/>
      <c r="E15" s="89"/>
      <c r="F15" s="89"/>
      <c r="G15" s="89"/>
      <c r="H15" s="89"/>
      <c r="I15" s="89"/>
      <c r="J15" s="89"/>
      <c r="K15" s="89"/>
      <c r="L15" s="89"/>
    </row>
    <row r="16" spans="1:12" s="32" customFormat="1" ht="18.75">
      <c r="B16" s="78" t="s">
        <v>1599</v>
      </c>
      <c r="D16" s="79"/>
    </row>
    <row r="17" spans="2:12" s="32" customFormat="1" ht="5.25" customHeight="1">
      <c r="B17" s="90"/>
      <c r="D17" s="79"/>
    </row>
    <row r="18" spans="2:12" s="32" customFormat="1" ht="26.25" customHeight="1" thickBot="1">
      <c r="B18" s="91" t="s">
        <v>1600</v>
      </c>
      <c r="D18" s="232" t="s">
        <v>1612</v>
      </c>
      <c r="E18" s="232"/>
      <c r="F18" s="232"/>
      <c r="G18" s="232"/>
      <c r="H18" s="232"/>
      <c r="I18" s="232"/>
      <c r="J18" s="232"/>
      <c r="K18" s="232"/>
      <c r="L18" s="98" t="s">
        <v>1624</v>
      </c>
    </row>
    <row r="19" spans="2:12" s="32" customFormat="1" ht="37.5" customHeight="1" thickTop="1" thickBot="1">
      <c r="B19" s="91" t="s">
        <v>1663</v>
      </c>
      <c r="D19" s="232" t="s">
        <v>1613</v>
      </c>
      <c r="E19" s="232"/>
      <c r="F19" s="232"/>
      <c r="G19" s="232"/>
      <c r="H19" s="232"/>
      <c r="I19" s="232"/>
      <c r="J19" s="232"/>
      <c r="K19" s="232"/>
      <c r="L19" s="98" t="s">
        <v>1624</v>
      </c>
    </row>
    <row r="20" spans="2:12" s="32" customFormat="1" ht="26.25" customHeight="1" thickTop="1" thickBot="1">
      <c r="B20" s="91" t="s">
        <v>1601</v>
      </c>
      <c r="D20" s="232" t="s">
        <v>1614</v>
      </c>
      <c r="E20" s="232"/>
      <c r="F20" s="232"/>
      <c r="G20" s="232"/>
      <c r="H20" s="232"/>
      <c r="I20" s="232"/>
      <c r="J20" s="232"/>
      <c r="K20" s="232"/>
      <c r="L20" s="98" t="s">
        <v>1624</v>
      </c>
    </row>
    <row r="21" spans="2:12" s="32" customFormat="1" ht="26.25" customHeight="1" thickTop="1" thickBot="1">
      <c r="B21" s="91" t="s">
        <v>1602</v>
      </c>
      <c r="D21" s="232" t="s">
        <v>1615</v>
      </c>
      <c r="E21" s="232"/>
      <c r="F21" s="232"/>
      <c r="G21" s="232"/>
      <c r="H21" s="232"/>
      <c r="I21" s="232"/>
      <c r="J21" s="232"/>
      <c r="K21" s="232"/>
      <c r="L21" s="98" t="s">
        <v>1624</v>
      </c>
    </row>
    <row r="22" spans="2:12" s="32" customFormat="1" ht="33.75" customHeight="1" thickTop="1" thickBot="1">
      <c r="B22" s="91" t="s">
        <v>1603</v>
      </c>
      <c r="D22" s="232" t="s">
        <v>1616</v>
      </c>
      <c r="E22" s="232"/>
      <c r="F22" s="232"/>
      <c r="G22" s="232"/>
      <c r="H22" s="232"/>
      <c r="I22" s="232"/>
      <c r="J22" s="232"/>
      <c r="K22" s="232"/>
      <c r="L22" s="98" t="s">
        <v>1624</v>
      </c>
    </row>
    <row r="23" spans="2:12" s="32" customFormat="1" ht="52.5" customHeight="1" thickTop="1" thickBot="1">
      <c r="B23" s="91" t="s">
        <v>1604</v>
      </c>
      <c r="D23" s="232" t="s">
        <v>1617</v>
      </c>
      <c r="E23" s="232"/>
      <c r="F23" s="232"/>
      <c r="G23" s="232"/>
      <c r="H23" s="232"/>
      <c r="I23" s="232"/>
      <c r="J23" s="232"/>
      <c r="K23" s="232"/>
      <c r="L23" s="98" t="s">
        <v>1624</v>
      </c>
    </row>
    <row r="24" spans="2:12" s="32" customFormat="1" ht="47.25" customHeight="1" thickTop="1" thickBot="1">
      <c r="B24" s="91" t="s">
        <v>1605</v>
      </c>
      <c r="D24" s="232" t="s">
        <v>1618</v>
      </c>
      <c r="E24" s="232"/>
      <c r="F24" s="232"/>
      <c r="G24" s="232"/>
      <c r="H24" s="232"/>
      <c r="I24" s="232"/>
      <c r="J24" s="232"/>
      <c r="K24" s="232"/>
      <c r="L24" s="98" t="s">
        <v>1624</v>
      </c>
    </row>
    <row r="25" spans="2:12" s="32" customFormat="1" ht="33.75" customHeight="1" thickTop="1" thickBot="1">
      <c r="B25" s="91" t="s">
        <v>1606</v>
      </c>
      <c r="D25" s="232" t="s">
        <v>1619</v>
      </c>
      <c r="E25" s="232"/>
      <c r="F25" s="232"/>
      <c r="G25" s="232"/>
      <c r="H25" s="232"/>
      <c r="I25" s="232"/>
      <c r="J25" s="232"/>
      <c r="K25" s="232"/>
      <c r="L25" s="98" t="s">
        <v>1624</v>
      </c>
    </row>
    <row r="26" spans="2:12" s="32" customFormat="1" ht="53.25" customHeight="1" thickTop="1" thickBot="1">
      <c r="B26" s="91" t="s">
        <v>1607</v>
      </c>
      <c r="D26" s="232" t="s">
        <v>1620</v>
      </c>
      <c r="E26" s="232"/>
      <c r="F26" s="232"/>
      <c r="G26" s="232"/>
      <c r="H26" s="232"/>
      <c r="I26" s="232"/>
      <c r="J26" s="232"/>
      <c r="K26" s="232"/>
      <c r="L26" s="98" t="s">
        <v>1624</v>
      </c>
    </row>
    <row r="27" spans="2:12" s="32" customFormat="1" ht="35.25" customHeight="1" thickTop="1" thickBot="1">
      <c r="B27" s="91" t="s">
        <v>1608</v>
      </c>
      <c r="D27" s="232" t="s">
        <v>1621</v>
      </c>
      <c r="E27" s="232"/>
      <c r="F27" s="232"/>
      <c r="G27" s="232"/>
      <c r="H27" s="232"/>
      <c r="I27" s="232"/>
      <c r="J27" s="232"/>
      <c r="K27" s="232"/>
      <c r="L27" s="98" t="s">
        <v>1624</v>
      </c>
    </row>
    <row r="28" spans="2:12" s="32" customFormat="1" ht="43.5" customHeight="1" thickTop="1" thickBot="1">
      <c r="B28" s="91" t="s">
        <v>437</v>
      </c>
      <c r="D28" s="232" t="s">
        <v>1622</v>
      </c>
      <c r="E28" s="232"/>
      <c r="F28" s="232"/>
      <c r="G28" s="232"/>
      <c r="H28" s="232"/>
      <c r="I28" s="232"/>
      <c r="J28" s="232"/>
      <c r="K28" s="232"/>
      <c r="L28" s="98" t="s">
        <v>1624</v>
      </c>
    </row>
    <row r="29" spans="2:12" s="32" customFormat="1" ht="49.5" customHeight="1" thickTop="1" thickBot="1">
      <c r="B29" s="91" t="s">
        <v>1609</v>
      </c>
      <c r="D29" s="232" t="s">
        <v>1623</v>
      </c>
      <c r="E29" s="232"/>
      <c r="F29" s="232"/>
      <c r="G29" s="232"/>
      <c r="H29" s="232"/>
      <c r="I29" s="232"/>
      <c r="J29" s="232"/>
      <c r="K29" s="232"/>
      <c r="L29" s="98" t="s">
        <v>1624</v>
      </c>
    </row>
    <row r="30" spans="2:12" s="32" customFormat="1" ht="24.75" customHeight="1" thickTop="1" thickBot="1">
      <c r="B30" s="137" t="s">
        <v>1610</v>
      </c>
      <c r="D30" s="232" t="s">
        <v>1223</v>
      </c>
      <c r="E30" s="232"/>
      <c r="F30" s="232"/>
      <c r="G30" s="232"/>
      <c r="H30" s="232"/>
      <c r="I30" s="232"/>
      <c r="J30" s="232"/>
      <c r="K30" s="232"/>
      <c r="L30" s="98" t="s">
        <v>1624</v>
      </c>
    </row>
    <row r="31" spans="2:12" s="32" customFormat="1" ht="24.75" customHeight="1" thickTop="1" thickBot="1">
      <c r="B31" s="91" t="s">
        <v>1611</v>
      </c>
      <c r="D31" s="232" t="s">
        <v>1224</v>
      </c>
      <c r="E31" s="232"/>
      <c r="F31" s="232"/>
      <c r="G31" s="232"/>
      <c r="H31" s="232"/>
      <c r="I31" s="232"/>
      <c r="J31" s="232"/>
      <c r="K31" s="232"/>
      <c r="L31" s="98" t="s">
        <v>1624</v>
      </c>
    </row>
    <row r="32" spans="2:12" s="32" customFormat="1" ht="24.75" customHeight="1" thickTop="1" thickBot="1">
      <c r="B32" s="91" t="s">
        <v>1233</v>
      </c>
      <c r="D32" s="232" t="s">
        <v>1236</v>
      </c>
      <c r="E32" s="232"/>
      <c r="F32" s="232"/>
      <c r="G32" s="232"/>
      <c r="H32" s="232"/>
      <c r="I32" s="232"/>
      <c r="J32" s="232"/>
      <c r="K32" s="232"/>
      <c r="L32" s="98" t="s">
        <v>1624</v>
      </c>
    </row>
    <row r="33" spans="2:12" s="32" customFormat="1" thickTop="1">
      <c r="B33" s="92"/>
      <c r="D33" s="79"/>
      <c r="L33" s="80"/>
    </row>
    <row r="34" spans="2:12" s="32" customFormat="1" ht="18.75" customHeight="1">
      <c r="B34" s="93" t="s">
        <v>1625</v>
      </c>
      <c r="C34" s="94"/>
      <c r="D34" s="95"/>
      <c r="E34" s="94"/>
      <c r="F34" s="94"/>
      <c r="G34" s="94"/>
      <c r="H34" s="94"/>
      <c r="I34" s="94"/>
      <c r="J34" s="94"/>
      <c r="K34" s="94"/>
      <c r="L34" s="96"/>
    </row>
    <row r="35" spans="2:12" s="32" customFormat="1" ht="59.25" customHeight="1">
      <c r="B35" s="233" t="s">
        <v>1626</v>
      </c>
      <c r="C35" s="233"/>
      <c r="D35" s="233"/>
      <c r="E35" s="233"/>
      <c r="F35" s="233"/>
      <c r="G35" s="233"/>
      <c r="H35" s="233"/>
      <c r="I35" s="233"/>
      <c r="J35" s="233"/>
      <c r="K35" s="233"/>
      <c r="L35" s="233"/>
    </row>
  </sheetData>
  <mergeCells count="25">
    <mergeCell ref="D26:K26"/>
    <mergeCell ref="D27:K27"/>
    <mergeCell ref="D11:L11"/>
    <mergeCell ref="D12:L12"/>
    <mergeCell ref="D14:L14"/>
    <mergeCell ref="D13:L13"/>
    <mergeCell ref="D23:K23"/>
    <mergeCell ref="D24:K24"/>
    <mergeCell ref="H2:L2"/>
    <mergeCell ref="D22:K22"/>
    <mergeCell ref="D25:K25"/>
    <mergeCell ref="J1:L1"/>
    <mergeCell ref="D19:K19"/>
    <mergeCell ref="D20:K20"/>
    <mergeCell ref="D21:K21"/>
    <mergeCell ref="B4:L5"/>
    <mergeCell ref="D18:K18"/>
    <mergeCell ref="D9:L9"/>
    <mergeCell ref="D10:L10"/>
    <mergeCell ref="D31:K31"/>
    <mergeCell ref="D30:K30"/>
    <mergeCell ref="D28:K28"/>
    <mergeCell ref="D29:K29"/>
    <mergeCell ref="B35:L35"/>
    <mergeCell ref="D32:K32"/>
  </mergeCells>
  <phoneticPr fontId="1" type="noConversion"/>
  <hyperlinks>
    <hyperlink ref="B9" location="Schedule!A1" display="Schedule"/>
    <hyperlink ref="B10" location="Progress!A1" display="Progress"/>
    <hyperlink ref="B11" location="AnalysisReport!A1" display="AnalysisReport"/>
    <hyperlink ref="L18" r:id="rId1" display="https://xlworks.net/xlgantt-easy-tip/"/>
    <hyperlink ref="L19" r:id="rId2" display="https://xlworks.net/xlgantt-howto-02-task/"/>
    <hyperlink ref="L20" r:id="rId3" display="https://xlworks.net/xlgantt-howto-03-gantt-chart/"/>
    <hyperlink ref="L22" r:id="rId4" display="https://xlworks.net/xlgantt-howto-05-analysis-report/"/>
    <hyperlink ref="L23" r:id="rId5" display="https://xlworks.net/xlgantt-howto-06-schedule-change-management/"/>
    <hyperlink ref="L24" r:id="rId6" display="https://xlworks.net/xlgantt-howto-07-deliverables/"/>
    <hyperlink ref="L25" r:id="rId7" display="https://xlworks.net/xlgantt-howto-08-add-tasks-to-outlook/"/>
    <hyperlink ref="L26" r:id="rId8" display="https://xlworks.net/xlgantt-howto-09-multilingual-support/"/>
    <hyperlink ref="L27" r:id="rId9" display="https://xlworks.net/xlgantt-howto-10-import-schedule/"/>
    <hyperlink ref="L28" r:id="rId10" display="https://xlworks.net/xlgantt-howto-11-calendar/"/>
    <hyperlink ref="L29" r:id="rId11" display="https://xlworks.net/xlgantt-howto-12-integration-with-excel/"/>
    <hyperlink ref="L21" r:id="rId12" display="https://xlworks.net/xlgantt-howto-04-project-progress/"/>
    <hyperlink ref="B12" location="Calendar!A1" display="Calendar"/>
    <hyperlink ref="J1" r:id="rId13" display="https://xlworks.net/xlgantt-project-scheduler/"/>
    <hyperlink ref="H2" r:id="rId14" display="https://xlworks.net/xlgantt-project-scheduler/"/>
    <hyperlink ref="L31" r:id="rId15" display="https://xlworks.net/xlgantt-howto-15-color-theme/"/>
    <hyperlink ref="L30" r:id="rId16" display="https://xlworks.net/xlgantt-howto-14-workloads/"/>
    <hyperlink ref="L32" r:id="rId17" display="https://xlworks.net/xlgantt-howto-16-task-dependencies/"/>
    <hyperlink ref="B13" location="Progress_Data!A1" display="Progress_Data"/>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GJ57"/>
  <sheetViews>
    <sheetView tabSelected="1" zoomScaleNormal="100" zoomScaleSheetLayoutView="115" zoomScalePageLayoutView="55" workbookViewId="0">
      <pane ySplit="4" topLeftCell="A5" activePane="bottomLeft" state="frozen"/>
      <selection activeCell="D1" sqref="D1"/>
      <selection pane="bottomLeft" activeCell="D5" sqref="D5"/>
    </sheetView>
  </sheetViews>
  <sheetFormatPr defaultColWidth="10" defaultRowHeight="12" customHeight="1" outlineLevelRow="5"/>
  <cols>
    <col min="1" max="1" width="1.625" style="108" hidden="1" customWidth="1"/>
    <col min="2" max="2" width="9" style="108" hidden="1" customWidth="1"/>
    <col min="3" max="3" width="8.375" style="108" hidden="1" customWidth="1"/>
    <col min="4" max="4" width="6.625" style="109" customWidth="1"/>
    <col min="5" max="13" width="2.75" style="110" customWidth="1"/>
    <col min="14" max="14" width="4.5" style="110" bestFit="1" customWidth="1"/>
    <col min="15" max="15" width="8" style="110" customWidth="1"/>
    <col min="16" max="16" width="10.375" style="111" bestFit="1" customWidth="1"/>
    <col min="17" max="17" width="10" style="111" bestFit="1" customWidth="1"/>
    <col min="18" max="18" width="7.625" style="110" customWidth="1"/>
    <col min="19" max="19" width="7.375" style="112" customWidth="1"/>
    <col min="20" max="20" width="7.25" style="112" bestFit="1" customWidth="1"/>
    <col min="21" max="21" width="6" style="112" customWidth="1"/>
    <col min="22" max="22" width="5.875" style="112" customWidth="1"/>
    <col min="23" max="24" width="9.75" style="111" hidden="1" customWidth="1"/>
    <col min="25" max="25" width="7.5" style="113" hidden="1" customWidth="1"/>
    <col min="26" max="26" width="6" style="114" hidden="1" customWidth="1"/>
    <col min="27" max="27" width="7.125" style="112" hidden="1" customWidth="1"/>
    <col min="28" max="28" width="12.875" style="110" customWidth="1"/>
    <col min="29" max="29" width="10.875" style="110" customWidth="1"/>
    <col min="30" max="30" width="7.625" style="115" bestFit="1" customWidth="1"/>
    <col min="31" max="31" width="8.375" style="116" bestFit="1" customWidth="1"/>
    <col min="32" max="192" width="1.875" style="100" customWidth="1"/>
    <col min="193" max="16384" width="10" style="100"/>
  </cols>
  <sheetData>
    <row r="1" spans="1:192" s="101" customFormat="1" ht="24.95" customHeight="1">
      <c r="A1" s="173"/>
      <c r="B1" s="196"/>
      <c r="C1" s="175"/>
      <c r="D1" s="180" t="str" cm="1">
        <f t="array" ref="D1">xlgantt.ProjectName()</f>
        <v>ABC 프로젝트</v>
      </c>
      <c r="E1" s="181"/>
      <c r="F1" s="181"/>
      <c r="G1" s="181"/>
      <c r="H1" s="181"/>
      <c r="I1" s="181"/>
      <c r="J1" s="181"/>
      <c r="K1" s="181"/>
      <c r="L1" s="181"/>
      <c r="M1" s="181"/>
      <c r="N1" s="181"/>
      <c r="O1" s="181"/>
      <c r="P1" s="181"/>
      <c r="Q1" s="182"/>
      <c r="R1" s="183"/>
      <c r="S1" s="184"/>
      <c r="T1" s="185"/>
      <c r="U1" s="186"/>
      <c r="V1" s="186"/>
      <c r="W1" s="187"/>
      <c r="X1" s="187"/>
      <c r="Y1" s="174"/>
      <c r="Z1" s="188"/>
      <c r="AA1" s="176"/>
      <c r="AB1" s="177"/>
      <c r="AC1" s="193" t="str" cm="1">
        <f t="array" ref="AC1">xlgantt.ProjectProgress()</f>
        <v>2026-03-05~2026-08-06</v>
      </c>
      <c r="AD1" s="179"/>
      <c r="AE1" s="178"/>
      <c r="AF1" s="189" t="s">
        <v>1641</v>
      </c>
      <c r="AG1" s="190"/>
      <c r="AH1" s="190"/>
      <c r="AI1" s="190"/>
      <c r="AJ1" s="190"/>
      <c r="AK1" s="190"/>
      <c r="AL1" s="190"/>
      <c r="AM1" s="190"/>
      <c r="AN1" s="190"/>
      <c r="AO1" s="190"/>
      <c r="AP1" s="190"/>
      <c r="AQ1" s="190"/>
      <c r="AR1" s="190"/>
      <c r="AS1" s="190"/>
      <c r="AT1" s="190"/>
      <c r="AU1" s="190"/>
      <c r="AV1" s="190"/>
      <c r="AW1" s="190"/>
      <c r="AX1" s="190"/>
      <c r="AY1" s="190"/>
      <c r="AZ1" s="190"/>
      <c r="BA1" s="190"/>
      <c r="BB1" s="190"/>
      <c r="BC1" s="190"/>
      <c r="BD1" s="190"/>
      <c r="BE1" s="190"/>
      <c r="BF1" s="190"/>
      <c r="BG1" s="190"/>
      <c r="BH1" s="190"/>
      <c r="BI1" s="190"/>
      <c r="BJ1" s="190"/>
    </row>
    <row r="2" spans="1:192" s="101" customFormat="1" ht="15" customHeight="1">
      <c r="A2" s="164"/>
      <c r="B2" s="164"/>
      <c r="C2" s="165"/>
      <c r="D2" s="192"/>
      <c r="E2" s="192"/>
      <c r="F2" s="192"/>
      <c r="G2" s="166"/>
      <c r="H2" s="167"/>
      <c r="I2" s="166"/>
      <c r="J2" s="166"/>
      <c r="K2" s="166"/>
      <c r="L2" s="166"/>
      <c r="M2" s="166"/>
      <c r="N2" s="166"/>
      <c r="O2" s="166"/>
      <c r="P2" s="166"/>
      <c r="Q2" s="166"/>
      <c r="R2" s="166"/>
      <c r="S2" s="168"/>
      <c r="T2" s="168"/>
      <c r="U2" s="168"/>
      <c r="V2" s="168"/>
      <c r="W2" s="166"/>
      <c r="X2" s="166"/>
      <c r="Y2" s="166"/>
      <c r="Z2" s="166"/>
      <c r="AA2" s="166"/>
      <c r="AB2" s="166"/>
      <c r="AC2" s="169"/>
      <c r="AD2" s="170"/>
      <c r="AE2" s="166"/>
      <c r="AF2" s="242" t="s">
        <v>690</v>
      </c>
      <c r="AG2" s="242"/>
      <c r="AH2" s="242"/>
      <c r="AI2" s="242"/>
      <c r="AJ2" s="242" t="s">
        <v>1348</v>
      </c>
      <c r="AK2" s="242"/>
      <c r="AL2" s="242"/>
      <c r="AM2" s="242"/>
      <c r="AN2" s="242" t="s">
        <v>1349</v>
      </c>
      <c r="AO2" s="242"/>
      <c r="AP2" s="242"/>
      <c r="AQ2" s="242"/>
      <c r="AR2" s="242" t="s">
        <v>1539</v>
      </c>
      <c r="AS2" s="242"/>
      <c r="AT2" s="242"/>
      <c r="AU2" s="242"/>
      <c r="AV2" s="242" t="s">
        <v>1540</v>
      </c>
      <c r="AW2" s="242"/>
      <c r="AX2" s="242"/>
      <c r="AY2" s="242"/>
      <c r="AZ2" s="242" t="s">
        <v>1541</v>
      </c>
      <c r="BA2" s="242"/>
      <c r="BB2" s="242"/>
      <c r="BC2" s="242"/>
      <c r="BD2" s="222"/>
      <c r="BE2" s="222"/>
      <c r="BF2" s="222"/>
      <c r="BG2" s="222"/>
      <c r="BH2" s="222"/>
      <c r="BI2" s="222"/>
      <c r="BJ2" s="222"/>
      <c r="BK2" s="222"/>
      <c r="BL2" s="222"/>
      <c r="BM2" s="222"/>
      <c r="BN2" s="222"/>
      <c r="BO2" s="222"/>
      <c r="BP2" s="222"/>
      <c r="BQ2" s="222"/>
      <c r="BR2" s="222"/>
      <c r="BS2" s="222"/>
      <c r="BT2" s="222"/>
      <c r="BU2" s="222"/>
      <c r="BV2" s="222"/>
      <c r="BW2" s="222"/>
      <c r="BX2" s="222"/>
      <c r="BY2" s="222"/>
      <c r="BZ2" s="222"/>
      <c r="CA2" s="222"/>
      <c r="CB2" s="222"/>
      <c r="CC2" s="222"/>
      <c r="CD2" s="222"/>
      <c r="CE2" s="222"/>
      <c r="CF2" s="222"/>
      <c r="CG2" s="222"/>
      <c r="CH2" s="222"/>
      <c r="CI2" s="222"/>
      <c r="CJ2" s="222"/>
      <c r="CK2" s="222"/>
      <c r="CL2" s="222"/>
      <c r="CM2" s="222"/>
      <c r="CN2" s="222"/>
      <c r="CO2" s="222"/>
      <c r="CP2" s="222"/>
      <c r="CQ2" s="222"/>
      <c r="CR2" s="222"/>
      <c r="CS2" s="222"/>
      <c r="CT2" s="222"/>
      <c r="CU2" s="222"/>
      <c r="CV2" s="222"/>
      <c r="CW2" s="222"/>
      <c r="CX2" s="222"/>
      <c r="CY2" s="222"/>
      <c r="CZ2" s="222"/>
      <c r="DA2" s="222"/>
      <c r="DB2" s="222"/>
      <c r="DC2" s="222"/>
      <c r="DD2" s="222"/>
      <c r="DE2" s="222"/>
      <c r="DF2" s="222"/>
      <c r="DG2" s="222"/>
      <c r="DH2" s="222"/>
      <c r="DI2" s="222"/>
      <c r="DJ2" s="222"/>
      <c r="DK2" s="222"/>
      <c r="DL2" s="222"/>
      <c r="DM2" s="222"/>
      <c r="DN2" s="222"/>
      <c r="DO2" s="222"/>
      <c r="DP2" s="222"/>
      <c r="DQ2" s="222"/>
      <c r="DR2" s="222"/>
      <c r="DS2" s="222"/>
      <c r="DT2" s="222"/>
      <c r="DU2" s="222"/>
      <c r="DV2" s="222"/>
      <c r="DW2" s="222"/>
      <c r="DX2" s="222"/>
      <c r="DY2" s="222"/>
      <c r="DZ2" s="222"/>
      <c r="EA2" s="222"/>
      <c r="EB2" s="222"/>
      <c r="EC2" s="222"/>
      <c r="ED2" s="222"/>
      <c r="EE2" s="222"/>
      <c r="EF2" s="222"/>
      <c r="EG2" s="222"/>
      <c r="EH2" s="222"/>
      <c r="EI2" s="222"/>
      <c r="EJ2" s="222"/>
      <c r="EK2" s="222"/>
      <c r="EL2" s="222"/>
      <c r="EM2" s="222"/>
      <c r="EN2" s="222"/>
      <c r="EO2" s="222"/>
      <c r="EP2" s="222"/>
      <c r="EQ2" s="222"/>
      <c r="ER2" s="222"/>
      <c r="ES2" s="222"/>
      <c r="ET2" s="222"/>
      <c r="EU2" s="222"/>
      <c r="EV2" s="222"/>
      <c r="EW2" s="222"/>
      <c r="EX2" s="222"/>
      <c r="EY2" s="222"/>
      <c r="EZ2" s="222"/>
      <c r="FA2" s="222"/>
      <c r="FB2" s="222"/>
      <c r="FC2" s="222"/>
      <c r="FD2" s="222"/>
      <c r="FE2" s="222"/>
      <c r="FF2" s="222"/>
      <c r="FG2" s="222"/>
      <c r="FH2" s="222"/>
      <c r="FI2" s="222"/>
      <c r="FJ2" s="222"/>
      <c r="FK2" s="222"/>
      <c r="FL2" s="222"/>
      <c r="FM2" s="222"/>
      <c r="FN2" s="222"/>
      <c r="FO2" s="222"/>
      <c r="FP2" s="222"/>
      <c r="FQ2" s="222"/>
      <c r="FR2" s="222"/>
      <c r="FS2" s="222"/>
      <c r="FT2" s="222"/>
      <c r="FU2" s="222"/>
      <c r="FV2" s="222"/>
      <c r="FW2" s="222"/>
      <c r="FX2" s="222"/>
      <c r="FY2" s="222"/>
      <c r="FZ2" s="222"/>
      <c r="GA2" s="222"/>
      <c r="GB2" s="222"/>
      <c r="GC2" s="222"/>
      <c r="GD2" s="222"/>
      <c r="GE2" s="222"/>
      <c r="GF2" s="222"/>
      <c r="GG2" s="222"/>
      <c r="GH2" s="222"/>
      <c r="GI2" s="222"/>
      <c r="GJ2" s="222"/>
    </row>
    <row r="3" spans="1:192" s="99" customFormat="1" ht="18.95" customHeight="1">
      <c r="A3" s="251" t="s">
        <v>1673</v>
      </c>
      <c r="B3" s="253" t="s">
        <v>1277</v>
      </c>
      <c r="C3" s="255" t="s">
        <v>1674</v>
      </c>
      <c r="D3" s="256" t="s">
        <v>1675</v>
      </c>
      <c r="E3" s="258" t="s">
        <v>1642</v>
      </c>
      <c r="F3" s="259"/>
      <c r="G3" s="259"/>
      <c r="H3" s="259"/>
      <c r="I3" s="259"/>
      <c r="J3" s="259"/>
      <c r="K3" s="259"/>
      <c r="L3" s="259"/>
      <c r="M3" s="259"/>
      <c r="N3" s="259"/>
      <c r="O3" s="246" t="s">
        <v>1643</v>
      </c>
      <c r="P3" s="246" t="s">
        <v>1644</v>
      </c>
      <c r="Q3" s="246" t="s">
        <v>1645</v>
      </c>
      <c r="R3" s="261" t="s">
        <v>437</v>
      </c>
      <c r="S3" s="262" t="s">
        <v>1646</v>
      </c>
      <c r="T3" s="249" t="s">
        <v>1647</v>
      </c>
      <c r="U3" s="262" t="s">
        <v>1648</v>
      </c>
      <c r="V3" s="262" t="s">
        <v>1649</v>
      </c>
      <c r="W3" s="248" t="s">
        <v>1676</v>
      </c>
      <c r="X3" s="248" t="s">
        <v>1677</v>
      </c>
      <c r="Y3" s="269" t="s">
        <v>1678</v>
      </c>
      <c r="Z3" s="273" t="s">
        <v>1650</v>
      </c>
      <c r="AA3" s="271" t="s">
        <v>1651</v>
      </c>
      <c r="AB3" s="246" t="s">
        <v>1679</v>
      </c>
      <c r="AC3" s="261" t="s">
        <v>1680</v>
      </c>
      <c r="AD3" s="267" t="s">
        <v>1681</v>
      </c>
      <c r="AE3" s="264" t="s">
        <v>1682</v>
      </c>
      <c r="AF3" s="266" t="s">
        <v>1548</v>
      </c>
      <c r="AG3" s="244"/>
      <c r="AH3" s="244"/>
      <c r="AI3" s="244"/>
      <c r="AJ3" s="243" t="s">
        <v>1549</v>
      </c>
      <c r="AK3" s="244"/>
      <c r="AL3" s="244"/>
      <c r="AM3" s="244"/>
      <c r="AN3" s="243" t="s">
        <v>1550</v>
      </c>
      <c r="AO3" s="244"/>
      <c r="AP3" s="244"/>
      <c r="AQ3" s="244"/>
      <c r="AR3" s="243" t="s">
        <v>1551</v>
      </c>
      <c r="AS3" s="244"/>
      <c r="AT3" s="244"/>
      <c r="AU3" s="244"/>
      <c r="AV3" s="243" t="s">
        <v>1552</v>
      </c>
      <c r="AW3" s="244"/>
      <c r="AX3" s="244"/>
      <c r="AY3" s="244"/>
      <c r="AZ3" s="243" t="s">
        <v>1553</v>
      </c>
      <c r="BA3" s="244"/>
      <c r="BB3" s="244"/>
      <c r="BC3" s="245"/>
    </row>
    <row r="4" spans="1:192" s="99" customFormat="1" ht="6" customHeight="1">
      <c r="A4" s="252"/>
      <c r="B4" s="254"/>
      <c r="C4" s="251"/>
      <c r="D4" s="257"/>
      <c r="E4" s="260"/>
      <c r="F4" s="259"/>
      <c r="G4" s="259"/>
      <c r="H4" s="259"/>
      <c r="I4" s="259"/>
      <c r="J4" s="259"/>
      <c r="K4" s="259"/>
      <c r="L4" s="259"/>
      <c r="M4" s="259"/>
      <c r="N4" s="259"/>
      <c r="O4" s="247"/>
      <c r="P4" s="247"/>
      <c r="Q4" s="247"/>
      <c r="R4" s="257"/>
      <c r="S4" s="263"/>
      <c r="T4" s="250"/>
      <c r="U4" s="263"/>
      <c r="V4" s="263"/>
      <c r="W4" s="247"/>
      <c r="X4" s="247"/>
      <c r="Y4" s="270"/>
      <c r="Z4" s="274"/>
      <c r="AA4" s="272"/>
      <c r="AB4" s="247"/>
      <c r="AC4" s="257"/>
      <c r="AD4" s="268"/>
      <c r="AE4" s="265"/>
      <c r="AF4" s="162">
        <v>46082</v>
      </c>
      <c r="AG4" s="163">
        <v>46089</v>
      </c>
      <c r="AH4" s="163">
        <v>46096</v>
      </c>
      <c r="AI4" s="163">
        <v>46103</v>
      </c>
      <c r="AJ4" s="163">
        <v>46110</v>
      </c>
      <c r="AK4" s="163">
        <v>46117</v>
      </c>
      <c r="AL4" s="163">
        <v>46124</v>
      </c>
      <c r="AM4" s="163">
        <v>46131</v>
      </c>
      <c r="AN4" s="163">
        <v>46138</v>
      </c>
      <c r="AO4" s="163">
        <v>46145</v>
      </c>
      <c r="AP4" s="163">
        <v>46152</v>
      </c>
      <c r="AQ4" s="163">
        <v>46159</v>
      </c>
      <c r="AR4" s="163">
        <v>46166</v>
      </c>
      <c r="AS4" s="163">
        <v>46173</v>
      </c>
      <c r="AT4" s="163">
        <v>46180</v>
      </c>
      <c r="AU4" s="163">
        <v>46187</v>
      </c>
      <c r="AV4" s="163">
        <v>46194</v>
      </c>
      <c r="AW4" s="163">
        <v>46201</v>
      </c>
      <c r="AX4" s="163">
        <v>46208</v>
      </c>
      <c r="AY4" s="163">
        <v>46215</v>
      </c>
      <c r="AZ4" s="163">
        <v>46222</v>
      </c>
      <c r="BA4" s="163">
        <v>46229</v>
      </c>
      <c r="BB4" s="163">
        <v>46236</v>
      </c>
      <c r="BC4" s="208"/>
      <c r="BD4" s="209"/>
      <c r="BE4" s="209"/>
      <c r="BF4" s="209"/>
      <c r="BG4" s="209"/>
      <c r="BH4" s="209"/>
      <c r="BI4" s="209"/>
      <c r="BJ4" s="209"/>
      <c r="BK4" s="209"/>
      <c r="BL4" s="209"/>
      <c r="BM4" s="209"/>
      <c r="BN4" s="209"/>
      <c r="BO4" s="209"/>
      <c r="BP4" s="209"/>
      <c r="BQ4" s="209"/>
      <c r="BR4" s="209"/>
      <c r="BS4" s="209"/>
      <c r="BT4" s="209"/>
      <c r="BU4" s="209"/>
      <c r="BV4" s="209"/>
      <c r="BW4" s="209"/>
      <c r="BX4" s="209"/>
      <c r="BY4" s="209"/>
      <c r="BZ4" s="209"/>
      <c r="CA4" s="209"/>
      <c r="CB4" s="209"/>
      <c r="CC4" s="209"/>
      <c r="CD4" s="209"/>
      <c r="CE4" s="209"/>
      <c r="CF4" s="209"/>
      <c r="CG4" s="209"/>
      <c r="CH4" s="209"/>
      <c r="CI4" s="209"/>
      <c r="CJ4" s="209"/>
      <c r="CK4" s="209"/>
      <c r="CL4" s="209"/>
      <c r="CM4" s="209"/>
      <c r="CN4" s="209"/>
      <c r="CO4" s="209"/>
      <c r="CP4" s="209"/>
      <c r="CQ4" s="209"/>
      <c r="CR4" s="209"/>
      <c r="CS4" s="209"/>
      <c r="CT4" s="209"/>
      <c r="CU4" s="209"/>
      <c r="CV4" s="209"/>
      <c r="CW4" s="209"/>
      <c r="CX4" s="209"/>
      <c r="CY4" s="209"/>
      <c r="CZ4" s="209"/>
      <c r="DA4" s="209"/>
      <c r="DB4" s="209"/>
      <c r="DC4" s="209"/>
      <c r="DD4" s="209"/>
      <c r="DE4" s="209"/>
      <c r="DF4" s="209"/>
      <c r="DG4" s="209"/>
      <c r="DH4" s="209"/>
      <c r="DI4" s="209"/>
      <c r="DJ4" s="209"/>
      <c r="DK4" s="209"/>
      <c r="DL4" s="209"/>
      <c r="DM4" s="209"/>
      <c r="DN4" s="209"/>
      <c r="DO4" s="209"/>
      <c r="DP4" s="209"/>
      <c r="DQ4" s="209"/>
      <c r="DR4" s="209"/>
      <c r="DS4" s="209"/>
      <c r="DT4" s="209"/>
      <c r="DU4" s="209"/>
      <c r="DV4" s="209"/>
      <c r="DW4" s="209"/>
      <c r="DX4" s="209"/>
      <c r="DY4" s="209"/>
      <c r="DZ4" s="209"/>
      <c r="EA4" s="209"/>
      <c r="EB4" s="209"/>
      <c r="EC4" s="209"/>
      <c r="ED4" s="209"/>
      <c r="EE4" s="209"/>
      <c r="EF4" s="209"/>
      <c r="EG4" s="209"/>
      <c r="EH4" s="209"/>
      <c r="EI4" s="209"/>
      <c r="EJ4" s="209"/>
      <c r="EK4" s="209"/>
      <c r="EL4" s="209"/>
      <c r="EM4" s="209"/>
      <c r="EN4" s="209"/>
      <c r="EO4" s="209"/>
      <c r="EP4" s="209"/>
      <c r="EQ4" s="209"/>
      <c r="ER4" s="209"/>
      <c r="ES4" s="209"/>
      <c r="ET4" s="209"/>
      <c r="EU4" s="209"/>
      <c r="EV4" s="209"/>
      <c r="EW4" s="209"/>
      <c r="EX4" s="209"/>
      <c r="EY4" s="209"/>
      <c r="EZ4" s="209"/>
      <c r="FA4" s="209"/>
      <c r="FB4" s="209"/>
      <c r="FC4" s="209"/>
      <c r="FD4" s="209"/>
      <c r="FE4" s="209"/>
      <c r="FF4" s="209"/>
      <c r="FG4" s="209"/>
      <c r="FH4" s="209"/>
      <c r="FI4" s="209"/>
      <c r="FJ4" s="209"/>
      <c r="FK4" s="209"/>
      <c r="FL4" s="209"/>
      <c r="FM4" s="209"/>
      <c r="FN4" s="209"/>
      <c r="FO4" s="209"/>
      <c r="FP4" s="209"/>
      <c r="FQ4" s="209"/>
      <c r="FR4" s="209"/>
      <c r="FS4" s="209"/>
      <c r="FT4" s="209"/>
      <c r="FU4" s="209"/>
      <c r="FV4" s="209"/>
      <c r="FW4" s="209"/>
      <c r="FX4" s="209"/>
      <c r="FY4" s="209"/>
      <c r="FZ4" s="209"/>
      <c r="GA4" s="209"/>
      <c r="GB4" s="209"/>
      <c r="GC4" s="209"/>
      <c r="GD4" s="209"/>
      <c r="GE4" s="209"/>
      <c r="GF4" s="209"/>
      <c r="GG4" s="209"/>
      <c r="GH4" s="209"/>
      <c r="GI4" s="209"/>
      <c r="GJ4" s="209"/>
    </row>
    <row r="5" spans="1:192" ht="12" customHeight="1">
      <c r="A5" s="102"/>
      <c r="B5" s="102" t="s">
        <v>1391</v>
      </c>
      <c r="C5" s="102">
        <v>1</v>
      </c>
      <c r="D5" s="118" t="s">
        <v>474</v>
      </c>
      <c r="E5" s="103" t="s">
        <v>1452</v>
      </c>
      <c r="F5" s="103"/>
      <c r="G5" s="103"/>
      <c r="H5" s="103"/>
      <c r="I5" s="103"/>
      <c r="J5" s="103"/>
      <c r="K5" s="103"/>
      <c r="L5" s="103"/>
      <c r="M5" s="103"/>
      <c r="N5" s="103"/>
      <c r="O5" s="103"/>
      <c r="P5" s="104">
        <v>46086</v>
      </c>
      <c r="Q5" s="104">
        <v>46237</v>
      </c>
      <c r="R5" s="103"/>
      <c r="S5" s="105">
        <v>26.6</v>
      </c>
      <c r="T5" s="105">
        <v>24.6</v>
      </c>
      <c r="U5" s="105">
        <v>104</v>
      </c>
      <c r="V5" s="105">
        <v>102</v>
      </c>
      <c r="W5" s="104"/>
      <c r="X5" s="104"/>
      <c r="Y5" s="106">
        <v>0</v>
      </c>
      <c r="Z5" s="107">
        <v>0</v>
      </c>
      <c r="AA5" s="105"/>
      <c r="AB5" s="103"/>
      <c r="AC5" s="103"/>
      <c r="AD5" s="117">
        <v>0.92481203007518797</v>
      </c>
      <c r="AE5" s="220">
        <v>0.38345864661654133</v>
      </c>
      <c r="AF5" s="120"/>
      <c r="AG5" s="121"/>
      <c r="AH5" s="121"/>
      <c r="AI5" s="121"/>
      <c r="AJ5" s="121"/>
      <c r="AK5" s="121"/>
      <c r="AL5" s="121"/>
      <c r="AM5" s="121"/>
      <c r="AN5" s="121" t="str">
        <f>"      " &amp; TEXT(AE5,"#0.00%") &amp; " "</f>
        <v xml:space="preserve">      38.35% </v>
      </c>
      <c r="AO5" s="121"/>
      <c r="AP5" s="121"/>
      <c r="AQ5" s="121"/>
      <c r="AR5" s="121"/>
      <c r="AS5" s="121"/>
      <c r="AT5" s="121"/>
      <c r="AU5" s="121"/>
      <c r="AV5" s="121"/>
      <c r="AW5" s="121"/>
      <c r="AX5" s="121"/>
      <c r="AY5" s="121"/>
      <c r="AZ5" s="121"/>
      <c r="BA5" s="121"/>
      <c r="BB5" s="121" t="str">
        <f>"  " &amp; "프로젝트 관리" &amp; " " &amp; IF(P5="","",TEXT(P5,"M/D-")) &amp; IF(Q5="","",TEXT(Q5,"M/D")) &amp; " "</f>
        <v xml:space="preserve">  프로젝트 관리 3/5-8/3 </v>
      </c>
      <c r="BC5" s="121"/>
    </row>
    <row r="6" spans="1:192" ht="12" customHeight="1" outlineLevel="1">
      <c r="A6" s="102"/>
      <c r="B6" s="102" t="s">
        <v>1391</v>
      </c>
      <c r="C6" s="102">
        <v>2</v>
      </c>
      <c r="D6" s="118" t="s">
        <v>499</v>
      </c>
      <c r="E6" s="103"/>
      <c r="F6" s="103" t="s">
        <v>1453</v>
      </c>
      <c r="G6" s="103"/>
      <c r="H6" s="103"/>
      <c r="I6" s="103"/>
      <c r="J6" s="103"/>
      <c r="K6" s="103"/>
      <c r="L6" s="103"/>
      <c r="M6" s="103"/>
      <c r="N6" s="103"/>
      <c r="O6" s="103"/>
      <c r="P6" s="104">
        <v>46086</v>
      </c>
      <c r="Q6" s="104">
        <v>46100</v>
      </c>
      <c r="R6" s="103"/>
      <c r="S6" s="105">
        <v>10</v>
      </c>
      <c r="T6" s="105">
        <v>10</v>
      </c>
      <c r="U6" s="105">
        <v>11</v>
      </c>
      <c r="V6" s="105">
        <v>11</v>
      </c>
      <c r="W6" s="104"/>
      <c r="X6" s="104"/>
      <c r="Y6" s="106">
        <v>0</v>
      </c>
      <c r="Z6" s="107">
        <v>0</v>
      </c>
      <c r="AA6" s="105"/>
      <c r="AB6" s="103"/>
      <c r="AC6" s="103"/>
      <c r="AD6" s="117">
        <v>1</v>
      </c>
      <c r="AE6" s="207">
        <v>1</v>
      </c>
      <c r="AF6" s="120"/>
      <c r="AG6" s="121"/>
      <c r="AH6" s="121" t="str">
        <f>"     " &amp; TEXT(AE6,"#0.00%") &amp; " " &amp; "프로젝트 착수 및 계획수립" &amp; " " &amp; IF(P6="","",TEXT(P6,"M/D-")) &amp; IF(Q6="","",TEXT(Q6,"M/D")) &amp; " "</f>
        <v xml:space="preserve">     100.00% 프로젝트 착수 및 계획수립 3/5-3/19 </v>
      </c>
      <c r="AI6" s="121"/>
      <c r="AJ6" s="121"/>
      <c r="AK6" s="121"/>
      <c r="AL6" s="121"/>
      <c r="AM6" s="121"/>
      <c r="AN6" s="121"/>
      <c r="AO6" s="121"/>
      <c r="AP6" s="121"/>
      <c r="AQ6" s="121"/>
      <c r="AR6" s="121"/>
      <c r="AS6" s="121"/>
      <c r="AT6" s="121"/>
      <c r="AU6" s="121"/>
      <c r="AV6" s="121"/>
      <c r="AW6" s="121"/>
      <c r="AX6" s="121"/>
      <c r="AY6" s="121"/>
      <c r="AZ6" s="121"/>
      <c r="BA6" s="121"/>
      <c r="BB6" s="121"/>
      <c r="BC6" s="121"/>
    </row>
    <row r="7" spans="1:192" ht="12" customHeight="1" outlineLevel="2">
      <c r="A7" s="102"/>
      <c r="B7" s="102"/>
      <c r="C7" s="102">
        <v>3</v>
      </c>
      <c r="D7" s="118" t="s">
        <v>1351</v>
      </c>
      <c r="E7" s="103"/>
      <c r="F7" s="103"/>
      <c r="G7" s="103" t="s">
        <v>1454</v>
      </c>
      <c r="H7" s="212"/>
      <c r="I7" s="103"/>
      <c r="J7" s="103"/>
      <c r="K7" s="103"/>
      <c r="L7" s="103"/>
      <c r="M7" s="103"/>
      <c r="N7" s="103"/>
      <c r="O7" s="103"/>
      <c r="P7" s="104">
        <v>46086</v>
      </c>
      <c r="Q7" s="104">
        <v>46086</v>
      </c>
      <c r="R7" s="103"/>
      <c r="S7" s="105">
        <v>2</v>
      </c>
      <c r="T7" s="105">
        <v>2</v>
      </c>
      <c r="U7" s="105">
        <v>1</v>
      </c>
      <c r="V7" s="105">
        <v>1</v>
      </c>
      <c r="W7" s="104">
        <v>46086</v>
      </c>
      <c r="X7" s="104">
        <v>46086</v>
      </c>
      <c r="Y7" s="106">
        <v>1</v>
      </c>
      <c r="Z7" s="107">
        <v>1</v>
      </c>
      <c r="AA7" s="105">
        <v>2</v>
      </c>
      <c r="AB7" s="103" t="s">
        <v>1455</v>
      </c>
      <c r="AC7" s="103"/>
      <c r="AD7" s="117">
        <v>1</v>
      </c>
      <c r="AE7" s="199">
        <v>1</v>
      </c>
      <c r="AF7" s="120" t="str">
        <f>"     " &amp; TEXT(AE7,"#0.00%") &amp; " " &amp; "프로젝트,착수" &amp; "(이지은,김분석)" &amp; " " &amp; IF(P7="","",TEXT(P7,"M/D-")) &amp; IF(Q7="","",TEXT(Q7,"M/D")) &amp; " "</f>
        <v xml:space="preserve">     100.00% 프로젝트,착수(이지은,김분석) 3/5-3/5 </v>
      </c>
      <c r="AG7" s="121"/>
      <c r="AH7" s="121"/>
      <c r="AI7" s="121"/>
      <c r="AJ7" s="121"/>
      <c r="AK7" s="121"/>
      <c r="AL7" s="121"/>
      <c r="AM7" s="121"/>
      <c r="AN7" s="121"/>
      <c r="AO7" s="121"/>
      <c r="AP7" s="121"/>
      <c r="AQ7" s="121"/>
      <c r="AR7" s="121"/>
      <c r="AS7" s="121"/>
      <c r="AT7" s="121"/>
      <c r="AU7" s="121"/>
      <c r="AV7" s="121"/>
      <c r="AW7" s="121"/>
      <c r="AX7" s="121"/>
      <c r="AY7" s="121"/>
      <c r="AZ7" s="121"/>
      <c r="BA7" s="121"/>
      <c r="BB7" s="121"/>
      <c r="BC7" s="121"/>
    </row>
    <row r="8" spans="1:192" ht="12" customHeight="1" outlineLevel="2">
      <c r="A8" s="102"/>
      <c r="B8" s="102" t="s">
        <v>1391</v>
      </c>
      <c r="C8" s="102">
        <v>3</v>
      </c>
      <c r="D8" s="118" t="s">
        <v>1362</v>
      </c>
      <c r="E8" s="103"/>
      <c r="F8" s="103"/>
      <c r="G8" s="103" t="s">
        <v>1456</v>
      </c>
      <c r="H8" s="103"/>
      <c r="I8" s="103"/>
      <c r="J8" s="103"/>
      <c r="K8" s="103"/>
      <c r="L8" s="103"/>
      <c r="M8" s="103"/>
      <c r="N8" s="103"/>
      <c r="O8" s="103"/>
      <c r="P8" s="104">
        <v>46086</v>
      </c>
      <c r="Q8" s="104">
        <v>46100</v>
      </c>
      <c r="R8" s="103"/>
      <c r="S8" s="105">
        <v>8</v>
      </c>
      <c r="T8" s="105">
        <v>8</v>
      </c>
      <c r="U8" s="105">
        <v>11</v>
      </c>
      <c r="V8" s="105">
        <v>11</v>
      </c>
      <c r="W8" s="104"/>
      <c r="X8" s="104"/>
      <c r="Y8" s="106">
        <v>0</v>
      </c>
      <c r="Z8" s="107">
        <v>0</v>
      </c>
      <c r="AA8" s="105"/>
      <c r="AB8" s="103"/>
      <c r="AC8" s="103"/>
      <c r="AD8" s="117">
        <v>1</v>
      </c>
      <c r="AE8" s="207">
        <v>1</v>
      </c>
      <c r="AF8" s="120"/>
      <c r="AG8" s="121"/>
      <c r="AH8" s="121" t="str">
        <f>"     " &amp; TEXT(AE8,"#0.00%") &amp; " " &amp; "프로젝트 범위정의" &amp; " " &amp; IF(P8="","",TEXT(P8,"M/D-")) &amp; IF(Q8="","",TEXT(Q8,"M/D")) &amp; " "</f>
        <v xml:space="preserve">     100.00% 프로젝트 범위정의 3/5-3/19 </v>
      </c>
      <c r="AI8" s="121"/>
      <c r="AJ8" s="121"/>
      <c r="AK8" s="121"/>
      <c r="AL8" s="121"/>
      <c r="AM8" s="121"/>
      <c r="AN8" s="121"/>
      <c r="AO8" s="121"/>
      <c r="AP8" s="121"/>
      <c r="AQ8" s="121"/>
      <c r="AR8" s="121"/>
      <c r="AS8" s="121"/>
      <c r="AT8" s="121"/>
      <c r="AU8" s="121"/>
      <c r="AV8" s="121"/>
      <c r="AW8" s="121"/>
      <c r="AX8" s="121"/>
      <c r="AY8" s="121"/>
      <c r="AZ8" s="121"/>
      <c r="BA8" s="121"/>
      <c r="BB8" s="121"/>
      <c r="BC8" s="121"/>
    </row>
    <row r="9" spans="1:192" ht="12" customHeight="1" outlineLevel="3">
      <c r="A9" s="102"/>
      <c r="B9" s="102"/>
      <c r="C9" s="102">
        <v>4</v>
      </c>
      <c r="D9" s="118" t="s">
        <v>1457</v>
      </c>
      <c r="E9" s="103"/>
      <c r="F9" s="103"/>
      <c r="G9" s="103"/>
      <c r="H9" s="103" t="s">
        <v>1458</v>
      </c>
      <c r="I9" s="103"/>
      <c r="J9" s="103"/>
      <c r="K9" s="103"/>
      <c r="L9" s="103"/>
      <c r="M9" s="103"/>
      <c r="N9" s="103"/>
      <c r="O9" s="103"/>
      <c r="P9" s="104">
        <v>46086</v>
      </c>
      <c r="Q9" s="104">
        <v>46097</v>
      </c>
      <c r="R9" s="103"/>
      <c r="S9" s="105">
        <v>8</v>
      </c>
      <c r="T9" s="105">
        <v>8</v>
      </c>
      <c r="U9" s="105">
        <v>8</v>
      </c>
      <c r="V9" s="105">
        <v>8</v>
      </c>
      <c r="W9" s="104">
        <v>46086</v>
      </c>
      <c r="X9" s="104">
        <v>46097</v>
      </c>
      <c r="Y9" s="106">
        <v>8</v>
      </c>
      <c r="Z9" s="107">
        <v>8</v>
      </c>
      <c r="AA9" s="105">
        <v>1</v>
      </c>
      <c r="AB9" s="103" t="s">
        <v>1459</v>
      </c>
      <c r="AC9" s="103"/>
      <c r="AD9" s="117">
        <v>1</v>
      </c>
      <c r="AE9" s="199">
        <v>1</v>
      </c>
      <c r="AF9" s="120"/>
      <c r="AG9" s="121"/>
      <c r="AH9" s="121" t="str">
        <f>"  " &amp; TEXT(AE9,"#0.00%") &amp; " " &amp; "프로젝트 계획 수립" &amp; "(이지은)" &amp; " " &amp; IF(P9="","",TEXT(P9,"M/D-")) &amp; IF(Q9="","",TEXT(Q9,"M/D")) &amp; " "</f>
        <v xml:space="preserve">  100.00% 프로젝트 계획 수립(이지은) 3/5-3/16 </v>
      </c>
      <c r="AI9" s="121"/>
      <c r="AJ9" s="121"/>
      <c r="AK9" s="121"/>
      <c r="AL9" s="121"/>
      <c r="AM9" s="121"/>
      <c r="AN9" s="121"/>
      <c r="AO9" s="121"/>
      <c r="AP9" s="121"/>
      <c r="AQ9" s="121"/>
      <c r="AR9" s="121"/>
      <c r="AS9" s="121"/>
      <c r="AT9" s="121"/>
      <c r="AU9" s="121"/>
      <c r="AV9" s="121"/>
      <c r="AW9" s="121"/>
      <c r="AX9" s="121"/>
      <c r="AY9" s="121"/>
      <c r="AZ9" s="121"/>
      <c r="BA9" s="121"/>
      <c r="BB9" s="121"/>
      <c r="BC9" s="121"/>
    </row>
    <row r="10" spans="1:192" ht="12" customHeight="1" outlineLevel="3">
      <c r="A10" s="102" t="s">
        <v>1460</v>
      </c>
      <c r="B10" s="102"/>
      <c r="C10" s="102">
        <v>4</v>
      </c>
      <c r="D10" s="118" t="s">
        <v>1461</v>
      </c>
      <c r="E10" s="103"/>
      <c r="F10" s="103"/>
      <c r="G10" s="103"/>
      <c r="H10" s="103" t="s">
        <v>1462</v>
      </c>
      <c r="I10" s="103"/>
      <c r="J10" s="103"/>
      <c r="K10" s="103"/>
      <c r="L10" s="103"/>
      <c r="M10" s="103"/>
      <c r="N10" s="103"/>
      <c r="O10" s="103"/>
      <c r="P10" s="104">
        <v>46100</v>
      </c>
      <c r="Q10" s="104">
        <v>46100</v>
      </c>
      <c r="R10" s="103"/>
      <c r="S10" s="105">
        <v>0</v>
      </c>
      <c r="T10" s="105">
        <v>0</v>
      </c>
      <c r="U10" s="105">
        <v>1</v>
      </c>
      <c r="V10" s="105">
        <v>1</v>
      </c>
      <c r="W10" s="104">
        <v>46100</v>
      </c>
      <c r="X10" s="104">
        <v>46100</v>
      </c>
      <c r="Y10" s="106">
        <v>1</v>
      </c>
      <c r="Z10" s="107">
        <v>1</v>
      </c>
      <c r="AA10" s="105">
        <v>1</v>
      </c>
      <c r="AB10" s="103" t="s">
        <v>1459</v>
      </c>
      <c r="AC10" s="103"/>
      <c r="AD10" s="117">
        <v>1</v>
      </c>
      <c r="AE10" s="213">
        <v>1</v>
      </c>
      <c r="AF10" s="120"/>
      <c r="AG10" s="121"/>
      <c r="AH10" s="121" t="str">
        <f>"        " &amp; TEXT(AE10,"#0.00%") &amp; " " &amp; "착수보고(Kick off)" &amp; "(이지은)" &amp; " " &amp; IF(P10="","",TEXT(P10,"M/D-")) &amp; IF(Q10="","",TEXT(Q10,"M/D")) &amp; " "</f>
        <v xml:space="preserve">        100.00% 착수보고(Kick off)(이지은) 3/19-3/19 </v>
      </c>
      <c r="AI10" s="121"/>
      <c r="AJ10" s="121"/>
      <c r="AK10" s="121"/>
      <c r="AL10" s="121"/>
      <c r="AM10" s="121"/>
      <c r="AN10" s="121"/>
      <c r="AO10" s="121"/>
      <c r="AP10" s="121"/>
      <c r="AQ10" s="121"/>
      <c r="AR10" s="121"/>
      <c r="AS10" s="121"/>
      <c r="AT10" s="121"/>
      <c r="AU10" s="121"/>
      <c r="AV10" s="121"/>
      <c r="AW10" s="121"/>
      <c r="AX10" s="121"/>
      <c r="AY10" s="121"/>
      <c r="AZ10" s="121"/>
      <c r="BA10" s="121"/>
      <c r="BB10" s="121"/>
      <c r="BC10" s="121"/>
    </row>
    <row r="11" spans="1:192" ht="12" customHeight="1" outlineLevel="1">
      <c r="A11" s="102"/>
      <c r="B11" s="102" t="s">
        <v>1391</v>
      </c>
      <c r="C11" s="102">
        <v>2</v>
      </c>
      <c r="D11" s="118" t="s">
        <v>1344</v>
      </c>
      <c r="E11" s="103"/>
      <c r="F11" s="103" t="s">
        <v>1463</v>
      </c>
      <c r="G11" s="103"/>
      <c r="H11" s="103"/>
      <c r="I11" s="103"/>
      <c r="J11" s="103"/>
      <c r="K11" s="103"/>
      <c r="L11" s="103"/>
      <c r="M11" s="103"/>
      <c r="N11" s="103"/>
      <c r="O11" s="103"/>
      <c r="P11" s="104">
        <v>46114</v>
      </c>
      <c r="Q11" s="104">
        <v>46177</v>
      </c>
      <c r="R11" s="103"/>
      <c r="S11" s="105">
        <v>1.5999999999999999</v>
      </c>
      <c r="T11" s="105">
        <v>1.5999999999999999</v>
      </c>
      <c r="U11" s="105">
        <v>43</v>
      </c>
      <c r="V11" s="105">
        <v>43</v>
      </c>
      <c r="W11" s="104"/>
      <c r="X11" s="104"/>
      <c r="Y11" s="106">
        <v>0</v>
      </c>
      <c r="Z11" s="107">
        <v>0</v>
      </c>
      <c r="AA11" s="105"/>
      <c r="AB11" s="103"/>
      <c r="AC11" s="103"/>
      <c r="AD11" s="117">
        <v>1</v>
      </c>
      <c r="AE11" s="284">
        <v>0.12500000000000003</v>
      </c>
      <c r="AF11" s="120"/>
      <c r="AG11" s="121"/>
      <c r="AH11" s="121"/>
      <c r="AI11" s="121"/>
      <c r="AJ11" s="121"/>
      <c r="AK11" s="121" t="str">
        <f>"     " &amp; TEXT(AE11,"#0.00%") &amp; " "</f>
        <v xml:space="preserve">     12.50% </v>
      </c>
      <c r="AL11" s="121"/>
      <c r="AM11" s="121"/>
      <c r="AN11" s="121"/>
      <c r="AO11" s="121"/>
      <c r="AP11" s="121"/>
      <c r="AQ11" s="121"/>
      <c r="AR11" s="121"/>
      <c r="AS11" s="121" t="str">
        <f>"     " &amp; "프로젝트 수행 및 통제" &amp; " " &amp; IF(P11="","",TEXT(P11,"M/D-")) &amp; IF(Q11="","",TEXT(Q11,"M/D")) &amp; " "</f>
        <v xml:space="preserve">     프로젝트 수행 및 통제 4/2-6/4 </v>
      </c>
      <c r="AT11" s="121"/>
      <c r="AU11" s="121"/>
      <c r="AV11" s="121"/>
      <c r="AW11" s="121"/>
      <c r="AX11" s="121"/>
      <c r="AY11" s="121"/>
      <c r="AZ11" s="121"/>
      <c r="BA11" s="121"/>
      <c r="BB11" s="121"/>
      <c r="BC11" s="121"/>
    </row>
    <row r="12" spans="1:192" ht="12" customHeight="1" outlineLevel="2">
      <c r="A12" s="102"/>
      <c r="B12" s="102"/>
      <c r="C12" s="102">
        <v>3</v>
      </c>
      <c r="D12" s="118" t="s">
        <v>1352</v>
      </c>
      <c r="E12" s="103"/>
      <c r="F12" s="103"/>
      <c r="G12" s="103" t="s">
        <v>1464</v>
      </c>
      <c r="H12" s="103"/>
      <c r="I12" s="103"/>
      <c r="J12" s="103"/>
      <c r="K12" s="103"/>
      <c r="L12" s="103"/>
      <c r="M12" s="103"/>
      <c r="N12" s="103"/>
      <c r="O12" s="103"/>
      <c r="P12" s="104">
        <v>46114</v>
      </c>
      <c r="Q12" s="104">
        <v>46114</v>
      </c>
      <c r="R12" s="103"/>
      <c r="S12" s="105">
        <v>0.2</v>
      </c>
      <c r="T12" s="105">
        <v>0.2</v>
      </c>
      <c r="U12" s="105">
        <v>1</v>
      </c>
      <c r="V12" s="105">
        <v>1</v>
      </c>
      <c r="W12" s="104">
        <v>46114</v>
      </c>
      <c r="X12" s="104">
        <v>46114</v>
      </c>
      <c r="Y12" s="106">
        <v>1</v>
      </c>
      <c r="Z12" s="107">
        <v>1</v>
      </c>
      <c r="AA12" s="105">
        <v>1</v>
      </c>
      <c r="AB12" s="103" t="s">
        <v>1465</v>
      </c>
      <c r="AC12" s="103"/>
      <c r="AD12" s="117">
        <v>1</v>
      </c>
      <c r="AE12" s="199">
        <v>1</v>
      </c>
      <c r="AF12" s="120"/>
      <c r="AG12" s="121"/>
      <c r="AH12" s="121"/>
      <c r="AI12" s="121"/>
      <c r="AJ12" s="121" t="str">
        <f>"     " &amp; TEXT(AE12,"#0.00%") &amp; " " &amp; "월간보고1" &amp; "(박피엠[20%])" &amp; " " &amp; IF(P12="","",TEXT(P12,"M/D-")) &amp; IF(Q12="","",TEXT(Q12,"M/D")) &amp; " "</f>
        <v xml:space="preserve">     100.00% 월간보고1(박피엠[20%]) 4/2-4/2 </v>
      </c>
      <c r="AK12" s="121"/>
      <c r="AL12" s="121"/>
      <c r="AM12" s="121"/>
      <c r="AN12" s="121"/>
      <c r="AO12" s="121"/>
      <c r="AP12" s="121"/>
      <c r="AQ12" s="121"/>
      <c r="AR12" s="121"/>
      <c r="AS12" s="121"/>
      <c r="AT12" s="121"/>
      <c r="AU12" s="121"/>
      <c r="AV12" s="121"/>
      <c r="AW12" s="121"/>
      <c r="AX12" s="121"/>
      <c r="AY12" s="121"/>
      <c r="AZ12" s="121"/>
      <c r="BA12" s="121"/>
      <c r="BB12" s="121"/>
      <c r="BC12" s="121"/>
    </row>
    <row r="13" spans="1:192" ht="12" customHeight="1" outlineLevel="2">
      <c r="A13" s="102"/>
      <c r="B13" s="102"/>
      <c r="C13" s="102">
        <v>3</v>
      </c>
      <c r="D13" s="118" t="s">
        <v>1353</v>
      </c>
      <c r="E13" s="103"/>
      <c r="F13" s="103"/>
      <c r="G13" s="103" t="s">
        <v>1466</v>
      </c>
      <c r="H13" s="103"/>
      <c r="I13" s="103"/>
      <c r="J13" s="103"/>
      <c r="K13" s="103"/>
      <c r="L13" s="103"/>
      <c r="M13" s="103"/>
      <c r="N13" s="103"/>
      <c r="O13" s="103"/>
      <c r="P13" s="104">
        <v>46142</v>
      </c>
      <c r="Q13" s="104">
        <v>46142</v>
      </c>
      <c r="R13" s="103"/>
      <c r="S13" s="105">
        <v>0.2</v>
      </c>
      <c r="T13" s="105">
        <v>0.2</v>
      </c>
      <c r="U13" s="105">
        <v>1</v>
      </c>
      <c r="V13" s="105">
        <v>1</v>
      </c>
      <c r="W13" s="104"/>
      <c r="X13" s="104"/>
      <c r="Y13" s="106"/>
      <c r="Z13" s="107">
        <v>0</v>
      </c>
      <c r="AA13" s="105">
        <v>1</v>
      </c>
      <c r="AB13" s="103" t="s">
        <v>1465</v>
      </c>
      <c r="AC13" s="103"/>
      <c r="AD13" s="117">
        <v>1</v>
      </c>
      <c r="AE13" s="214">
        <v>0</v>
      </c>
      <c r="AF13" s="120"/>
      <c r="AG13" s="121"/>
      <c r="AH13" s="121"/>
      <c r="AI13" s="121"/>
      <c r="AJ13" s="121"/>
      <c r="AK13" s="121"/>
      <c r="AL13" s="121"/>
      <c r="AM13" s="121"/>
      <c r="AN13" s="121" t="str">
        <f>"    " &amp; TEXT(AE13,"#0.00%") &amp; " " &amp; "월간보고2" &amp; "(박피엠[20%])" &amp; " " &amp; IF(P13="","",TEXT(P13,"M/D-")) &amp; IF(Q13="","",TEXT(Q13,"M/D")) &amp; " "</f>
        <v xml:space="preserve">    0.00% 월간보고2(박피엠[20%]) 4/30-4/30 </v>
      </c>
      <c r="AO13" s="121"/>
      <c r="AP13" s="121"/>
      <c r="AQ13" s="121"/>
      <c r="AR13" s="121"/>
      <c r="AS13" s="121"/>
      <c r="AT13" s="121"/>
      <c r="AU13" s="121"/>
      <c r="AV13" s="121"/>
      <c r="AW13" s="121"/>
      <c r="AX13" s="121"/>
      <c r="AY13" s="121"/>
      <c r="AZ13" s="121"/>
      <c r="BA13" s="121"/>
      <c r="BB13" s="121"/>
      <c r="BC13" s="121"/>
    </row>
    <row r="14" spans="1:192" ht="12" customHeight="1" outlineLevel="2">
      <c r="A14" s="102"/>
      <c r="B14" s="102"/>
      <c r="C14" s="102">
        <v>3</v>
      </c>
      <c r="D14" s="118" t="s">
        <v>1363</v>
      </c>
      <c r="E14" s="103"/>
      <c r="F14" s="103"/>
      <c r="G14" s="103" t="s">
        <v>1467</v>
      </c>
      <c r="H14" s="103"/>
      <c r="I14" s="103"/>
      <c r="J14" s="103"/>
      <c r="K14" s="103"/>
      <c r="L14" s="103"/>
      <c r="M14" s="103"/>
      <c r="N14" s="103"/>
      <c r="O14" s="103"/>
      <c r="P14" s="104">
        <v>46177</v>
      </c>
      <c r="Q14" s="104">
        <v>46177</v>
      </c>
      <c r="R14" s="103"/>
      <c r="S14" s="105">
        <v>0.2</v>
      </c>
      <c r="T14" s="105">
        <v>0.2</v>
      </c>
      <c r="U14" s="105">
        <v>1</v>
      </c>
      <c r="V14" s="105">
        <v>1</v>
      </c>
      <c r="W14" s="104"/>
      <c r="X14" s="104"/>
      <c r="Y14" s="106"/>
      <c r="Z14" s="107">
        <v>0</v>
      </c>
      <c r="AA14" s="105">
        <v>1</v>
      </c>
      <c r="AB14" s="103" t="s">
        <v>1465</v>
      </c>
      <c r="AC14" s="103"/>
      <c r="AD14" s="117">
        <v>1</v>
      </c>
      <c r="AE14" s="214">
        <v>0</v>
      </c>
      <c r="AF14" s="120"/>
      <c r="AG14" s="121"/>
      <c r="AH14" s="121"/>
      <c r="AI14" s="121"/>
      <c r="AJ14" s="121"/>
      <c r="AK14" s="121"/>
      <c r="AL14" s="121"/>
      <c r="AM14" s="121"/>
      <c r="AN14" s="121"/>
      <c r="AO14" s="121"/>
      <c r="AP14" s="121"/>
      <c r="AQ14" s="121"/>
      <c r="AR14" s="121"/>
      <c r="AS14" s="121" t="str">
        <f>"    " &amp; TEXT(AE14,"#0.00%") &amp; " " &amp; "월간보고3" &amp; "(박피엠[20%])" &amp; " " &amp; IF(P14="","",TEXT(P14,"M/D-")) &amp; IF(Q14="","",TEXT(Q14,"M/D")) &amp; " "</f>
        <v xml:space="preserve">    0.00% 월간보고3(박피엠[20%]) 6/4-6/4 </v>
      </c>
      <c r="AT14" s="121"/>
      <c r="AU14" s="121"/>
      <c r="AV14" s="121"/>
      <c r="AW14" s="121"/>
      <c r="AX14" s="121"/>
      <c r="AY14" s="121"/>
      <c r="AZ14" s="121"/>
      <c r="BA14" s="121"/>
      <c r="BB14" s="121"/>
      <c r="BC14" s="121"/>
    </row>
    <row r="15" spans="1:192" ht="12" customHeight="1" outlineLevel="2">
      <c r="A15" s="102"/>
      <c r="B15" s="102"/>
      <c r="C15" s="102">
        <v>3</v>
      </c>
      <c r="D15" s="118" t="s">
        <v>1364</v>
      </c>
      <c r="E15" s="103"/>
      <c r="F15" s="103"/>
      <c r="G15" s="103" t="s">
        <v>1468</v>
      </c>
      <c r="H15" s="103"/>
      <c r="I15" s="103"/>
      <c r="J15" s="103"/>
      <c r="K15" s="103"/>
      <c r="L15" s="103"/>
      <c r="M15" s="103"/>
      <c r="N15" s="103"/>
      <c r="O15" s="103"/>
      <c r="P15" s="104">
        <v>46149</v>
      </c>
      <c r="Q15" s="104">
        <v>46149</v>
      </c>
      <c r="R15" s="103"/>
      <c r="S15" s="105">
        <v>1</v>
      </c>
      <c r="T15" s="105">
        <v>1</v>
      </c>
      <c r="U15" s="105">
        <v>1</v>
      </c>
      <c r="V15" s="105">
        <v>1</v>
      </c>
      <c r="W15" s="104"/>
      <c r="X15" s="104"/>
      <c r="Y15" s="106"/>
      <c r="Z15" s="107">
        <v>0</v>
      </c>
      <c r="AA15" s="105">
        <v>1</v>
      </c>
      <c r="AB15" s="103"/>
      <c r="AC15" s="103"/>
      <c r="AD15" s="117">
        <v>1</v>
      </c>
      <c r="AE15" s="214">
        <v>0</v>
      </c>
      <c r="AF15" s="120"/>
      <c r="AG15" s="121"/>
      <c r="AH15" s="121"/>
      <c r="AI15" s="121"/>
      <c r="AJ15" s="121"/>
      <c r="AK15" s="121"/>
      <c r="AL15" s="121"/>
      <c r="AM15" s="121"/>
      <c r="AN15" s="121"/>
      <c r="AO15" s="121" t="str">
        <f>"    " &amp; TEXT(AE15,"#0.00%") &amp; " " &amp; "중간보고" &amp; " " &amp; IF(P15="","",TEXT(P15,"M/D-")) &amp; IF(Q15="","",TEXT(Q15,"M/D")) &amp; " "</f>
        <v xml:space="preserve">    0.00% 중간보고 5/7-5/7 </v>
      </c>
      <c r="AP15" s="121"/>
      <c r="AQ15" s="121"/>
      <c r="AR15" s="121"/>
      <c r="AS15" s="121"/>
      <c r="AT15" s="121"/>
      <c r="AU15" s="121"/>
      <c r="AV15" s="121"/>
      <c r="AW15" s="121"/>
      <c r="AX15" s="121"/>
      <c r="AY15" s="121"/>
      <c r="AZ15" s="121"/>
      <c r="BA15" s="121"/>
      <c r="BB15" s="121"/>
      <c r="BC15" s="121"/>
    </row>
    <row r="16" spans="1:192" ht="12" customHeight="1" outlineLevel="1">
      <c r="A16" s="102"/>
      <c r="B16" s="102" t="s">
        <v>1391</v>
      </c>
      <c r="C16" s="102">
        <v>2</v>
      </c>
      <c r="D16" s="118" t="s">
        <v>1542</v>
      </c>
      <c r="E16" s="103"/>
      <c r="F16" s="103" t="s">
        <v>1469</v>
      </c>
      <c r="G16" s="103"/>
      <c r="H16" s="103"/>
      <c r="I16" s="103"/>
      <c r="J16" s="103"/>
      <c r="K16" s="103"/>
      <c r="L16" s="103"/>
      <c r="M16" s="103"/>
      <c r="N16" s="103"/>
      <c r="O16" s="103"/>
      <c r="P16" s="104">
        <v>46212</v>
      </c>
      <c r="Q16" s="104">
        <v>46237</v>
      </c>
      <c r="R16" s="103"/>
      <c r="S16" s="105">
        <v>15</v>
      </c>
      <c r="T16" s="105">
        <v>13</v>
      </c>
      <c r="U16" s="105">
        <v>17</v>
      </c>
      <c r="V16" s="105">
        <v>15</v>
      </c>
      <c r="W16" s="104"/>
      <c r="X16" s="104"/>
      <c r="Y16" s="106">
        <v>0</v>
      </c>
      <c r="Z16" s="107">
        <v>0</v>
      </c>
      <c r="AA16" s="105"/>
      <c r="AB16" s="103"/>
      <c r="AC16" s="103"/>
      <c r="AD16" s="117">
        <v>0.8666666666666667</v>
      </c>
      <c r="AE16" s="220">
        <v>0</v>
      </c>
      <c r="AF16" s="120"/>
      <c r="AG16" s="121"/>
      <c r="AH16" s="121"/>
      <c r="AI16" s="121"/>
      <c r="AJ16" s="121"/>
      <c r="AK16" s="121"/>
      <c r="AL16" s="121"/>
      <c r="AM16" s="121"/>
      <c r="AN16" s="121"/>
      <c r="AO16" s="121"/>
      <c r="AP16" s="121"/>
      <c r="AQ16" s="121"/>
      <c r="AR16" s="121"/>
      <c r="AS16" s="121"/>
      <c r="AT16" s="121"/>
      <c r="AU16" s="121"/>
      <c r="AV16" s="121"/>
      <c r="AW16" s="121"/>
      <c r="AX16" s="121" t="str">
        <f>"    " &amp; TEXT(AE16,"#0.00%") &amp; " "</f>
        <v xml:space="preserve">    0.00% </v>
      </c>
      <c r="AY16" s="121"/>
      <c r="AZ16" s="121"/>
      <c r="BA16" s="121"/>
      <c r="BB16" s="121" t="str">
        <f>"  " &amp; "프로젝트 종료" &amp; " " &amp; IF(P16="","",TEXT(P16,"M/D-")) &amp; IF(Q16="","",TEXT(Q16,"M/D")) &amp; " "</f>
        <v xml:space="preserve">  프로젝트 종료 7/9-8/3 </v>
      </c>
      <c r="BC16" s="121"/>
    </row>
    <row r="17" spans="1:55" ht="12" customHeight="1" outlineLevel="2">
      <c r="A17" s="102"/>
      <c r="B17" s="102"/>
      <c r="C17" s="102">
        <v>3</v>
      </c>
      <c r="D17" s="118" t="s">
        <v>1470</v>
      </c>
      <c r="E17" s="103"/>
      <c r="F17" s="103"/>
      <c r="G17" s="103" t="s">
        <v>1471</v>
      </c>
      <c r="H17" s="103"/>
      <c r="I17" s="103"/>
      <c r="J17" s="103"/>
      <c r="K17" s="103"/>
      <c r="L17" s="103"/>
      <c r="M17" s="103"/>
      <c r="N17" s="103"/>
      <c r="O17" s="103"/>
      <c r="P17" s="104">
        <v>46212</v>
      </c>
      <c r="Q17" s="104">
        <v>46216</v>
      </c>
      <c r="R17" s="103"/>
      <c r="S17" s="105">
        <v>6</v>
      </c>
      <c r="T17" s="105">
        <v>6</v>
      </c>
      <c r="U17" s="105">
        <v>3</v>
      </c>
      <c r="V17" s="105">
        <v>3</v>
      </c>
      <c r="W17" s="104"/>
      <c r="X17" s="104"/>
      <c r="Y17" s="106"/>
      <c r="Z17" s="107">
        <v>0</v>
      </c>
      <c r="AA17" s="105">
        <v>1</v>
      </c>
      <c r="AB17" s="103" t="s">
        <v>1472</v>
      </c>
      <c r="AC17" s="103"/>
      <c r="AD17" s="117">
        <v>1</v>
      </c>
      <c r="AE17" s="214">
        <v>0</v>
      </c>
      <c r="AF17" s="120"/>
      <c r="AG17" s="121"/>
      <c r="AH17" s="121"/>
      <c r="AI17" s="121"/>
      <c r="AJ17" s="121"/>
      <c r="AK17" s="121"/>
      <c r="AL17" s="121"/>
      <c r="AM17" s="121"/>
      <c r="AN17" s="121"/>
      <c r="AO17" s="121"/>
      <c r="AP17" s="121"/>
      <c r="AQ17" s="121"/>
      <c r="AR17" s="121"/>
      <c r="AS17" s="121"/>
      <c r="AT17" s="121"/>
      <c r="AU17" s="121"/>
      <c r="AV17" s="121"/>
      <c r="AW17" s="121"/>
      <c r="AX17" s="121" t="str">
        <f>"    " &amp; TEXT(AE17,"#0.00%") &amp; " " &amp; "종료계획수립" &amp; "(김분석,이지은)" &amp; " " &amp; IF(P17="","",TEXT(P17,"M/D-")) &amp; IF(Q17="","",TEXT(Q17,"M/D")) &amp; " "</f>
        <v xml:space="preserve">    0.00% 종료계획수립(김분석,이지은) 7/9-7/13 </v>
      </c>
      <c r="AY17" s="121"/>
      <c r="AZ17" s="121"/>
      <c r="BA17" s="121"/>
      <c r="BB17" s="121"/>
      <c r="BC17" s="121"/>
    </row>
    <row r="18" spans="1:55" ht="12" customHeight="1" outlineLevel="2">
      <c r="A18" s="102"/>
      <c r="B18" s="102"/>
      <c r="C18" s="102">
        <v>3</v>
      </c>
      <c r="D18" s="118" t="s">
        <v>1473</v>
      </c>
      <c r="E18" s="103"/>
      <c r="F18" s="103"/>
      <c r="G18" s="103" t="s">
        <v>1474</v>
      </c>
      <c r="H18" s="103"/>
      <c r="I18" s="103"/>
      <c r="J18" s="103"/>
      <c r="K18" s="103"/>
      <c r="L18" s="103"/>
      <c r="M18" s="103"/>
      <c r="N18" s="103"/>
      <c r="O18" s="103"/>
      <c r="P18" s="104">
        <v>46219</v>
      </c>
      <c r="Q18" s="104">
        <v>46230</v>
      </c>
      <c r="R18" s="103"/>
      <c r="S18" s="105">
        <v>7</v>
      </c>
      <c r="T18" s="105">
        <v>7</v>
      </c>
      <c r="U18" s="105">
        <v>7</v>
      </c>
      <c r="V18" s="105">
        <v>7</v>
      </c>
      <c r="W18" s="104"/>
      <c r="X18" s="104"/>
      <c r="Y18" s="106"/>
      <c r="Z18" s="107">
        <v>0</v>
      </c>
      <c r="AA18" s="105">
        <v>1</v>
      </c>
      <c r="AB18" s="103" t="s">
        <v>1392</v>
      </c>
      <c r="AC18" s="103"/>
      <c r="AD18" s="117">
        <v>1</v>
      </c>
      <c r="AE18" s="214">
        <v>0</v>
      </c>
      <c r="AF18" s="120"/>
      <c r="AG18" s="121"/>
      <c r="AH18" s="121"/>
      <c r="AI18" s="121"/>
      <c r="AJ18" s="121"/>
      <c r="AK18" s="121"/>
      <c r="AL18" s="121"/>
      <c r="AM18" s="121"/>
      <c r="AN18" s="121"/>
      <c r="AO18" s="121"/>
      <c r="AP18" s="121"/>
      <c r="AQ18" s="121"/>
      <c r="AR18" s="121"/>
      <c r="AS18" s="121"/>
      <c r="AT18" s="121"/>
      <c r="AU18" s="121"/>
      <c r="AV18" s="121"/>
      <c r="AW18" s="121"/>
      <c r="AX18" s="121"/>
      <c r="AY18" s="121" t="str">
        <f>"    " &amp; TEXT(AE18,"#0.00%") &amp; " " &amp; "시스템 인수인계" &amp; "(홍길동)" &amp; " " &amp; IF(P18="","",TEXT(P18,"M/D-")) &amp; IF(Q18="","",TEXT(Q18,"M/D")) &amp; " "</f>
        <v xml:space="preserve">    0.00% 시스템 인수인계(홍길동) 7/16-7/27 </v>
      </c>
      <c r="AZ18" s="121"/>
      <c r="BA18" s="121"/>
      <c r="BB18" s="121"/>
      <c r="BC18" s="121"/>
    </row>
    <row r="19" spans="1:55" ht="12" customHeight="1" outlineLevel="2">
      <c r="A19" s="102"/>
      <c r="B19" s="102"/>
      <c r="C19" s="102">
        <v>3</v>
      </c>
      <c r="D19" s="118" t="s">
        <v>1475</v>
      </c>
      <c r="E19" s="103"/>
      <c r="F19" s="103"/>
      <c r="G19" s="103" t="s">
        <v>1476</v>
      </c>
      <c r="H19" s="103"/>
      <c r="I19" s="103"/>
      <c r="J19" s="103"/>
      <c r="K19" s="103"/>
      <c r="L19" s="103"/>
      <c r="M19" s="103"/>
      <c r="N19" s="103"/>
      <c r="O19" s="103"/>
      <c r="P19" s="104">
        <v>46237</v>
      </c>
      <c r="Q19" s="104">
        <v>46237</v>
      </c>
      <c r="R19" s="103"/>
      <c r="S19" s="105">
        <v>2</v>
      </c>
      <c r="T19" s="105">
        <v>0</v>
      </c>
      <c r="U19" s="105">
        <v>1</v>
      </c>
      <c r="V19" s="105">
        <v>0</v>
      </c>
      <c r="W19" s="104"/>
      <c r="X19" s="104"/>
      <c r="Y19" s="106"/>
      <c r="Z19" s="107">
        <v>0</v>
      </c>
      <c r="AA19" s="105">
        <v>1</v>
      </c>
      <c r="AB19" s="103" t="s">
        <v>1477</v>
      </c>
      <c r="AC19" s="103"/>
      <c r="AD19" s="117">
        <v>0</v>
      </c>
      <c r="AE19" s="199">
        <v>0</v>
      </c>
      <c r="AF19" s="120"/>
      <c r="AG19" s="121"/>
      <c r="AH19" s="121"/>
      <c r="AI19" s="121"/>
      <c r="AJ19" s="121"/>
      <c r="AK19" s="121"/>
      <c r="AL19" s="121"/>
      <c r="AM19" s="121"/>
      <c r="AN19" s="121"/>
      <c r="AO19" s="121"/>
      <c r="AP19" s="121"/>
      <c r="AQ19" s="121"/>
      <c r="AR19" s="121"/>
      <c r="AS19" s="121"/>
      <c r="AT19" s="121"/>
      <c r="AU19" s="121"/>
      <c r="AV19" s="121"/>
      <c r="AW19" s="121"/>
      <c r="AX19" s="121"/>
      <c r="AY19" s="121"/>
      <c r="AZ19" s="121"/>
      <c r="BA19" s="121"/>
      <c r="BB19" s="121" t="str">
        <f>" " &amp; TEXT(AE19,"#0.00%") &amp; " " &amp; "종료보고" &amp; "(나고객,이고객)" &amp; " " &amp; IF(P19="","",TEXT(P19,"M/D-")) &amp; IF(Q19="","",TEXT(Q19,"M/D")) &amp; " "</f>
        <v xml:space="preserve"> 0.00% 종료보고(나고객,이고객) 8/3-8/3 </v>
      </c>
      <c r="BC19" s="121"/>
    </row>
    <row r="20" spans="1:55" ht="12" customHeight="1" outlineLevel="2">
      <c r="A20" s="102" t="s">
        <v>1478</v>
      </c>
      <c r="B20" s="102"/>
      <c r="C20" s="102">
        <v>3</v>
      </c>
      <c r="D20" s="118" t="s">
        <v>1479</v>
      </c>
      <c r="E20" s="103"/>
      <c r="F20" s="103"/>
      <c r="G20" s="103" t="s">
        <v>1480</v>
      </c>
      <c r="H20" s="103"/>
      <c r="I20" s="103"/>
      <c r="J20" s="103"/>
      <c r="K20" s="103"/>
      <c r="L20" s="103"/>
      <c r="M20" s="103"/>
      <c r="N20" s="103"/>
      <c r="O20" s="103"/>
      <c r="P20" s="104">
        <v>46237</v>
      </c>
      <c r="Q20" s="104">
        <v>46237</v>
      </c>
      <c r="R20" s="103"/>
      <c r="S20" s="105">
        <v>0</v>
      </c>
      <c r="T20" s="105">
        <v>0</v>
      </c>
      <c r="U20" s="105">
        <v>1</v>
      </c>
      <c r="V20" s="105">
        <v>0</v>
      </c>
      <c r="W20" s="104"/>
      <c r="X20" s="104"/>
      <c r="Y20" s="106"/>
      <c r="Z20" s="107">
        <v>0</v>
      </c>
      <c r="AA20" s="105">
        <v>1</v>
      </c>
      <c r="AB20" s="103"/>
      <c r="AC20" s="103"/>
      <c r="AD20" s="117">
        <v>0</v>
      </c>
      <c r="AE20" s="199">
        <v>0</v>
      </c>
      <c r="AF20" s="120"/>
      <c r="AG20" s="121"/>
      <c r="AH20" s="121"/>
      <c r="AI20" s="121"/>
      <c r="AJ20" s="121"/>
      <c r="AK20" s="121"/>
      <c r="AL20" s="121"/>
      <c r="AM20" s="121"/>
      <c r="AN20" s="121"/>
      <c r="AO20" s="121"/>
      <c r="AP20" s="121"/>
      <c r="AQ20" s="121"/>
      <c r="AR20" s="121"/>
      <c r="AS20" s="121"/>
      <c r="AT20" s="121"/>
      <c r="AU20" s="121"/>
      <c r="AV20" s="121"/>
      <c r="AW20" s="121"/>
      <c r="AX20" s="121"/>
      <c r="AY20" s="121"/>
      <c r="AZ20" s="121"/>
      <c r="BA20" s="121"/>
      <c r="BB20" s="121" t="str">
        <f>"     " &amp; TEXT(AE20,"#0.00%") &amp; " " &amp; "검수 및 종료" &amp; " " &amp; IF(P20="","",TEXT(P20,"M/D-")) &amp; IF(Q20="","",TEXT(Q20,"M/D")) &amp; " "</f>
        <v xml:space="preserve">     0.00% 검수 및 종료 8/3-8/3 </v>
      </c>
      <c r="BC20" s="121"/>
    </row>
    <row r="21" spans="1:55" ht="12" customHeight="1" outlineLevel="2">
      <c r="A21" s="102"/>
      <c r="B21" s="102"/>
      <c r="C21" s="102">
        <v>0</v>
      </c>
      <c r="D21" s="118"/>
      <c r="E21" s="103"/>
      <c r="F21" s="103"/>
      <c r="G21" s="103"/>
      <c r="H21" s="103"/>
      <c r="I21" s="103"/>
      <c r="J21" s="103"/>
      <c r="K21" s="103"/>
      <c r="L21" s="103"/>
      <c r="M21" s="103"/>
      <c r="N21" s="103"/>
      <c r="O21" s="103"/>
      <c r="P21" s="104"/>
      <c r="Q21" s="104"/>
      <c r="R21" s="103"/>
      <c r="S21" s="105"/>
      <c r="T21" s="105"/>
      <c r="U21" s="105">
        <v>0</v>
      </c>
      <c r="V21" s="105">
        <v>0</v>
      </c>
      <c r="W21" s="104"/>
      <c r="X21" s="104"/>
      <c r="Y21" s="106"/>
      <c r="Z21" s="107">
        <v>0</v>
      </c>
      <c r="AA21" s="105"/>
      <c r="AB21" s="103"/>
      <c r="AC21" s="103"/>
      <c r="AD21" s="117"/>
      <c r="AE21" s="206"/>
      <c r="AF21" s="120"/>
      <c r="AG21" s="121"/>
      <c r="AH21" s="121"/>
      <c r="AI21" s="121"/>
      <c r="AJ21" s="121"/>
      <c r="AK21" s="121"/>
      <c r="AL21" s="121"/>
      <c r="AM21" s="121"/>
      <c r="AN21" s="121"/>
      <c r="AO21" s="121"/>
      <c r="AP21" s="121"/>
      <c r="AQ21" s="121"/>
      <c r="AR21" s="121"/>
      <c r="AS21" s="121"/>
      <c r="AT21" s="121"/>
      <c r="AU21" s="121"/>
      <c r="AV21" s="121"/>
      <c r="AW21" s="121"/>
      <c r="AX21" s="121"/>
      <c r="AY21" s="121"/>
      <c r="AZ21" s="121"/>
      <c r="BA21" s="121"/>
      <c r="BB21" s="121"/>
      <c r="BC21" s="121"/>
    </row>
    <row r="22" spans="1:55" ht="12" customHeight="1">
      <c r="A22" s="102"/>
      <c r="B22" s="102" t="s">
        <v>1391</v>
      </c>
      <c r="C22" s="102">
        <v>1</v>
      </c>
      <c r="D22" s="118" t="s">
        <v>1543</v>
      </c>
      <c r="E22" s="103" t="s">
        <v>1354</v>
      </c>
      <c r="F22" s="103"/>
      <c r="G22" s="103"/>
      <c r="H22" s="103"/>
      <c r="I22" s="103"/>
      <c r="J22" s="103"/>
      <c r="K22" s="103"/>
      <c r="L22" s="103"/>
      <c r="M22" s="103"/>
      <c r="N22" s="103"/>
      <c r="O22" s="103"/>
      <c r="P22" s="104">
        <v>46093</v>
      </c>
      <c r="Q22" s="104">
        <v>46240</v>
      </c>
      <c r="R22" s="103"/>
      <c r="S22" s="105">
        <v>227.1</v>
      </c>
      <c r="T22" s="105">
        <v>225.1</v>
      </c>
      <c r="U22" s="105">
        <v>102</v>
      </c>
      <c r="V22" s="105">
        <v>97</v>
      </c>
      <c r="W22" s="104"/>
      <c r="X22" s="104"/>
      <c r="Y22" s="106">
        <v>0</v>
      </c>
      <c r="Z22" s="107">
        <v>0</v>
      </c>
      <c r="AA22" s="105"/>
      <c r="AB22" s="103"/>
      <c r="AC22" s="103"/>
      <c r="AD22" s="117">
        <v>0.99119330691325402</v>
      </c>
      <c r="AE22" s="220">
        <v>0.21695288419198594</v>
      </c>
      <c r="AF22" s="120"/>
      <c r="AG22" s="121"/>
      <c r="AH22" s="121"/>
      <c r="AI22" s="121"/>
      <c r="AJ22" s="121"/>
      <c r="AK22" s="121"/>
      <c r="AL22" s="121" t="str">
        <f>" " &amp; TEXT(AE22,"#0.00%") &amp; " "</f>
        <v xml:space="preserve"> 21.70% </v>
      </c>
      <c r="AM22" s="121"/>
      <c r="AN22" s="121"/>
      <c r="AO22" s="121"/>
      <c r="AP22" s="121"/>
      <c r="AQ22" s="121"/>
      <c r="AR22" s="121"/>
      <c r="AS22" s="121"/>
      <c r="AT22" s="121"/>
      <c r="AU22" s="121"/>
      <c r="AV22" s="121"/>
      <c r="AW22" s="121"/>
      <c r="AX22" s="121"/>
      <c r="AY22" s="121"/>
      <c r="AZ22" s="121"/>
      <c r="BA22" s="121"/>
      <c r="BB22" s="121" t="str">
        <f>"     " &amp; "시스템 개발" &amp; " " &amp; IF(P22="","",TEXT(P22,"M/D-")) &amp; IF(Q22="","",TEXT(Q22,"M/D")) &amp; " "</f>
        <v xml:space="preserve">     시스템 개발 3/12-8/6 </v>
      </c>
      <c r="BC22" s="121"/>
    </row>
    <row r="23" spans="1:55" ht="12" customHeight="1" outlineLevel="1">
      <c r="A23" s="102"/>
      <c r="B23" s="102" t="s">
        <v>1391</v>
      </c>
      <c r="C23" s="102">
        <v>2</v>
      </c>
      <c r="D23" s="118" t="s">
        <v>1544</v>
      </c>
      <c r="E23" s="103"/>
      <c r="F23" s="103" t="s">
        <v>1350</v>
      </c>
      <c r="G23" s="103"/>
      <c r="H23" s="103"/>
      <c r="I23" s="103"/>
      <c r="J23" s="103"/>
      <c r="K23" s="103"/>
      <c r="L23" s="103"/>
      <c r="M23" s="103"/>
      <c r="N23" s="103"/>
      <c r="O23" s="103"/>
      <c r="P23" s="104">
        <v>46093</v>
      </c>
      <c r="Q23" s="104">
        <v>46111</v>
      </c>
      <c r="R23" s="103"/>
      <c r="S23" s="105">
        <v>24.1</v>
      </c>
      <c r="T23" s="105">
        <v>24.1</v>
      </c>
      <c r="U23" s="105">
        <v>13</v>
      </c>
      <c r="V23" s="105">
        <v>13</v>
      </c>
      <c r="W23" s="104"/>
      <c r="X23" s="104"/>
      <c r="Y23" s="106">
        <v>0</v>
      </c>
      <c r="Z23" s="107">
        <v>0</v>
      </c>
      <c r="AA23" s="105"/>
      <c r="AB23" s="103"/>
      <c r="AC23" s="103"/>
      <c r="AD23" s="117">
        <v>1</v>
      </c>
      <c r="AE23" s="221">
        <v>0.93651452282157677</v>
      </c>
      <c r="AF23" s="120"/>
      <c r="AG23" s="121"/>
      <c r="AH23" s="121"/>
      <c r="AI23" s="121"/>
      <c r="AJ23" s="121" t="str">
        <f>" " &amp; TEXT(AE23,"#0.00%") &amp; " " &amp; "분석" &amp; " " &amp; IF(P23="","",TEXT(P23,"M/D-")) &amp; IF(Q23="","",TEXT(Q23,"M/D")) &amp; " "</f>
        <v xml:space="preserve"> 93.65% 분석 3/12-3/30 </v>
      </c>
      <c r="AK23" s="121"/>
      <c r="AL23" s="121"/>
      <c r="AM23" s="121"/>
      <c r="AN23" s="121"/>
      <c r="AO23" s="121"/>
      <c r="AP23" s="121"/>
      <c r="AQ23" s="121"/>
      <c r="AR23" s="121"/>
      <c r="AS23" s="121"/>
      <c r="AT23" s="121"/>
      <c r="AU23" s="121"/>
      <c r="AV23" s="121"/>
      <c r="AW23" s="121"/>
      <c r="AX23" s="121"/>
      <c r="AY23" s="121"/>
      <c r="AZ23" s="121"/>
      <c r="BA23" s="121"/>
      <c r="BB23" s="121"/>
      <c r="BC23" s="121"/>
    </row>
    <row r="24" spans="1:55" ht="12" customHeight="1" outlineLevel="2">
      <c r="A24" s="102"/>
      <c r="B24" s="102"/>
      <c r="C24" s="102">
        <v>3</v>
      </c>
      <c r="D24" s="118" t="s">
        <v>1481</v>
      </c>
      <c r="E24" s="103"/>
      <c r="F24" s="103"/>
      <c r="G24" s="103" t="s">
        <v>1355</v>
      </c>
      <c r="H24" s="103"/>
      <c r="I24" s="103"/>
      <c r="J24" s="103"/>
      <c r="K24" s="103"/>
      <c r="L24" s="103"/>
      <c r="M24" s="103"/>
      <c r="N24" s="103"/>
      <c r="O24" s="103"/>
      <c r="P24" s="104">
        <v>46093</v>
      </c>
      <c r="Q24" s="104">
        <v>46111</v>
      </c>
      <c r="R24" s="103"/>
      <c r="S24" s="105">
        <v>13</v>
      </c>
      <c r="T24" s="105">
        <v>13</v>
      </c>
      <c r="U24" s="105">
        <v>13</v>
      </c>
      <c r="V24" s="105">
        <v>13</v>
      </c>
      <c r="W24" s="104">
        <v>46093</v>
      </c>
      <c r="X24" s="104">
        <v>46111</v>
      </c>
      <c r="Y24" s="106">
        <v>13</v>
      </c>
      <c r="Z24" s="107">
        <v>13</v>
      </c>
      <c r="AA24" s="105">
        <v>3</v>
      </c>
      <c r="AB24" s="103"/>
      <c r="AC24" s="103"/>
      <c r="AD24" s="117">
        <v>1</v>
      </c>
      <c r="AE24" s="199">
        <v>1</v>
      </c>
      <c r="AF24" s="120"/>
      <c r="AG24" s="121"/>
      <c r="AH24" s="121"/>
      <c r="AI24" s="121"/>
      <c r="AJ24" s="121" t="str">
        <f>"  " &amp; TEXT(AE24,"#0.00%") &amp; " " &amp; "요구사항정의" &amp; " " &amp; IF(P24="","",TEXT(P24,"M/D-")) &amp; IF(Q24="","",TEXT(Q24,"M/D")) &amp; " "</f>
        <v xml:space="preserve">  100.00% 요구사항정의 3/12-3/30 </v>
      </c>
      <c r="AK24" s="121"/>
      <c r="AL24" s="121"/>
      <c r="AM24" s="121"/>
      <c r="AN24" s="121"/>
      <c r="AO24" s="121"/>
      <c r="AP24" s="121"/>
      <c r="AQ24" s="121"/>
      <c r="AR24" s="121"/>
      <c r="AS24" s="121"/>
      <c r="AT24" s="121"/>
      <c r="AU24" s="121"/>
      <c r="AV24" s="121"/>
      <c r="AW24" s="121"/>
      <c r="AX24" s="121"/>
      <c r="AY24" s="121"/>
      <c r="AZ24" s="121"/>
      <c r="BA24" s="121"/>
      <c r="BB24" s="121"/>
      <c r="BC24" s="121"/>
    </row>
    <row r="25" spans="1:55" ht="12" customHeight="1" outlineLevel="2">
      <c r="A25" s="102"/>
      <c r="B25" s="102" t="s">
        <v>1391</v>
      </c>
      <c r="C25" s="102">
        <v>3</v>
      </c>
      <c r="D25" s="118" t="s">
        <v>1482</v>
      </c>
      <c r="E25" s="103"/>
      <c r="F25" s="103"/>
      <c r="G25" s="103" t="s">
        <v>1356</v>
      </c>
      <c r="H25" s="103"/>
      <c r="I25" s="103"/>
      <c r="J25" s="103"/>
      <c r="K25" s="103"/>
      <c r="L25" s="103"/>
      <c r="M25" s="103"/>
      <c r="N25" s="103"/>
      <c r="O25" s="103"/>
      <c r="P25" s="104">
        <v>46100</v>
      </c>
      <c r="Q25" s="104">
        <v>46111</v>
      </c>
      <c r="R25" s="103"/>
      <c r="S25" s="105">
        <v>11.1</v>
      </c>
      <c r="T25" s="105">
        <v>11.1</v>
      </c>
      <c r="U25" s="105">
        <v>8</v>
      </c>
      <c r="V25" s="105">
        <v>8</v>
      </c>
      <c r="W25" s="104"/>
      <c r="X25" s="104"/>
      <c r="Y25" s="106">
        <v>0</v>
      </c>
      <c r="Z25" s="107">
        <v>0</v>
      </c>
      <c r="AA25" s="105"/>
      <c r="AB25" s="103"/>
      <c r="AC25" s="103"/>
      <c r="AD25" s="117">
        <v>1</v>
      </c>
      <c r="AE25" s="220">
        <v>0.86216216216216224</v>
      </c>
      <c r="AF25" s="120"/>
      <c r="AG25" s="121"/>
      <c r="AH25" s="121"/>
      <c r="AI25" s="121"/>
      <c r="AJ25" s="121" t="str">
        <f>"" &amp; TEXT(AE25,"#0.00%") &amp; " " &amp; "논리모델구축" &amp; " " &amp; IF(P25="","",TEXT(P25,"M/D-")) &amp; IF(Q25="","",TEXT(Q25,"M/D")) &amp; " "</f>
        <v xml:space="preserve">86.22% 논리모델구축 3/19-3/30 </v>
      </c>
      <c r="AK25" s="121"/>
      <c r="AL25" s="121"/>
      <c r="AM25" s="121"/>
      <c r="AN25" s="121"/>
      <c r="AO25" s="121"/>
      <c r="AP25" s="121"/>
      <c r="AQ25" s="121"/>
      <c r="AR25" s="121"/>
      <c r="AS25" s="121"/>
      <c r="AT25" s="121"/>
      <c r="AU25" s="121"/>
      <c r="AV25" s="121"/>
      <c r="AW25" s="121"/>
      <c r="AX25" s="121"/>
      <c r="AY25" s="121"/>
      <c r="AZ25" s="121"/>
      <c r="BA25" s="121"/>
      <c r="BB25" s="121"/>
      <c r="BC25" s="121"/>
    </row>
    <row r="26" spans="1:55" ht="12" customHeight="1" outlineLevel="3">
      <c r="A26" s="102"/>
      <c r="B26" s="102"/>
      <c r="C26" s="102">
        <v>4</v>
      </c>
      <c r="D26" s="118" t="s">
        <v>1483</v>
      </c>
      <c r="E26" s="103"/>
      <c r="F26" s="103"/>
      <c r="G26" s="103"/>
      <c r="H26" s="103" t="s">
        <v>1484</v>
      </c>
      <c r="I26" s="103"/>
      <c r="J26" s="103"/>
      <c r="K26" s="103"/>
      <c r="L26" s="103"/>
      <c r="M26" s="103"/>
      <c r="N26" s="103"/>
      <c r="O26" s="103"/>
      <c r="P26" s="104">
        <v>46100</v>
      </c>
      <c r="Q26" s="104">
        <v>46107</v>
      </c>
      <c r="R26" s="103"/>
      <c r="S26" s="105">
        <v>6</v>
      </c>
      <c r="T26" s="105">
        <v>6</v>
      </c>
      <c r="U26" s="105">
        <v>6</v>
      </c>
      <c r="V26" s="105">
        <v>6</v>
      </c>
      <c r="W26" s="104">
        <v>46100</v>
      </c>
      <c r="X26" s="104">
        <v>46107</v>
      </c>
      <c r="Y26" s="106">
        <v>6</v>
      </c>
      <c r="Z26" s="107">
        <v>6</v>
      </c>
      <c r="AA26" s="105">
        <v>1</v>
      </c>
      <c r="AB26" s="103"/>
      <c r="AC26" s="103"/>
      <c r="AD26" s="117">
        <v>1</v>
      </c>
      <c r="AE26" s="199">
        <v>1</v>
      </c>
      <c r="AF26" s="120"/>
      <c r="AG26" s="121"/>
      <c r="AH26" s="121"/>
      <c r="AI26" s="121" t="str">
        <f>"     " &amp; TEXT(AE26,"#0.00%") &amp; " " &amp; "프로세스모델링" &amp; " " &amp; IF(P26="","",TEXT(P26,"M/D-")) &amp; IF(Q26="","",TEXT(Q26,"M/D")) &amp; " "</f>
        <v xml:space="preserve">     100.00% 프로세스모델링 3/19-3/26 </v>
      </c>
      <c r="AJ26" s="121"/>
      <c r="AK26" s="121"/>
      <c r="AL26" s="121"/>
      <c r="AM26" s="121"/>
      <c r="AN26" s="121"/>
      <c r="AO26" s="121"/>
      <c r="AP26" s="121"/>
      <c r="AQ26" s="121"/>
      <c r="AR26" s="121"/>
      <c r="AS26" s="121"/>
      <c r="AT26" s="121"/>
      <c r="AU26" s="121"/>
      <c r="AV26" s="121"/>
      <c r="AW26" s="121"/>
      <c r="AX26" s="121"/>
      <c r="AY26" s="121"/>
      <c r="AZ26" s="121"/>
      <c r="BA26" s="121"/>
      <c r="BB26" s="121"/>
      <c r="BC26" s="121"/>
    </row>
    <row r="27" spans="1:55" ht="12" customHeight="1" outlineLevel="3">
      <c r="A27" s="102"/>
      <c r="B27" s="102"/>
      <c r="C27" s="102">
        <v>4</v>
      </c>
      <c r="D27" s="118" t="s">
        <v>1485</v>
      </c>
      <c r="E27" s="103"/>
      <c r="F27" s="103"/>
      <c r="G27" s="103"/>
      <c r="H27" s="103" t="s">
        <v>1486</v>
      </c>
      <c r="I27" s="103"/>
      <c r="J27" s="103"/>
      <c r="K27" s="103"/>
      <c r="L27" s="103"/>
      <c r="M27" s="103"/>
      <c r="N27" s="103"/>
      <c r="O27" s="103"/>
      <c r="P27" s="104">
        <v>46107</v>
      </c>
      <c r="Q27" s="104">
        <v>46111</v>
      </c>
      <c r="R27" s="103"/>
      <c r="S27" s="105">
        <v>5.0999999999999996</v>
      </c>
      <c r="T27" s="105">
        <v>5.0999999999999996</v>
      </c>
      <c r="U27" s="105">
        <v>3</v>
      </c>
      <c r="V27" s="105">
        <v>3</v>
      </c>
      <c r="W27" s="104">
        <v>46107</v>
      </c>
      <c r="X27" s="104"/>
      <c r="Y27" s="106">
        <v>-32912</v>
      </c>
      <c r="Z27" s="107">
        <v>0</v>
      </c>
      <c r="AA27" s="105">
        <v>1</v>
      </c>
      <c r="AB27" s="103" t="s">
        <v>1487</v>
      </c>
      <c r="AC27" s="103"/>
      <c r="AD27" s="117">
        <v>1</v>
      </c>
      <c r="AE27" s="214">
        <v>0.7</v>
      </c>
      <c r="AF27" s="120"/>
      <c r="AG27" s="121"/>
      <c r="AH27" s="121"/>
      <c r="AI27" s="121"/>
      <c r="AJ27" s="121" t="str">
        <f>"" &amp; TEXT(AE27,"#0.00%") &amp; " " &amp; "데이터모델링" &amp; "(박설계[120%],이지은[50%])" &amp; " " &amp; IF(P27="","",TEXT(P27,"M/D-")) &amp; IF(Q27="","",TEXT(Q27,"M/D")) &amp; " "</f>
        <v xml:space="preserve">70.00% 데이터모델링(박설계[120%],이지은[50%]) 3/26-3/30 </v>
      </c>
      <c r="AK27" s="121"/>
      <c r="AL27" s="121"/>
      <c r="AM27" s="121"/>
      <c r="AN27" s="121"/>
      <c r="AO27" s="121"/>
      <c r="AP27" s="121"/>
      <c r="AQ27" s="121"/>
      <c r="AR27" s="121"/>
      <c r="AS27" s="121"/>
      <c r="AT27" s="121"/>
      <c r="AU27" s="121"/>
      <c r="AV27" s="121"/>
      <c r="AW27" s="121"/>
      <c r="AX27" s="121"/>
      <c r="AY27" s="121"/>
      <c r="AZ27" s="121"/>
      <c r="BA27" s="121"/>
      <c r="BB27" s="121"/>
      <c r="BC27" s="121"/>
    </row>
    <row r="28" spans="1:55" ht="12" customHeight="1" outlineLevel="1">
      <c r="A28" s="102"/>
      <c r="B28" s="102" t="s">
        <v>1391</v>
      </c>
      <c r="C28" s="102">
        <v>2</v>
      </c>
      <c r="D28" s="118" t="s">
        <v>1545</v>
      </c>
      <c r="E28" s="103"/>
      <c r="F28" s="103" t="s">
        <v>1357</v>
      </c>
      <c r="G28" s="103"/>
      <c r="H28" s="103"/>
      <c r="I28" s="103"/>
      <c r="J28" s="103"/>
      <c r="K28" s="103"/>
      <c r="L28" s="103"/>
      <c r="M28" s="103"/>
      <c r="N28" s="103"/>
      <c r="O28" s="103"/>
      <c r="P28" s="104">
        <v>46107</v>
      </c>
      <c r="Q28" s="104">
        <v>46145</v>
      </c>
      <c r="R28" s="103"/>
      <c r="S28" s="105">
        <v>37</v>
      </c>
      <c r="T28" s="105">
        <v>37</v>
      </c>
      <c r="U28" s="105">
        <v>27</v>
      </c>
      <c r="V28" s="105">
        <v>27</v>
      </c>
      <c r="W28" s="104"/>
      <c r="X28" s="104"/>
      <c r="Y28" s="106">
        <v>0</v>
      </c>
      <c r="Z28" s="107">
        <v>0</v>
      </c>
      <c r="AA28" s="105"/>
      <c r="AB28" s="103"/>
      <c r="AC28" s="103"/>
      <c r="AD28" s="117">
        <v>1</v>
      </c>
      <c r="AE28" s="220">
        <v>0.51351351351351349</v>
      </c>
      <c r="AF28" s="120"/>
      <c r="AG28" s="121"/>
      <c r="AH28" s="121"/>
      <c r="AI28" s="121"/>
      <c r="AJ28" s="121"/>
      <c r="AK28" s="121"/>
      <c r="AL28" s="121" t="str">
        <f>"   " &amp; TEXT(AE28,"#0.00%") &amp; " "</f>
        <v xml:space="preserve">   51.35% </v>
      </c>
      <c r="AM28" s="121"/>
      <c r="AN28" s="121"/>
      <c r="AO28" s="121" t="str">
        <f>" " &amp; "설계" &amp; " " &amp; IF(P28="","",TEXT(P28,"M/D-")) &amp; IF(Q28="","",TEXT(Q28,"M/D")) &amp; " "</f>
        <v xml:space="preserve"> 설계 3/26-5/3 </v>
      </c>
      <c r="AP28" s="121"/>
      <c r="AQ28" s="121"/>
      <c r="AR28" s="121"/>
      <c r="AS28" s="121"/>
      <c r="AT28" s="121"/>
      <c r="AU28" s="121"/>
      <c r="AV28" s="121"/>
      <c r="AW28" s="121"/>
      <c r="AX28" s="121"/>
      <c r="AY28" s="121"/>
      <c r="AZ28" s="121"/>
      <c r="BA28" s="121"/>
      <c r="BB28" s="121"/>
      <c r="BC28" s="121"/>
    </row>
    <row r="29" spans="1:55" ht="12" customHeight="1" outlineLevel="2">
      <c r="A29" s="102"/>
      <c r="B29" s="102"/>
      <c r="C29" s="102">
        <v>3</v>
      </c>
      <c r="D29" s="118" t="s">
        <v>1488</v>
      </c>
      <c r="E29" s="103"/>
      <c r="F29" s="103"/>
      <c r="G29" s="103" t="s">
        <v>1358</v>
      </c>
      <c r="H29" s="103"/>
      <c r="I29" s="103"/>
      <c r="J29" s="103"/>
      <c r="K29" s="103"/>
      <c r="L29" s="103"/>
      <c r="M29" s="103"/>
      <c r="N29" s="103"/>
      <c r="O29" s="103"/>
      <c r="P29" s="104">
        <v>46107</v>
      </c>
      <c r="Q29" s="104">
        <v>46118</v>
      </c>
      <c r="R29" s="103"/>
      <c r="S29" s="105">
        <v>8</v>
      </c>
      <c r="T29" s="105">
        <v>8</v>
      </c>
      <c r="U29" s="105">
        <v>8</v>
      </c>
      <c r="V29" s="105">
        <v>8</v>
      </c>
      <c r="W29" s="104">
        <v>46107</v>
      </c>
      <c r="X29" s="104">
        <v>46118</v>
      </c>
      <c r="Y29" s="106">
        <v>8</v>
      </c>
      <c r="Z29" s="107">
        <v>8</v>
      </c>
      <c r="AA29" s="105">
        <v>1</v>
      </c>
      <c r="AB29" s="103"/>
      <c r="AC29" s="103"/>
      <c r="AD29" s="117">
        <v>1</v>
      </c>
      <c r="AE29" s="199">
        <v>1</v>
      </c>
      <c r="AF29" s="120"/>
      <c r="AG29" s="121"/>
      <c r="AH29" s="121"/>
      <c r="AI29" s="121"/>
      <c r="AJ29" s="121"/>
      <c r="AK29" s="121" t="str">
        <f>"  " &amp; TEXT(AE29,"#0.00%") &amp; " " &amp; "UI 설계" &amp; " " &amp; IF(P29="","",TEXT(P29,"M/D-")) &amp; IF(Q29="","",TEXT(Q29,"M/D")) &amp; " "</f>
        <v xml:space="preserve">  100.00% UI 설계 3/26-4/6 </v>
      </c>
      <c r="AL29" s="121"/>
      <c r="AM29" s="121"/>
      <c r="AN29" s="121"/>
      <c r="AO29" s="121"/>
      <c r="AP29" s="121"/>
      <c r="AQ29" s="121"/>
      <c r="AR29" s="121"/>
      <c r="AS29" s="121"/>
      <c r="AT29" s="121"/>
      <c r="AU29" s="121"/>
      <c r="AV29" s="121"/>
      <c r="AW29" s="121"/>
      <c r="AX29" s="121"/>
      <c r="AY29" s="121"/>
      <c r="AZ29" s="121"/>
      <c r="BA29" s="121"/>
      <c r="BB29" s="121"/>
      <c r="BC29" s="121"/>
    </row>
    <row r="30" spans="1:55" ht="12" customHeight="1" outlineLevel="2">
      <c r="A30" s="102"/>
      <c r="B30" s="102" t="s">
        <v>1391</v>
      </c>
      <c r="C30" s="102">
        <v>3</v>
      </c>
      <c r="D30" s="118" t="s">
        <v>1489</v>
      </c>
      <c r="E30" s="103"/>
      <c r="F30" s="103"/>
      <c r="G30" s="103" t="s">
        <v>1490</v>
      </c>
      <c r="H30" s="103"/>
      <c r="I30" s="103"/>
      <c r="J30" s="103"/>
      <c r="K30" s="103"/>
      <c r="L30" s="103"/>
      <c r="M30" s="103"/>
      <c r="N30" s="103"/>
      <c r="O30" s="103"/>
      <c r="P30" s="104">
        <v>46107</v>
      </c>
      <c r="Q30" s="104">
        <v>46139</v>
      </c>
      <c r="R30" s="103"/>
      <c r="S30" s="105">
        <v>27</v>
      </c>
      <c r="T30" s="105">
        <v>27</v>
      </c>
      <c r="U30" s="105">
        <v>23</v>
      </c>
      <c r="V30" s="105">
        <v>23</v>
      </c>
      <c r="W30" s="104"/>
      <c r="X30" s="104"/>
      <c r="Y30" s="106">
        <v>0</v>
      </c>
      <c r="Z30" s="107">
        <v>0</v>
      </c>
      <c r="AA30" s="105"/>
      <c r="AB30" s="103"/>
      <c r="AC30" s="103"/>
      <c r="AD30" s="117">
        <v>1</v>
      </c>
      <c r="AE30" s="220">
        <v>0.40740740740740738</v>
      </c>
      <c r="AF30" s="120"/>
      <c r="AG30" s="121"/>
      <c r="AH30" s="121"/>
      <c r="AI30" s="121"/>
      <c r="AJ30" s="121"/>
      <c r="AK30" s="121" t="str">
        <f>"   " &amp; TEXT(AE30,"#0.00%") &amp; " "</f>
        <v xml:space="preserve">   40.74% </v>
      </c>
      <c r="AL30" s="121"/>
      <c r="AM30" s="121"/>
      <c r="AN30" s="121" t="str">
        <f>"  " &amp; "시스템 설계" &amp; " " &amp; IF(P30="","",TEXT(P30,"M/D-")) &amp; IF(Q30="","",TEXT(Q30,"M/D")) &amp; " "</f>
        <v xml:space="preserve">  시스템 설계 3/26-4/27 </v>
      </c>
      <c r="AO30" s="121"/>
      <c r="AP30" s="121"/>
      <c r="AQ30" s="121"/>
      <c r="AR30" s="121"/>
      <c r="AS30" s="121"/>
      <c r="AT30" s="121"/>
      <c r="AU30" s="121"/>
      <c r="AV30" s="121"/>
      <c r="AW30" s="121"/>
      <c r="AX30" s="121"/>
      <c r="AY30" s="121"/>
      <c r="AZ30" s="121"/>
      <c r="BA30" s="121"/>
      <c r="BB30" s="121"/>
      <c r="BC30" s="121"/>
    </row>
    <row r="31" spans="1:55" ht="12" customHeight="1" outlineLevel="3">
      <c r="A31" s="102"/>
      <c r="B31" s="102"/>
      <c r="C31" s="102">
        <v>4</v>
      </c>
      <c r="D31" s="118" t="s">
        <v>1491</v>
      </c>
      <c r="E31" s="103"/>
      <c r="F31" s="103"/>
      <c r="G31" s="103"/>
      <c r="H31" s="103" t="s">
        <v>1492</v>
      </c>
      <c r="I31" s="103"/>
      <c r="J31" s="103"/>
      <c r="K31" s="103"/>
      <c r="L31" s="103"/>
      <c r="M31" s="103"/>
      <c r="N31" s="103"/>
      <c r="O31" s="103"/>
      <c r="P31" s="104">
        <v>46107</v>
      </c>
      <c r="Q31" s="104">
        <v>46111</v>
      </c>
      <c r="R31" s="103"/>
      <c r="S31" s="105">
        <v>3</v>
      </c>
      <c r="T31" s="105">
        <v>3</v>
      </c>
      <c r="U31" s="105">
        <v>3</v>
      </c>
      <c r="V31" s="105">
        <v>3</v>
      </c>
      <c r="W31" s="104">
        <v>46107</v>
      </c>
      <c r="X31" s="104">
        <v>46120</v>
      </c>
      <c r="Y31" s="106">
        <v>10</v>
      </c>
      <c r="Z31" s="107">
        <v>10</v>
      </c>
      <c r="AA31" s="105">
        <v>1</v>
      </c>
      <c r="AB31" s="103"/>
      <c r="AC31" s="103"/>
      <c r="AD31" s="117">
        <v>1</v>
      </c>
      <c r="AE31" s="199">
        <v>1</v>
      </c>
      <c r="AF31" s="120"/>
      <c r="AG31" s="121"/>
      <c r="AH31" s="121"/>
      <c r="AI31" s="121"/>
      <c r="AJ31" s="121" t="str">
        <f>"  " &amp; TEXT(AE31,"#0.00%") &amp; " " &amp; "Architecture설계" &amp; " " &amp; IF(P31="","",TEXT(P31,"M/D-")) &amp; IF(Q31="","",TEXT(Q31,"M/D")) &amp; " "</f>
        <v xml:space="preserve">  100.00% Architecture설계 3/26-3/30 </v>
      </c>
      <c r="AK31" s="121"/>
      <c r="AL31" s="121"/>
      <c r="AM31" s="121"/>
      <c r="AN31" s="121"/>
      <c r="AO31" s="121"/>
      <c r="AP31" s="121"/>
      <c r="AQ31" s="121"/>
      <c r="AR31" s="121"/>
      <c r="AS31" s="121"/>
      <c r="AT31" s="121"/>
      <c r="AU31" s="121"/>
      <c r="AV31" s="121"/>
      <c r="AW31" s="121"/>
      <c r="AX31" s="121"/>
      <c r="AY31" s="121"/>
      <c r="AZ31" s="121"/>
      <c r="BA31" s="121"/>
      <c r="BB31" s="121"/>
      <c r="BC31" s="121"/>
    </row>
    <row r="32" spans="1:55" ht="12" customHeight="1" outlineLevel="3">
      <c r="A32" s="102"/>
      <c r="B32" s="102"/>
      <c r="C32" s="102">
        <v>4</v>
      </c>
      <c r="D32" s="118" t="s">
        <v>1493</v>
      </c>
      <c r="E32" s="103"/>
      <c r="F32" s="103"/>
      <c r="G32" s="103"/>
      <c r="H32" s="103" t="s">
        <v>1359</v>
      </c>
      <c r="I32" s="103"/>
      <c r="J32" s="103"/>
      <c r="K32" s="103"/>
      <c r="L32" s="103"/>
      <c r="M32" s="103"/>
      <c r="N32" s="103"/>
      <c r="O32" s="103"/>
      <c r="P32" s="104">
        <v>46114</v>
      </c>
      <c r="Q32" s="104">
        <v>46125</v>
      </c>
      <c r="R32" s="103"/>
      <c r="S32" s="105">
        <v>8</v>
      </c>
      <c r="T32" s="105">
        <v>8</v>
      </c>
      <c r="U32" s="105">
        <v>8</v>
      </c>
      <c r="V32" s="105">
        <v>8</v>
      </c>
      <c r="W32" s="104">
        <v>46114</v>
      </c>
      <c r="X32" s="104">
        <v>46125</v>
      </c>
      <c r="Y32" s="106">
        <v>8</v>
      </c>
      <c r="Z32" s="107">
        <v>8</v>
      </c>
      <c r="AA32" s="105">
        <v>1</v>
      </c>
      <c r="AB32" s="103"/>
      <c r="AC32" s="103"/>
      <c r="AD32" s="117">
        <v>1</v>
      </c>
      <c r="AE32" s="199">
        <v>1</v>
      </c>
      <c r="AF32" s="120"/>
      <c r="AG32" s="121"/>
      <c r="AH32" s="121"/>
      <c r="AI32" s="121"/>
      <c r="AJ32" s="121"/>
      <c r="AK32" s="121"/>
      <c r="AL32" s="121" t="str">
        <f>"  " &amp; TEXT(AE32,"#0.00%") &amp; " " &amp; "데이터베이스설계" &amp; " " &amp; IF(P32="","",TEXT(P32,"M/D-")) &amp; IF(Q32="","",TEXT(Q32,"M/D")) &amp; " "</f>
        <v xml:space="preserve">  100.00% 데이터베이스설계 4/2-4/13 </v>
      </c>
      <c r="AM32" s="121"/>
      <c r="AN32" s="121"/>
      <c r="AO32" s="121"/>
      <c r="AP32" s="121"/>
      <c r="AQ32" s="121"/>
      <c r="AR32" s="121"/>
      <c r="AS32" s="121"/>
      <c r="AT32" s="121"/>
      <c r="AU32" s="121"/>
      <c r="AV32" s="121"/>
      <c r="AW32" s="121"/>
      <c r="AX32" s="121"/>
      <c r="AY32" s="121"/>
      <c r="AZ32" s="121"/>
      <c r="BA32" s="121"/>
      <c r="BB32" s="121"/>
      <c r="BC32" s="121"/>
    </row>
    <row r="33" spans="1:55" ht="12" customHeight="1" outlineLevel="3">
      <c r="A33" s="102"/>
      <c r="B33" s="102"/>
      <c r="C33" s="102">
        <v>4</v>
      </c>
      <c r="D33" s="118" t="s">
        <v>1494</v>
      </c>
      <c r="E33" s="103"/>
      <c r="F33" s="103"/>
      <c r="G33" s="103"/>
      <c r="H33" s="103" t="s">
        <v>1360</v>
      </c>
      <c r="I33" s="103"/>
      <c r="J33" s="103"/>
      <c r="K33" s="103"/>
      <c r="L33" s="103"/>
      <c r="M33" s="103"/>
      <c r="N33" s="103"/>
      <c r="O33" s="103"/>
      <c r="P33" s="104">
        <v>46117</v>
      </c>
      <c r="Q33" s="104">
        <v>46139</v>
      </c>
      <c r="R33" s="103"/>
      <c r="S33" s="105">
        <v>16</v>
      </c>
      <c r="T33" s="105">
        <v>16</v>
      </c>
      <c r="U33" s="105">
        <v>16</v>
      </c>
      <c r="V33" s="105">
        <v>16</v>
      </c>
      <c r="W33" s="104"/>
      <c r="X33" s="104"/>
      <c r="Y33" s="106"/>
      <c r="Z33" s="107">
        <v>0</v>
      </c>
      <c r="AA33" s="105">
        <v>1</v>
      </c>
      <c r="AB33" s="103"/>
      <c r="AC33" s="103"/>
      <c r="AD33" s="117">
        <v>1</v>
      </c>
      <c r="AE33" s="214">
        <v>0</v>
      </c>
      <c r="AF33" s="120"/>
      <c r="AG33" s="121"/>
      <c r="AH33" s="121"/>
      <c r="AI33" s="121"/>
      <c r="AJ33" s="121"/>
      <c r="AK33" s="121" t="str">
        <f>"" &amp; TEXT(AE33,"#0.00%") &amp; " "</f>
        <v xml:space="preserve">0.00% </v>
      </c>
      <c r="AL33" s="121"/>
      <c r="AM33" s="121"/>
      <c r="AN33" s="121" t="str">
        <f>"  " &amp; "프로그램설계" &amp; " " &amp; IF(P33="","",TEXT(P33,"M/D-")) &amp; IF(Q33="","",TEXT(Q33,"M/D")) &amp; " "</f>
        <v xml:space="preserve">  프로그램설계 4/5-4/27 </v>
      </c>
      <c r="AO33" s="121"/>
      <c r="AP33" s="121"/>
      <c r="AQ33" s="121"/>
      <c r="AR33" s="121"/>
      <c r="AS33" s="121"/>
      <c r="AT33" s="121"/>
      <c r="AU33" s="121"/>
      <c r="AV33" s="121"/>
      <c r="AW33" s="121"/>
      <c r="AX33" s="121"/>
      <c r="AY33" s="121"/>
      <c r="AZ33" s="121"/>
      <c r="BA33" s="121"/>
      <c r="BB33" s="121"/>
      <c r="BC33" s="121"/>
    </row>
    <row r="34" spans="1:55" ht="12" customHeight="1" outlineLevel="2">
      <c r="A34" s="102"/>
      <c r="B34" s="102"/>
      <c r="C34" s="102">
        <v>3</v>
      </c>
      <c r="D34" s="118" t="s">
        <v>1495</v>
      </c>
      <c r="E34" s="103"/>
      <c r="F34" s="103"/>
      <c r="G34" s="103" t="s">
        <v>1361</v>
      </c>
      <c r="H34" s="103"/>
      <c r="I34" s="103"/>
      <c r="J34" s="103"/>
      <c r="K34" s="103"/>
      <c r="L34" s="103"/>
      <c r="M34" s="103"/>
      <c r="N34" s="103"/>
      <c r="O34" s="103"/>
      <c r="P34" s="104">
        <v>46142</v>
      </c>
      <c r="Q34" s="104">
        <v>46145</v>
      </c>
      <c r="R34" s="103"/>
      <c r="S34" s="105">
        <v>2</v>
      </c>
      <c r="T34" s="105">
        <v>2</v>
      </c>
      <c r="U34" s="105">
        <v>2</v>
      </c>
      <c r="V34" s="105">
        <v>2</v>
      </c>
      <c r="W34" s="104"/>
      <c r="X34" s="104"/>
      <c r="Y34" s="106"/>
      <c r="Z34" s="107">
        <v>0</v>
      </c>
      <c r="AA34" s="105">
        <v>1</v>
      </c>
      <c r="AB34" s="103"/>
      <c r="AC34" s="103"/>
      <c r="AD34" s="117">
        <v>1</v>
      </c>
      <c r="AE34" s="214">
        <v>0</v>
      </c>
      <c r="AF34" s="120"/>
      <c r="AG34" s="121"/>
      <c r="AH34" s="121"/>
      <c r="AI34" s="121"/>
      <c r="AJ34" s="121"/>
      <c r="AK34" s="121"/>
      <c r="AL34" s="121"/>
      <c r="AM34" s="121"/>
      <c r="AN34" s="121" t="str">
        <f>"    " &amp; TEXT(AE34,"#0.00%") &amp; " " &amp; "테스트 설계" &amp; " " &amp; IF(P34="","",TEXT(P34,"M/D-")) &amp; IF(Q34="","",TEXT(Q34,"M/D")) &amp; " "</f>
        <v xml:space="preserve">    0.00% 테스트 설계 4/30-5/3 </v>
      </c>
      <c r="AO34" s="121"/>
      <c r="AP34" s="121"/>
      <c r="AQ34" s="121"/>
      <c r="AR34" s="121"/>
      <c r="AS34" s="121"/>
      <c r="AT34" s="121"/>
      <c r="AU34" s="121"/>
      <c r="AV34" s="121"/>
      <c r="AW34" s="121"/>
      <c r="AX34" s="121"/>
      <c r="AY34" s="121"/>
      <c r="AZ34" s="121"/>
      <c r="BA34" s="121"/>
      <c r="BB34" s="121"/>
      <c r="BC34" s="121"/>
    </row>
    <row r="35" spans="1:55" ht="12" customHeight="1" outlineLevel="1">
      <c r="A35" s="102"/>
      <c r="B35" s="102" t="s">
        <v>1391</v>
      </c>
      <c r="C35" s="102">
        <v>2</v>
      </c>
      <c r="D35" s="118" t="s">
        <v>1546</v>
      </c>
      <c r="E35" s="103"/>
      <c r="F35" s="103" t="s">
        <v>1496</v>
      </c>
      <c r="G35" s="103"/>
      <c r="H35" s="103"/>
      <c r="I35" s="103"/>
      <c r="J35" s="103"/>
      <c r="K35" s="103"/>
      <c r="L35" s="103"/>
      <c r="M35" s="103"/>
      <c r="N35" s="103"/>
      <c r="O35" s="103"/>
      <c r="P35" s="104">
        <v>46146</v>
      </c>
      <c r="Q35" s="104">
        <v>46216</v>
      </c>
      <c r="R35" s="103"/>
      <c r="S35" s="105">
        <v>157</v>
      </c>
      <c r="T35" s="105">
        <v>157</v>
      </c>
      <c r="U35" s="105">
        <v>48</v>
      </c>
      <c r="V35" s="105">
        <v>48</v>
      </c>
      <c r="W35" s="104"/>
      <c r="X35" s="104"/>
      <c r="Y35" s="106">
        <v>0</v>
      </c>
      <c r="Z35" s="107">
        <v>0</v>
      </c>
      <c r="AA35" s="105"/>
      <c r="AB35" s="103"/>
      <c r="AC35" s="103"/>
      <c r="AD35" s="117">
        <v>1</v>
      </c>
      <c r="AE35" s="220">
        <v>4.9044585987261156E-2</v>
      </c>
      <c r="AF35" s="120"/>
      <c r="AG35" s="121"/>
      <c r="AH35" s="121"/>
      <c r="AI35" s="121"/>
      <c r="AJ35" s="121"/>
      <c r="AK35" s="121"/>
      <c r="AL35" s="121"/>
      <c r="AM35" s="121"/>
      <c r="AN35" s="121"/>
      <c r="AO35" s="121" t="str">
        <f>"    " &amp; TEXT(AE35,"#0.00%") &amp; " "</f>
        <v xml:space="preserve">    4.90% </v>
      </c>
      <c r="AP35" s="121"/>
      <c r="AQ35" s="121"/>
      <c r="AR35" s="121"/>
      <c r="AS35" s="121"/>
      <c r="AT35" s="121"/>
      <c r="AU35" s="121"/>
      <c r="AV35" s="121"/>
      <c r="AW35" s="121"/>
      <c r="AX35" s="121"/>
      <c r="AY35" s="121" t="str">
        <f>"  " &amp; "개발" &amp; " " &amp; IF(P35="","",TEXT(P35,"M/D-")) &amp; IF(Q35="","",TEXT(Q35,"M/D")) &amp; " "</f>
        <v xml:space="preserve">  개발 5/4-7/13 </v>
      </c>
      <c r="AZ35" s="121"/>
      <c r="BA35" s="121"/>
      <c r="BB35" s="121"/>
      <c r="BC35" s="121"/>
    </row>
    <row r="36" spans="1:55" ht="12" customHeight="1" outlineLevel="2">
      <c r="A36" s="102"/>
      <c r="B36" s="102" t="s">
        <v>1391</v>
      </c>
      <c r="C36" s="102">
        <v>3</v>
      </c>
      <c r="D36" s="118" t="s">
        <v>1497</v>
      </c>
      <c r="E36" s="103"/>
      <c r="F36" s="103"/>
      <c r="G36" s="103" t="s">
        <v>1498</v>
      </c>
      <c r="H36" s="103"/>
      <c r="I36" s="103"/>
      <c r="J36" s="103"/>
      <c r="K36" s="103"/>
      <c r="L36" s="103"/>
      <c r="M36" s="103"/>
      <c r="N36" s="103"/>
      <c r="O36" s="103"/>
      <c r="P36" s="104">
        <v>46146</v>
      </c>
      <c r="Q36" s="104">
        <v>46202</v>
      </c>
      <c r="R36" s="103"/>
      <c r="S36" s="105">
        <v>141</v>
      </c>
      <c r="T36" s="105">
        <v>141</v>
      </c>
      <c r="U36" s="105">
        <v>38</v>
      </c>
      <c r="V36" s="105">
        <v>38</v>
      </c>
      <c r="W36" s="104"/>
      <c r="X36" s="104"/>
      <c r="Y36" s="106">
        <v>0</v>
      </c>
      <c r="Z36" s="107">
        <v>0</v>
      </c>
      <c r="AA36" s="105"/>
      <c r="AB36" s="103"/>
      <c r="AC36" s="103"/>
      <c r="AD36" s="117">
        <v>1</v>
      </c>
      <c r="AE36" s="220">
        <v>5.4609929078014194E-2</v>
      </c>
      <c r="AF36" s="120"/>
      <c r="AG36" s="121"/>
      <c r="AH36" s="121"/>
      <c r="AI36" s="121"/>
      <c r="AJ36" s="121"/>
      <c r="AK36" s="121"/>
      <c r="AL36" s="121"/>
      <c r="AM36" s="121"/>
      <c r="AN36" s="121"/>
      <c r="AO36" s="121" t="str">
        <f>"    " &amp; TEXT(AE36,"#0.00%") &amp; " "</f>
        <v xml:space="preserve">    5.46% </v>
      </c>
      <c r="AP36" s="121"/>
      <c r="AQ36" s="121"/>
      <c r="AR36" s="121"/>
      <c r="AS36" s="121"/>
      <c r="AT36" s="121"/>
      <c r="AU36" s="121"/>
      <c r="AV36" s="121"/>
      <c r="AW36" s="121" t="str">
        <f>"  " &amp; "프로그램 개발" &amp; " " &amp; IF(P36="","",TEXT(P36,"M/D-")) &amp; IF(Q36="","",TEXT(Q36,"M/D")) &amp; " "</f>
        <v xml:space="preserve">  프로그램 개발 5/4-6/29 </v>
      </c>
      <c r="AX36" s="121"/>
      <c r="AY36" s="121"/>
      <c r="AZ36" s="121"/>
      <c r="BA36" s="121"/>
      <c r="BB36" s="121"/>
      <c r="BC36" s="121"/>
    </row>
    <row r="37" spans="1:55" ht="12" customHeight="1" outlineLevel="3">
      <c r="A37" s="102"/>
      <c r="B37" s="102"/>
      <c r="C37" s="102">
        <v>4</v>
      </c>
      <c r="D37" s="118" t="s">
        <v>1499</v>
      </c>
      <c r="E37" s="103"/>
      <c r="F37" s="103"/>
      <c r="G37" s="103"/>
      <c r="H37" s="103" t="s">
        <v>1500</v>
      </c>
      <c r="I37" s="103"/>
      <c r="J37" s="103"/>
      <c r="K37" s="103"/>
      <c r="L37" s="103"/>
      <c r="M37" s="103"/>
      <c r="N37" s="103"/>
      <c r="O37" s="103"/>
      <c r="P37" s="104">
        <v>46146</v>
      </c>
      <c r="Q37" s="104">
        <v>46150</v>
      </c>
      <c r="R37" s="103"/>
      <c r="S37" s="105">
        <v>4</v>
      </c>
      <c r="T37" s="105">
        <v>4</v>
      </c>
      <c r="U37" s="105">
        <v>4</v>
      </c>
      <c r="V37" s="105">
        <v>4</v>
      </c>
      <c r="W37" s="104"/>
      <c r="X37" s="104"/>
      <c r="Y37" s="106"/>
      <c r="Z37" s="107">
        <v>0</v>
      </c>
      <c r="AA37" s="105">
        <v>1</v>
      </c>
      <c r="AB37" s="103"/>
      <c r="AC37" s="103"/>
      <c r="AD37" s="117">
        <v>1</v>
      </c>
      <c r="AE37" s="214">
        <v>0</v>
      </c>
      <c r="AF37" s="120"/>
      <c r="AG37" s="121"/>
      <c r="AH37" s="121"/>
      <c r="AI37" s="121"/>
      <c r="AJ37" s="121"/>
      <c r="AK37" s="121"/>
      <c r="AL37" s="121"/>
      <c r="AM37" s="121"/>
      <c r="AN37" s="121"/>
      <c r="AO37" s="121" t="str">
        <f>" " &amp; TEXT(AE37,"#0.00%") &amp; " " &amp; "단위테스트시나리오작성" &amp; " " &amp; IF(P37="","",TEXT(P37,"M/D-")) &amp; IF(Q37="","",TEXT(Q37,"M/D")) &amp; " "</f>
        <v xml:space="preserve"> 0.00% 단위테스트시나리오작성 5/4-5/8 </v>
      </c>
      <c r="AP37" s="121"/>
      <c r="AQ37" s="121"/>
      <c r="AR37" s="121"/>
      <c r="AS37" s="121"/>
      <c r="AT37" s="121"/>
      <c r="AU37" s="121"/>
      <c r="AV37" s="121"/>
      <c r="AW37" s="121"/>
      <c r="AX37" s="121"/>
      <c r="AY37" s="121"/>
      <c r="AZ37" s="121"/>
      <c r="BA37" s="121"/>
      <c r="BB37" s="121"/>
      <c r="BC37" s="121"/>
    </row>
    <row r="38" spans="1:55" ht="12" customHeight="1" outlineLevel="3">
      <c r="A38" s="102"/>
      <c r="B38" s="102" t="s">
        <v>1391</v>
      </c>
      <c r="C38" s="102">
        <v>4</v>
      </c>
      <c r="D38" s="118" t="s">
        <v>1501</v>
      </c>
      <c r="E38" s="103"/>
      <c r="F38" s="103"/>
      <c r="G38" s="103"/>
      <c r="H38" s="103" t="s">
        <v>1502</v>
      </c>
      <c r="I38" s="103"/>
      <c r="J38" s="103"/>
      <c r="K38" s="103"/>
      <c r="L38" s="103"/>
      <c r="M38" s="103"/>
      <c r="N38" s="103"/>
      <c r="O38" s="103"/>
      <c r="P38" s="104">
        <v>46146</v>
      </c>
      <c r="Q38" s="104">
        <v>46202</v>
      </c>
      <c r="R38" s="103"/>
      <c r="S38" s="105">
        <v>137</v>
      </c>
      <c r="T38" s="105">
        <v>137</v>
      </c>
      <c r="U38" s="105">
        <v>38</v>
      </c>
      <c r="V38" s="105">
        <v>38</v>
      </c>
      <c r="W38" s="104"/>
      <c r="X38" s="104"/>
      <c r="Y38" s="106">
        <v>0</v>
      </c>
      <c r="Z38" s="107">
        <v>0</v>
      </c>
      <c r="AA38" s="105"/>
      <c r="AB38" s="103"/>
      <c r="AC38" s="103"/>
      <c r="AD38" s="117">
        <v>1</v>
      </c>
      <c r="AE38" s="220">
        <v>5.6204379562043806E-2</v>
      </c>
      <c r="AF38" s="120"/>
      <c r="AG38" s="121"/>
      <c r="AH38" s="121"/>
      <c r="AI38" s="121"/>
      <c r="AJ38" s="121"/>
      <c r="AK38" s="121"/>
      <c r="AL38" s="121"/>
      <c r="AM38" s="121"/>
      <c r="AN38" s="121"/>
      <c r="AO38" s="121" t="str">
        <f>"    " &amp; TEXT(AE38,"#0.00%") &amp; " "</f>
        <v xml:space="preserve">    5.62% </v>
      </c>
      <c r="AP38" s="121"/>
      <c r="AQ38" s="121"/>
      <c r="AR38" s="121"/>
      <c r="AS38" s="121"/>
      <c r="AT38" s="121"/>
      <c r="AU38" s="121"/>
      <c r="AV38" s="121"/>
      <c r="AW38" s="121" t="str">
        <f>"  " &amp; "프로그램코딩 및 단위테스트" &amp; " " &amp; IF(P38="","",TEXT(P38,"M/D-")) &amp; IF(Q38="","",TEXT(Q38,"M/D")) &amp; " "</f>
        <v xml:space="preserve">  프로그램코딩 및 단위테스트 5/4-6/29 </v>
      </c>
      <c r="AX38" s="121"/>
      <c r="AY38" s="121"/>
      <c r="AZ38" s="121"/>
      <c r="BA38" s="121"/>
      <c r="BB38" s="121"/>
      <c r="BC38" s="121"/>
    </row>
    <row r="39" spans="1:55" ht="12" customHeight="1" outlineLevel="4">
      <c r="A39" s="102"/>
      <c r="B39" s="102" t="s">
        <v>1391</v>
      </c>
      <c r="C39" s="102">
        <v>5</v>
      </c>
      <c r="D39" s="118" t="s">
        <v>1503</v>
      </c>
      <c r="E39" s="103"/>
      <c r="F39" s="103"/>
      <c r="G39" s="103"/>
      <c r="H39" s="103"/>
      <c r="I39" s="103" t="s">
        <v>1504</v>
      </c>
      <c r="J39" s="103"/>
      <c r="K39" s="103"/>
      <c r="L39" s="103"/>
      <c r="M39" s="103"/>
      <c r="N39" s="103"/>
      <c r="O39" s="103"/>
      <c r="P39" s="104">
        <v>46149</v>
      </c>
      <c r="Q39" s="104">
        <v>46198</v>
      </c>
      <c r="R39" s="103"/>
      <c r="S39" s="105">
        <v>32</v>
      </c>
      <c r="T39" s="105">
        <v>32</v>
      </c>
      <c r="U39" s="105">
        <v>34</v>
      </c>
      <c r="V39" s="105">
        <v>34</v>
      </c>
      <c r="W39" s="104"/>
      <c r="X39" s="104"/>
      <c r="Y39" s="106">
        <v>0</v>
      </c>
      <c r="Z39" s="107">
        <v>0</v>
      </c>
      <c r="AA39" s="105"/>
      <c r="AB39" s="103"/>
      <c r="AC39" s="103"/>
      <c r="AD39" s="117">
        <v>1</v>
      </c>
      <c r="AE39" s="220">
        <v>0.24062500000000003</v>
      </c>
      <c r="AF39" s="120"/>
      <c r="AG39" s="121"/>
      <c r="AH39" s="121"/>
      <c r="AI39" s="121"/>
      <c r="AJ39" s="121"/>
      <c r="AK39" s="121"/>
      <c r="AL39" s="121"/>
      <c r="AM39" s="121"/>
      <c r="AN39" s="121"/>
      <c r="AO39" s="121"/>
      <c r="AP39" s="121"/>
      <c r="AQ39" s="121" t="str">
        <f>"  " &amp; TEXT(AE39,"#0.00%") &amp; " "</f>
        <v xml:space="preserve">  24.06% </v>
      </c>
      <c r="AR39" s="121"/>
      <c r="AS39" s="121"/>
      <c r="AT39" s="121"/>
      <c r="AU39" s="121"/>
      <c r="AV39" s="121" t="str">
        <f>"     " &amp; "모듈A" &amp; " " &amp; IF(P39="","",TEXT(P39,"M/D-")) &amp; IF(Q39="","",TEXT(Q39,"M/D")) &amp; " "</f>
        <v xml:space="preserve">     모듈A 5/7-6/25 </v>
      </c>
      <c r="AW39" s="121"/>
      <c r="AX39" s="121"/>
      <c r="AY39" s="121"/>
      <c r="AZ39" s="121"/>
      <c r="BA39" s="121"/>
      <c r="BB39" s="121"/>
      <c r="BC39" s="121"/>
    </row>
    <row r="40" spans="1:55" ht="12" customHeight="1" outlineLevel="5">
      <c r="A40" s="102"/>
      <c r="B40" s="102"/>
      <c r="C40" s="102">
        <v>6</v>
      </c>
      <c r="D40" s="118" t="s">
        <v>1505</v>
      </c>
      <c r="E40" s="103"/>
      <c r="F40" s="103"/>
      <c r="G40" s="103"/>
      <c r="H40" s="103"/>
      <c r="I40" s="103"/>
      <c r="J40" s="103" t="s">
        <v>1506</v>
      </c>
      <c r="K40" s="103"/>
      <c r="L40" s="103"/>
      <c r="M40" s="103"/>
      <c r="N40" s="103"/>
      <c r="O40" s="103"/>
      <c r="P40" s="104">
        <v>46149</v>
      </c>
      <c r="Q40" s="104">
        <v>46160</v>
      </c>
      <c r="R40" s="103"/>
      <c r="S40" s="105">
        <v>8</v>
      </c>
      <c r="T40" s="105">
        <v>8</v>
      </c>
      <c r="U40" s="105">
        <v>8</v>
      </c>
      <c r="V40" s="105">
        <v>8</v>
      </c>
      <c r="W40" s="104"/>
      <c r="X40" s="104"/>
      <c r="Y40" s="106"/>
      <c r="Z40" s="107">
        <v>0</v>
      </c>
      <c r="AA40" s="105">
        <v>1</v>
      </c>
      <c r="AB40" s="103"/>
      <c r="AC40" s="103"/>
      <c r="AD40" s="117">
        <v>1</v>
      </c>
      <c r="AE40" s="214">
        <v>0</v>
      </c>
      <c r="AF40" s="120"/>
      <c r="AG40" s="121"/>
      <c r="AH40" s="121"/>
      <c r="AI40" s="121"/>
      <c r="AJ40" s="121"/>
      <c r="AK40" s="121"/>
      <c r="AL40" s="121"/>
      <c r="AM40" s="121"/>
      <c r="AN40" s="121"/>
      <c r="AO40" s="121" t="str">
        <f>"    " &amp; TEXT(AE40,"#0.00%") &amp; " " &amp; "프로그램A" &amp; " " &amp; IF(P40="","",TEXT(P40,"M/D-")) &amp; IF(Q40="","",TEXT(Q40,"M/D")) &amp; " "</f>
        <v xml:space="preserve">    0.00% 프로그램A 5/7-5/18 </v>
      </c>
      <c r="AP40" s="121"/>
      <c r="AQ40" s="121"/>
      <c r="AR40" s="121"/>
      <c r="AS40" s="121"/>
      <c r="AT40" s="121"/>
      <c r="AU40" s="121"/>
      <c r="AV40" s="121"/>
      <c r="AW40" s="121"/>
      <c r="AX40" s="121"/>
      <c r="AY40" s="121"/>
      <c r="AZ40" s="121"/>
      <c r="BA40" s="121"/>
      <c r="BB40" s="121"/>
      <c r="BC40" s="121"/>
    </row>
    <row r="41" spans="1:55" ht="12" customHeight="1" outlineLevel="5">
      <c r="A41" s="102"/>
      <c r="B41" s="102"/>
      <c r="C41" s="102">
        <v>6</v>
      </c>
      <c r="D41" s="118" t="s">
        <v>1507</v>
      </c>
      <c r="E41" s="103"/>
      <c r="F41" s="103"/>
      <c r="G41" s="103"/>
      <c r="H41" s="103"/>
      <c r="I41" s="103"/>
      <c r="J41" s="103" t="s">
        <v>1508</v>
      </c>
      <c r="K41" s="103"/>
      <c r="L41" s="103"/>
      <c r="M41" s="103"/>
      <c r="N41" s="103"/>
      <c r="O41" s="103"/>
      <c r="P41" s="104">
        <v>46163</v>
      </c>
      <c r="Q41" s="104">
        <v>46184</v>
      </c>
      <c r="R41" s="103"/>
      <c r="S41" s="105">
        <v>14</v>
      </c>
      <c r="T41" s="105">
        <v>14</v>
      </c>
      <c r="U41" s="105">
        <v>14</v>
      </c>
      <c r="V41" s="105">
        <v>14</v>
      </c>
      <c r="W41" s="104">
        <v>46163</v>
      </c>
      <c r="X41" s="104"/>
      <c r="Y41" s="106">
        <v>-32951</v>
      </c>
      <c r="Z41" s="107">
        <v>0</v>
      </c>
      <c r="AA41" s="105">
        <v>1</v>
      </c>
      <c r="AB41" s="103"/>
      <c r="AC41" s="103"/>
      <c r="AD41" s="117">
        <v>1</v>
      </c>
      <c r="AE41" s="214">
        <v>0.55000000000000004</v>
      </c>
      <c r="AF41" s="120"/>
      <c r="AG41" s="121"/>
      <c r="AH41" s="121"/>
      <c r="AI41" s="121"/>
      <c r="AJ41" s="121"/>
      <c r="AK41" s="121"/>
      <c r="AL41" s="121"/>
      <c r="AM41" s="121"/>
      <c r="AN41" s="121"/>
      <c r="AO41" s="121"/>
      <c r="AP41" s="121"/>
      <c r="AQ41" s="121"/>
      <c r="AR41" s="121"/>
      <c r="AS41" s="121" t="str">
        <f>"  " &amp; TEXT(AE41,"#0.00%") &amp; " " &amp; "프로그램B" &amp; " " &amp; IF(P41="","",TEXT(P41,"M/D-")) &amp; IF(Q41="","",TEXT(Q41,"M/D")) &amp; " "</f>
        <v xml:space="preserve">  55.00% 프로그램B 5/21-6/11 </v>
      </c>
      <c r="AT41" s="121"/>
      <c r="AU41" s="121"/>
      <c r="AV41" s="121"/>
      <c r="AW41" s="121"/>
      <c r="AX41" s="121"/>
      <c r="AY41" s="121"/>
      <c r="AZ41" s="121"/>
      <c r="BA41" s="121"/>
      <c r="BB41" s="121"/>
      <c r="BC41" s="121"/>
    </row>
    <row r="42" spans="1:55" ht="12" customHeight="1" outlineLevel="5">
      <c r="A42" s="102"/>
      <c r="B42" s="102"/>
      <c r="C42" s="102">
        <v>6</v>
      </c>
      <c r="D42" s="118" t="s">
        <v>1509</v>
      </c>
      <c r="E42" s="103"/>
      <c r="F42" s="103"/>
      <c r="G42" s="103"/>
      <c r="H42" s="103"/>
      <c r="I42" s="103"/>
      <c r="J42" s="103" t="s">
        <v>1510</v>
      </c>
      <c r="K42" s="103"/>
      <c r="L42" s="103"/>
      <c r="M42" s="103"/>
      <c r="N42" s="103"/>
      <c r="O42" s="103"/>
      <c r="P42" s="104">
        <v>46185</v>
      </c>
      <c r="Q42" s="104">
        <v>46198</v>
      </c>
      <c r="R42" s="103"/>
      <c r="S42" s="105">
        <v>10</v>
      </c>
      <c r="T42" s="105">
        <v>10</v>
      </c>
      <c r="U42" s="105">
        <v>10</v>
      </c>
      <c r="V42" s="105">
        <v>10</v>
      </c>
      <c r="W42" s="104"/>
      <c r="X42" s="104"/>
      <c r="Y42" s="106"/>
      <c r="Z42" s="107">
        <v>0</v>
      </c>
      <c r="AA42" s="105">
        <v>1</v>
      </c>
      <c r="AB42" s="103"/>
      <c r="AC42" s="103"/>
      <c r="AD42" s="117">
        <v>1</v>
      </c>
      <c r="AE42" s="214">
        <v>0</v>
      </c>
      <c r="AF42" s="120"/>
      <c r="AG42" s="121"/>
      <c r="AH42" s="121"/>
      <c r="AI42" s="121"/>
      <c r="AJ42" s="121"/>
      <c r="AK42" s="121"/>
      <c r="AL42" s="121"/>
      <c r="AM42" s="121"/>
      <c r="AN42" s="121"/>
      <c r="AO42" s="121"/>
      <c r="AP42" s="121"/>
      <c r="AQ42" s="121"/>
      <c r="AR42" s="121"/>
      <c r="AS42" s="121"/>
      <c r="AT42" s="121" t="str">
        <f>"     " &amp; TEXT(AE42,"#0.00%") &amp; " " &amp; "프로그램C" &amp; " " &amp; IF(P42="","",TEXT(P42,"M/D-")) &amp; IF(Q42="","",TEXT(Q42,"M/D")) &amp; " "</f>
        <v xml:space="preserve">     0.00% 프로그램C 6/12-6/25 </v>
      </c>
      <c r="AU42" s="121"/>
      <c r="AV42" s="121"/>
      <c r="AW42" s="121"/>
      <c r="AX42" s="121"/>
      <c r="AY42" s="121"/>
      <c r="AZ42" s="121"/>
      <c r="BA42" s="121"/>
      <c r="BB42" s="121"/>
      <c r="BC42" s="121"/>
    </row>
    <row r="43" spans="1:55" ht="12" customHeight="1" outlineLevel="4">
      <c r="A43" s="102"/>
      <c r="B43" s="102"/>
      <c r="C43" s="102">
        <v>5</v>
      </c>
      <c r="D43" s="118" t="s">
        <v>1511</v>
      </c>
      <c r="E43" s="103"/>
      <c r="F43" s="103"/>
      <c r="G43" s="103"/>
      <c r="H43" s="103"/>
      <c r="I43" s="103" t="s">
        <v>1512</v>
      </c>
      <c r="J43" s="103"/>
      <c r="K43" s="103"/>
      <c r="L43" s="103"/>
      <c r="M43" s="103"/>
      <c r="N43" s="103"/>
      <c r="O43" s="103"/>
      <c r="P43" s="104">
        <v>46146</v>
      </c>
      <c r="Q43" s="104">
        <v>46202</v>
      </c>
      <c r="R43" s="103"/>
      <c r="S43" s="105">
        <v>38</v>
      </c>
      <c r="T43" s="105">
        <v>38</v>
      </c>
      <c r="U43" s="105">
        <v>38</v>
      </c>
      <c r="V43" s="105">
        <v>38</v>
      </c>
      <c r="W43" s="104"/>
      <c r="X43" s="104"/>
      <c r="Y43" s="106"/>
      <c r="Z43" s="107">
        <v>0</v>
      </c>
      <c r="AA43" s="105">
        <v>1</v>
      </c>
      <c r="AB43" s="103"/>
      <c r="AC43" s="103"/>
      <c r="AD43" s="117">
        <v>1</v>
      </c>
      <c r="AE43" s="214">
        <v>0</v>
      </c>
      <c r="AF43" s="120"/>
      <c r="AG43" s="121"/>
      <c r="AH43" s="121"/>
      <c r="AI43" s="121"/>
      <c r="AJ43" s="121"/>
      <c r="AK43" s="121"/>
      <c r="AL43" s="121"/>
      <c r="AM43" s="121"/>
      <c r="AN43" s="121"/>
      <c r="AO43" s="121" t="str">
        <f>" " &amp; TEXT(AE43,"#0.00%") &amp; " "</f>
        <v xml:space="preserve"> 0.00% </v>
      </c>
      <c r="AP43" s="121"/>
      <c r="AQ43" s="121"/>
      <c r="AR43" s="121"/>
      <c r="AS43" s="121"/>
      <c r="AT43" s="121"/>
      <c r="AU43" s="121"/>
      <c r="AV43" s="121"/>
      <c r="AW43" s="121" t="str">
        <f>"  " &amp; "모듈B" &amp; " " &amp; IF(P43="","",TEXT(P43,"M/D-")) &amp; IF(Q43="","",TEXT(Q43,"M/D")) &amp; " "</f>
        <v xml:space="preserve">  모듈B 5/4-6/29 </v>
      </c>
      <c r="AX43" s="121"/>
      <c r="AY43" s="121"/>
      <c r="AZ43" s="121"/>
      <c r="BA43" s="121"/>
      <c r="BB43" s="121"/>
      <c r="BC43" s="121"/>
    </row>
    <row r="44" spans="1:55" ht="12" customHeight="1" outlineLevel="4">
      <c r="A44" s="102"/>
      <c r="B44" s="102"/>
      <c r="C44" s="102">
        <v>5</v>
      </c>
      <c r="D44" s="118" t="s">
        <v>1513</v>
      </c>
      <c r="E44" s="103"/>
      <c r="F44" s="103"/>
      <c r="G44" s="103"/>
      <c r="H44" s="103"/>
      <c r="I44" s="103" t="s">
        <v>1514</v>
      </c>
      <c r="J44" s="103"/>
      <c r="K44" s="103"/>
      <c r="L44" s="103"/>
      <c r="M44" s="103"/>
      <c r="N44" s="103"/>
      <c r="O44" s="103"/>
      <c r="P44" s="104">
        <v>46146</v>
      </c>
      <c r="Q44" s="104">
        <v>46202</v>
      </c>
      <c r="R44" s="103"/>
      <c r="S44" s="105">
        <v>38</v>
      </c>
      <c r="T44" s="105">
        <v>38</v>
      </c>
      <c r="U44" s="105">
        <v>38</v>
      </c>
      <c r="V44" s="105">
        <v>38</v>
      </c>
      <c r="W44" s="104"/>
      <c r="X44" s="104"/>
      <c r="Y44" s="106"/>
      <c r="Z44" s="107">
        <v>0</v>
      </c>
      <c r="AA44" s="105">
        <v>1</v>
      </c>
      <c r="AB44" s="103"/>
      <c r="AC44" s="103"/>
      <c r="AD44" s="117">
        <v>1</v>
      </c>
      <c r="AE44" s="214">
        <v>0</v>
      </c>
      <c r="AF44" s="120"/>
      <c r="AG44" s="121"/>
      <c r="AH44" s="121"/>
      <c r="AI44" s="121"/>
      <c r="AJ44" s="121"/>
      <c r="AK44" s="121"/>
      <c r="AL44" s="121"/>
      <c r="AM44" s="121"/>
      <c r="AN44" s="121"/>
      <c r="AO44" s="121" t="str">
        <f>" " &amp; TEXT(AE44,"#0.00%") &amp; " "</f>
        <v xml:space="preserve"> 0.00% </v>
      </c>
      <c r="AP44" s="121"/>
      <c r="AQ44" s="121"/>
      <c r="AR44" s="121"/>
      <c r="AS44" s="121"/>
      <c r="AT44" s="121"/>
      <c r="AU44" s="121"/>
      <c r="AV44" s="121"/>
      <c r="AW44" s="121" t="str">
        <f>"  " &amp; "모듈C" &amp; " " &amp; IF(P44="","",TEXT(P44,"M/D-")) &amp; IF(Q44="","",TEXT(Q44,"M/D")) &amp; " "</f>
        <v xml:space="preserve">  모듈C 5/4-6/29 </v>
      </c>
      <c r="AX44" s="121"/>
      <c r="AY44" s="121"/>
      <c r="AZ44" s="121"/>
      <c r="BA44" s="121"/>
      <c r="BB44" s="121"/>
      <c r="BC44" s="121"/>
    </row>
    <row r="45" spans="1:55" ht="12" customHeight="1" outlineLevel="4">
      <c r="A45" s="102"/>
      <c r="B45" s="102"/>
      <c r="C45" s="102">
        <v>5</v>
      </c>
      <c r="D45" s="118" t="s">
        <v>1515</v>
      </c>
      <c r="E45" s="103"/>
      <c r="F45" s="103"/>
      <c r="G45" s="103"/>
      <c r="H45" s="103"/>
      <c r="I45" s="103" t="s">
        <v>1516</v>
      </c>
      <c r="J45" s="103"/>
      <c r="K45" s="103"/>
      <c r="L45" s="103"/>
      <c r="M45" s="103"/>
      <c r="N45" s="103"/>
      <c r="O45" s="103"/>
      <c r="P45" s="104">
        <v>46160</v>
      </c>
      <c r="Q45" s="104">
        <v>46202</v>
      </c>
      <c r="R45" s="103"/>
      <c r="S45" s="105">
        <v>29</v>
      </c>
      <c r="T45" s="105">
        <v>29</v>
      </c>
      <c r="U45" s="105">
        <v>29</v>
      </c>
      <c r="V45" s="105">
        <v>29</v>
      </c>
      <c r="W45" s="104"/>
      <c r="X45" s="104"/>
      <c r="Y45" s="106"/>
      <c r="Z45" s="107">
        <v>0</v>
      </c>
      <c r="AA45" s="105">
        <v>1</v>
      </c>
      <c r="AB45" s="103"/>
      <c r="AC45" s="103"/>
      <c r="AD45" s="117">
        <v>1</v>
      </c>
      <c r="AE45" s="214">
        <v>0</v>
      </c>
      <c r="AF45" s="120"/>
      <c r="AG45" s="121"/>
      <c r="AH45" s="121"/>
      <c r="AI45" s="121"/>
      <c r="AJ45" s="121"/>
      <c r="AK45" s="121"/>
      <c r="AL45" s="121"/>
      <c r="AM45" s="121"/>
      <c r="AN45" s="121"/>
      <c r="AO45" s="121"/>
      <c r="AP45" s="121"/>
      <c r="AQ45" s="121" t="str">
        <f>" " &amp; TEXT(AE45,"#0.00%") &amp; " "</f>
        <v xml:space="preserve"> 0.00% </v>
      </c>
      <c r="AR45" s="121"/>
      <c r="AS45" s="121"/>
      <c r="AT45" s="121"/>
      <c r="AU45" s="121"/>
      <c r="AV45" s="121"/>
      <c r="AW45" s="121" t="str">
        <f>"  " &amp; "모듈D" &amp; " " &amp; IF(P45="","",TEXT(P45,"M/D-")) &amp; IF(Q45="","",TEXT(Q45,"M/D")) &amp; " "</f>
        <v xml:space="preserve">  모듈D 5/18-6/29 </v>
      </c>
      <c r="AX45" s="121"/>
      <c r="AY45" s="121"/>
      <c r="AZ45" s="121"/>
      <c r="BA45" s="121"/>
      <c r="BB45" s="121"/>
      <c r="BC45" s="121"/>
    </row>
    <row r="46" spans="1:55" ht="12" customHeight="1" outlineLevel="2">
      <c r="A46" s="102"/>
      <c r="B46" s="102" t="s">
        <v>1391</v>
      </c>
      <c r="C46" s="102">
        <v>3</v>
      </c>
      <c r="D46" s="118" t="s">
        <v>1517</v>
      </c>
      <c r="E46" s="103"/>
      <c r="F46" s="103"/>
      <c r="G46" s="103" t="s">
        <v>1518</v>
      </c>
      <c r="H46" s="103"/>
      <c r="I46" s="103"/>
      <c r="J46" s="103"/>
      <c r="K46" s="103"/>
      <c r="L46" s="103"/>
      <c r="M46" s="103"/>
      <c r="N46" s="103"/>
      <c r="O46" s="103"/>
      <c r="P46" s="104">
        <v>46191</v>
      </c>
      <c r="Q46" s="104">
        <v>46216</v>
      </c>
      <c r="R46" s="103"/>
      <c r="S46" s="105">
        <v>16</v>
      </c>
      <c r="T46" s="105">
        <v>16</v>
      </c>
      <c r="U46" s="105">
        <v>18</v>
      </c>
      <c r="V46" s="105">
        <v>18</v>
      </c>
      <c r="W46" s="104"/>
      <c r="X46" s="104"/>
      <c r="Y46" s="106">
        <v>0</v>
      </c>
      <c r="Z46" s="107">
        <v>0</v>
      </c>
      <c r="AA46" s="105"/>
      <c r="AB46" s="103"/>
      <c r="AC46" s="103"/>
      <c r="AD46" s="117">
        <v>1</v>
      </c>
      <c r="AE46" s="220">
        <v>0</v>
      </c>
      <c r="AF46" s="120"/>
      <c r="AG46" s="121"/>
      <c r="AH46" s="121"/>
      <c r="AI46" s="121"/>
      <c r="AJ46" s="121"/>
      <c r="AK46" s="121"/>
      <c r="AL46" s="121"/>
      <c r="AM46" s="121"/>
      <c r="AN46" s="121"/>
      <c r="AO46" s="121"/>
      <c r="AP46" s="121"/>
      <c r="AQ46" s="121"/>
      <c r="AR46" s="121"/>
      <c r="AS46" s="121"/>
      <c r="AT46" s="121"/>
      <c r="AU46" s="121" t="str">
        <f>"    " &amp; TEXT(AE46,"#0.00%") &amp; " "</f>
        <v xml:space="preserve">    0.00% </v>
      </c>
      <c r="AV46" s="121"/>
      <c r="AW46" s="121"/>
      <c r="AX46" s="121"/>
      <c r="AY46" s="121" t="str">
        <f>"  " &amp; "테스트실시" &amp; " " &amp; IF(P46="","",TEXT(P46,"M/D-")) &amp; IF(Q46="","",TEXT(Q46,"M/D")) &amp; " "</f>
        <v xml:space="preserve">  테스트실시 6/18-7/13 </v>
      </c>
      <c r="AZ46" s="121"/>
      <c r="BA46" s="121"/>
      <c r="BB46" s="121"/>
      <c r="BC46" s="121"/>
    </row>
    <row r="47" spans="1:55" ht="12" customHeight="1" outlineLevel="3">
      <c r="A47" s="102"/>
      <c r="B47" s="102"/>
      <c r="C47" s="102">
        <v>4</v>
      </c>
      <c r="D47" s="118" t="s">
        <v>1519</v>
      </c>
      <c r="E47" s="103"/>
      <c r="F47" s="103"/>
      <c r="G47" s="103"/>
      <c r="H47" s="103" t="s">
        <v>1520</v>
      </c>
      <c r="I47" s="103"/>
      <c r="J47" s="103"/>
      <c r="K47" s="103"/>
      <c r="L47" s="103"/>
      <c r="M47" s="103"/>
      <c r="N47" s="103"/>
      <c r="O47" s="103"/>
      <c r="P47" s="104">
        <v>46191</v>
      </c>
      <c r="Q47" s="104">
        <v>46209</v>
      </c>
      <c r="R47" s="103"/>
      <c r="S47" s="105">
        <v>13</v>
      </c>
      <c r="T47" s="105">
        <v>13</v>
      </c>
      <c r="U47" s="105">
        <v>13</v>
      </c>
      <c r="V47" s="105">
        <v>13</v>
      </c>
      <c r="W47" s="104"/>
      <c r="X47" s="104"/>
      <c r="Y47" s="106"/>
      <c r="Z47" s="107">
        <v>0</v>
      </c>
      <c r="AA47" s="105">
        <v>1</v>
      </c>
      <c r="AB47" s="103"/>
      <c r="AC47" s="103"/>
      <c r="AD47" s="117">
        <v>1</v>
      </c>
      <c r="AE47" s="214">
        <v>0</v>
      </c>
      <c r="AF47" s="120"/>
      <c r="AG47" s="121"/>
      <c r="AH47" s="121"/>
      <c r="AI47" s="121"/>
      <c r="AJ47" s="121"/>
      <c r="AK47" s="121"/>
      <c r="AL47" s="121"/>
      <c r="AM47" s="121"/>
      <c r="AN47" s="121"/>
      <c r="AO47" s="121"/>
      <c r="AP47" s="121"/>
      <c r="AQ47" s="121"/>
      <c r="AR47" s="121"/>
      <c r="AS47" s="121"/>
      <c r="AT47" s="121"/>
      <c r="AU47" s="121" t="str">
        <f>"    " &amp; TEXT(AE47,"#0.00%") &amp; " " &amp; "통합테스트실시" &amp; " " &amp; IF(P47="","",TEXT(P47,"M/D-")) &amp; IF(Q47="","",TEXT(Q47,"M/D")) &amp; " "</f>
        <v xml:space="preserve">    0.00% 통합테스트실시 6/18-7/6 </v>
      </c>
      <c r="AV47" s="121"/>
      <c r="AW47" s="121"/>
      <c r="AX47" s="121"/>
      <c r="AY47" s="121"/>
      <c r="AZ47" s="121"/>
      <c r="BA47" s="121"/>
      <c r="BB47" s="121"/>
      <c r="BC47" s="121"/>
    </row>
    <row r="48" spans="1:55" ht="12" customHeight="1" outlineLevel="3">
      <c r="A48" s="102"/>
      <c r="B48" s="102"/>
      <c r="C48" s="102">
        <v>4</v>
      </c>
      <c r="D48" s="118" t="s">
        <v>1521</v>
      </c>
      <c r="E48" s="103"/>
      <c r="F48" s="103"/>
      <c r="G48" s="103"/>
      <c r="H48" s="103" t="s">
        <v>1522</v>
      </c>
      <c r="I48" s="103"/>
      <c r="J48" s="103"/>
      <c r="K48" s="103"/>
      <c r="L48" s="103"/>
      <c r="M48" s="103"/>
      <c r="N48" s="103"/>
      <c r="O48" s="103"/>
      <c r="P48" s="104">
        <v>46212</v>
      </c>
      <c r="Q48" s="104">
        <v>46216</v>
      </c>
      <c r="R48" s="103"/>
      <c r="S48" s="105">
        <v>3</v>
      </c>
      <c r="T48" s="105">
        <v>3</v>
      </c>
      <c r="U48" s="105">
        <v>3</v>
      </c>
      <c r="V48" s="105">
        <v>3</v>
      </c>
      <c r="W48" s="104"/>
      <c r="X48" s="104"/>
      <c r="Y48" s="106"/>
      <c r="Z48" s="107">
        <v>0</v>
      </c>
      <c r="AA48" s="105">
        <v>1</v>
      </c>
      <c r="AB48" s="103"/>
      <c r="AC48" s="103"/>
      <c r="AD48" s="117">
        <v>1</v>
      </c>
      <c r="AE48" s="214">
        <v>0</v>
      </c>
      <c r="AF48" s="120"/>
      <c r="AG48" s="121"/>
      <c r="AH48" s="121"/>
      <c r="AI48" s="121"/>
      <c r="AJ48" s="121"/>
      <c r="AK48" s="121"/>
      <c r="AL48" s="121"/>
      <c r="AM48" s="121"/>
      <c r="AN48" s="121"/>
      <c r="AO48" s="121"/>
      <c r="AP48" s="121"/>
      <c r="AQ48" s="121"/>
      <c r="AR48" s="121"/>
      <c r="AS48" s="121"/>
      <c r="AT48" s="121"/>
      <c r="AU48" s="121"/>
      <c r="AV48" s="121"/>
      <c r="AW48" s="121"/>
      <c r="AX48" s="121" t="str">
        <f>"    " &amp; TEXT(AE48,"#0.00%") &amp; " " &amp; "시스템테스트실시" &amp; " " &amp; IF(P48="","",TEXT(P48,"M/D-")) &amp; IF(Q48="","",TEXT(Q48,"M/D")) &amp; " "</f>
        <v xml:space="preserve">    0.00% 시스템테스트실시 7/9-7/13 </v>
      </c>
      <c r="AY48" s="121"/>
      <c r="AZ48" s="121"/>
      <c r="BA48" s="121"/>
      <c r="BB48" s="121"/>
      <c r="BC48" s="121"/>
    </row>
    <row r="49" spans="1:55" ht="12" customHeight="1" outlineLevel="1">
      <c r="A49" s="102"/>
      <c r="B49" s="102" t="s">
        <v>1391</v>
      </c>
      <c r="C49" s="102">
        <v>2</v>
      </c>
      <c r="D49" s="118" t="s">
        <v>1547</v>
      </c>
      <c r="E49" s="103"/>
      <c r="F49" s="103" t="s">
        <v>1523</v>
      </c>
      <c r="G49" s="103"/>
      <c r="H49" s="103"/>
      <c r="I49" s="103"/>
      <c r="J49" s="103"/>
      <c r="K49" s="103"/>
      <c r="L49" s="103"/>
      <c r="M49" s="103"/>
      <c r="N49" s="103"/>
      <c r="O49" s="103"/>
      <c r="P49" s="104">
        <v>46219</v>
      </c>
      <c r="Q49" s="104">
        <v>46240</v>
      </c>
      <c r="R49" s="103"/>
      <c r="S49" s="105">
        <v>9</v>
      </c>
      <c r="T49" s="105">
        <v>7</v>
      </c>
      <c r="U49" s="105">
        <v>15</v>
      </c>
      <c r="V49" s="105">
        <v>10</v>
      </c>
      <c r="W49" s="104"/>
      <c r="X49" s="104"/>
      <c r="Y49" s="106">
        <v>0</v>
      </c>
      <c r="Z49" s="107">
        <v>0</v>
      </c>
      <c r="AA49" s="105"/>
      <c r="AB49" s="103"/>
      <c r="AC49" s="103"/>
      <c r="AD49" s="117">
        <v>0.77777777777777779</v>
      </c>
      <c r="AE49" s="220">
        <v>0</v>
      </c>
      <c r="AF49" s="120"/>
      <c r="AG49" s="121"/>
      <c r="AH49" s="121"/>
      <c r="AI49" s="121"/>
      <c r="AJ49" s="121"/>
      <c r="AK49" s="121"/>
      <c r="AL49" s="121"/>
      <c r="AM49" s="121"/>
      <c r="AN49" s="121"/>
      <c r="AO49" s="121"/>
      <c r="AP49" s="121"/>
      <c r="AQ49" s="121"/>
      <c r="AR49" s="121"/>
      <c r="AS49" s="121"/>
      <c r="AT49" s="121"/>
      <c r="AU49" s="121"/>
      <c r="AV49" s="121"/>
      <c r="AW49" s="121"/>
      <c r="AX49" s="121"/>
      <c r="AY49" s="121" t="str">
        <f>"    " &amp; TEXT(AE49,"#0.00%") &amp; " " &amp; "구현" &amp; " " &amp; IF(P49="","",TEXT(P49,"M/D-")) &amp; IF(Q49="","",TEXT(Q49,"M/D")) &amp; " "</f>
        <v xml:space="preserve">    0.00% 구현 7/16-8/6 </v>
      </c>
      <c r="AZ49" s="121"/>
      <c r="BA49" s="121"/>
      <c r="BB49" s="121"/>
      <c r="BC49" s="121"/>
    </row>
    <row r="50" spans="1:55" ht="12" customHeight="1" outlineLevel="2">
      <c r="A50" s="102"/>
      <c r="B50" s="102" t="s">
        <v>1391</v>
      </c>
      <c r="C50" s="102">
        <v>3</v>
      </c>
      <c r="D50" s="118" t="s">
        <v>1524</v>
      </c>
      <c r="E50" s="103"/>
      <c r="F50" s="103"/>
      <c r="G50" s="103" t="s">
        <v>1525</v>
      </c>
      <c r="H50" s="103"/>
      <c r="I50" s="103"/>
      <c r="J50" s="103"/>
      <c r="K50" s="103"/>
      <c r="L50" s="103"/>
      <c r="M50" s="103"/>
      <c r="N50" s="103"/>
      <c r="O50" s="103"/>
      <c r="P50" s="104">
        <v>46219</v>
      </c>
      <c r="Q50" s="104">
        <v>46219</v>
      </c>
      <c r="R50" s="103"/>
      <c r="S50" s="105">
        <v>1</v>
      </c>
      <c r="T50" s="105">
        <v>1</v>
      </c>
      <c r="U50" s="105">
        <v>1</v>
      </c>
      <c r="V50" s="105">
        <v>1</v>
      </c>
      <c r="W50" s="104"/>
      <c r="X50" s="104"/>
      <c r="Y50" s="106">
        <v>0</v>
      </c>
      <c r="Z50" s="107">
        <v>0</v>
      </c>
      <c r="AA50" s="105"/>
      <c r="AB50" s="103"/>
      <c r="AC50" s="103"/>
      <c r="AD50" s="117">
        <v>1</v>
      </c>
      <c r="AE50" s="220">
        <v>0</v>
      </c>
      <c r="AF50" s="120"/>
      <c r="AG50" s="121"/>
      <c r="AH50" s="121"/>
      <c r="AI50" s="121"/>
      <c r="AJ50" s="121"/>
      <c r="AK50" s="121"/>
      <c r="AL50" s="121"/>
      <c r="AM50" s="121"/>
      <c r="AN50" s="121"/>
      <c r="AO50" s="121"/>
      <c r="AP50" s="121"/>
      <c r="AQ50" s="121"/>
      <c r="AR50" s="121"/>
      <c r="AS50" s="121"/>
      <c r="AT50" s="121"/>
      <c r="AU50" s="121"/>
      <c r="AV50" s="121"/>
      <c r="AW50" s="121"/>
      <c r="AX50" s="121"/>
      <c r="AY50" s="121" t="str">
        <f>"    " &amp; TEXT(AE50,"#0.00%") &amp; " " &amp; "구현준비" &amp; " " &amp; IF(P50="","",TEXT(P50,"M/D-")) &amp; IF(Q50="","",TEXT(Q50,"M/D")) &amp; " "</f>
        <v xml:space="preserve">    0.00% 구현준비 7/16-7/16 </v>
      </c>
      <c r="AZ50" s="121"/>
      <c r="BA50" s="121"/>
      <c r="BB50" s="121"/>
      <c r="BC50" s="121"/>
    </row>
    <row r="51" spans="1:55" ht="12" customHeight="1" outlineLevel="3">
      <c r="A51" s="102"/>
      <c r="B51" s="102"/>
      <c r="C51" s="102">
        <v>4</v>
      </c>
      <c r="D51" s="118" t="s">
        <v>1526</v>
      </c>
      <c r="E51" s="103"/>
      <c r="F51" s="103"/>
      <c r="G51" s="103"/>
      <c r="H51" s="103" t="s">
        <v>1527</v>
      </c>
      <c r="I51" s="103"/>
      <c r="J51" s="103"/>
      <c r="K51" s="103"/>
      <c r="L51" s="103"/>
      <c r="M51" s="103"/>
      <c r="N51" s="103"/>
      <c r="O51" s="103"/>
      <c r="P51" s="104">
        <v>46219</v>
      </c>
      <c r="Q51" s="104">
        <v>46219</v>
      </c>
      <c r="R51" s="103"/>
      <c r="S51" s="105">
        <v>1</v>
      </c>
      <c r="T51" s="105">
        <v>1</v>
      </c>
      <c r="U51" s="105">
        <v>1</v>
      </c>
      <c r="V51" s="105">
        <v>1</v>
      </c>
      <c r="W51" s="104"/>
      <c r="X51" s="104"/>
      <c r="Y51" s="106"/>
      <c r="Z51" s="107">
        <v>0</v>
      </c>
      <c r="AA51" s="105">
        <v>1</v>
      </c>
      <c r="AB51" s="103"/>
      <c r="AC51" s="103"/>
      <c r="AD51" s="117">
        <v>1</v>
      </c>
      <c r="AE51" s="214">
        <v>0</v>
      </c>
      <c r="AF51" s="120"/>
      <c r="AG51" s="121"/>
      <c r="AH51" s="121"/>
      <c r="AI51" s="121"/>
      <c r="AJ51" s="121"/>
      <c r="AK51" s="121"/>
      <c r="AL51" s="121"/>
      <c r="AM51" s="121"/>
      <c r="AN51" s="121"/>
      <c r="AO51" s="121"/>
      <c r="AP51" s="121"/>
      <c r="AQ51" s="121"/>
      <c r="AR51" s="121"/>
      <c r="AS51" s="121"/>
      <c r="AT51" s="121"/>
      <c r="AU51" s="121"/>
      <c r="AV51" s="121"/>
      <c r="AW51" s="121"/>
      <c r="AX51" s="121"/>
      <c r="AY51" s="121" t="str">
        <f>"    " &amp; TEXT(AE51,"#0.00%") &amp; " " &amp; "Release 및 Contingency plan수립" &amp; " " &amp; IF(P51="","",TEXT(P51,"M/D-")) &amp; IF(Q51="","",TEXT(Q51,"M/D")) &amp; " "</f>
        <v xml:space="preserve">    0.00% Release 및 Contingency plan수립 7/16-7/16 </v>
      </c>
      <c r="AZ51" s="121"/>
      <c r="BA51" s="121"/>
      <c r="BB51" s="121"/>
      <c r="BC51" s="121"/>
    </row>
    <row r="52" spans="1:55" ht="12" customHeight="1" outlineLevel="2">
      <c r="A52" s="102"/>
      <c r="B52" s="102" t="s">
        <v>1391</v>
      </c>
      <c r="C52" s="102">
        <v>3</v>
      </c>
      <c r="D52" s="118" t="s">
        <v>1528</v>
      </c>
      <c r="E52" s="103"/>
      <c r="F52" s="103"/>
      <c r="G52" s="103" t="s">
        <v>1529</v>
      </c>
      <c r="H52" s="103"/>
      <c r="I52" s="103"/>
      <c r="J52" s="103"/>
      <c r="K52" s="103"/>
      <c r="L52" s="103"/>
      <c r="M52" s="103"/>
      <c r="N52" s="103"/>
      <c r="O52" s="103"/>
      <c r="P52" s="104">
        <v>46221</v>
      </c>
      <c r="Q52" s="104">
        <v>46240</v>
      </c>
      <c r="R52" s="103"/>
      <c r="S52" s="105">
        <v>8</v>
      </c>
      <c r="T52" s="105">
        <v>6</v>
      </c>
      <c r="U52" s="105">
        <v>14</v>
      </c>
      <c r="V52" s="105">
        <v>9</v>
      </c>
      <c r="W52" s="104"/>
      <c r="X52" s="104"/>
      <c r="Y52" s="106">
        <v>0</v>
      </c>
      <c r="Z52" s="107">
        <v>0</v>
      </c>
      <c r="AA52" s="105"/>
      <c r="AB52" s="103"/>
      <c r="AC52" s="103"/>
      <c r="AD52" s="117">
        <v>0.75</v>
      </c>
      <c r="AE52" s="220">
        <v>0</v>
      </c>
      <c r="AF52" s="120"/>
      <c r="AG52" s="121"/>
      <c r="AH52" s="121"/>
      <c r="AI52" s="121"/>
      <c r="AJ52" s="121"/>
      <c r="AK52" s="121"/>
      <c r="AL52" s="121"/>
      <c r="AM52" s="121"/>
      <c r="AN52" s="121"/>
      <c r="AO52" s="121"/>
      <c r="AP52" s="121"/>
      <c r="AQ52" s="121"/>
      <c r="AR52" s="121"/>
      <c r="AS52" s="121"/>
      <c r="AT52" s="121"/>
      <c r="AU52" s="121"/>
      <c r="AV52" s="121"/>
      <c r="AW52" s="121"/>
      <c r="AX52" s="121"/>
      <c r="AY52" s="121" t="str">
        <f>"      " &amp; TEXT(AE52,"#0.00%") &amp; " " &amp; "Conversion 및 Release" &amp; " " &amp; IF(P52="","",TEXT(P52,"M/D-")) &amp; IF(Q52="","",TEXT(Q52,"M/D")) &amp; " "</f>
        <v xml:space="preserve">      0.00% Conversion 및 Release 7/18-8/6 </v>
      </c>
      <c r="AZ52" s="121"/>
      <c r="BA52" s="121"/>
      <c r="BB52" s="121"/>
      <c r="BC52" s="121"/>
    </row>
    <row r="53" spans="1:55" ht="12" customHeight="1" outlineLevel="3">
      <c r="A53" s="102"/>
      <c r="B53" s="102"/>
      <c r="C53" s="102">
        <v>4</v>
      </c>
      <c r="D53" s="118" t="s">
        <v>1530</v>
      </c>
      <c r="E53" s="103"/>
      <c r="F53" s="103"/>
      <c r="G53" s="103"/>
      <c r="H53" s="103" t="s">
        <v>1531</v>
      </c>
      <c r="I53" s="103"/>
      <c r="J53" s="103"/>
      <c r="K53" s="103"/>
      <c r="L53" s="103"/>
      <c r="M53" s="103"/>
      <c r="N53" s="103"/>
      <c r="O53" s="103"/>
      <c r="P53" s="104">
        <v>46221</v>
      </c>
      <c r="Q53" s="104">
        <v>46222</v>
      </c>
      <c r="R53" s="103"/>
      <c r="S53" s="105">
        <v>0</v>
      </c>
      <c r="T53" s="105">
        <v>0</v>
      </c>
      <c r="U53" s="105">
        <v>0</v>
      </c>
      <c r="V53" s="105">
        <v>0</v>
      </c>
      <c r="W53" s="104"/>
      <c r="X53" s="104"/>
      <c r="Y53" s="106"/>
      <c r="Z53" s="107">
        <v>0</v>
      </c>
      <c r="AA53" s="105">
        <v>1</v>
      </c>
      <c r="AB53" s="103"/>
      <c r="AC53" s="103"/>
      <c r="AD53" s="117">
        <v>0</v>
      </c>
      <c r="AE53" s="199">
        <v>0</v>
      </c>
      <c r="AF53" s="120"/>
      <c r="AG53" s="121"/>
      <c r="AH53" s="121"/>
      <c r="AI53" s="121"/>
      <c r="AJ53" s="121"/>
      <c r="AK53" s="121"/>
      <c r="AL53" s="121"/>
      <c r="AM53" s="121"/>
      <c r="AN53" s="121"/>
      <c r="AO53" s="121"/>
      <c r="AP53" s="121"/>
      <c r="AQ53" s="121"/>
      <c r="AR53" s="121"/>
      <c r="AS53" s="121"/>
      <c r="AT53" s="121"/>
      <c r="AU53" s="121"/>
      <c r="AV53" s="121"/>
      <c r="AW53" s="121"/>
      <c r="AX53" s="121"/>
      <c r="AY53" s="121" t="str">
        <f>"      " &amp; TEXT(AE53,"#0.00%") &amp; " " &amp; "데이터베이스구축" &amp; " " &amp; IF(P53="","",TEXT(P53,"M/D-")) &amp; IF(Q53="","",TEXT(Q53,"M/D")) &amp; " "</f>
        <v xml:space="preserve">      0.00% 데이터베이스구축 7/18-7/19 </v>
      </c>
      <c r="AZ53" s="121"/>
      <c r="BA53" s="121"/>
      <c r="BB53" s="121"/>
      <c r="BC53" s="121"/>
    </row>
    <row r="54" spans="1:55" ht="12" customHeight="1" outlineLevel="3">
      <c r="A54" s="102"/>
      <c r="B54" s="102"/>
      <c r="C54" s="102">
        <v>4</v>
      </c>
      <c r="D54" s="118" t="s">
        <v>1532</v>
      </c>
      <c r="E54" s="103"/>
      <c r="F54" s="103"/>
      <c r="G54" s="103"/>
      <c r="H54" s="103" t="s">
        <v>1533</v>
      </c>
      <c r="I54" s="103"/>
      <c r="J54" s="103"/>
      <c r="K54" s="103"/>
      <c r="L54" s="103"/>
      <c r="M54" s="103"/>
      <c r="N54" s="103"/>
      <c r="O54" s="103"/>
      <c r="P54" s="104">
        <v>46226</v>
      </c>
      <c r="Q54" s="104">
        <v>46233</v>
      </c>
      <c r="R54" s="103"/>
      <c r="S54" s="105">
        <v>6</v>
      </c>
      <c r="T54" s="105">
        <v>6</v>
      </c>
      <c r="U54" s="105">
        <v>6</v>
      </c>
      <c r="V54" s="105">
        <v>6</v>
      </c>
      <c r="W54" s="104"/>
      <c r="X54" s="104"/>
      <c r="Y54" s="106"/>
      <c r="Z54" s="107">
        <v>0</v>
      </c>
      <c r="AA54" s="105">
        <v>1</v>
      </c>
      <c r="AB54" s="103"/>
      <c r="AC54" s="103"/>
      <c r="AD54" s="117">
        <v>1</v>
      </c>
      <c r="AE54" s="214">
        <v>0</v>
      </c>
      <c r="AF54" s="120"/>
      <c r="AG54" s="121"/>
      <c r="AH54" s="121"/>
      <c r="AI54" s="121"/>
      <c r="AJ54" s="121"/>
      <c r="AK54" s="121"/>
      <c r="AL54" s="121"/>
      <c r="AM54" s="121"/>
      <c r="AN54" s="121"/>
      <c r="AO54" s="121"/>
      <c r="AP54" s="121"/>
      <c r="AQ54" s="121"/>
      <c r="AR54" s="121"/>
      <c r="AS54" s="121"/>
      <c r="AT54" s="121"/>
      <c r="AU54" s="121"/>
      <c r="AV54" s="121"/>
      <c r="AW54" s="121"/>
      <c r="AX54" s="121"/>
      <c r="AY54" s="121"/>
      <c r="AZ54" s="121" t="str">
        <f>"    " &amp; TEXT(AE54,"#0.00%") &amp; " " &amp; "소프트웨어설치" &amp; " " &amp; IF(P54="","",TEXT(P54,"M/D-")) &amp; IF(Q54="","",TEXT(Q54,"M/D")) &amp; " "</f>
        <v xml:space="preserve">    0.00% 소프트웨어설치 7/23-7/30 </v>
      </c>
      <c r="BA54" s="121"/>
      <c r="BB54" s="121"/>
      <c r="BC54" s="121"/>
    </row>
    <row r="55" spans="1:55" ht="12" customHeight="1" outlineLevel="3">
      <c r="A55" s="102"/>
      <c r="B55" s="102"/>
      <c r="C55" s="102">
        <v>4</v>
      </c>
      <c r="D55" s="118" t="s">
        <v>1534</v>
      </c>
      <c r="E55" s="103"/>
      <c r="F55" s="103"/>
      <c r="G55" s="103"/>
      <c r="H55" s="103" t="s">
        <v>1535</v>
      </c>
      <c r="I55" s="103"/>
      <c r="J55" s="103"/>
      <c r="K55" s="103"/>
      <c r="L55" s="103"/>
      <c r="M55" s="103"/>
      <c r="N55" s="103"/>
      <c r="O55" s="103"/>
      <c r="P55" s="104">
        <v>46234</v>
      </c>
      <c r="Q55" s="104">
        <v>46237</v>
      </c>
      <c r="R55" s="103"/>
      <c r="S55" s="105">
        <v>2</v>
      </c>
      <c r="T55" s="105">
        <v>0</v>
      </c>
      <c r="U55" s="105">
        <v>2</v>
      </c>
      <c r="V55" s="105">
        <v>0</v>
      </c>
      <c r="W55" s="104"/>
      <c r="X55" s="104"/>
      <c r="Y55" s="106"/>
      <c r="Z55" s="107">
        <v>0</v>
      </c>
      <c r="AA55" s="105">
        <v>1</v>
      </c>
      <c r="AB55" s="103"/>
      <c r="AC55" s="103"/>
      <c r="AD55" s="117">
        <v>0</v>
      </c>
      <c r="AE55" s="199">
        <v>0</v>
      </c>
      <c r="AF55" s="120"/>
      <c r="AG55" s="121"/>
      <c r="AH55" s="121"/>
      <c r="AI55" s="121"/>
      <c r="AJ55" s="121"/>
      <c r="AK55" s="121"/>
      <c r="AL55" s="121"/>
      <c r="AM55" s="121"/>
      <c r="AN55" s="121"/>
      <c r="AO55" s="121"/>
      <c r="AP55" s="121"/>
      <c r="AQ55" s="121"/>
      <c r="AR55" s="121"/>
      <c r="AS55" s="121"/>
      <c r="AT55" s="121"/>
      <c r="AU55" s="121"/>
      <c r="AV55" s="121"/>
      <c r="AW55" s="121"/>
      <c r="AX55" s="121"/>
      <c r="AY55" s="121"/>
      <c r="AZ55" s="121"/>
      <c r="BA55" s="121" t="str">
        <f>"     " &amp; TEXT(AE55,"#0.00%") &amp; " " &amp; "인수테스트실시" &amp; " " &amp; IF(P55="","",TEXT(P55,"M/D-")) &amp; IF(Q55="","",TEXT(Q55,"M/D")) &amp; " "</f>
        <v xml:space="preserve">     0.00% 인수테스트실시 7/31-8/3 </v>
      </c>
      <c r="BB55" s="121"/>
      <c r="BC55" s="121"/>
    </row>
    <row r="56" spans="1:55" ht="12" customHeight="1" outlineLevel="3">
      <c r="A56" s="102" t="s">
        <v>1536</v>
      </c>
      <c r="B56" s="102"/>
      <c r="C56" s="102">
        <v>4</v>
      </c>
      <c r="D56" s="118" t="s">
        <v>1537</v>
      </c>
      <c r="E56" s="103"/>
      <c r="F56" s="103"/>
      <c r="G56" s="103"/>
      <c r="H56" s="103" t="s">
        <v>1538</v>
      </c>
      <c r="I56" s="103"/>
      <c r="J56" s="103"/>
      <c r="K56" s="103"/>
      <c r="L56" s="103"/>
      <c r="M56" s="103"/>
      <c r="N56" s="103"/>
      <c r="O56" s="103"/>
      <c r="P56" s="104">
        <v>46240</v>
      </c>
      <c r="Q56" s="104">
        <v>46240</v>
      </c>
      <c r="R56" s="103"/>
      <c r="S56" s="105">
        <v>0</v>
      </c>
      <c r="T56" s="105">
        <v>0</v>
      </c>
      <c r="U56" s="105">
        <v>1</v>
      </c>
      <c r="V56" s="105">
        <v>0</v>
      </c>
      <c r="W56" s="104"/>
      <c r="X56" s="104"/>
      <c r="Y56" s="106"/>
      <c r="Z56" s="107">
        <v>0</v>
      </c>
      <c r="AA56" s="105">
        <v>1</v>
      </c>
      <c r="AB56" s="103"/>
      <c r="AC56" s="103"/>
      <c r="AD56" s="117">
        <v>0</v>
      </c>
      <c r="AE56" s="199">
        <v>0</v>
      </c>
      <c r="AF56" s="120"/>
      <c r="AG56" s="121"/>
      <c r="AH56" s="121"/>
      <c r="AI56" s="121"/>
      <c r="AJ56" s="121"/>
      <c r="AK56" s="121"/>
      <c r="AL56" s="121"/>
      <c r="AM56" s="121"/>
      <c r="AN56" s="121"/>
      <c r="AO56" s="121"/>
      <c r="AP56" s="121"/>
      <c r="AQ56" s="121"/>
      <c r="AR56" s="121"/>
      <c r="AS56" s="121"/>
      <c r="AT56" s="121"/>
      <c r="AU56" s="121"/>
      <c r="AV56" s="121"/>
      <c r="AW56" s="121"/>
      <c r="AX56" s="121"/>
      <c r="AY56" s="121"/>
      <c r="AZ56" s="121"/>
      <c r="BA56" s="121"/>
      <c r="BB56" s="121" t="str">
        <f>"        " &amp; TEXT(AE56,"#0.00%") &amp; " " &amp; "시스템오픈" &amp; " " &amp; IF(P56="","",TEXT(P56,"M/D-")) &amp; IF(Q56="","",TEXT(Q56,"M/D")) &amp; " "</f>
        <v xml:space="preserve">        0.00% 시스템오픈 8/6-8/6 </v>
      </c>
      <c r="BC56" s="121"/>
    </row>
    <row r="57" spans="1:55" ht="12" customHeight="1">
      <c r="A57" s="152"/>
      <c r="B57" s="152"/>
      <c r="C57" s="152"/>
      <c r="D57" s="153"/>
      <c r="E57" s="154"/>
      <c r="F57" s="154"/>
      <c r="G57" s="154"/>
      <c r="H57" s="154"/>
      <c r="I57" s="154"/>
      <c r="J57" s="154"/>
      <c r="K57" s="154"/>
      <c r="L57" s="154"/>
      <c r="M57" s="154"/>
      <c r="N57" s="154"/>
      <c r="O57" s="154"/>
      <c r="P57" s="155"/>
      <c r="Q57" s="155"/>
      <c r="R57" s="154"/>
      <c r="S57" s="156"/>
      <c r="T57" s="156"/>
      <c r="U57" s="156"/>
      <c r="V57" s="156"/>
      <c r="W57" s="155"/>
      <c r="X57" s="155"/>
      <c r="Y57" s="157"/>
      <c r="Z57" s="158"/>
      <c r="AA57" s="156"/>
      <c r="AB57" s="154"/>
      <c r="AC57" s="154"/>
      <c r="AD57" s="159"/>
      <c r="AE57" s="160"/>
      <c r="AF57" s="119"/>
      <c r="AG57" s="119"/>
      <c r="AH57" s="119"/>
      <c r="AI57" s="119"/>
      <c r="AJ57" s="119"/>
      <c r="AK57" s="119"/>
      <c r="AL57" s="119"/>
      <c r="AM57" s="119"/>
      <c r="AN57" s="119"/>
      <c r="AO57" s="119"/>
      <c r="AP57" s="119"/>
      <c r="AQ57" s="119"/>
      <c r="AR57" s="119"/>
      <c r="AS57" s="119"/>
      <c r="AT57" s="119"/>
      <c r="AU57" s="119"/>
      <c r="AV57" s="119"/>
      <c r="AW57" s="119"/>
      <c r="AX57" s="119"/>
      <c r="AY57" s="119"/>
      <c r="AZ57" s="119"/>
      <c r="BA57" s="119"/>
      <c r="BB57" s="119"/>
      <c r="BC57" s="119"/>
    </row>
  </sheetData>
  <sheetProtection formatCells="0" formatColumns="0" formatRows="0" insertColumns="0" insertRows="0" insertHyperlinks="0" deleteColumns="0" deleteRows="0" sort="0" autoFilter="0" pivotTables="0"/>
  <dataConsolidate/>
  <mergeCells count="34">
    <mergeCell ref="AJ3:AM3"/>
    <mergeCell ref="AJ2:AM2"/>
    <mergeCell ref="AN3:AQ3"/>
    <mergeCell ref="AN2:AQ2"/>
    <mergeCell ref="U3:U4"/>
    <mergeCell ref="V3:V4"/>
    <mergeCell ref="W3:W4"/>
    <mergeCell ref="AE3:AE4"/>
    <mergeCell ref="AF2:AI2"/>
    <mergeCell ref="AF3:AI3"/>
    <mergeCell ref="AC3:AC4"/>
    <mergeCell ref="AD3:AD4"/>
    <mergeCell ref="Y3:Y4"/>
    <mergeCell ref="AB3:AB4"/>
    <mergeCell ref="AA3:AA4"/>
    <mergeCell ref="Z3:Z4"/>
    <mergeCell ref="O3:O4"/>
    <mergeCell ref="P3:P4"/>
    <mergeCell ref="X3:X4"/>
    <mergeCell ref="T3:T4"/>
    <mergeCell ref="A3:A4"/>
    <mergeCell ref="B3:B4"/>
    <mergeCell ref="C3:C4"/>
    <mergeCell ref="D3:D4"/>
    <mergeCell ref="E3:N4"/>
    <mergeCell ref="Q3:Q4"/>
    <mergeCell ref="R3:R4"/>
    <mergeCell ref="S3:S4"/>
    <mergeCell ref="AR2:AU2"/>
    <mergeCell ref="AV3:AY3"/>
    <mergeCell ref="AV2:AY2"/>
    <mergeCell ref="AZ3:BC3"/>
    <mergeCell ref="AZ2:BC2"/>
    <mergeCell ref="AR3:AU3"/>
  </mergeCells>
  <phoneticPr fontId="1" type="noConversion"/>
  <conditionalFormatting sqref="D5:AD56">
    <cfRule type="expression" dxfId="0" priority="1">
      <formula>($B5="G")</formula>
    </cfRule>
  </conditionalFormatting>
  <hyperlinks>
    <hyperlink ref="AF1:BJ1" r:id="rId1" display="https://xlworks.net/xlgantt-project-scheduler/"/>
  </hyperlinks>
  <pageMargins left="0.19685039370078741" right="0.23622047244094491" top="0.43307086614173229" bottom="0.23622047244094491" header="0.23622047244094491" footer="0.19685039370078741"/>
  <pageSetup paperSize="9" scale="65"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2" activePane="bottomLeft" state="frozenSplit"/>
      <selection pane="bottomLeft"/>
    </sheetView>
  </sheetViews>
  <sheetFormatPr defaultColWidth="10" defaultRowHeight="15"/>
  <cols>
    <col min="1" max="1" width="40.62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1683</v>
      </c>
      <c r="B1" s="2"/>
      <c r="C1" s="2"/>
      <c r="D1" s="2"/>
      <c r="E1" s="2"/>
      <c r="F1" s="2"/>
      <c r="G1" s="2"/>
      <c r="H1" s="2"/>
      <c r="I1" s="2"/>
      <c r="J1" s="2"/>
      <c r="K1" s="2"/>
      <c r="L1" s="277"/>
      <c r="M1" s="278"/>
      <c r="N1" s="278"/>
      <c r="O1" s="3"/>
      <c r="P1" s="3"/>
      <c r="Q1" s="3"/>
    </row>
    <row r="2" spans="1:17" s="7" customFormat="1" ht="12.75">
      <c r="A2" s="5" t="s">
        <v>1627</v>
      </c>
      <c r="B2" s="6"/>
    </row>
    <row r="3" spans="1:17" s="7" customFormat="1" ht="12.75">
      <c r="A3" s="5" t="s">
        <v>1628</v>
      </c>
      <c r="B3" s="6"/>
    </row>
    <row r="4" spans="1:17" s="7" customFormat="1" ht="12.75">
      <c r="A4" s="279"/>
      <c r="B4" s="279"/>
      <c r="C4" s="8"/>
      <c r="D4" s="9"/>
      <c r="E4" s="9"/>
      <c r="F4" s="9"/>
    </row>
    <row r="5" spans="1:17" s="15" customFormat="1" ht="12.75">
      <c r="A5" s="10"/>
      <c r="B5" s="11"/>
      <c r="C5" s="12"/>
      <c r="D5" s="13"/>
      <c r="E5" s="14"/>
      <c r="F5" s="14"/>
      <c r="G5" s="14"/>
    </row>
    <row r="6" spans="1:17" s="15" customFormat="1" ht="12.75">
      <c r="A6" s="16" t="s">
        <v>1629</v>
      </c>
      <c r="B6" s="17">
        <v>253.7</v>
      </c>
      <c r="C6" s="15" t="s">
        <v>0</v>
      </c>
      <c r="D6" s="276" t="s">
        <v>1630</v>
      </c>
      <c r="E6" s="276"/>
      <c r="F6" s="276"/>
      <c r="G6" s="276"/>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1631</v>
      </c>
      <c r="B9" s="17">
        <v>249.7</v>
      </c>
      <c r="C9" s="15" t="s">
        <v>0</v>
      </c>
      <c r="D9" s="280" t="s">
        <v>1632</v>
      </c>
      <c r="E9" s="275"/>
      <c r="F9" s="275"/>
      <c r="G9" s="275"/>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1684</v>
      </c>
      <c r="B12" s="17">
        <v>59.47</v>
      </c>
      <c r="C12" s="15" t="s">
        <v>0</v>
      </c>
      <c r="D12" s="280" t="s">
        <v>1685</v>
      </c>
      <c r="E12" s="275"/>
      <c r="F12" s="275"/>
      <c r="G12" s="275"/>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1633</v>
      </c>
      <c r="B15" s="17"/>
      <c r="C15" s="15" t="s">
        <v>0</v>
      </c>
      <c r="D15" s="275" t="s">
        <v>1634</v>
      </c>
      <c r="E15" s="275"/>
      <c r="F15" s="275"/>
      <c r="G15" s="275"/>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1635</v>
      </c>
      <c r="B18" s="39">
        <v>0.98423334647221128</v>
      </c>
      <c r="D18" s="275" t="s">
        <v>1636</v>
      </c>
      <c r="E18" s="275"/>
      <c r="F18" s="275"/>
      <c r="G18" s="275"/>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1637</v>
      </c>
      <c r="B21" s="39">
        <v>0.23441072132439891</v>
      </c>
      <c r="D21" s="275" t="s">
        <v>1638</v>
      </c>
      <c r="E21" s="275"/>
      <c r="F21" s="275"/>
      <c r="G21" s="275"/>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1639</v>
      </c>
      <c r="B24" s="49">
        <f>ACTUAL_RATE-PLANNED_RATE</f>
        <v>-0.74982262514781239</v>
      </c>
      <c r="D24" s="276" t="s">
        <v>1640</v>
      </c>
      <c r="E24" s="276"/>
      <c r="F24" s="276"/>
      <c r="G24" s="276"/>
    </row>
    <row r="25" spans="1:7" s="15" customFormat="1" ht="12.75">
      <c r="A25" s="50"/>
      <c r="B25" s="51"/>
      <c r="C25" s="52"/>
      <c r="D25" s="53"/>
      <c r="E25" s="53"/>
      <c r="F25" s="53"/>
      <c r="G25" s="53"/>
    </row>
    <row r="26" spans="1:7" s="56" customFormat="1">
      <c r="A26" s="54"/>
      <c r="B26" s="55"/>
    </row>
    <row r="27" spans="1:7">
      <c r="B27" s="58"/>
      <c r="G27" s="57"/>
    </row>
    <row r="28" spans="1:7">
      <c r="B28" s="195"/>
    </row>
    <row r="29" spans="1:7">
      <c r="B29" s="60"/>
    </row>
    <row r="30" spans="1:7">
      <c r="B30" s="61"/>
    </row>
  </sheetData>
  <dataConsolidate/>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1" priority="4">
      <formula>$J1="Yes"</formula>
    </cfRule>
  </conditionalFormatting>
  <conditionalFormatting sqref="B18">
    <cfRule type="dataBar" priority="3">
      <dataBar>
        <cfvo type="num" val="0"/>
        <cfvo type="num" val="1"/>
        <color rgb="FF008AEF"/>
      </dataBar>
      <extLst>
        <ext xmlns:x14="http://schemas.microsoft.com/office/spreadsheetml/2009/9/main" uri="{B025F937-C7B1-47D3-B67F-A62EFF666E3E}">
          <x14:id>{48A87614-B144-4D63-8A82-FE923CE1D74D}</x14:id>
        </ext>
      </extLst>
    </cfRule>
  </conditionalFormatting>
  <conditionalFormatting sqref="B21">
    <cfRule type="dataBar" priority="2">
      <dataBar>
        <cfvo type="num" val="0"/>
        <cfvo type="num" val="1"/>
        <color rgb="FF63C384"/>
      </dataBar>
      <extLst>
        <ext xmlns:x14="http://schemas.microsoft.com/office/spreadsheetml/2009/9/main" uri="{B025F937-C7B1-47D3-B67F-A62EFF666E3E}">
          <x14:id>{AC5E9DF4-A267-4E9D-9830-C3074648E8F5}</x14:id>
        </ext>
      </extLst>
    </cfRule>
  </conditionalFormatting>
  <pageMargins left="0.70866141732283472" right="0.70866141732283472" top="0.74803149606299213" bottom="0.74803149606299213" header="0.31496062992125984" footer="0.31496062992125984"/>
  <pageSetup paperSize="9" scale="32" orientation="portrait" r:id="rId1"/>
  <extLst>
    <ext xmlns:x14="http://schemas.microsoft.com/office/spreadsheetml/2009/9/main" uri="{78C0D931-6437-407d-A8EE-F0AAD7539E65}">
      <x14:conditionalFormattings>
        <x14:conditionalFormatting xmlns:xm="http://schemas.microsoft.com/office/excel/2006/main">
          <x14:cfRule type="dataBar" id="{48A87614-B144-4D63-8A82-FE923CE1D74D}">
            <x14:dataBar minLength="0" maxLength="100" gradient="0">
              <x14:cfvo type="num">
                <xm:f>0</xm:f>
              </x14:cfvo>
              <x14:cfvo type="num">
                <xm:f>1</xm:f>
              </x14:cfvo>
              <x14:negativeFillColor rgb="FFFF0000"/>
              <x14:axisColor rgb="FF000000"/>
            </x14:dataBar>
          </x14:cfRule>
          <xm:sqref>B18</xm:sqref>
        </x14:conditionalFormatting>
        <x14:conditionalFormatting xmlns:xm="http://schemas.microsoft.com/office/excel/2006/main">
          <x14:cfRule type="dataBar" id="{AC5E9DF4-A267-4E9D-9830-C3074648E8F5}">
            <x14:dataBar minLength="0" maxLength="100" gradient="0">
              <x14:cfvo type="num">
                <xm:f>0</xm:f>
              </x14:cfvo>
              <x14:cfvo type="num">
                <xm:f>1</xm:f>
              </x14:cfvo>
              <x14:negativeFillColor rgb="FFFF0000"/>
              <x14:axisColor rgb="FF000000"/>
            </x14:dataBar>
          </x14:cfRule>
          <xm:sqref>B21</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B1:L29"/>
  <sheetViews>
    <sheetView showGridLines="0" zoomScale="85" zoomScaleNormal="85" workbookViewId="0">
      <pane ySplit="1" topLeftCell="A2" activePane="bottomLeft" state="frozen"/>
      <selection pane="bottomLeft"/>
    </sheetView>
  </sheetViews>
  <sheetFormatPr defaultColWidth="9.125" defaultRowHeight="15"/>
  <cols>
    <col min="1" max="1" width="1.625" style="223" customWidth="1"/>
    <col min="2" max="3" width="10" style="223" bestFit="1" customWidth="1"/>
    <col min="4" max="4" width="9.125" style="223"/>
    <col min="5" max="5" width="9" style="223" bestFit="1" customWidth="1"/>
    <col min="6" max="6" width="9" style="224" bestFit="1" customWidth="1"/>
    <col min="7" max="10" width="9" style="223" bestFit="1" customWidth="1"/>
    <col min="11" max="11" width="9.375" style="223" bestFit="1" customWidth="1"/>
    <col min="12" max="12" width="9" style="223" bestFit="1" customWidth="1"/>
    <col min="13" max="16384" width="9.125" style="223"/>
  </cols>
  <sheetData>
    <row r="1" spans="2:12" ht="36.950000000000003" customHeight="1">
      <c r="B1" s="225" t="s">
        <v>1343</v>
      </c>
    </row>
    <row r="2" spans="2:12">
      <c r="B2" s="223" t="s">
        <v>1451</v>
      </c>
    </row>
    <row r="3" spans="2:12">
      <c r="B3" s="223" t="s">
        <v>1322</v>
      </c>
    </row>
    <row r="6" spans="2:12" ht="60">
      <c r="B6" s="200" t="s">
        <v>1652</v>
      </c>
      <c r="C6" s="201" t="s">
        <v>1653</v>
      </c>
      <c r="D6" s="201" t="s">
        <v>1668</v>
      </c>
      <c r="E6" s="201" t="s">
        <v>1561</v>
      </c>
      <c r="F6" s="218" t="s">
        <v>1336</v>
      </c>
      <c r="G6" s="201" t="s">
        <v>1669</v>
      </c>
      <c r="H6" s="201" t="s">
        <v>1562</v>
      </c>
      <c r="I6" s="201" t="s">
        <v>1332</v>
      </c>
      <c r="J6" s="201" t="s">
        <v>1670</v>
      </c>
      <c r="K6" s="201" t="s">
        <v>1563</v>
      </c>
      <c r="L6" s="219" t="s">
        <v>1564</v>
      </c>
    </row>
    <row r="7" spans="2:12">
      <c r="B7" s="226">
        <v>46086</v>
      </c>
      <c r="C7" s="226">
        <v>46088</v>
      </c>
      <c r="D7" s="227">
        <v>4</v>
      </c>
      <c r="E7" s="227">
        <v>4</v>
      </c>
      <c r="F7" s="230">
        <v>1.5766653527788728E-2</v>
      </c>
      <c r="G7" s="227">
        <v>4</v>
      </c>
      <c r="H7" s="227">
        <v>4</v>
      </c>
      <c r="I7" s="230">
        <v>1.5766653527788728E-2</v>
      </c>
      <c r="J7" s="227">
        <v>0</v>
      </c>
      <c r="K7" s="227">
        <v>0</v>
      </c>
      <c r="L7" s="230">
        <v>0</v>
      </c>
    </row>
    <row r="8" spans="2:12">
      <c r="B8" s="228">
        <v>46089</v>
      </c>
      <c r="C8" s="228">
        <v>46095</v>
      </c>
      <c r="D8" s="229">
        <v>7</v>
      </c>
      <c r="E8" s="229">
        <v>11</v>
      </c>
      <c r="F8" s="231">
        <v>4.3358297201419004E-2</v>
      </c>
      <c r="G8" s="229">
        <v>7</v>
      </c>
      <c r="H8" s="229">
        <v>11</v>
      </c>
      <c r="I8" s="231">
        <v>4.3358297201419004E-2</v>
      </c>
      <c r="J8" s="229">
        <v>0</v>
      </c>
      <c r="K8" s="229">
        <v>0</v>
      </c>
      <c r="L8" s="231">
        <v>0</v>
      </c>
    </row>
    <row r="9" spans="2:12">
      <c r="B9" s="228">
        <v>46096</v>
      </c>
      <c r="C9" s="228">
        <v>46102</v>
      </c>
      <c r="D9" s="229">
        <v>8</v>
      </c>
      <c r="E9" s="229">
        <v>19</v>
      </c>
      <c r="F9" s="231">
        <v>7.4891604256996452E-2</v>
      </c>
      <c r="G9" s="229">
        <v>8</v>
      </c>
      <c r="H9" s="229">
        <v>19</v>
      </c>
      <c r="I9" s="231">
        <v>7.4891604256996452E-2</v>
      </c>
      <c r="J9" s="229">
        <v>0</v>
      </c>
      <c r="K9" s="229">
        <v>0</v>
      </c>
      <c r="L9" s="231">
        <v>0</v>
      </c>
    </row>
    <row r="10" spans="2:12">
      <c r="B10" s="228">
        <v>46103</v>
      </c>
      <c r="C10" s="228">
        <v>46109</v>
      </c>
      <c r="D10" s="229">
        <v>16.399999999999999</v>
      </c>
      <c r="E10" s="229">
        <v>35.4</v>
      </c>
      <c r="F10" s="231">
        <v>0.13953488372093023</v>
      </c>
      <c r="G10" s="229">
        <v>15.38</v>
      </c>
      <c r="H10" s="229">
        <v>34.380000000000003</v>
      </c>
      <c r="I10" s="231">
        <v>0.13551438707134408</v>
      </c>
      <c r="J10" s="229">
        <v>0</v>
      </c>
      <c r="K10" s="229">
        <v>0</v>
      </c>
      <c r="L10" s="231">
        <v>0</v>
      </c>
    </row>
    <row r="11" spans="2:12">
      <c r="B11" s="228">
        <v>46110</v>
      </c>
      <c r="C11" s="228">
        <v>46116</v>
      </c>
      <c r="D11" s="229">
        <v>10.9</v>
      </c>
      <c r="E11" s="229">
        <v>46.3</v>
      </c>
      <c r="F11" s="231">
        <v>0.18249901458415452</v>
      </c>
      <c r="G11" s="229">
        <v>12.39</v>
      </c>
      <c r="H11" s="229">
        <v>46.77</v>
      </c>
      <c r="I11" s="231">
        <v>0.18435159637366968</v>
      </c>
      <c r="J11" s="229">
        <v>0</v>
      </c>
      <c r="K11" s="229">
        <v>0</v>
      </c>
      <c r="L11" s="231">
        <v>0</v>
      </c>
    </row>
    <row r="12" spans="2:12">
      <c r="B12" s="228">
        <v>46117</v>
      </c>
      <c r="C12" s="228">
        <v>46123</v>
      </c>
      <c r="D12" s="229">
        <v>11</v>
      </c>
      <c r="E12" s="229">
        <v>57.3</v>
      </c>
      <c r="F12" s="231">
        <v>0.2258573117855735</v>
      </c>
      <c r="G12" s="229">
        <v>12.7</v>
      </c>
      <c r="H12" s="229">
        <v>59.47</v>
      </c>
      <c r="I12" s="231">
        <v>0.23441072132439891</v>
      </c>
      <c r="J12" s="229">
        <v>0</v>
      </c>
      <c r="K12" s="229">
        <v>0</v>
      </c>
      <c r="L12" s="231">
        <v>0</v>
      </c>
    </row>
    <row r="13" spans="2:12">
      <c r="B13" s="228">
        <v>46124</v>
      </c>
      <c r="C13" s="228">
        <v>46130</v>
      </c>
      <c r="D13" s="229">
        <v>6</v>
      </c>
      <c r="E13" s="229">
        <v>63.3</v>
      </c>
      <c r="F13" s="231">
        <v>0.24950729207725661</v>
      </c>
      <c r="G13" s="229">
        <v>0</v>
      </c>
      <c r="H13" s="229">
        <v>59.47</v>
      </c>
      <c r="I13" s="231">
        <v>0.23441072132439891</v>
      </c>
      <c r="J13" s="229">
        <v>0</v>
      </c>
      <c r="K13" s="229">
        <v>0</v>
      </c>
      <c r="L13" s="231">
        <v>0</v>
      </c>
    </row>
    <row r="14" spans="2:12">
      <c r="B14" s="228">
        <v>46131</v>
      </c>
      <c r="C14" s="228">
        <v>46137</v>
      </c>
      <c r="D14" s="229">
        <v>5</v>
      </c>
      <c r="E14" s="229">
        <v>68.3</v>
      </c>
      <c r="F14" s="231">
        <v>0.26921560898699254</v>
      </c>
      <c r="G14" s="229">
        <v>0</v>
      </c>
      <c r="H14" s="229">
        <v>59.47</v>
      </c>
      <c r="I14" s="231">
        <v>0.23441072132439891</v>
      </c>
      <c r="J14" s="229">
        <v>0</v>
      </c>
      <c r="K14" s="229">
        <v>0</v>
      </c>
      <c r="L14" s="231">
        <v>0</v>
      </c>
    </row>
    <row r="15" spans="2:12">
      <c r="B15" s="228">
        <v>46138</v>
      </c>
      <c r="C15" s="228">
        <v>46144</v>
      </c>
      <c r="D15" s="229">
        <v>3.2</v>
      </c>
      <c r="E15" s="229">
        <v>71.5</v>
      </c>
      <c r="F15" s="231">
        <v>0.28182893180922353</v>
      </c>
      <c r="G15" s="229">
        <v>0</v>
      </c>
      <c r="H15" s="229">
        <v>59.47</v>
      </c>
      <c r="I15" s="231">
        <v>0.23441072132439891</v>
      </c>
      <c r="J15" s="229">
        <v>0</v>
      </c>
      <c r="K15" s="229">
        <v>0</v>
      </c>
      <c r="L15" s="231">
        <v>0</v>
      </c>
    </row>
    <row r="16" spans="2:12">
      <c r="B16" s="228">
        <v>46145</v>
      </c>
      <c r="C16" s="228">
        <v>46151</v>
      </c>
      <c r="D16" s="229">
        <v>15</v>
      </c>
      <c r="E16" s="229">
        <v>86.5</v>
      </c>
      <c r="F16" s="231">
        <v>0.34095388253843123</v>
      </c>
      <c r="G16" s="229">
        <v>0</v>
      </c>
      <c r="H16" s="229">
        <v>59.47</v>
      </c>
      <c r="I16" s="231">
        <v>0.23441072132439891</v>
      </c>
      <c r="J16" s="229">
        <v>0</v>
      </c>
      <c r="K16" s="229">
        <v>0</v>
      </c>
      <c r="L16" s="231">
        <v>0</v>
      </c>
    </row>
    <row r="17" spans="2:12">
      <c r="B17" s="228">
        <v>46152</v>
      </c>
      <c r="C17" s="228">
        <v>46158</v>
      </c>
      <c r="D17" s="229">
        <v>15</v>
      </c>
      <c r="E17" s="229">
        <v>101.5</v>
      </c>
      <c r="F17" s="231">
        <v>0.40007883326763899</v>
      </c>
      <c r="G17" s="229">
        <v>0</v>
      </c>
      <c r="H17" s="229">
        <v>59.47</v>
      </c>
      <c r="I17" s="231">
        <v>0.23441072132439891</v>
      </c>
      <c r="J17" s="229">
        <v>0</v>
      </c>
      <c r="K17" s="229">
        <v>0</v>
      </c>
      <c r="L17" s="231">
        <v>0</v>
      </c>
    </row>
    <row r="18" spans="2:12">
      <c r="B18" s="228">
        <v>46159</v>
      </c>
      <c r="C18" s="228">
        <v>46165</v>
      </c>
      <c r="D18" s="229">
        <v>18</v>
      </c>
      <c r="E18" s="229">
        <v>119.5</v>
      </c>
      <c r="F18" s="231">
        <v>0.47102877414268823</v>
      </c>
      <c r="G18" s="229">
        <v>0</v>
      </c>
      <c r="H18" s="229">
        <v>59.47</v>
      </c>
      <c r="I18" s="231">
        <v>0.23441072132439891</v>
      </c>
      <c r="J18" s="229">
        <v>0</v>
      </c>
      <c r="K18" s="229">
        <v>0</v>
      </c>
      <c r="L18" s="231">
        <v>0</v>
      </c>
    </row>
    <row r="19" spans="2:12">
      <c r="B19" s="228">
        <v>46166</v>
      </c>
      <c r="C19" s="228">
        <v>46172</v>
      </c>
      <c r="D19" s="229">
        <v>16</v>
      </c>
      <c r="E19" s="229">
        <v>135.5</v>
      </c>
      <c r="F19" s="231">
        <v>0.53409538825384317</v>
      </c>
      <c r="G19" s="229">
        <v>0</v>
      </c>
      <c r="H19" s="229">
        <v>59.47</v>
      </c>
      <c r="I19" s="231">
        <v>0.23441072132439891</v>
      </c>
      <c r="J19" s="229">
        <v>0</v>
      </c>
      <c r="K19" s="229">
        <v>0</v>
      </c>
      <c r="L19" s="231">
        <v>0</v>
      </c>
    </row>
    <row r="20" spans="2:12">
      <c r="B20" s="228">
        <v>46173</v>
      </c>
      <c r="C20" s="228">
        <v>46179</v>
      </c>
      <c r="D20" s="229">
        <v>16.2</v>
      </c>
      <c r="E20" s="229">
        <v>151.69999999999999</v>
      </c>
      <c r="F20" s="231">
        <v>0.59795033504138739</v>
      </c>
      <c r="G20" s="229">
        <v>0</v>
      </c>
      <c r="H20" s="229">
        <v>59.47</v>
      </c>
      <c r="I20" s="231">
        <v>0.23441072132439891</v>
      </c>
      <c r="J20" s="229">
        <v>0</v>
      </c>
      <c r="K20" s="229">
        <v>0</v>
      </c>
      <c r="L20" s="231">
        <v>0</v>
      </c>
    </row>
    <row r="21" spans="2:12">
      <c r="B21" s="228">
        <v>46180</v>
      </c>
      <c r="C21" s="228">
        <v>46186</v>
      </c>
      <c r="D21" s="229">
        <v>20</v>
      </c>
      <c r="E21" s="229">
        <v>171.7</v>
      </c>
      <c r="F21" s="231">
        <v>0.67678360268033111</v>
      </c>
      <c r="G21" s="229">
        <v>0</v>
      </c>
      <c r="H21" s="229">
        <v>59.47</v>
      </c>
      <c r="I21" s="231">
        <v>0.23441072132439891</v>
      </c>
      <c r="J21" s="229">
        <v>0</v>
      </c>
      <c r="K21" s="229">
        <v>0</v>
      </c>
      <c r="L21" s="231">
        <v>0</v>
      </c>
    </row>
    <row r="22" spans="2:12">
      <c r="B22" s="228">
        <v>46187</v>
      </c>
      <c r="C22" s="228">
        <v>46193</v>
      </c>
      <c r="D22" s="229">
        <v>22</v>
      </c>
      <c r="E22" s="229">
        <v>193.7</v>
      </c>
      <c r="F22" s="231">
        <v>0.76350019708316907</v>
      </c>
      <c r="G22" s="229">
        <v>0</v>
      </c>
      <c r="H22" s="229">
        <v>59.47</v>
      </c>
      <c r="I22" s="231">
        <v>0.23441072132439891</v>
      </c>
      <c r="J22" s="229">
        <v>0</v>
      </c>
      <c r="K22" s="229">
        <v>0</v>
      </c>
      <c r="L22" s="231">
        <v>0</v>
      </c>
    </row>
    <row r="23" spans="2:12">
      <c r="B23" s="228">
        <v>46194</v>
      </c>
      <c r="C23" s="228">
        <v>46200</v>
      </c>
      <c r="D23" s="229">
        <v>24</v>
      </c>
      <c r="E23" s="229">
        <v>217.7</v>
      </c>
      <c r="F23" s="231">
        <v>0.8581001182499014</v>
      </c>
      <c r="G23" s="229">
        <v>0</v>
      </c>
      <c r="H23" s="229">
        <v>59.47</v>
      </c>
      <c r="I23" s="231">
        <v>0.23441072132439891</v>
      </c>
      <c r="J23" s="229">
        <v>0</v>
      </c>
      <c r="K23" s="229">
        <v>0</v>
      </c>
      <c r="L23" s="231">
        <v>0</v>
      </c>
    </row>
    <row r="24" spans="2:12">
      <c r="B24" s="228">
        <v>46201</v>
      </c>
      <c r="C24" s="228">
        <v>46207</v>
      </c>
      <c r="D24" s="229">
        <v>8</v>
      </c>
      <c r="E24" s="229">
        <v>225.7</v>
      </c>
      <c r="F24" s="231">
        <v>0.88963342530547895</v>
      </c>
      <c r="G24" s="229">
        <v>0</v>
      </c>
      <c r="H24" s="229">
        <v>59.47</v>
      </c>
      <c r="I24" s="231">
        <v>0.23441072132439891</v>
      </c>
      <c r="J24" s="229">
        <v>0</v>
      </c>
      <c r="K24" s="229">
        <v>0</v>
      </c>
      <c r="L24" s="231">
        <v>0</v>
      </c>
    </row>
    <row r="25" spans="2:12">
      <c r="B25" s="228">
        <v>46208</v>
      </c>
      <c r="C25" s="228">
        <v>46214</v>
      </c>
      <c r="D25" s="229">
        <v>7</v>
      </c>
      <c r="E25" s="229">
        <v>232.7</v>
      </c>
      <c r="F25" s="231">
        <v>0.91722506897910916</v>
      </c>
      <c r="G25" s="229">
        <v>0</v>
      </c>
      <c r="H25" s="229">
        <v>59.47</v>
      </c>
      <c r="I25" s="231">
        <v>0.23441072132439891</v>
      </c>
      <c r="J25" s="229">
        <v>0</v>
      </c>
      <c r="K25" s="229">
        <v>0</v>
      </c>
      <c r="L25" s="231">
        <v>0</v>
      </c>
    </row>
    <row r="26" spans="2:12">
      <c r="B26" s="228">
        <v>46215</v>
      </c>
      <c r="C26" s="228">
        <v>46221</v>
      </c>
      <c r="D26" s="229">
        <v>5</v>
      </c>
      <c r="E26" s="229">
        <v>237.7</v>
      </c>
      <c r="F26" s="231">
        <v>0.93693338588884512</v>
      </c>
      <c r="G26" s="229">
        <v>0</v>
      </c>
      <c r="H26" s="229">
        <v>59.47</v>
      </c>
      <c r="I26" s="231">
        <v>0.23441072132439891</v>
      </c>
      <c r="J26" s="229">
        <v>0</v>
      </c>
      <c r="K26" s="229">
        <v>0</v>
      </c>
      <c r="L26" s="231">
        <v>0</v>
      </c>
    </row>
    <row r="27" spans="2:12">
      <c r="B27" s="228">
        <v>46222</v>
      </c>
      <c r="C27" s="228">
        <v>46228</v>
      </c>
      <c r="D27" s="229">
        <v>7</v>
      </c>
      <c r="E27" s="229">
        <v>244.7</v>
      </c>
      <c r="F27" s="231">
        <v>0.96452502956247532</v>
      </c>
      <c r="G27" s="229">
        <v>0</v>
      </c>
      <c r="H27" s="229">
        <v>59.47</v>
      </c>
      <c r="I27" s="231">
        <v>0.23441072132439891</v>
      </c>
      <c r="J27" s="229">
        <v>0</v>
      </c>
      <c r="K27" s="229">
        <v>0</v>
      </c>
      <c r="L27" s="231">
        <v>0</v>
      </c>
    </row>
    <row r="28" spans="2:12">
      <c r="B28" s="228">
        <v>46229</v>
      </c>
      <c r="C28" s="228">
        <v>46235</v>
      </c>
      <c r="D28" s="229">
        <v>6</v>
      </c>
      <c r="E28" s="229">
        <v>250.7</v>
      </c>
      <c r="F28" s="231">
        <v>0.9881750098541584</v>
      </c>
      <c r="G28" s="229">
        <v>0</v>
      </c>
      <c r="H28" s="229">
        <v>59.47</v>
      </c>
      <c r="I28" s="231">
        <v>0.23441072132439891</v>
      </c>
      <c r="J28" s="229">
        <v>0</v>
      </c>
      <c r="K28" s="229">
        <v>0</v>
      </c>
      <c r="L28" s="231">
        <v>0</v>
      </c>
    </row>
    <row r="29" spans="2:12">
      <c r="B29" s="228">
        <v>46236</v>
      </c>
      <c r="C29" s="228">
        <v>46240</v>
      </c>
      <c r="D29" s="229">
        <v>3</v>
      </c>
      <c r="E29" s="229">
        <v>253.7</v>
      </c>
      <c r="F29" s="231">
        <v>1</v>
      </c>
      <c r="G29" s="229">
        <v>0</v>
      </c>
      <c r="H29" s="229">
        <v>59.47</v>
      </c>
      <c r="I29" s="231">
        <v>0.23441072132439891</v>
      </c>
      <c r="J29" s="229">
        <v>0</v>
      </c>
      <c r="K29" s="229">
        <v>0</v>
      </c>
      <c r="L29" s="231">
        <v>0</v>
      </c>
    </row>
  </sheetData>
  <dataConsolidate/>
  <phoneticPr fontId="1" type="noConversion"/>
  <pageMargins left="0.7" right="0.7" top="0.75" bottom="0.75" header="0.3" footer="0.3"/>
  <pageSetup paperSize="9" orientation="portrait"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2" tint="-9.9978637043366805E-2"/>
  </sheetPr>
  <dimension ref="A1:K156"/>
  <sheetViews>
    <sheetView zoomScale="85" zoomScaleNormal="85" workbookViewId="0"/>
  </sheetViews>
  <sheetFormatPr defaultRowHeight="16.5"/>
  <cols>
    <col min="1" max="1" width="11.625" bestFit="1" customWidth="1"/>
    <col min="2" max="2" width="5.5" bestFit="1" customWidth="1"/>
    <col min="3" max="4" width="26.375" bestFit="1" customWidth="1"/>
    <col min="5" max="5" width="18.125" bestFit="1" customWidth="1"/>
    <col min="6" max="7" width="24.25" bestFit="1" customWidth="1"/>
    <col min="8" max="8" width="16.125" bestFit="1" customWidth="1"/>
    <col min="9" max="10" width="30.5" bestFit="1" customWidth="1"/>
    <col min="11" max="11" width="22.25" bestFit="1" customWidth="1"/>
  </cols>
  <sheetData>
    <row r="1" spans="1:11">
      <c r="A1" s="202" t="s">
        <v>1565</v>
      </c>
      <c r="B1" s="202" t="s">
        <v>1566</v>
      </c>
      <c r="C1" s="202" t="s">
        <v>1440</v>
      </c>
      <c r="D1" s="202" t="s">
        <v>1561</v>
      </c>
      <c r="E1" s="202" t="s">
        <v>1336</v>
      </c>
      <c r="F1" s="202" t="s">
        <v>1441</v>
      </c>
      <c r="G1" s="202" t="s">
        <v>1562</v>
      </c>
      <c r="H1" s="202" t="s">
        <v>1332</v>
      </c>
      <c r="I1" s="202" t="s">
        <v>1567</v>
      </c>
      <c r="J1" s="202" t="s">
        <v>1563</v>
      </c>
      <c r="K1" s="202" t="s">
        <v>1564</v>
      </c>
    </row>
    <row r="2" spans="1:11">
      <c r="A2" s="203">
        <v>46086</v>
      </c>
      <c r="B2" s="204">
        <v>10</v>
      </c>
      <c r="C2" s="205">
        <v>3</v>
      </c>
      <c r="D2" s="205">
        <v>3</v>
      </c>
      <c r="E2" s="194">
        <v>1.1824990145841546E-2</v>
      </c>
      <c r="F2" s="205">
        <v>3</v>
      </c>
      <c r="G2" s="205">
        <v>3</v>
      </c>
      <c r="H2" s="194">
        <v>1.1824990145841546E-2</v>
      </c>
      <c r="I2" s="205">
        <v>0</v>
      </c>
      <c r="J2" s="205">
        <v>0</v>
      </c>
      <c r="K2" s="194">
        <v>0</v>
      </c>
    </row>
    <row r="3" spans="1:11">
      <c r="A3" s="203">
        <v>46087</v>
      </c>
      <c r="B3" s="204">
        <v>10</v>
      </c>
      <c r="C3" s="205">
        <v>1</v>
      </c>
      <c r="D3" s="205">
        <v>4</v>
      </c>
      <c r="E3" s="194">
        <v>1.5766653527788728E-2</v>
      </c>
      <c r="F3" s="205">
        <v>1</v>
      </c>
      <c r="G3" s="205">
        <v>4</v>
      </c>
      <c r="H3" s="194">
        <v>1.5766653527788728E-2</v>
      </c>
      <c r="I3" s="205">
        <v>0</v>
      </c>
      <c r="J3" s="205">
        <v>0</v>
      </c>
      <c r="K3" s="194">
        <v>0</v>
      </c>
    </row>
    <row r="4" spans="1:11">
      <c r="A4" s="203">
        <v>46088</v>
      </c>
      <c r="B4" s="204">
        <v>10</v>
      </c>
      <c r="C4" s="205">
        <v>0</v>
      </c>
      <c r="D4" s="205">
        <v>4</v>
      </c>
      <c r="E4" s="194">
        <v>1.5766653527788728E-2</v>
      </c>
      <c r="F4" s="205">
        <v>0</v>
      </c>
      <c r="G4" s="205">
        <v>4</v>
      </c>
      <c r="H4" s="194">
        <v>1.5766653527788728E-2</v>
      </c>
      <c r="I4" s="205">
        <v>0</v>
      </c>
      <c r="J4" s="205">
        <v>0</v>
      </c>
      <c r="K4" s="194">
        <v>0</v>
      </c>
    </row>
    <row r="5" spans="1:11">
      <c r="A5" s="203">
        <v>46089</v>
      </c>
      <c r="B5" s="204">
        <v>11</v>
      </c>
      <c r="C5" s="205">
        <v>0</v>
      </c>
      <c r="D5" s="205">
        <v>4</v>
      </c>
      <c r="E5" s="194">
        <v>1.5766653527788728E-2</v>
      </c>
      <c r="F5" s="205">
        <v>0</v>
      </c>
      <c r="G5" s="205">
        <v>4</v>
      </c>
      <c r="H5" s="194">
        <v>1.5766653527788728E-2</v>
      </c>
      <c r="I5" s="205">
        <v>0</v>
      </c>
      <c r="J5" s="205">
        <v>0</v>
      </c>
      <c r="K5" s="194">
        <v>0</v>
      </c>
    </row>
    <row r="6" spans="1:11">
      <c r="A6" s="203">
        <v>46090</v>
      </c>
      <c r="B6" s="204">
        <v>11</v>
      </c>
      <c r="C6" s="205">
        <v>1</v>
      </c>
      <c r="D6" s="205">
        <v>5</v>
      </c>
      <c r="E6" s="194">
        <v>1.9708316909735908E-2</v>
      </c>
      <c r="F6" s="205">
        <v>1</v>
      </c>
      <c r="G6" s="205">
        <v>5</v>
      </c>
      <c r="H6" s="194">
        <v>1.9708316909735908E-2</v>
      </c>
      <c r="I6" s="205">
        <v>0</v>
      </c>
      <c r="J6" s="205">
        <v>0</v>
      </c>
      <c r="K6" s="194">
        <v>0</v>
      </c>
    </row>
    <row r="7" spans="1:11">
      <c r="A7" s="203">
        <v>46091</v>
      </c>
      <c r="B7" s="204">
        <v>11</v>
      </c>
      <c r="C7" s="205">
        <v>1</v>
      </c>
      <c r="D7" s="205">
        <v>6</v>
      </c>
      <c r="E7" s="194">
        <v>2.3649980291683092E-2</v>
      </c>
      <c r="F7" s="205">
        <v>1</v>
      </c>
      <c r="G7" s="205">
        <v>6</v>
      </c>
      <c r="H7" s="194">
        <v>2.3649980291683092E-2</v>
      </c>
      <c r="I7" s="205">
        <v>0</v>
      </c>
      <c r="J7" s="205">
        <v>0</v>
      </c>
      <c r="K7" s="194">
        <v>0</v>
      </c>
    </row>
    <row r="8" spans="1:11">
      <c r="A8" s="203">
        <v>46092</v>
      </c>
      <c r="B8" s="204">
        <v>11</v>
      </c>
      <c r="C8" s="205">
        <v>1</v>
      </c>
      <c r="D8" s="205">
        <v>7</v>
      </c>
      <c r="E8" s="194">
        <v>2.7591643673630272E-2</v>
      </c>
      <c r="F8" s="205">
        <v>1</v>
      </c>
      <c r="G8" s="205">
        <v>7</v>
      </c>
      <c r="H8" s="194">
        <v>2.7591643673630272E-2</v>
      </c>
      <c r="I8" s="205">
        <v>0</v>
      </c>
      <c r="J8" s="205">
        <v>0</v>
      </c>
      <c r="K8" s="194">
        <v>0</v>
      </c>
    </row>
    <row r="9" spans="1:11">
      <c r="A9" s="203">
        <v>46093</v>
      </c>
      <c r="B9" s="204">
        <v>11</v>
      </c>
      <c r="C9" s="205">
        <v>2</v>
      </c>
      <c r="D9" s="205">
        <v>9</v>
      </c>
      <c r="E9" s="194">
        <v>3.5474970437524636E-2</v>
      </c>
      <c r="F9" s="205">
        <v>2</v>
      </c>
      <c r="G9" s="205">
        <v>9</v>
      </c>
      <c r="H9" s="194">
        <v>3.5474970437524636E-2</v>
      </c>
      <c r="I9" s="205">
        <v>0</v>
      </c>
      <c r="J9" s="205">
        <v>0</v>
      </c>
      <c r="K9" s="194">
        <v>0</v>
      </c>
    </row>
    <row r="10" spans="1:11">
      <c r="A10" s="203">
        <v>46094</v>
      </c>
      <c r="B10" s="204">
        <v>11</v>
      </c>
      <c r="C10" s="205">
        <v>2</v>
      </c>
      <c r="D10" s="205">
        <v>11</v>
      </c>
      <c r="E10" s="194">
        <v>4.3358297201419004E-2</v>
      </c>
      <c r="F10" s="205">
        <v>2</v>
      </c>
      <c r="G10" s="205">
        <v>11</v>
      </c>
      <c r="H10" s="194">
        <v>4.3358297201419004E-2</v>
      </c>
      <c r="I10" s="205">
        <v>0</v>
      </c>
      <c r="J10" s="205">
        <v>0</v>
      </c>
      <c r="K10" s="194">
        <v>0</v>
      </c>
    </row>
    <row r="11" spans="1:11">
      <c r="A11" s="203">
        <v>46095</v>
      </c>
      <c r="B11" s="204">
        <v>11</v>
      </c>
      <c r="C11" s="205">
        <v>0</v>
      </c>
      <c r="D11" s="205">
        <v>11</v>
      </c>
      <c r="E11" s="194">
        <v>4.3358297201419004E-2</v>
      </c>
      <c r="F11" s="205">
        <v>0</v>
      </c>
      <c r="G11" s="205">
        <v>11</v>
      </c>
      <c r="H11" s="194">
        <v>4.3358297201419004E-2</v>
      </c>
      <c r="I11" s="205">
        <v>0</v>
      </c>
      <c r="J11" s="205">
        <v>0</v>
      </c>
      <c r="K11" s="194">
        <v>0</v>
      </c>
    </row>
    <row r="12" spans="1:11">
      <c r="A12" s="203">
        <v>46096</v>
      </c>
      <c r="B12" s="204">
        <v>12</v>
      </c>
      <c r="C12" s="205">
        <v>0</v>
      </c>
      <c r="D12" s="205">
        <v>11</v>
      </c>
      <c r="E12" s="194">
        <v>4.3358297201419004E-2</v>
      </c>
      <c r="F12" s="205">
        <v>0</v>
      </c>
      <c r="G12" s="205">
        <v>11</v>
      </c>
      <c r="H12" s="194">
        <v>4.3358297201419004E-2</v>
      </c>
      <c r="I12" s="205">
        <v>0</v>
      </c>
      <c r="J12" s="205">
        <v>0</v>
      </c>
      <c r="K12" s="194">
        <v>0</v>
      </c>
    </row>
    <row r="13" spans="1:11">
      <c r="A13" s="203">
        <v>46097</v>
      </c>
      <c r="B13" s="204">
        <v>12</v>
      </c>
      <c r="C13" s="205">
        <v>2</v>
      </c>
      <c r="D13" s="205">
        <v>13</v>
      </c>
      <c r="E13" s="194">
        <v>5.1241623965313364E-2</v>
      </c>
      <c r="F13" s="205">
        <v>2</v>
      </c>
      <c r="G13" s="205">
        <v>13</v>
      </c>
      <c r="H13" s="194">
        <v>5.1241623965313364E-2</v>
      </c>
      <c r="I13" s="205">
        <v>0</v>
      </c>
      <c r="J13" s="205">
        <v>0</v>
      </c>
      <c r="K13" s="194">
        <v>0</v>
      </c>
    </row>
    <row r="14" spans="1:11">
      <c r="A14" s="203">
        <v>46098</v>
      </c>
      <c r="B14" s="204">
        <v>12</v>
      </c>
      <c r="C14" s="205">
        <v>1</v>
      </c>
      <c r="D14" s="205">
        <v>14</v>
      </c>
      <c r="E14" s="194">
        <v>5.5183287347260544E-2</v>
      </c>
      <c r="F14" s="205">
        <v>1</v>
      </c>
      <c r="G14" s="205">
        <v>14</v>
      </c>
      <c r="H14" s="194">
        <v>5.5183287347260544E-2</v>
      </c>
      <c r="I14" s="205">
        <v>0</v>
      </c>
      <c r="J14" s="205">
        <v>0</v>
      </c>
      <c r="K14" s="194">
        <v>0</v>
      </c>
    </row>
    <row r="15" spans="1:11">
      <c r="A15" s="203">
        <v>46099</v>
      </c>
      <c r="B15" s="204">
        <v>12</v>
      </c>
      <c r="C15" s="205">
        <v>1</v>
      </c>
      <c r="D15" s="205">
        <v>15</v>
      </c>
      <c r="E15" s="194">
        <v>5.9124950729207731E-2</v>
      </c>
      <c r="F15" s="205">
        <v>1</v>
      </c>
      <c r="G15" s="205">
        <v>15</v>
      </c>
      <c r="H15" s="194">
        <v>5.9124950729207731E-2</v>
      </c>
      <c r="I15" s="205">
        <v>0</v>
      </c>
      <c r="J15" s="205">
        <v>0</v>
      </c>
      <c r="K15" s="194">
        <v>0</v>
      </c>
    </row>
    <row r="16" spans="1:11">
      <c r="A16" s="203">
        <v>46100</v>
      </c>
      <c r="B16" s="204">
        <v>12</v>
      </c>
      <c r="C16" s="205">
        <v>2</v>
      </c>
      <c r="D16" s="205">
        <v>17</v>
      </c>
      <c r="E16" s="194">
        <v>6.7008277493102092E-2</v>
      </c>
      <c r="F16" s="205">
        <v>2</v>
      </c>
      <c r="G16" s="205">
        <v>17</v>
      </c>
      <c r="H16" s="194">
        <v>6.7008277493102092E-2</v>
      </c>
      <c r="I16" s="205">
        <v>0</v>
      </c>
      <c r="J16" s="205">
        <v>0</v>
      </c>
      <c r="K16" s="194">
        <v>0</v>
      </c>
    </row>
    <row r="17" spans="1:11">
      <c r="A17" s="203">
        <v>46101</v>
      </c>
      <c r="B17" s="204">
        <v>12</v>
      </c>
      <c r="C17" s="205">
        <v>2</v>
      </c>
      <c r="D17" s="205">
        <v>19</v>
      </c>
      <c r="E17" s="194">
        <v>7.4891604256996452E-2</v>
      </c>
      <c r="F17" s="205">
        <v>2</v>
      </c>
      <c r="G17" s="205">
        <v>19</v>
      </c>
      <c r="H17" s="194">
        <v>7.4891604256996452E-2</v>
      </c>
      <c r="I17" s="205">
        <v>0</v>
      </c>
      <c r="J17" s="205">
        <v>0</v>
      </c>
      <c r="K17" s="194">
        <v>0</v>
      </c>
    </row>
    <row r="18" spans="1:11">
      <c r="A18" s="203">
        <v>46102</v>
      </c>
      <c r="B18" s="204">
        <v>12</v>
      </c>
      <c r="C18" s="205">
        <v>0</v>
      </c>
      <c r="D18" s="205">
        <v>19</v>
      </c>
      <c r="E18" s="194">
        <v>7.4891604256996452E-2</v>
      </c>
      <c r="F18" s="205">
        <v>0</v>
      </c>
      <c r="G18" s="205">
        <v>19</v>
      </c>
      <c r="H18" s="194">
        <v>7.4891604256996452E-2</v>
      </c>
      <c r="I18" s="205">
        <v>0</v>
      </c>
      <c r="J18" s="205">
        <v>0</v>
      </c>
      <c r="K18" s="194">
        <v>0</v>
      </c>
    </row>
    <row r="19" spans="1:11">
      <c r="A19" s="203">
        <v>46103</v>
      </c>
      <c r="B19" s="204">
        <v>13</v>
      </c>
      <c r="C19" s="205">
        <v>0</v>
      </c>
      <c r="D19" s="205">
        <v>19</v>
      </c>
      <c r="E19" s="194">
        <v>7.4891604256996452E-2</v>
      </c>
      <c r="F19" s="205">
        <v>0</v>
      </c>
      <c r="G19" s="205">
        <v>19</v>
      </c>
      <c r="H19" s="194">
        <v>7.4891604256996452E-2</v>
      </c>
      <c r="I19" s="205">
        <v>0</v>
      </c>
      <c r="J19" s="205">
        <v>0</v>
      </c>
      <c r="K19" s="194">
        <v>0</v>
      </c>
    </row>
    <row r="20" spans="1:11">
      <c r="A20" s="203">
        <v>46104</v>
      </c>
      <c r="B20" s="204">
        <v>13</v>
      </c>
      <c r="C20" s="205">
        <v>2</v>
      </c>
      <c r="D20" s="205">
        <v>21</v>
      </c>
      <c r="E20" s="194">
        <v>8.2774931020890813E-2</v>
      </c>
      <c r="F20" s="205">
        <v>2</v>
      </c>
      <c r="G20" s="205">
        <v>21</v>
      </c>
      <c r="H20" s="194">
        <v>8.2774931020890813E-2</v>
      </c>
      <c r="I20" s="205">
        <v>0</v>
      </c>
      <c r="J20" s="205">
        <v>0</v>
      </c>
      <c r="K20" s="194">
        <v>0</v>
      </c>
    </row>
    <row r="21" spans="1:11">
      <c r="A21" s="203">
        <v>46105</v>
      </c>
      <c r="B21" s="204">
        <v>13</v>
      </c>
      <c r="C21" s="205">
        <v>2</v>
      </c>
      <c r="D21" s="205">
        <v>23</v>
      </c>
      <c r="E21" s="194">
        <v>9.0658257784785187E-2</v>
      </c>
      <c r="F21" s="205">
        <v>2</v>
      </c>
      <c r="G21" s="205">
        <v>23</v>
      </c>
      <c r="H21" s="194">
        <v>9.0658257784785187E-2</v>
      </c>
      <c r="I21" s="205">
        <v>0</v>
      </c>
      <c r="J21" s="205">
        <v>0</v>
      </c>
      <c r="K21" s="194">
        <v>0</v>
      </c>
    </row>
    <row r="22" spans="1:11">
      <c r="A22" s="203">
        <v>46106</v>
      </c>
      <c r="B22" s="204">
        <v>13</v>
      </c>
      <c r="C22" s="205">
        <v>2</v>
      </c>
      <c r="D22" s="205">
        <v>25</v>
      </c>
      <c r="E22" s="194">
        <v>9.8541584548679548E-2</v>
      </c>
      <c r="F22" s="205">
        <v>2</v>
      </c>
      <c r="G22" s="205">
        <v>25</v>
      </c>
      <c r="H22" s="194">
        <v>9.8541584548679548E-2</v>
      </c>
      <c r="I22" s="205">
        <v>0</v>
      </c>
      <c r="J22" s="205">
        <v>0</v>
      </c>
      <c r="K22" s="194">
        <v>0</v>
      </c>
    </row>
    <row r="23" spans="1:11">
      <c r="A23" s="203">
        <v>46107</v>
      </c>
      <c r="B23" s="204">
        <v>13</v>
      </c>
      <c r="C23" s="205">
        <v>5.7</v>
      </c>
      <c r="D23" s="205">
        <v>30.7</v>
      </c>
      <c r="E23" s="194">
        <v>0.12100906582577849</v>
      </c>
      <c r="F23" s="205">
        <v>5.19</v>
      </c>
      <c r="G23" s="205">
        <v>30.19</v>
      </c>
      <c r="H23" s="194">
        <v>0.11899881750098541</v>
      </c>
      <c r="I23" s="205">
        <v>0</v>
      </c>
      <c r="J23" s="205">
        <v>0</v>
      </c>
      <c r="K23" s="194">
        <v>0</v>
      </c>
    </row>
    <row r="24" spans="1:11">
      <c r="A24" s="203">
        <v>46108</v>
      </c>
      <c r="B24" s="204">
        <v>13</v>
      </c>
      <c r="C24" s="205">
        <v>4.7</v>
      </c>
      <c r="D24" s="205">
        <v>35.4</v>
      </c>
      <c r="E24" s="194">
        <v>0.13953488372093023</v>
      </c>
      <c r="F24" s="205">
        <v>4.1900000000000004</v>
      </c>
      <c r="G24" s="205">
        <v>34.380000000000003</v>
      </c>
      <c r="H24" s="194">
        <v>0.13551438707134408</v>
      </c>
      <c r="I24" s="205">
        <v>0</v>
      </c>
      <c r="J24" s="205">
        <v>0</v>
      </c>
      <c r="K24" s="194">
        <v>0</v>
      </c>
    </row>
    <row r="25" spans="1:11">
      <c r="A25" s="203">
        <v>46109</v>
      </c>
      <c r="B25" s="204">
        <v>13</v>
      </c>
      <c r="C25" s="205">
        <v>0</v>
      </c>
      <c r="D25" s="205">
        <v>35.4</v>
      </c>
      <c r="E25" s="194">
        <v>0.13953488372093023</v>
      </c>
      <c r="F25" s="205">
        <v>0</v>
      </c>
      <c r="G25" s="205">
        <v>34.380000000000003</v>
      </c>
      <c r="H25" s="194">
        <v>0.13551438707134408</v>
      </c>
      <c r="I25" s="205">
        <v>0</v>
      </c>
      <c r="J25" s="205">
        <v>0</v>
      </c>
      <c r="K25" s="194">
        <v>0</v>
      </c>
    </row>
    <row r="26" spans="1:11">
      <c r="A26" s="203">
        <v>46110</v>
      </c>
      <c r="B26" s="204">
        <v>14</v>
      </c>
      <c r="C26" s="205">
        <v>0</v>
      </c>
      <c r="D26" s="205">
        <v>35.4</v>
      </c>
      <c r="E26" s="194">
        <v>0.13953488372093023</v>
      </c>
      <c r="F26" s="205">
        <v>0</v>
      </c>
      <c r="G26" s="205">
        <v>34.380000000000003</v>
      </c>
      <c r="H26" s="194">
        <v>0.13551438707134408</v>
      </c>
      <c r="I26" s="205">
        <v>0</v>
      </c>
      <c r="J26" s="205">
        <v>0</v>
      </c>
      <c r="K26" s="194">
        <v>0</v>
      </c>
    </row>
    <row r="27" spans="1:11">
      <c r="A27" s="203">
        <v>46111</v>
      </c>
      <c r="B27" s="204">
        <v>14</v>
      </c>
      <c r="C27" s="205">
        <v>4.7</v>
      </c>
      <c r="D27" s="205">
        <v>40.1</v>
      </c>
      <c r="E27" s="194">
        <v>0.15806070161608199</v>
      </c>
      <c r="F27" s="205">
        <v>4.1900000000000004</v>
      </c>
      <c r="G27" s="205">
        <v>38.57</v>
      </c>
      <c r="H27" s="194">
        <v>0.15202995664170277</v>
      </c>
      <c r="I27" s="205">
        <v>0</v>
      </c>
      <c r="J27" s="205">
        <v>0</v>
      </c>
      <c r="K27" s="194">
        <v>0</v>
      </c>
    </row>
    <row r="28" spans="1:11">
      <c r="A28" s="203">
        <v>46112</v>
      </c>
      <c r="B28" s="204">
        <v>14</v>
      </c>
      <c r="C28" s="205">
        <v>1</v>
      </c>
      <c r="D28" s="205">
        <v>41.1</v>
      </c>
      <c r="E28" s="194">
        <v>0.16200236499802917</v>
      </c>
      <c r="F28" s="205">
        <v>1</v>
      </c>
      <c r="G28" s="205">
        <v>39.57</v>
      </c>
      <c r="H28" s="194">
        <v>0.15597162002364995</v>
      </c>
      <c r="I28" s="205">
        <v>0</v>
      </c>
      <c r="J28" s="205">
        <v>0</v>
      </c>
      <c r="K28" s="194">
        <v>0</v>
      </c>
    </row>
    <row r="29" spans="1:11">
      <c r="A29" s="203">
        <v>46113</v>
      </c>
      <c r="B29" s="204">
        <v>14</v>
      </c>
      <c r="C29" s="205">
        <v>1</v>
      </c>
      <c r="D29" s="205">
        <v>42.1</v>
      </c>
      <c r="E29" s="194">
        <v>0.16594402837997635</v>
      </c>
      <c r="F29" s="205">
        <v>1</v>
      </c>
      <c r="G29" s="205">
        <v>40.57</v>
      </c>
      <c r="H29" s="194">
        <v>0.15991328340559713</v>
      </c>
      <c r="I29" s="205">
        <v>0</v>
      </c>
      <c r="J29" s="205">
        <v>0</v>
      </c>
      <c r="K29" s="194">
        <v>0</v>
      </c>
    </row>
    <row r="30" spans="1:11">
      <c r="A30" s="203">
        <v>46114</v>
      </c>
      <c r="B30" s="204">
        <v>14</v>
      </c>
      <c r="C30" s="205">
        <v>2.2000000000000002</v>
      </c>
      <c r="D30" s="205">
        <v>44.3</v>
      </c>
      <c r="E30" s="194">
        <v>0.17461568782026018</v>
      </c>
      <c r="F30" s="205">
        <v>3.2</v>
      </c>
      <c r="G30" s="205">
        <v>43.77</v>
      </c>
      <c r="H30" s="194">
        <v>0.17252660622782814</v>
      </c>
      <c r="I30" s="205">
        <v>0</v>
      </c>
      <c r="J30" s="205">
        <v>0</v>
      </c>
      <c r="K30" s="194">
        <v>0</v>
      </c>
    </row>
    <row r="31" spans="1:11">
      <c r="A31" s="203">
        <v>46115</v>
      </c>
      <c r="B31" s="204">
        <v>14</v>
      </c>
      <c r="C31" s="205">
        <v>2</v>
      </c>
      <c r="D31" s="205">
        <v>46.3</v>
      </c>
      <c r="E31" s="194">
        <v>0.18249901458415455</v>
      </c>
      <c r="F31" s="205">
        <v>3</v>
      </c>
      <c r="G31" s="205">
        <v>46.77</v>
      </c>
      <c r="H31" s="194">
        <v>0.18435159637366968</v>
      </c>
      <c r="I31" s="205">
        <v>0</v>
      </c>
      <c r="J31" s="205">
        <v>0</v>
      </c>
      <c r="K31" s="194">
        <v>0</v>
      </c>
    </row>
    <row r="32" spans="1:11">
      <c r="A32" s="203">
        <v>46116</v>
      </c>
      <c r="B32" s="204">
        <v>14</v>
      </c>
      <c r="C32" s="205">
        <v>0</v>
      </c>
      <c r="D32" s="205">
        <v>46.3</v>
      </c>
      <c r="E32" s="194">
        <v>0.18249901458415455</v>
      </c>
      <c r="F32" s="205">
        <v>0</v>
      </c>
      <c r="G32" s="205">
        <v>46.77</v>
      </c>
      <c r="H32" s="194">
        <v>0.18435159637366968</v>
      </c>
      <c r="I32" s="205">
        <v>0</v>
      </c>
      <c r="J32" s="205">
        <v>0</v>
      </c>
      <c r="K32" s="194">
        <v>0</v>
      </c>
    </row>
    <row r="33" spans="1:11">
      <c r="A33" s="203">
        <v>46117</v>
      </c>
      <c r="B33" s="204">
        <v>15</v>
      </c>
      <c r="C33" s="205">
        <v>0</v>
      </c>
      <c r="D33" s="205">
        <v>46.3</v>
      </c>
      <c r="E33" s="194">
        <v>0.18249901458415455</v>
      </c>
      <c r="F33" s="205">
        <v>0</v>
      </c>
      <c r="G33" s="205">
        <v>46.77</v>
      </c>
      <c r="H33" s="194">
        <v>0.18435159637366968</v>
      </c>
      <c r="I33" s="205">
        <v>0</v>
      </c>
      <c r="J33" s="205">
        <v>0</v>
      </c>
      <c r="K33" s="194">
        <v>0</v>
      </c>
    </row>
    <row r="34" spans="1:11">
      <c r="A34" s="203">
        <v>46118</v>
      </c>
      <c r="B34" s="204">
        <v>15</v>
      </c>
      <c r="C34" s="205">
        <v>3</v>
      </c>
      <c r="D34" s="205">
        <v>49.3</v>
      </c>
      <c r="E34" s="194">
        <v>0.19432400472999609</v>
      </c>
      <c r="F34" s="205">
        <v>3</v>
      </c>
      <c r="G34" s="205">
        <v>49.77</v>
      </c>
      <c r="H34" s="194">
        <v>0.19617658651951123</v>
      </c>
      <c r="I34" s="205">
        <v>0</v>
      </c>
      <c r="J34" s="205">
        <v>0</v>
      </c>
      <c r="K34" s="194">
        <v>0</v>
      </c>
    </row>
    <row r="35" spans="1:11">
      <c r="A35" s="203">
        <v>46119</v>
      </c>
      <c r="B35" s="204">
        <v>15</v>
      </c>
      <c r="C35" s="205">
        <v>2</v>
      </c>
      <c r="D35" s="205">
        <v>51.3</v>
      </c>
      <c r="E35" s="194">
        <v>0.20220733149389045</v>
      </c>
      <c r="F35" s="205">
        <v>9.6999999999999993</v>
      </c>
      <c r="G35" s="205">
        <v>59.47</v>
      </c>
      <c r="H35" s="194">
        <v>0.23441072132439891</v>
      </c>
      <c r="I35" s="205">
        <v>0</v>
      </c>
      <c r="J35" s="205">
        <v>0</v>
      </c>
      <c r="K35" s="194">
        <v>0</v>
      </c>
    </row>
    <row r="36" spans="1:11">
      <c r="A36" s="203">
        <v>46120</v>
      </c>
      <c r="B36" s="204">
        <v>15</v>
      </c>
      <c r="C36" s="205">
        <v>2</v>
      </c>
      <c r="D36" s="205">
        <v>53.3</v>
      </c>
      <c r="E36" s="194">
        <v>0.21009065825778481</v>
      </c>
      <c r="F36" s="205">
        <v>0</v>
      </c>
      <c r="G36" s="205">
        <v>59.47</v>
      </c>
      <c r="H36" s="194">
        <v>0.23441072132439891</v>
      </c>
      <c r="I36" s="205">
        <v>0</v>
      </c>
      <c r="J36" s="205">
        <v>0</v>
      </c>
      <c r="K36" s="194">
        <v>0</v>
      </c>
    </row>
    <row r="37" spans="1:11">
      <c r="A37" s="203">
        <v>46121</v>
      </c>
      <c r="B37" s="204">
        <v>15</v>
      </c>
      <c r="C37" s="205">
        <v>2</v>
      </c>
      <c r="D37" s="205">
        <v>55.3</v>
      </c>
      <c r="E37" s="194">
        <v>0.21797398502167917</v>
      </c>
      <c r="F37" s="205">
        <v>0</v>
      </c>
      <c r="G37" s="205">
        <v>59.47</v>
      </c>
      <c r="H37" s="194">
        <v>0.23441072132439891</v>
      </c>
      <c r="I37" s="205">
        <v>0</v>
      </c>
      <c r="J37" s="205">
        <v>0</v>
      </c>
      <c r="K37" s="194">
        <v>0</v>
      </c>
    </row>
    <row r="38" spans="1:11">
      <c r="A38" s="203">
        <v>46122</v>
      </c>
      <c r="B38" s="204">
        <v>15</v>
      </c>
      <c r="C38" s="205">
        <v>2</v>
      </c>
      <c r="D38" s="205">
        <v>57.3</v>
      </c>
      <c r="E38" s="194">
        <v>0.22585731178557353</v>
      </c>
      <c r="F38" s="205">
        <v>0</v>
      </c>
      <c r="G38" s="205">
        <v>59.47</v>
      </c>
      <c r="H38" s="194">
        <v>0.23441072132439891</v>
      </c>
      <c r="I38" s="205">
        <v>0</v>
      </c>
      <c r="J38" s="205">
        <v>0</v>
      </c>
      <c r="K38" s="194">
        <v>0</v>
      </c>
    </row>
    <row r="39" spans="1:11">
      <c r="A39" s="203">
        <v>46123</v>
      </c>
      <c r="B39" s="204">
        <v>15</v>
      </c>
      <c r="C39" s="205">
        <v>0</v>
      </c>
      <c r="D39" s="205">
        <v>57.3</v>
      </c>
      <c r="E39" s="194">
        <v>0.22585731178557353</v>
      </c>
      <c r="F39" s="205">
        <v>0</v>
      </c>
      <c r="G39" s="205">
        <v>59.47</v>
      </c>
      <c r="H39" s="194">
        <v>0.23441072132439891</v>
      </c>
      <c r="I39" s="205">
        <v>0</v>
      </c>
      <c r="J39" s="205">
        <v>0</v>
      </c>
      <c r="K39" s="194">
        <v>0</v>
      </c>
    </row>
    <row r="40" spans="1:11">
      <c r="A40" s="203">
        <v>46124</v>
      </c>
      <c r="B40" s="204">
        <v>16</v>
      </c>
      <c r="C40" s="205">
        <v>0</v>
      </c>
      <c r="D40" s="205">
        <v>57.3</v>
      </c>
      <c r="E40" s="194">
        <v>0.22585731178557353</v>
      </c>
      <c r="F40" s="205">
        <v>0</v>
      </c>
      <c r="G40" s="205">
        <v>59.47</v>
      </c>
      <c r="H40" s="194">
        <v>0.23441072132439891</v>
      </c>
      <c r="I40" s="205">
        <v>0</v>
      </c>
      <c r="J40" s="205">
        <v>0</v>
      </c>
      <c r="K40" s="194">
        <v>0</v>
      </c>
    </row>
    <row r="41" spans="1:11">
      <c r="A41" s="203">
        <v>46125</v>
      </c>
      <c r="B41" s="204">
        <v>16</v>
      </c>
      <c r="C41" s="205">
        <v>2</v>
      </c>
      <c r="D41" s="205">
        <v>59.3</v>
      </c>
      <c r="E41" s="194">
        <v>0.23374063854946792</v>
      </c>
      <c r="F41" s="205">
        <v>0</v>
      </c>
      <c r="G41" s="205">
        <v>59.47</v>
      </c>
      <c r="H41" s="194">
        <v>0.23441072132439891</v>
      </c>
      <c r="I41" s="205">
        <v>0</v>
      </c>
      <c r="J41" s="205">
        <v>0</v>
      </c>
      <c r="K41" s="194">
        <v>0</v>
      </c>
    </row>
    <row r="42" spans="1:11">
      <c r="A42" s="203">
        <v>46126</v>
      </c>
      <c r="B42" s="204">
        <v>16</v>
      </c>
      <c r="C42" s="205">
        <v>1</v>
      </c>
      <c r="D42" s="205">
        <v>60.3</v>
      </c>
      <c r="E42" s="194">
        <v>0.2376823019314151</v>
      </c>
      <c r="F42" s="205">
        <v>0</v>
      </c>
      <c r="G42" s="205">
        <v>59.47</v>
      </c>
      <c r="H42" s="194">
        <v>0.23441072132439891</v>
      </c>
      <c r="I42" s="205">
        <v>0</v>
      </c>
      <c r="J42" s="205">
        <v>0</v>
      </c>
      <c r="K42" s="194">
        <v>0</v>
      </c>
    </row>
    <row r="43" spans="1:11">
      <c r="A43" s="203">
        <v>46127</v>
      </c>
      <c r="B43" s="204">
        <v>16</v>
      </c>
      <c r="C43" s="205">
        <v>1</v>
      </c>
      <c r="D43" s="205">
        <v>61.3</v>
      </c>
      <c r="E43" s="194">
        <v>0.24162396531336228</v>
      </c>
      <c r="F43" s="205">
        <v>0</v>
      </c>
      <c r="G43" s="205">
        <v>59.47</v>
      </c>
      <c r="H43" s="194">
        <v>0.23441072132439891</v>
      </c>
      <c r="I43" s="205">
        <v>0</v>
      </c>
      <c r="J43" s="205">
        <v>0</v>
      </c>
      <c r="K43" s="194">
        <v>0</v>
      </c>
    </row>
    <row r="44" spans="1:11">
      <c r="A44" s="203">
        <v>46128</v>
      </c>
      <c r="B44" s="204">
        <v>16</v>
      </c>
      <c r="C44" s="205">
        <v>1</v>
      </c>
      <c r="D44" s="205">
        <v>62.3</v>
      </c>
      <c r="E44" s="194">
        <v>0.24556562869530946</v>
      </c>
      <c r="F44" s="205">
        <v>0</v>
      </c>
      <c r="G44" s="205">
        <v>59.47</v>
      </c>
      <c r="H44" s="194">
        <v>0.23441072132439891</v>
      </c>
      <c r="I44" s="205">
        <v>0</v>
      </c>
      <c r="J44" s="205">
        <v>0</v>
      </c>
      <c r="K44" s="194">
        <v>0</v>
      </c>
    </row>
    <row r="45" spans="1:11">
      <c r="A45" s="203">
        <v>46129</v>
      </c>
      <c r="B45" s="204">
        <v>16</v>
      </c>
      <c r="C45" s="205">
        <v>1</v>
      </c>
      <c r="D45" s="205">
        <v>63.3</v>
      </c>
      <c r="E45" s="194">
        <v>0.24950729207725664</v>
      </c>
      <c r="F45" s="205">
        <v>0</v>
      </c>
      <c r="G45" s="205">
        <v>59.47</v>
      </c>
      <c r="H45" s="194">
        <v>0.23441072132439891</v>
      </c>
      <c r="I45" s="205">
        <v>0</v>
      </c>
      <c r="J45" s="205">
        <v>0</v>
      </c>
      <c r="K45" s="194">
        <v>0</v>
      </c>
    </row>
    <row r="46" spans="1:11">
      <c r="A46" s="203">
        <v>46130</v>
      </c>
      <c r="B46" s="204">
        <v>16</v>
      </c>
      <c r="C46" s="205">
        <v>0</v>
      </c>
      <c r="D46" s="205">
        <v>63.3</v>
      </c>
      <c r="E46" s="194">
        <v>0.24950729207725664</v>
      </c>
      <c r="F46" s="205">
        <v>0</v>
      </c>
      <c r="G46" s="205">
        <v>59.47</v>
      </c>
      <c r="H46" s="194">
        <v>0.23441072132439891</v>
      </c>
      <c r="I46" s="205">
        <v>0</v>
      </c>
      <c r="J46" s="205">
        <v>0</v>
      </c>
      <c r="K46" s="194">
        <v>0</v>
      </c>
    </row>
    <row r="47" spans="1:11">
      <c r="A47" s="203">
        <v>46131</v>
      </c>
      <c r="B47" s="204">
        <v>17</v>
      </c>
      <c r="C47" s="205">
        <v>0</v>
      </c>
      <c r="D47" s="205">
        <v>63.3</v>
      </c>
      <c r="E47" s="194">
        <v>0.24950729207725664</v>
      </c>
      <c r="F47" s="205">
        <v>0</v>
      </c>
      <c r="G47" s="205">
        <v>59.47</v>
      </c>
      <c r="H47" s="194">
        <v>0.23441072132439891</v>
      </c>
      <c r="I47" s="205">
        <v>0</v>
      </c>
      <c r="J47" s="205">
        <v>0</v>
      </c>
      <c r="K47" s="194">
        <v>0</v>
      </c>
    </row>
    <row r="48" spans="1:11">
      <c r="A48" s="203">
        <v>46132</v>
      </c>
      <c r="B48" s="204">
        <v>17</v>
      </c>
      <c r="C48" s="205">
        <v>1</v>
      </c>
      <c r="D48" s="205">
        <v>64.3</v>
      </c>
      <c r="E48" s="194">
        <v>0.25344895545920382</v>
      </c>
      <c r="F48" s="205">
        <v>0</v>
      </c>
      <c r="G48" s="205">
        <v>59.47</v>
      </c>
      <c r="H48" s="194">
        <v>0.23441072132439891</v>
      </c>
      <c r="I48" s="205">
        <v>0</v>
      </c>
      <c r="J48" s="205">
        <v>0</v>
      </c>
      <c r="K48" s="194">
        <v>0</v>
      </c>
    </row>
    <row r="49" spans="1:11">
      <c r="A49" s="203">
        <v>46133</v>
      </c>
      <c r="B49" s="204">
        <v>17</v>
      </c>
      <c r="C49" s="205">
        <v>1</v>
      </c>
      <c r="D49" s="205">
        <v>65.3</v>
      </c>
      <c r="E49" s="194">
        <v>0.257390618841151</v>
      </c>
      <c r="F49" s="205">
        <v>0</v>
      </c>
      <c r="G49" s="205">
        <v>59.47</v>
      </c>
      <c r="H49" s="194">
        <v>0.23441072132439891</v>
      </c>
      <c r="I49" s="205">
        <v>0</v>
      </c>
      <c r="J49" s="205">
        <v>0</v>
      </c>
      <c r="K49" s="194">
        <v>0</v>
      </c>
    </row>
    <row r="50" spans="1:11">
      <c r="A50" s="203">
        <v>46134</v>
      </c>
      <c r="B50" s="204">
        <v>17</v>
      </c>
      <c r="C50" s="205">
        <v>1</v>
      </c>
      <c r="D50" s="205">
        <v>66.3</v>
      </c>
      <c r="E50" s="194">
        <v>0.26133228222309818</v>
      </c>
      <c r="F50" s="205">
        <v>0</v>
      </c>
      <c r="G50" s="205">
        <v>59.47</v>
      </c>
      <c r="H50" s="194">
        <v>0.23441072132439891</v>
      </c>
      <c r="I50" s="205">
        <v>0</v>
      </c>
      <c r="J50" s="205">
        <v>0</v>
      </c>
      <c r="K50" s="194">
        <v>0</v>
      </c>
    </row>
    <row r="51" spans="1:11">
      <c r="A51" s="203">
        <v>46135</v>
      </c>
      <c r="B51" s="204">
        <v>17</v>
      </c>
      <c r="C51" s="205">
        <v>1</v>
      </c>
      <c r="D51" s="205">
        <v>67.3</v>
      </c>
      <c r="E51" s="194">
        <v>0.26527394560504536</v>
      </c>
      <c r="F51" s="205">
        <v>0</v>
      </c>
      <c r="G51" s="205">
        <v>59.47</v>
      </c>
      <c r="H51" s="194">
        <v>0.23441072132439891</v>
      </c>
      <c r="I51" s="205">
        <v>0</v>
      </c>
      <c r="J51" s="205">
        <v>0</v>
      </c>
      <c r="K51" s="194">
        <v>0</v>
      </c>
    </row>
    <row r="52" spans="1:11">
      <c r="A52" s="203">
        <v>46136</v>
      </c>
      <c r="B52" s="204">
        <v>17</v>
      </c>
      <c r="C52" s="205">
        <v>1</v>
      </c>
      <c r="D52" s="205">
        <v>68.3</v>
      </c>
      <c r="E52" s="194">
        <v>0.26921560898699259</v>
      </c>
      <c r="F52" s="205">
        <v>0</v>
      </c>
      <c r="G52" s="205">
        <v>59.47</v>
      </c>
      <c r="H52" s="194">
        <v>0.23441072132439891</v>
      </c>
      <c r="I52" s="205">
        <v>0</v>
      </c>
      <c r="J52" s="205">
        <v>0</v>
      </c>
      <c r="K52" s="194">
        <v>0</v>
      </c>
    </row>
    <row r="53" spans="1:11">
      <c r="A53" s="203">
        <v>46137</v>
      </c>
      <c r="B53" s="204">
        <v>17</v>
      </c>
      <c r="C53" s="205">
        <v>0</v>
      </c>
      <c r="D53" s="205">
        <v>68.3</v>
      </c>
      <c r="E53" s="194">
        <v>0.26921560898699259</v>
      </c>
      <c r="F53" s="205">
        <v>0</v>
      </c>
      <c r="G53" s="205">
        <v>59.47</v>
      </c>
      <c r="H53" s="194">
        <v>0.23441072132439891</v>
      </c>
      <c r="I53" s="205">
        <v>0</v>
      </c>
      <c r="J53" s="205">
        <v>0</v>
      </c>
      <c r="K53" s="194">
        <v>0</v>
      </c>
    </row>
    <row r="54" spans="1:11">
      <c r="A54" s="203">
        <v>46138</v>
      </c>
      <c r="B54" s="204">
        <v>18</v>
      </c>
      <c r="C54" s="205">
        <v>0</v>
      </c>
      <c r="D54" s="205">
        <v>68.3</v>
      </c>
      <c r="E54" s="194">
        <v>0.26921560898699259</v>
      </c>
      <c r="F54" s="205">
        <v>0</v>
      </c>
      <c r="G54" s="205">
        <v>59.47</v>
      </c>
      <c r="H54" s="194">
        <v>0.23441072132439891</v>
      </c>
      <c r="I54" s="205">
        <v>0</v>
      </c>
      <c r="J54" s="205">
        <v>0</v>
      </c>
      <c r="K54" s="194">
        <v>0</v>
      </c>
    </row>
    <row r="55" spans="1:11">
      <c r="A55" s="203">
        <v>46139</v>
      </c>
      <c r="B55" s="204">
        <v>18</v>
      </c>
      <c r="C55" s="205">
        <v>1</v>
      </c>
      <c r="D55" s="205">
        <v>69.3</v>
      </c>
      <c r="E55" s="194">
        <v>0.27315727236893977</v>
      </c>
      <c r="F55" s="205">
        <v>0</v>
      </c>
      <c r="G55" s="205">
        <v>59.47</v>
      </c>
      <c r="H55" s="194">
        <v>0.23441072132439891</v>
      </c>
      <c r="I55" s="205">
        <v>0</v>
      </c>
      <c r="J55" s="205">
        <v>0</v>
      </c>
      <c r="K55" s="194">
        <v>0</v>
      </c>
    </row>
    <row r="56" spans="1:11">
      <c r="A56" s="203">
        <v>46140</v>
      </c>
      <c r="B56" s="204">
        <v>18</v>
      </c>
      <c r="C56" s="205">
        <v>0</v>
      </c>
      <c r="D56" s="205">
        <v>69.3</v>
      </c>
      <c r="E56" s="194">
        <v>0.27315727236893977</v>
      </c>
      <c r="F56" s="205">
        <v>0</v>
      </c>
      <c r="G56" s="205">
        <v>59.47</v>
      </c>
      <c r="H56" s="194">
        <v>0.23441072132439891</v>
      </c>
      <c r="I56" s="205">
        <v>0</v>
      </c>
      <c r="J56" s="205">
        <v>0</v>
      </c>
      <c r="K56" s="194">
        <v>0</v>
      </c>
    </row>
    <row r="57" spans="1:11">
      <c r="A57" s="203">
        <v>46141</v>
      </c>
      <c r="B57" s="204">
        <v>18</v>
      </c>
      <c r="C57" s="205">
        <v>0</v>
      </c>
      <c r="D57" s="205">
        <v>69.3</v>
      </c>
      <c r="E57" s="194">
        <v>0.27315727236893977</v>
      </c>
      <c r="F57" s="205">
        <v>0</v>
      </c>
      <c r="G57" s="205">
        <v>59.47</v>
      </c>
      <c r="H57" s="194">
        <v>0.23441072132439891</v>
      </c>
      <c r="I57" s="205">
        <v>0</v>
      </c>
      <c r="J57" s="205">
        <v>0</v>
      </c>
      <c r="K57" s="194">
        <v>0</v>
      </c>
    </row>
    <row r="58" spans="1:11">
      <c r="A58" s="203">
        <v>46142</v>
      </c>
      <c r="B58" s="204">
        <v>18</v>
      </c>
      <c r="C58" s="205">
        <v>1.2</v>
      </c>
      <c r="D58" s="205">
        <v>70.5</v>
      </c>
      <c r="E58" s="194">
        <v>0.2778872684272764</v>
      </c>
      <c r="F58" s="205">
        <v>0</v>
      </c>
      <c r="G58" s="205">
        <v>59.47</v>
      </c>
      <c r="H58" s="194">
        <v>0.23441072132439891</v>
      </c>
      <c r="I58" s="205">
        <v>0</v>
      </c>
      <c r="J58" s="205">
        <v>0</v>
      </c>
      <c r="K58" s="194">
        <v>0</v>
      </c>
    </row>
    <row r="59" spans="1:11">
      <c r="A59" s="203">
        <v>46143</v>
      </c>
      <c r="B59" s="204">
        <v>18</v>
      </c>
      <c r="C59" s="205">
        <v>1</v>
      </c>
      <c r="D59" s="205">
        <v>71.5</v>
      </c>
      <c r="E59" s="194">
        <v>0.28182893180922358</v>
      </c>
      <c r="F59" s="205">
        <v>0</v>
      </c>
      <c r="G59" s="205">
        <v>59.47</v>
      </c>
      <c r="H59" s="194">
        <v>0.23441072132439891</v>
      </c>
      <c r="I59" s="205">
        <v>0</v>
      </c>
      <c r="J59" s="205">
        <v>0</v>
      </c>
      <c r="K59" s="194">
        <v>0</v>
      </c>
    </row>
    <row r="60" spans="1:11">
      <c r="A60" s="203">
        <v>46144</v>
      </c>
      <c r="B60" s="204">
        <v>18</v>
      </c>
      <c r="C60" s="205">
        <v>0</v>
      </c>
      <c r="D60" s="205">
        <v>71.5</v>
      </c>
      <c r="E60" s="194">
        <v>0.28182893180922358</v>
      </c>
      <c r="F60" s="205">
        <v>0</v>
      </c>
      <c r="G60" s="205">
        <v>59.47</v>
      </c>
      <c r="H60" s="194">
        <v>0.23441072132439891</v>
      </c>
      <c r="I60" s="205">
        <v>0</v>
      </c>
      <c r="J60" s="205">
        <v>0</v>
      </c>
      <c r="K60" s="194">
        <v>0</v>
      </c>
    </row>
    <row r="61" spans="1:11">
      <c r="A61" s="203">
        <v>46145</v>
      </c>
      <c r="B61" s="204">
        <v>19</v>
      </c>
      <c r="C61" s="205">
        <v>0</v>
      </c>
      <c r="D61" s="205">
        <v>71.5</v>
      </c>
      <c r="E61" s="194">
        <v>0.28182893180922358</v>
      </c>
      <c r="F61" s="205">
        <v>0</v>
      </c>
      <c r="G61" s="205">
        <v>59.47</v>
      </c>
      <c r="H61" s="194">
        <v>0.23441072132439891</v>
      </c>
      <c r="I61" s="205">
        <v>0</v>
      </c>
      <c r="J61" s="205">
        <v>0</v>
      </c>
      <c r="K61" s="194">
        <v>0</v>
      </c>
    </row>
    <row r="62" spans="1:11">
      <c r="A62" s="203">
        <v>46146</v>
      </c>
      <c r="B62" s="204">
        <v>19</v>
      </c>
      <c r="C62" s="205">
        <v>3</v>
      </c>
      <c r="D62" s="205">
        <v>74.5</v>
      </c>
      <c r="E62" s="194">
        <v>0.29365392195506512</v>
      </c>
      <c r="F62" s="205">
        <v>0</v>
      </c>
      <c r="G62" s="205">
        <v>59.47</v>
      </c>
      <c r="H62" s="194">
        <v>0.23441072132439891</v>
      </c>
      <c r="I62" s="205">
        <v>0</v>
      </c>
      <c r="J62" s="205">
        <v>0</v>
      </c>
      <c r="K62" s="194">
        <v>0</v>
      </c>
    </row>
    <row r="63" spans="1:11">
      <c r="A63" s="203">
        <v>46147</v>
      </c>
      <c r="B63" s="204">
        <v>19</v>
      </c>
      <c r="C63" s="205">
        <v>0</v>
      </c>
      <c r="D63" s="205">
        <v>74.5</v>
      </c>
      <c r="E63" s="194">
        <v>0.29365392195506512</v>
      </c>
      <c r="F63" s="205">
        <v>0</v>
      </c>
      <c r="G63" s="205">
        <v>59.47</v>
      </c>
      <c r="H63" s="194">
        <v>0.23441072132439891</v>
      </c>
      <c r="I63" s="205">
        <v>0</v>
      </c>
      <c r="J63" s="205">
        <v>0</v>
      </c>
      <c r="K63" s="194">
        <v>0</v>
      </c>
    </row>
    <row r="64" spans="1:11">
      <c r="A64" s="203">
        <v>46148</v>
      </c>
      <c r="B64" s="204">
        <v>19</v>
      </c>
      <c r="C64" s="205">
        <v>3</v>
      </c>
      <c r="D64" s="205">
        <v>77.5</v>
      </c>
      <c r="E64" s="194">
        <v>0.30547891210090666</v>
      </c>
      <c r="F64" s="205">
        <v>0</v>
      </c>
      <c r="G64" s="205">
        <v>59.47</v>
      </c>
      <c r="H64" s="194">
        <v>0.23441072132439891</v>
      </c>
      <c r="I64" s="205">
        <v>0</v>
      </c>
      <c r="J64" s="205">
        <v>0</v>
      </c>
      <c r="K64" s="194">
        <v>0</v>
      </c>
    </row>
    <row r="65" spans="1:11">
      <c r="A65" s="203">
        <v>46149</v>
      </c>
      <c r="B65" s="204">
        <v>19</v>
      </c>
      <c r="C65" s="205">
        <v>5</v>
      </c>
      <c r="D65" s="205">
        <v>82.5</v>
      </c>
      <c r="E65" s="194">
        <v>0.32518722901064256</v>
      </c>
      <c r="F65" s="205">
        <v>0</v>
      </c>
      <c r="G65" s="205">
        <v>59.47</v>
      </c>
      <c r="H65" s="194">
        <v>0.23441072132439891</v>
      </c>
      <c r="I65" s="205">
        <v>0</v>
      </c>
      <c r="J65" s="205">
        <v>0</v>
      </c>
      <c r="K65" s="194">
        <v>0</v>
      </c>
    </row>
    <row r="66" spans="1:11">
      <c r="A66" s="203">
        <v>46150</v>
      </c>
      <c r="B66" s="204">
        <v>19</v>
      </c>
      <c r="C66" s="205">
        <v>4</v>
      </c>
      <c r="D66" s="205">
        <v>86.5</v>
      </c>
      <c r="E66" s="194">
        <v>0.34095388253843129</v>
      </c>
      <c r="F66" s="205">
        <v>0</v>
      </c>
      <c r="G66" s="205">
        <v>59.47</v>
      </c>
      <c r="H66" s="194">
        <v>0.23441072132439891</v>
      </c>
      <c r="I66" s="205">
        <v>0</v>
      </c>
      <c r="J66" s="205">
        <v>0</v>
      </c>
      <c r="K66" s="194">
        <v>0</v>
      </c>
    </row>
    <row r="67" spans="1:11">
      <c r="A67" s="203">
        <v>46151</v>
      </c>
      <c r="B67" s="204">
        <v>19</v>
      </c>
      <c r="C67" s="205">
        <v>0</v>
      </c>
      <c r="D67" s="205">
        <v>86.5</v>
      </c>
      <c r="E67" s="194">
        <v>0.34095388253843129</v>
      </c>
      <c r="F67" s="205">
        <v>0</v>
      </c>
      <c r="G67" s="205">
        <v>59.47</v>
      </c>
      <c r="H67" s="194">
        <v>0.23441072132439891</v>
      </c>
      <c r="I67" s="205">
        <v>0</v>
      </c>
      <c r="J67" s="205">
        <v>0</v>
      </c>
      <c r="K67" s="194">
        <v>0</v>
      </c>
    </row>
    <row r="68" spans="1:11">
      <c r="A68" s="203">
        <v>46152</v>
      </c>
      <c r="B68" s="204">
        <v>20</v>
      </c>
      <c r="C68" s="205">
        <v>0</v>
      </c>
      <c r="D68" s="205">
        <v>86.5</v>
      </c>
      <c r="E68" s="194">
        <v>0.34095388253843129</v>
      </c>
      <c r="F68" s="205">
        <v>0</v>
      </c>
      <c r="G68" s="205">
        <v>59.47</v>
      </c>
      <c r="H68" s="194">
        <v>0.23441072132439891</v>
      </c>
      <c r="I68" s="205">
        <v>0</v>
      </c>
      <c r="J68" s="205">
        <v>0</v>
      </c>
      <c r="K68" s="194">
        <v>0</v>
      </c>
    </row>
    <row r="69" spans="1:11">
      <c r="A69" s="203">
        <v>46153</v>
      </c>
      <c r="B69" s="204">
        <v>20</v>
      </c>
      <c r="C69" s="205">
        <v>3</v>
      </c>
      <c r="D69" s="205">
        <v>89.5</v>
      </c>
      <c r="E69" s="194">
        <v>0.35277887268427283</v>
      </c>
      <c r="F69" s="205">
        <v>0</v>
      </c>
      <c r="G69" s="205">
        <v>59.47</v>
      </c>
      <c r="H69" s="194">
        <v>0.23441072132439891</v>
      </c>
      <c r="I69" s="205">
        <v>0</v>
      </c>
      <c r="J69" s="205">
        <v>0</v>
      </c>
      <c r="K69" s="194">
        <v>0</v>
      </c>
    </row>
    <row r="70" spans="1:11">
      <c r="A70" s="203">
        <v>46154</v>
      </c>
      <c r="B70" s="204">
        <v>20</v>
      </c>
      <c r="C70" s="205">
        <v>3</v>
      </c>
      <c r="D70" s="205">
        <v>92.5</v>
      </c>
      <c r="E70" s="194">
        <v>0.36460386283011437</v>
      </c>
      <c r="F70" s="205">
        <v>0</v>
      </c>
      <c r="G70" s="205">
        <v>59.47</v>
      </c>
      <c r="H70" s="194">
        <v>0.23441072132439891</v>
      </c>
      <c r="I70" s="205">
        <v>0</v>
      </c>
      <c r="J70" s="205">
        <v>0</v>
      </c>
      <c r="K70" s="194">
        <v>0</v>
      </c>
    </row>
    <row r="71" spans="1:11">
      <c r="A71" s="203">
        <v>46155</v>
      </c>
      <c r="B71" s="204">
        <v>20</v>
      </c>
      <c r="C71" s="205">
        <v>3</v>
      </c>
      <c r="D71" s="205">
        <v>95.5</v>
      </c>
      <c r="E71" s="194">
        <v>0.37642885297595591</v>
      </c>
      <c r="F71" s="205">
        <v>0</v>
      </c>
      <c r="G71" s="205">
        <v>59.47</v>
      </c>
      <c r="H71" s="194">
        <v>0.23441072132439891</v>
      </c>
      <c r="I71" s="205">
        <v>0</v>
      </c>
      <c r="J71" s="205">
        <v>0</v>
      </c>
      <c r="K71" s="194">
        <v>0</v>
      </c>
    </row>
    <row r="72" spans="1:11">
      <c r="A72" s="203">
        <v>46156</v>
      </c>
      <c r="B72" s="204">
        <v>20</v>
      </c>
      <c r="C72" s="205">
        <v>3</v>
      </c>
      <c r="D72" s="205">
        <v>98.5</v>
      </c>
      <c r="E72" s="194">
        <v>0.38825384312179745</v>
      </c>
      <c r="F72" s="205">
        <v>0</v>
      </c>
      <c r="G72" s="205">
        <v>59.47</v>
      </c>
      <c r="H72" s="194">
        <v>0.23441072132439891</v>
      </c>
      <c r="I72" s="205">
        <v>0</v>
      </c>
      <c r="J72" s="205">
        <v>0</v>
      </c>
      <c r="K72" s="194">
        <v>0</v>
      </c>
    </row>
    <row r="73" spans="1:11">
      <c r="A73" s="203">
        <v>46157</v>
      </c>
      <c r="B73" s="204">
        <v>20</v>
      </c>
      <c r="C73" s="205">
        <v>3</v>
      </c>
      <c r="D73" s="205">
        <v>101.5</v>
      </c>
      <c r="E73" s="194">
        <v>0.40007883326763904</v>
      </c>
      <c r="F73" s="205">
        <v>0</v>
      </c>
      <c r="G73" s="205">
        <v>59.47</v>
      </c>
      <c r="H73" s="194">
        <v>0.23441072132439891</v>
      </c>
      <c r="I73" s="205">
        <v>0</v>
      </c>
      <c r="J73" s="205">
        <v>0</v>
      </c>
      <c r="K73" s="194">
        <v>0</v>
      </c>
    </row>
    <row r="74" spans="1:11">
      <c r="A74" s="203">
        <v>46158</v>
      </c>
      <c r="B74" s="204">
        <v>20</v>
      </c>
      <c r="C74" s="205">
        <v>0</v>
      </c>
      <c r="D74" s="205">
        <v>101.5</v>
      </c>
      <c r="E74" s="194">
        <v>0.40007883326763904</v>
      </c>
      <c r="F74" s="205">
        <v>0</v>
      </c>
      <c r="G74" s="205">
        <v>59.47</v>
      </c>
      <c r="H74" s="194">
        <v>0.23441072132439891</v>
      </c>
      <c r="I74" s="205">
        <v>0</v>
      </c>
      <c r="J74" s="205">
        <v>0</v>
      </c>
      <c r="K74" s="194">
        <v>0</v>
      </c>
    </row>
    <row r="75" spans="1:11">
      <c r="A75" s="203">
        <v>46159</v>
      </c>
      <c r="B75" s="204">
        <v>21</v>
      </c>
      <c r="C75" s="205">
        <v>0</v>
      </c>
      <c r="D75" s="205">
        <v>101.5</v>
      </c>
      <c r="E75" s="194">
        <v>0.40007883326763904</v>
      </c>
      <c r="F75" s="205">
        <v>0</v>
      </c>
      <c r="G75" s="205">
        <v>59.47</v>
      </c>
      <c r="H75" s="194">
        <v>0.23441072132439891</v>
      </c>
      <c r="I75" s="205">
        <v>0</v>
      </c>
      <c r="J75" s="205">
        <v>0</v>
      </c>
      <c r="K75" s="194">
        <v>0</v>
      </c>
    </row>
    <row r="76" spans="1:11">
      <c r="A76" s="203">
        <v>46160</v>
      </c>
      <c r="B76" s="204">
        <v>21</v>
      </c>
      <c r="C76" s="205">
        <v>4</v>
      </c>
      <c r="D76" s="205">
        <v>105.5</v>
      </c>
      <c r="E76" s="194">
        <v>0.41584548679542777</v>
      </c>
      <c r="F76" s="205">
        <v>0</v>
      </c>
      <c r="G76" s="205">
        <v>59.47</v>
      </c>
      <c r="H76" s="194">
        <v>0.23441072132439891</v>
      </c>
      <c r="I76" s="205">
        <v>0</v>
      </c>
      <c r="J76" s="205">
        <v>0</v>
      </c>
      <c r="K76" s="194">
        <v>0</v>
      </c>
    </row>
    <row r="77" spans="1:11">
      <c r="A77" s="203">
        <v>46161</v>
      </c>
      <c r="B77" s="204">
        <v>21</v>
      </c>
      <c r="C77" s="205">
        <v>3</v>
      </c>
      <c r="D77" s="205">
        <v>108.5</v>
      </c>
      <c r="E77" s="194">
        <v>0.42767047694126931</v>
      </c>
      <c r="F77" s="205">
        <v>0</v>
      </c>
      <c r="G77" s="205">
        <v>59.47</v>
      </c>
      <c r="H77" s="194">
        <v>0.23441072132439891</v>
      </c>
      <c r="I77" s="205">
        <v>0</v>
      </c>
      <c r="J77" s="205">
        <v>0</v>
      </c>
      <c r="K77" s="194">
        <v>0</v>
      </c>
    </row>
    <row r="78" spans="1:11">
      <c r="A78" s="203">
        <v>46162</v>
      </c>
      <c r="B78" s="204">
        <v>21</v>
      </c>
      <c r="C78" s="205">
        <v>3</v>
      </c>
      <c r="D78" s="205">
        <v>111.5</v>
      </c>
      <c r="E78" s="194">
        <v>0.43949546708711085</v>
      </c>
      <c r="F78" s="205">
        <v>0</v>
      </c>
      <c r="G78" s="205">
        <v>59.47</v>
      </c>
      <c r="H78" s="194">
        <v>0.23441072132439891</v>
      </c>
      <c r="I78" s="205">
        <v>0</v>
      </c>
      <c r="J78" s="205">
        <v>0</v>
      </c>
      <c r="K78" s="194">
        <v>0</v>
      </c>
    </row>
    <row r="79" spans="1:11">
      <c r="A79" s="203">
        <v>46163</v>
      </c>
      <c r="B79" s="204">
        <v>21</v>
      </c>
      <c r="C79" s="205">
        <v>4</v>
      </c>
      <c r="D79" s="205">
        <v>115.5</v>
      </c>
      <c r="E79" s="194">
        <v>0.45526212061489957</v>
      </c>
      <c r="F79" s="205">
        <v>0</v>
      </c>
      <c r="G79" s="205">
        <v>59.47</v>
      </c>
      <c r="H79" s="194">
        <v>0.23441072132439891</v>
      </c>
      <c r="I79" s="205">
        <v>0</v>
      </c>
      <c r="J79" s="205">
        <v>0</v>
      </c>
      <c r="K79" s="194">
        <v>0</v>
      </c>
    </row>
    <row r="80" spans="1:11">
      <c r="A80" s="203">
        <v>46164</v>
      </c>
      <c r="B80" s="204">
        <v>21</v>
      </c>
      <c r="C80" s="205">
        <v>4</v>
      </c>
      <c r="D80" s="205">
        <v>119.5</v>
      </c>
      <c r="E80" s="194">
        <v>0.47102877414268829</v>
      </c>
      <c r="F80" s="205">
        <v>0</v>
      </c>
      <c r="G80" s="205">
        <v>59.47</v>
      </c>
      <c r="H80" s="194">
        <v>0.23441072132439891</v>
      </c>
      <c r="I80" s="205">
        <v>0</v>
      </c>
      <c r="J80" s="205">
        <v>0</v>
      </c>
      <c r="K80" s="194">
        <v>0</v>
      </c>
    </row>
    <row r="81" spans="1:11">
      <c r="A81" s="203">
        <v>46165</v>
      </c>
      <c r="B81" s="204">
        <v>21</v>
      </c>
      <c r="C81" s="205">
        <v>0</v>
      </c>
      <c r="D81" s="205">
        <v>119.5</v>
      </c>
      <c r="E81" s="194">
        <v>0.47102877414268829</v>
      </c>
      <c r="F81" s="205">
        <v>0</v>
      </c>
      <c r="G81" s="205">
        <v>59.47</v>
      </c>
      <c r="H81" s="194">
        <v>0.23441072132439891</v>
      </c>
      <c r="I81" s="205">
        <v>0</v>
      </c>
      <c r="J81" s="205">
        <v>0</v>
      </c>
      <c r="K81" s="194">
        <v>0</v>
      </c>
    </row>
    <row r="82" spans="1:11">
      <c r="A82" s="203">
        <v>46166</v>
      </c>
      <c r="B82" s="204">
        <v>22</v>
      </c>
      <c r="C82" s="205">
        <v>0</v>
      </c>
      <c r="D82" s="205">
        <v>119.5</v>
      </c>
      <c r="E82" s="194">
        <v>0.47102877414268829</v>
      </c>
      <c r="F82" s="205">
        <v>0</v>
      </c>
      <c r="G82" s="205">
        <v>59.47</v>
      </c>
      <c r="H82" s="194">
        <v>0.23441072132439891</v>
      </c>
      <c r="I82" s="205">
        <v>0</v>
      </c>
      <c r="J82" s="205">
        <v>0</v>
      </c>
      <c r="K82" s="194">
        <v>0</v>
      </c>
    </row>
    <row r="83" spans="1:11">
      <c r="A83" s="203">
        <v>46167</v>
      </c>
      <c r="B83" s="204">
        <v>22</v>
      </c>
      <c r="C83" s="205">
        <v>0</v>
      </c>
      <c r="D83" s="205">
        <v>119.5</v>
      </c>
      <c r="E83" s="194">
        <v>0.47102877414268829</v>
      </c>
      <c r="F83" s="205">
        <v>0</v>
      </c>
      <c r="G83" s="205">
        <v>59.47</v>
      </c>
      <c r="H83" s="194">
        <v>0.23441072132439891</v>
      </c>
      <c r="I83" s="205">
        <v>0</v>
      </c>
      <c r="J83" s="205">
        <v>0</v>
      </c>
      <c r="K83" s="194">
        <v>0</v>
      </c>
    </row>
    <row r="84" spans="1:11">
      <c r="A84" s="203">
        <v>46168</v>
      </c>
      <c r="B84" s="204">
        <v>22</v>
      </c>
      <c r="C84" s="205">
        <v>4</v>
      </c>
      <c r="D84" s="205">
        <v>123.5</v>
      </c>
      <c r="E84" s="194">
        <v>0.48679542767047701</v>
      </c>
      <c r="F84" s="205">
        <v>0</v>
      </c>
      <c r="G84" s="205">
        <v>59.47</v>
      </c>
      <c r="H84" s="194">
        <v>0.23441072132439891</v>
      </c>
      <c r="I84" s="205">
        <v>0</v>
      </c>
      <c r="J84" s="205">
        <v>0</v>
      </c>
      <c r="K84" s="194">
        <v>0</v>
      </c>
    </row>
    <row r="85" spans="1:11">
      <c r="A85" s="203">
        <v>46169</v>
      </c>
      <c r="B85" s="204">
        <v>22</v>
      </c>
      <c r="C85" s="205">
        <v>4</v>
      </c>
      <c r="D85" s="205">
        <v>127.5</v>
      </c>
      <c r="E85" s="194">
        <v>0.50256208119826573</v>
      </c>
      <c r="F85" s="205">
        <v>0</v>
      </c>
      <c r="G85" s="205">
        <v>59.47</v>
      </c>
      <c r="H85" s="194">
        <v>0.23441072132439891</v>
      </c>
      <c r="I85" s="205">
        <v>0</v>
      </c>
      <c r="J85" s="205">
        <v>0</v>
      </c>
      <c r="K85" s="194">
        <v>0</v>
      </c>
    </row>
    <row r="86" spans="1:11">
      <c r="A86" s="203">
        <v>46170</v>
      </c>
      <c r="B86" s="204">
        <v>22</v>
      </c>
      <c r="C86" s="205">
        <v>4</v>
      </c>
      <c r="D86" s="205">
        <v>131.5</v>
      </c>
      <c r="E86" s="194">
        <v>0.51832873472605445</v>
      </c>
      <c r="F86" s="205">
        <v>0</v>
      </c>
      <c r="G86" s="205">
        <v>59.47</v>
      </c>
      <c r="H86" s="194">
        <v>0.23441072132439891</v>
      </c>
      <c r="I86" s="205">
        <v>0</v>
      </c>
      <c r="J86" s="205">
        <v>0</v>
      </c>
      <c r="K86" s="194">
        <v>0</v>
      </c>
    </row>
    <row r="87" spans="1:11">
      <c r="A87" s="203">
        <v>46171</v>
      </c>
      <c r="B87" s="204">
        <v>22</v>
      </c>
      <c r="C87" s="205">
        <v>4</v>
      </c>
      <c r="D87" s="205">
        <v>135.5</v>
      </c>
      <c r="E87" s="194">
        <v>0.53409538825384317</v>
      </c>
      <c r="F87" s="205">
        <v>0</v>
      </c>
      <c r="G87" s="205">
        <v>59.47</v>
      </c>
      <c r="H87" s="194">
        <v>0.23441072132439891</v>
      </c>
      <c r="I87" s="205">
        <v>0</v>
      </c>
      <c r="J87" s="205">
        <v>0</v>
      </c>
      <c r="K87" s="194">
        <v>0</v>
      </c>
    </row>
    <row r="88" spans="1:11">
      <c r="A88" s="203">
        <v>46172</v>
      </c>
      <c r="B88" s="204">
        <v>22</v>
      </c>
      <c r="C88" s="205">
        <v>0</v>
      </c>
      <c r="D88" s="205">
        <v>135.5</v>
      </c>
      <c r="E88" s="194">
        <v>0.53409538825384317</v>
      </c>
      <c r="F88" s="205">
        <v>0</v>
      </c>
      <c r="G88" s="205">
        <v>59.47</v>
      </c>
      <c r="H88" s="194">
        <v>0.23441072132439891</v>
      </c>
      <c r="I88" s="205">
        <v>0</v>
      </c>
      <c r="J88" s="205">
        <v>0</v>
      </c>
      <c r="K88" s="194">
        <v>0</v>
      </c>
    </row>
    <row r="89" spans="1:11">
      <c r="A89" s="203">
        <v>46173</v>
      </c>
      <c r="B89" s="204">
        <v>23</v>
      </c>
      <c r="C89" s="205">
        <v>0</v>
      </c>
      <c r="D89" s="205">
        <v>135.5</v>
      </c>
      <c r="E89" s="194">
        <v>0.53409538825384317</v>
      </c>
      <c r="F89" s="205">
        <v>0</v>
      </c>
      <c r="G89" s="205">
        <v>59.47</v>
      </c>
      <c r="H89" s="194">
        <v>0.23441072132439891</v>
      </c>
      <c r="I89" s="205">
        <v>0</v>
      </c>
      <c r="J89" s="205">
        <v>0</v>
      </c>
      <c r="K89" s="194">
        <v>0</v>
      </c>
    </row>
    <row r="90" spans="1:11">
      <c r="A90" s="203">
        <v>46174</v>
      </c>
      <c r="B90" s="204">
        <v>23</v>
      </c>
      <c r="C90" s="205">
        <v>4</v>
      </c>
      <c r="D90" s="205">
        <v>139.5</v>
      </c>
      <c r="E90" s="194">
        <v>0.54986204178163189</v>
      </c>
      <c r="F90" s="205">
        <v>0</v>
      </c>
      <c r="G90" s="205">
        <v>59.47</v>
      </c>
      <c r="H90" s="194">
        <v>0.23441072132439891</v>
      </c>
      <c r="I90" s="205">
        <v>0</v>
      </c>
      <c r="J90" s="205">
        <v>0</v>
      </c>
      <c r="K90" s="194">
        <v>0</v>
      </c>
    </row>
    <row r="91" spans="1:11">
      <c r="A91" s="203">
        <v>46175</v>
      </c>
      <c r="B91" s="204">
        <v>23</v>
      </c>
      <c r="C91" s="205">
        <v>4</v>
      </c>
      <c r="D91" s="205">
        <v>143.5</v>
      </c>
      <c r="E91" s="194">
        <v>0.56562869530942061</v>
      </c>
      <c r="F91" s="205">
        <v>0</v>
      </c>
      <c r="G91" s="205">
        <v>59.47</v>
      </c>
      <c r="H91" s="194">
        <v>0.23441072132439891</v>
      </c>
      <c r="I91" s="205">
        <v>0</v>
      </c>
      <c r="J91" s="205">
        <v>0</v>
      </c>
      <c r="K91" s="194">
        <v>0</v>
      </c>
    </row>
    <row r="92" spans="1:11">
      <c r="A92" s="203">
        <v>46176</v>
      </c>
      <c r="B92" s="204">
        <v>23</v>
      </c>
      <c r="C92" s="205">
        <v>0</v>
      </c>
      <c r="D92" s="205">
        <v>143.5</v>
      </c>
      <c r="E92" s="194">
        <v>0.56562869530942061</v>
      </c>
      <c r="F92" s="205">
        <v>0</v>
      </c>
      <c r="G92" s="205">
        <v>59.47</v>
      </c>
      <c r="H92" s="194">
        <v>0.23441072132439891</v>
      </c>
      <c r="I92" s="205">
        <v>0</v>
      </c>
      <c r="J92" s="205">
        <v>0</v>
      </c>
      <c r="K92" s="194">
        <v>0</v>
      </c>
    </row>
    <row r="93" spans="1:11">
      <c r="A93" s="203">
        <v>46177</v>
      </c>
      <c r="B93" s="204">
        <v>23</v>
      </c>
      <c r="C93" s="205">
        <v>4.2</v>
      </c>
      <c r="D93" s="205">
        <v>147.69999999999999</v>
      </c>
      <c r="E93" s="194">
        <v>0.58218368151359867</v>
      </c>
      <c r="F93" s="205">
        <v>0</v>
      </c>
      <c r="G93" s="205">
        <v>59.47</v>
      </c>
      <c r="H93" s="194">
        <v>0.23441072132439891</v>
      </c>
      <c r="I93" s="205">
        <v>0</v>
      </c>
      <c r="J93" s="205">
        <v>0</v>
      </c>
      <c r="K93" s="194">
        <v>0</v>
      </c>
    </row>
    <row r="94" spans="1:11">
      <c r="A94" s="203">
        <v>46178</v>
      </c>
      <c r="B94" s="204">
        <v>23</v>
      </c>
      <c r="C94" s="205">
        <v>4</v>
      </c>
      <c r="D94" s="205">
        <v>151.69999999999999</v>
      </c>
      <c r="E94" s="194">
        <v>0.59795033504138739</v>
      </c>
      <c r="F94" s="205">
        <v>0</v>
      </c>
      <c r="G94" s="205">
        <v>59.47</v>
      </c>
      <c r="H94" s="194">
        <v>0.23441072132439891</v>
      </c>
      <c r="I94" s="205">
        <v>0</v>
      </c>
      <c r="J94" s="205">
        <v>0</v>
      </c>
      <c r="K94" s="194">
        <v>0</v>
      </c>
    </row>
    <row r="95" spans="1:11">
      <c r="A95" s="203">
        <v>46179</v>
      </c>
      <c r="B95" s="204">
        <v>23</v>
      </c>
      <c r="C95" s="205">
        <v>0</v>
      </c>
      <c r="D95" s="205">
        <v>151.69999999999999</v>
      </c>
      <c r="E95" s="194">
        <v>0.59795033504138739</v>
      </c>
      <c r="F95" s="205">
        <v>0</v>
      </c>
      <c r="G95" s="205">
        <v>59.47</v>
      </c>
      <c r="H95" s="194">
        <v>0.23441072132439891</v>
      </c>
      <c r="I95" s="205">
        <v>0</v>
      </c>
      <c r="J95" s="205">
        <v>0</v>
      </c>
      <c r="K95" s="194">
        <v>0</v>
      </c>
    </row>
    <row r="96" spans="1:11">
      <c r="A96" s="203">
        <v>46180</v>
      </c>
      <c r="B96" s="204">
        <v>24</v>
      </c>
      <c r="C96" s="205">
        <v>0</v>
      </c>
      <c r="D96" s="205">
        <v>151.69999999999999</v>
      </c>
      <c r="E96" s="194">
        <v>0.59795033504138739</v>
      </c>
      <c r="F96" s="205">
        <v>0</v>
      </c>
      <c r="G96" s="205">
        <v>59.47</v>
      </c>
      <c r="H96" s="194">
        <v>0.23441072132439891</v>
      </c>
      <c r="I96" s="205">
        <v>0</v>
      </c>
      <c r="J96" s="205">
        <v>0</v>
      </c>
      <c r="K96" s="194">
        <v>0</v>
      </c>
    </row>
    <row r="97" spans="1:11">
      <c r="A97" s="203">
        <v>46181</v>
      </c>
      <c r="B97" s="204">
        <v>24</v>
      </c>
      <c r="C97" s="205">
        <v>4</v>
      </c>
      <c r="D97" s="205">
        <v>155.69999999999999</v>
      </c>
      <c r="E97" s="194">
        <v>0.61371698856917622</v>
      </c>
      <c r="F97" s="205">
        <v>0</v>
      </c>
      <c r="G97" s="205">
        <v>59.47</v>
      </c>
      <c r="H97" s="194">
        <v>0.23441072132439891</v>
      </c>
      <c r="I97" s="205">
        <v>0</v>
      </c>
      <c r="J97" s="205">
        <v>0</v>
      </c>
      <c r="K97" s="194">
        <v>0</v>
      </c>
    </row>
    <row r="98" spans="1:11">
      <c r="A98" s="203">
        <v>46182</v>
      </c>
      <c r="B98" s="204">
        <v>24</v>
      </c>
      <c r="C98" s="205">
        <v>4</v>
      </c>
      <c r="D98" s="205">
        <v>159.69999999999999</v>
      </c>
      <c r="E98" s="194">
        <v>0.62948364209696495</v>
      </c>
      <c r="F98" s="205">
        <v>0</v>
      </c>
      <c r="G98" s="205">
        <v>59.47</v>
      </c>
      <c r="H98" s="194">
        <v>0.23441072132439891</v>
      </c>
      <c r="I98" s="205">
        <v>0</v>
      </c>
      <c r="J98" s="205">
        <v>0</v>
      </c>
      <c r="K98" s="194">
        <v>0</v>
      </c>
    </row>
    <row r="99" spans="1:11">
      <c r="A99" s="203">
        <v>46183</v>
      </c>
      <c r="B99" s="204">
        <v>24</v>
      </c>
      <c r="C99" s="205">
        <v>4</v>
      </c>
      <c r="D99" s="205">
        <v>163.69999999999999</v>
      </c>
      <c r="E99" s="194">
        <v>0.64525029562475367</v>
      </c>
      <c r="F99" s="205">
        <v>0</v>
      </c>
      <c r="G99" s="205">
        <v>59.47</v>
      </c>
      <c r="H99" s="194">
        <v>0.23441072132439891</v>
      </c>
      <c r="I99" s="205">
        <v>0</v>
      </c>
      <c r="J99" s="205">
        <v>0</v>
      </c>
      <c r="K99" s="194">
        <v>0</v>
      </c>
    </row>
    <row r="100" spans="1:11">
      <c r="A100" s="203">
        <v>46184</v>
      </c>
      <c r="B100" s="204">
        <v>24</v>
      </c>
      <c r="C100" s="205">
        <v>4</v>
      </c>
      <c r="D100" s="205">
        <v>167.7</v>
      </c>
      <c r="E100" s="194">
        <v>0.66101694915254239</v>
      </c>
      <c r="F100" s="205">
        <v>0</v>
      </c>
      <c r="G100" s="205">
        <v>59.47</v>
      </c>
      <c r="H100" s="194">
        <v>0.23441072132439891</v>
      </c>
      <c r="I100" s="205">
        <v>0</v>
      </c>
      <c r="J100" s="205">
        <v>0</v>
      </c>
      <c r="K100" s="194">
        <v>0</v>
      </c>
    </row>
    <row r="101" spans="1:11">
      <c r="A101" s="203">
        <v>46185</v>
      </c>
      <c r="B101" s="204">
        <v>24</v>
      </c>
      <c r="C101" s="205">
        <v>4</v>
      </c>
      <c r="D101" s="205">
        <v>171.7</v>
      </c>
      <c r="E101" s="194">
        <v>0.67678360268033111</v>
      </c>
      <c r="F101" s="205">
        <v>0</v>
      </c>
      <c r="G101" s="205">
        <v>59.47</v>
      </c>
      <c r="H101" s="194">
        <v>0.23441072132439891</v>
      </c>
      <c r="I101" s="205">
        <v>0</v>
      </c>
      <c r="J101" s="205">
        <v>0</v>
      </c>
      <c r="K101" s="194">
        <v>0</v>
      </c>
    </row>
    <row r="102" spans="1:11">
      <c r="A102" s="203">
        <v>46186</v>
      </c>
      <c r="B102" s="204">
        <v>24</v>
      </c>
      <c r="C102" s="205">
        <v>0</v>
      </c>
      <c r="D102" s="205">
        <v>171.7</v>
      </c>
      <c r="E102" s="194">
        <v>0.67678360268033111</v>
      </c>
      <c r="F102" s="205">
        <v>0</v>
      </c>
      <c r="G102" s="205">
        <v>59.47</v>
      </c>
      <c r="H102" s="194">
        <v>0.23441072132439891</v>
      </c>
      <c r="I102" s="205">
        <v>0</v>
      </c>
      <c r="J102" s="205">
        <v>0</v>
      </c>
      <c r="K102" s="194">
        <v>0</v>
      </c>
    </row>
    <row r="103" spans="1:11">
      <c r="A103" s="203">
        <v>46187</v>
      </c>
      <c r="B103" s="204">
        <v>25</v>
      </c>
      <c r="C103" s="205">
        <v>0</v>
      </c>
      <c r="D103" s="205">
        <v>171.7</v>
      </c>
      <c r="E103" s="194">
        <v>0.67678360268033111</v>
      </c>
      <c r="F103" s="205">
        <v>0</v>
      </c>
      <c r="G103" s="205">
        <v>59.47</v>
      </c>
      <c r="H103" s="194">
        <v>0.23441072132439891</v>
      </c>
      <c r="I103" s="205">
        <v>0</v>
      </c>
      <c r="J103" s="205">
        <v>0</v>
      </c>
      <c r="K103" s="194">
        <v>0</v>
      </c>
    </row>
    <row r="104" spans="1:11">
      <c r="A104" s="203">
        <v>46188</v>
      </c>
      <c r="B104" s="204">
        <v>25</v>
      </c>
      <c r="C104" s="205">
        <v>4</v>
      </c>
      <c r="D104" s="205">
        <v>175.7</v>
      </c>
      <c r="E104" s="194">
        <v>0.69255025620811983</v>
      </c>
      <c r="F104" s="205">
        <v>0</v>
      </c>
      <c r="G104" s="205">
        <v>59.47</v>
      </c>
      <c r="H104" s="194">
        <v>0.23441072132439891</v>
      </c>
      <c r="I104" s="205">
        <v>0</v>
      </c>
      <c r="J104" s="205">
        <v>0</v>
      </c>
      <c r="K104" s="194">
        <v>0</v>
      </c>
    </row>
    <row r="105" spans="1:11">
      <c r="A105" s="203">
        <v>46189</v>
      </c>
      <c r="B105" s="204">
        <v>25</v>
      </c>
      <c r="C105" s="205">
        <v>4</v>
      </c>
      <c r="D105" s="205">
        <v>179.7</v>
      </c>
      <c r="E105" s="194">
        <v>0.70831690973590855</v>
      </c>
      <c r="F105" s="205">
        <v>0</v>
      </c>
      <c r="G105" s="205">
        <v>59.47</v>
      </c>
      <c r="H105" s="194">
        <v>0.23441072132439891</v>
      </c>
      <c r="I105" s="205">
        <v>0</v>
      </c>
      <c r="J105" s="205">
        <v>0</v>
      </c>
      <c r="K105" s="194">
        <v>0</v>
      </c>
    </row>
    <row r="106" spans="1:11">
      <c r="A106" s="203">
        <v>46190</v>
      </c>
      <c r="B106" s="204">
        <v>25</v>
      </c>
      <c r="C106" s="205">
        <v>4</v>
      </c>
      <c r="D106" s="205">
        <v>183.7</v>
      </c>
      <c r="E106" s="194">
        <v>0.72408356326369727</v>
      </c>
      <c r="F106" s="205">
        <v>0</v>
      </c>
      <c r="G106" s="205">
        <v>59.47</v>
      </c>
      <c r="H106" s="194">
        <v>0.23441072132439891</v>
      </c>
      <c r="I106" s="205">
        <v>0</v>
      </c>
      <c r="J106" s="205">
        <v>0</v>
      </c>
      <c r="K106" s="194">
        <v>0</v>
      </c>
    </row>
    <row r="107" spans="1:11">
      <c r="A107" s="203">
        <v>46191</v>
      </c>
      <c r="B107" s="204">
        <v>25</v>
      </c>
      <c r="C107" s="205">
        <v>5</v>
      </c>
      <c r="D107" s="205">
        <v>188.7</v>
      </c>
      <c r="E107" s="194">
        <v>0.74379188017343323</v>
      </c>
      <c r="F107" s="205">
        <v>0</v>
      </c>
      <c r="G107" s="205">
        <v>59.47</v>
      </c>
      <c r="H107" s="194">
        <v>0.23441072132439891</v>
      </c>
      <c r="I107" s="205">
        <v>0</v>
      </c>
      <c r="J107" s="205">
        <v>0</v>
      </c>
      <c r="K107" s="194">
        <v>0</v>
      </c>
    </row>
    <row r="108" spans="1:11">
      <c r="A108" s="203">
        <v>46192</v>
      </c>
      <c r="B108" s="204">
        <v>25</v>
      </c>
      <c r="C108" s="205">
        <v>5</v>
      </c>
      <c r="D108" s="205">
        <v>193.7</v>
      </c>
      <c r="E108" s="194">
        <v>0.76350019708316907</v>
      </c>
      <c r="F108" s="205">
        <v>0</v>
      </c>
      <c r="G108" s="205">
        <v>59.47</v>
      </c>
      <c r="H108" s="194">
        <v>0.23441072132439891</v>
      </c>
      <c r="I108" s="205">
        <v>0</v>
      </c>
      <c r="J108" s="205">
        <v>0</v>
      </c>
      <c r="K108" s="194">
        <v>0</v>
      </c>
    </row>
    <row r="109" spans="1:11">
      <c r="A109" s="203">
        <v>46193</v>
      </c>
      <c r="B109" s="204">
        <v>25</v>
      </c>
      <c r="C109" s="205">
        <v>0</v>
      </c>
      <c r="D109" s="205">
        <v>193.7</v>
      </c>
      <c r="E109" s="194">
        <v>0.76350019708316907</v>
      </c>
      <c r="F109" s="205">
        <v>0</v>
      </c>
      <c r="G109" s="205">
        <v>59.47</v>
      </c>
      <c r="H109" s="194">
        <v>0.23441072132439891</v>
      </c>
      <c r="I109" s="205">
        <v>0</v>
      </c>
      <c r="J109" s="205">
        <v>0</v>
      </c>
      <c r="K109" s="194">
        <v>0</v>
      </c>
    </row>
    <row r="110" spans="1:11">
      <c r="A110" s="203">
        <v>46194</v>
      </c>
      <c r="B110" s="204">
        <v>26</v>
      </c>
      <c r="C110" s="205">
        <v>0</v>
      </c>
      <c r="D110" s="205">
        <v>193.7</v>
      </c>
      <c r="E110" s="194">
        <v>0.76350019708316907</v>
      </c>
      <c r="F110" s="205">
        <v>0</v>
      </c>
      <c r="G110" s="205">
        <v>59.47</v>
      </c>
      <c r="H110" s="194">
        <v>0.23441072132439891</v>
      </c>
      <c r="I110" s="205">
        <v>0</v>
      </c>
      <c r="J110" s="205">
        <v>0</v>
      </c>
      <c r="K110" s="194">
        <v>0</v>
      </c>
    </row>
    <row r="111" spans="1:11">
      <c r="A111" s="203">
        <v>46195</v>
      </c>
      <c r="B111" s="204">
        <v>26</v>
      </c>
      <c r="C111" s="205">
        <v>5</v>
      </c>
      <c r="D111" s="205">
        <v>198.7</v>
      </c>
      <c r="E111" s="194">
        <v>0.78320851399290503</v>
      </c>
      <c r="F111" s="205">
        <v>0</v>
      </c>
      <c r="G111" s="205">
        <v>59.47</v>
      </c>
      <c r="H111" s="194">
        <v>0.23441072132439891</v>
      </c>
      <c r="I111" s="205">
        <v>0</v>
      </c>
      <c r="J111" s="205">
        <v>0</v>
      </c>
      <c r="K111" s="194">
        <v>0</v>
      </c>
    </row>
    <row r="112" spans="1:11">
      <c r="A112" s="203">
        <v>46196</v>
      </c>
      <c r="B112" s="204">
        <v>26</v>
      </c>
      <c r="C112" s="205">
        <v>5</v>
      </c>
      <c r="D112" s="205">
        <v>203.7</v>
      </c>
      <c r="E112" s="194">
        <v>0.80291683090264088</v>
      </c>
      <c r="F112" s="205">
        <v>0</v>
      </c>
      <c r="G112" s="205">
        <v>59.47</v>
      </c>
      <c r="H112" s="194">
        <v>0.23441072132439891</v>
      </c>
      <c r="I112" s="205">
        <v>0</v>
      </c>
      <c r="J112" s="205">
        <v>0</v>
      </c>
      <c r="K112" s="194">
        <v>0</v>
      </c>
    </row>
    <row r="113" spans="1:11">
      <c r="A113" s="203">
        <v>46197</v>
      </c>
      <c r="B113" s="204">
        <v>26</v>
      </c>
      <c r="C113" s="205">
        <v>5</v>
      </c>
      <c r="D113" s="205">
        <v>208.7</v>
      </c>
      <c r="E113" s="194">
        <v>0.82262514781237683</v>
      </c>
      <c r="F113" s="205">
        <v>0</v>
      </c>
      <c r="G113" s="205">
        <v>59.47</v>
      </c>
      <c r="H113" s="194">
        <v>0.23441072132439891</v>
      </c>
      <c r="I113" s="205">
        <v>0</v>
      </c>
      <c r="J113" s="205">
        <v>0</v>
      </c>
      <c r="K113" s="194">
        <v>0</v>
      </c>
    </row>
    <row r="114" spans="1:11">
      <c r="A114" s="203">
        <v>46198</v>
      </c>
      <c r="B114" s="204">
        <v>26</v>
      </c>
      <c r="C114" s="205">
        <v>5</v>
      </c>
      <c r="D114" s="205">
        <v>213.7</v>
      </c>
      <c r="E114" s="194">
        <v>0.84233346472211268</v>
      </c>
      <c r="F114" s="205">
        <v>0</v>
      </c>
      <c r="G114" s="205">
        <v>59.47</v>
      </c>
      <c r="H114" s="194">
        <v>0.23441072132439891</v>
      </c>
      <c r="I114" s="205">
        <v>0</v>
      </c>
      <c r="J114" s="205">
        <v>0</v>
      </c>
      <c r="K114" s="194">
        <v>0</v>
      </c>
    </row>
    <row r="115" spans="1:11">
      <c r="A115" s="203">
        <v>46199</v>
      </c>
      <c r="B115" s="204">
        <v>26</v>
      </c>
      <c r="C115" s="205">
        <v>4</v>
      </c>
      <c r="D115" s="205">
        <v>217.7</v>
      </c>
      <c r="E115" s="194">
        <v>0.8581001182499014</v>
      </c>
      <c r="F115" s="205">
        <v>0</v>
      </c>
      <c r="G115" s="205">
        <v>59.47</v>
      </c>
      <c r="H115" s="194">
        <v>0.23441072132439891</v>
      </c>
      <c r="I115" s="205">
        <v>0</v>
      </c>
      <c r="J115" s="205">
        <v>0</v>
      </c>
      <c r="K115" s="194">
        <v>0</v>
      </c>
    </row>
    <row r="116" spans="1:11">
      <c r="A116" s="203">
        <v>46200</v>
      </c>
      <c r="B116" s="204">
        <v>26</v>
      </c>
      <c r="C116" s="205">
        <v>0</v>
      </c>
      <c r="D116" s="205">
        <v>217.7</v>
      </c>
      <c r="E116" s="194">
        <v>0.8581001182499014</v>
      </c>
      <c r="F116" s="205">
        <v>0</v>
      </c>
      <c r="G116" s="205">
        <v>59.47</v>
      </c>
      <c r="H116" s="194">
        <v>0.23441072132439891</v>
      </c>
      <c r="I116" s="205">
        <v>0</v>
      </c>
      <c r="J116" s="205">
        <v>0</v>
      </c>
      <c r="K116" s="194">
        <v>0</v>
      </c>
    </row>
    <row r="117" spans="1:11">
      <c r="A117" s="203">
        <v>46201</v>
      </c>
      <c r="B117" s="204">
        <v>27</v>
      </c>
      <c r="C117" s="205">
        <v>0</v>
      </c>
      <c r="D117" s="205">
        <v>217.7</v>
      </c>
      <c r="E117" s="194">
        <v>0.8581001182499014</v>
      </c>
      <c r="F117" s="205">
        <v>0</v>
      </c>
      <c r="G117" s="205">
        <v>59.47</v>
      </c>
      <c r="H117" s="194">
        <v>0.23441072132439891</v>
      </c>
      <c r="I117" s="205">
        <v>0</v>
      </c>
      <c r="J117" s="205">
        <v>0</v>
      </c>
      <c r="K117" s="194">
        <v>0</v>
      </c>
    </row>
    <row r="118" spans="1:11">
      <c r="A118" s="203">
        <v>46202</v>
      </c>
      <c r="B118" s="204">
        <v>27</v>
      </c>
      <c r="C118" s="205">
        <v>4</v>
      </c>
      <c r="D118" s="205">
        <v>221.7</v>
      </c>
      <c r="E118" s="194">
        <v>0.87386677177769023</v>
      </c>
      <c r="F118" s="205">
        <v>0</v>
      </c>
      <c r="G118" s="205">
        <v>59.47</v>
      </c>
      <c r="H118" s="194">
        <v>0.23441072132439891</v>
      </c>
      <c r="I118" s="205">
        <v>0</v>
      </c>
      <c r="J118" s="205">
        <v>0</v>
      </c>
      <c r="K118" s="194">
        <v>0</v>
      </c>
    </row>
    <row r="119" spans="1:11">
      <c r="A119" s="203">
        <v>46203</v>
      </c>
      <c r="B119" s="204">
        <v>27</v>
      </c>
      <c r="C119" s="205">
        <v>1</v>
      </c>
      <c r="D119" s="205">
        <v>222.7</v>
      </c>
      <c r="E119" s="194">
        <v>0.87780843515963736</v>
      </c>
      <c r="F119" s="205">
        <v>0</v>
      </c>
      <c r="G119" s="205">
        <v>59.47</v>
      </c>
      <c r="H119" s="194">
        <v>0.23441072132439891</v>
      </c>
      <c r="I119" s="205">
        <v>0</v>
      </c>
      <c r="J119" s="205">
        <v>0</v>
      </c>
      <c r="K119" s="194">
        <v>0</v>
      </c>
    </row>
    <row r="120" spans="1:11">
      <c r="A120" s="203">
        <v>46204</v>
      </c>
      <c r="B120" s="204">
        <v>27</v>
      </c>
      <c r="C120" s="205">
        <v>1</v>
      </c>
      <c r="D120" s="205">
        <v>223.7</v>
      </c>
      <c r="E120" s="194">
        <v>0.88175009854158459</v>
      </c>
      <c r="F120" s="205">
        <v>0</v>
      </c>
      <c r="G120" s="205">
        <v>59.47</v>
      </c>
      <c r="H120" s="194">
        <v>0.23441072132439891</v>
      </c>
      <c r="I120" s="205">
        <v>0</v>
      </c>
      <c r="J120" s="205">
        <v>0</v>
      </c>
      <c r="K120" s="194">
        <v>0</v>
      </c>
    </row>
    <row r="121" spans="1:11">
      <c r="A121" s="203">
        <v>46205</v>
      </c>
      <c r="B121" s="204">
        <v>27</v>
      </c>
      <c r="C121" s="205">
        <v>1</v>
      </c>
      <c r="D121" s="205">
        <v>224.7</v>
      </c>
      <c r="E121" s="194">
        <v>0.88569176192353172</v>
      </c>
      <c r="F121" s="205">
        <v>0</v>
      </c>
      <c r="G121" s="205">
        <v>59.47</v>
      </c>
      <c r="H121" s="194">
        <v>0.23441072132439891</v>
      </c>
      <c r="I121" s="205">
        <v>0</v>
      </c>
      <c r="J121" s="205">
        <v>0</v>
      </c>
      <c r="K121" s="194">
        <v>0</v>
      </c>
    </row>
    <row r="122" spans="1:11">
      <c r="A122" s="203">
        <v>46206</v>
      </c>
      <c r="B122" s="204">
        <v>27</v>
      </c>
      <c r="C122" s="205">
        <v>1</v>
      </c>
      <c r="D122" s="205">
        <v>225.7</v>
      </c>
      <c r="E122" s="194">
        <v>0.88963342530547895</v>
      </c>
      <c r="F122" s="205">
        <v>0</v>
      </c>
      <c r="G122" s="205">
        <v>59.47</v>
      </c>
      <c r="H122" s="194">
        <v>0.23441072132439891</v>
      </c>
      <c r="I122" s="205">
        <v>0</v>
      </c>
      <c r="J122" s="205">
        <v>0</v>
      </c>
      <c r="K122" s="194">
        <v>0</v>
      </c>
    </row>
    <row r="123" spans="1:11">
      <c r="A123" s="203">
        <v>46207</v>
      </c>
      <c r="B123" s="204">
        <v>27</v>
      </c>
      <c r="C123" s="205">
        <v>0</v>
      </c>
      <c r="D123" s="205">
        <v>225.7</v>
      </c>
      <c r="E123" s="194">
        <v>0.88963342530547895</v>
      </c>
      <c r="F123" s="205">
        <v>0</v>
      </c>
      <c r="G123" s="205">
        <v>59.47</v>
      </c>
      <c r="H123" s="194">
        <v>0.23441072132439891</v>
      </c>
      <c r="I123" s="205">
        <v>0</v>
      </c>
      <c r="J123" s="205">
        <v>0</v>
      </c>
      <c r="K123" s="194">
        <v>0</v>
      </c>
    </row>
    <row r="124" spans="1:11">
      <c r="A124" s="203">
        <v>46208</v>
      </c>
      <c r="B124" s="204">
        <v>28</v>
      </c>
      <c r="C124" s="205">
        <v>0</v>
      </c>
      <c r="D124" s="205">
        <v>225.7</v>
      </c>
      <c r="E124" s="194">
        <v>0.88963342530547895</v>
      </c>
      <c r="F124" s="205">
        <v>0</v>
      </c>
      <c r="G124" s="205">
        <v>59.47</v>
      </c>
      <c r="H124" s="194">
        <v>0.23441072132439891</v>
      </c>
      <c r="I124" s="205">
        <v>0</v>
      </c>
      <c r="J124" s="205">
        <v>0</v>
      </c>
      <c r="K124" s="194">
        <v>0</v>
      </c>
    </row>
    <row r="125" spans="1:11">
      <c r="A125" s="203">
        <v>46209</v>
      </c>
      <c r="B125" s="204">
        <v>28</v>
      </c>
      <c r="C125" s="205">
        <v>1</v>
      </c>
      <c r="D125" s="205">
        <v>226.7</v>
      </c>
      <c r="E125" s="194">
        <v>0.89357508868742608</v>
      </c>
      <c r="F125" s="205">
        <v>0</v>
      </c>
      <c r="G125" s="205">
        <v>59.47</v>
      </c>
      <c r="H125" s="194">
        <v>0.23441072132439891</v>
      </c>
      <c r="I125" s="205">
        <v>0</v>
      </c>
      <c r="J125" s="205">
        <v>0</v>
      </c>
      <c r="K125" s="194">
        <v>0</v>
      </c>
    </row>
    <row r="126" spans="1:11">
      <c r="A126" s="203">
        <v>46210</v>
      </c>
      <c r="B126" s="204">
        <v>28</v>
      </c>
      <c r="C126" s="205">
        <v>0</v>
      </c>
      <c r="D126" s="205">
        <v>226.7</v>
      </c>
      <c r="E126" s="194">
        <v>0.89357508868742608</v>
      </c>
      <c r="F126" s="205">
        <v>0</v>
      </c>
      <c r="G126" s="205">
        <v>59.47</v>
      </c>
      <c r="H126" s="194">
        <v>0.23441072132439891</v>
      </c>
      <c r="I126" s="205">
        <v>0</v>
      </c>
      <c r="J126" s="205">
        <v>0</v>
      </c>
      <c r="K126" s="194">
        <v>0</v>
      </c>
    </row>
    <row r="127" spans="1:11">
      <c r="A127" s="203">
        <v>46211</v>
      </c>
      <c r="B127" s="204">
        <v>28</v>
      </c>
      <c r="C127" s="205">
        <v>0</v>
      </c>
      <c r="D127" s="205">
        <v>226.7</v>
      </c>
      <c r="E127" s="194">
        <v>0.89357508868742608</v>
      </c>
      <c r="F127" s="205">
        <v>0</v>
      </c>
      <c r="G127" s="205">
        <v>59.47</v>
      </c>
      <c r="H127" s="194">
        <v>0.23441072132439891</v>
      </c>
      <c r="I127" s="205">
        <v>0</v>
      </c>
      <c r="J127" s="205">
        <v>0</v>
      </c>
      <c r="K127" s="194">
        <v>0</v>
      </c>
    </row>
    <row r="128" spans="1:11">
      <c r="A128" s="203">
        <v>46212</v>
      </c>
      <c r="B128" s="204">
        <v>28</v>
      </c>
      <c r="C128" s="205">
        <v>3</v>
      </c>
      <c r="D128" s="205">
        <v>229.7</v>
      </c>
      <c r="E128" s="194">
        <v>0.90540007883326767</v>
      </c>
      <c r="F128" s="205">
        <v>0</v>
      </c>
      <c r="G128" s="205">
        <v>59.47</v>
      </c>
      <c r="H128" s="194">
        <v>0.23441072132439891</v>
      </c>
      <c r="I128" s="205">
        <v>0</v>
      </c>
      <c r="J128" s="205">
        <v>0</v>
      </c>
      <c r="K128" s="194">
        <v>0</v>
      </c>
    </row>
    <row r="129" spans="1:11">
      <c r="A129" s="203">
        <v>46213</v>
      </c>
      <c r="B129" s="204">
        <v>28</v>
      </c>
      <c r="C129" s="205">
        <v>3</v>
      </c>
      <c r="D129" s="205">
        <v>232.7</v>
      </c>
      <c r="E129" s="194">
        <v>0.91722506897910916</v>
      </c>
      <c r="F129" s="205">
        <v>0</v>
      </c>
      <c r="G129" s="205">
        <v>59.47</v>
      </c>
      <c r="H129" s="194">
        <v>0.23441072132439891</v>
      </c>
      <c r="I129" s="205">
        <v>0</v>
      </c>
      <c r="J129" s="205">
        <v>0</v>
      </c>
      <c r="K129" s="194">
        <v>0</v>
      </c>
    </row>
    <row r="130" spans="1:11">
      <c r="A130" s="203">
        <v>46214</v>
      </c>
      <c r="B130" s="204">
        <v>28</v>
      </c>
      <c r="C130" s="205">
        <v>0</v>
      </c>
      <c r="D130" s="205">
        <v>232.7</v>
      </c>
      <c r="E130" s="194">
        <v>0.91722506897910916</v>
      </c>
      <c r="F130" s="205">
        <v>0</v>
      </c>
      <c r="G130" s="205">
        <v>59.47</v>
      </c>
      <c r="H130" s="194">
        <v>0.23441072132439891</v>
      </c>
      <c r="I130" s="205">
        <v>0</v>
      </c>
      <c r="J130" s="205">
        <v>0</v>
      </c>
      <c r="K130" s="194">
        <v>0</v>
      </c>
    </row>
    <row r="131" spans="1:11">
      <c r="A131" s="203">
        <v>46215</v>
      </c>
      <c r="B131" s="204">
        <v>29</v>
      </c>
      <c r="C131" s="205">
        <v>0</v>
      </c>
      <c r="D131" s="205">
        <v>232.7</v>
      </c>
      <c r="E131" s="194">
        <v>0.91722506897910916</v>
      </c>
      <c r="F131" s="205">
        <v>0</v>
      </c>
      <c r="G131" s="205">
        <v>59.47</v>
      </c>
      <c r="H131" s="194">
        <v>0.23441072132439891</v>
      </c>
      <c r="I131" s="205">
        <v>0</v>
      </c>
      <c r="J131" s="205">
        <v>0</v>
      </c>
      <c r="K131" s="194">
        <v>0</v>
      </c>
    </row>
    <row r="132" spans="1:11">
      <c r="A132" s="203">
        <v>46216</v>
      </c>
      <c r="B132" s="204">
        <v>29</v>
      </c>
      <c r="C132" s="205">
        <v>3</v>
      </c>
      <c r="D132" s="205">
        <v>235.7</v>
      </c>
      <c r="E132" s="194">
        <v>0.92905005912495076</v>
      </c>
      <c r="F132" s="205">
        <v>0</v>
      </c>
      <c r="G132" s="205">
        <v>59.47</v>
      </c>
      <c r="H132" s="194">
        <v>0.23441072132439891</v>
      </c>
      <c r="I132" s="205">
        <v>0</v>
      </c>
      <c r="J132" s="205">
        <v>0</v>
      </c>
      <c r="K132" s="194">
        <v>0</v>
      </c>
    </row>
    <row r="133" spans="1:11">
      <c r="A133" s="203">
        <v>46217</v>
      </c>
      <c r="B133" s="204">
        <v>29</v>
      </c>
      <c r="C133" s="205">
        <v>0</v>
      </c>
      <c r="D133" s="205">
        <v>235.7</v>
      </c>
      <c r="E133" s="194">
        <v>0.92905005912495076</v>
      </c>
      <c r="F133" s="205">
        <v>0</v>
      </c>
      <c r="G133" s="205">
        <v>59.47</v>
      </c>
      <c r="H133" s="194">
        <v>0.23441072132439891</v>
      </c>
      <c r="I133" s="205">
        <v>0</v>
      </c>
      <c r="J133" s="205">
        <v>0</v>
      </c>
      <c r="K133" s="194">
        <v>0</v>
      </c>
    </row>
    <row r="134" spans="1:11">
      <c r="A134" s="203">
        <v>46218</v>
      </c>
      <c r="B134" s="204">
        <v>29</v>
      </c>
      <c r="C134" s="205">
        <v>0</v>
      </c>
      <c r="D134" s="205">
        <v>235.7</v>
      </c>
      <c r="E134" s="194">
        <v>0.92905005912495076</v>
      </c>
      <c r="F134" s="205">
        <v>0</v>
      </c>
      <c r="G134" s="205">
        <v>59.47</v>
      </c>
      <c r="H134" s="194">
        <v>0.23441072132439891</v>
      </c>
      <c r="I134" s="205">
        <v>0</v>
      </c>
      <c r="J134" s="205">
        <v>0</v>
      </c>
      <c r="K134" s="194">
        <v>0</v>
      </c>
    </row>
    <row r="135" spans="1:11">
      <c r="A135" s="203">
        <v>46219</v>
      </c>
      <c r="B135" s="204">
        <v>29</v>
      </c>
      <c r="C135" s="205">
        <v>2</v>
      </c>
      <c r="D135" s="205">
        <v>237.7</v>
      </c>
      <c r="E135" s="194">
        <v>0.93693338588884512</v>
      </c>
      <c r="F135" s="205">
        <v>0</v>
      </c>
      <c r="G135" s="205">
        <v>59.47</v>
      </c>
      <c r="H135" s="194">
        <v>0.23441072132439891</v>
      </c>
      <c r="I135" s="205">
        <v>0</v>
      </c>
      <c r="J135" s="205">
        <v>0</v>
      </c>
      <c r="K135" s="194">
        <v>0</v>
      </c>
    </row>
    <row r="136" spans="1:11">
      <c r="A136" s="203">
        <v>46220</v>
      </c>
      <c r="B136" s="204">
        <v>29</v>
      </c>
      <c r="C136" s="205">
        <v>0</v>
      </c>
      <c r="D136" s="205">
        <v>237.7</v>
      </c>
      <c r="E136" s="194">
        <v>0.93693338588884512</v>
      </c>
      <c r="F136" s="205">
        <v>0</v>
      </c>
      <c r="G136" s="205">
        <v>59.47</v>
      </c>
      <c r="H136" s="194">
        <v>0.23441072132439891</v>
      </c>
      <c r="I136" s="205">
        <v>0</v>
      </c>
      <c r="J136" s="205">
        <v>0</v>
      </c>
      <c r="K136" s="194">
        <v>0</v>
      </c>
    </row>
    <row r="137" spans="1:11">
      <c r="A137" s="203">
        <v>46221</v>
      </c>
      <c r="B137" s="204">
        <v>29</v>
      </c>
      <c r="C137" s="205">
        <v>0</v>
      </c>
      <c r="D137" s="205">
        <v>237.7</v>
      </c>
      <c r="E137" s="194">
        <v>0.93693338588884512</v>
      </c>
      <c r="F137" s="205">
        <v>0</v>
      </c>
      <c r="G137" s="205">
        <v>59.47</v>
      </c>
      <c r="H137" s="194">
        <v>0.23441072132439891</v>
      </c>
      <c r="I137" s="205">
        <v>0</v>
      </c>
      <c r="J137" s="205">
        <v>0</v>
      </c>
      <c r="K137" s="194">
        <v>0</v>
      </c>
    </row>
    <row r="138" spans="1:11">
      <c r="A138" s="203">
        <v>46222</v>
      </c>
      <c r="B138" s="204">
        <v>30</v>
      </c>
      <c r="C138" s="205">
        <v>0</v>
      </c>
      <c r="D138" s="205">
        <v>237.7</v>
      </c>
      <c r="E138" s="194">
        <v>0.93693338588884512</v>
      </c>
      <c r="F138" s="205">
        <v>0</v>
      </c>
      <c r="G138" s="205">
        <v>59.47</v>
      </c>
      <c r="H138" s="194">
        <v>0.23441072132439891</v>
      </c>
      <c r="I138" s="205">
        <v>0</v>
      </c>
      <c r="J138" s="205">
        <v>0</v>
      </c>
      <c r="K138" s="194">
        <v>0</v>
      </c>
    </row>
    <row r="139" spans="1:11">
      <c r="A139" s="203">
        <v>46223</v>
      </c>
      <c r="B139" s="204">
        <v>30</v>
      </c>
      <c r="C139" s="205">
        <v>1</v>
      </c>
      <c r="D139" s="205">
        <v>238.7</v>
      </c>
      <c r="E139" s="194">
        <v>0.94087504927079224</v>
      </c>
      <c r="F139" s="205">
        <v>0</v>
      </c>
      <c r="G139" s="205">
        <v>59.47</v>
      </c>
      <c r="H139" s="194">
        <v>0.23441072132439891</v>
      </c>
      <c r="I139" s="205">
        <v>0</v>
      </c>
      <c r="J139" s="205">
        <v>0</v>
      </c>
      <c r="K139" s="194">
        <v>0</v>
      </c>
    </row>
    <row r="140" spans="1:11">
      <c r="A140" s="203">
        <v>46224</v>
      </c>
      <c r="B140" s="204">
        <v>30</v>
      </c>
      <c r="C140" s="205">
        <v>1</v>
      </c>
      <c r="D140" s="205">
        <v>239.7</v>
      </c>
      <c r="E140" s="194">
        <v>0.94481671265273948</v>
      </c>
      <c r="F140" s="205">
        <v>0</v>
      </c>
      <c r="G140" s="205">
        <v>59.47</v>
      </c>
      <c r="H140" s="194">
        <v>0.23441072132439891</v>
      </c>
      <c r="I140" s="205">
        <v>0</v>
      </c>
      <c r="J140" s="205">
        <v>0</v>
      </c>
      <c r="K140" s="194">
        <v>0</v>
      </c>
    </row>
    <row r="141" spans="1:11">
      <c r="A141" s="203">
        <v>46225</v>
      </c>
      <c r="B141" s="204">
        <v>30</v>
      </c>
      <c r="C141" s="205">
        <v>1</v>
      </c>
      <c r="D141" s="205">
        <v>240.7</v>
      </c>
      <c r="E141" s="194">
        <v>0.9487583760346866</v>
      </c>
      <c r="F141" s="205">
        <v>0</v>
      </c>
      <c r="G141" s="205">
        <v>59.47</v>
      </c>
      <c r="H141" s="194">
        <v>0.23441072132439891</v>
      </c>
      <c r="I141" s="205">
        <v>0</v>
      </c>
      <c r="J141" s="205">
        <v>0</v>
      </c>
      <c r="K141" s="194">
        <v>0</v>
      </c>
    </row>
    <row r="142" spans="1:11">
      <c r="A142" s="203">
        <v>46226</v>
      </c>
      <c r="B142" s="204">
        <v>30</v>
      </c>
      <c r="C142" s="205">
        <v>2</v>
      </c>
      <c r="D142" s="205">
        <v>242.7</v>
      </c>
      <c r="E142" s="194">
        <v>0.95664170279858096</v>
      </c>
      <c r="F142" s="205">
        <v>0</v>
      </c>
      <c r="G142" s="205">
        <v>59.47</v>
      </c>
      <c r="H142" s="194">
        <v>0.23441072132439891</v>
      </c>
      <c r="I142" s="205">
        <v>0</v>
      </c>
      <c r="J142" s="205">
        <v>0</v>
      </c>
      <c r="K142" s="194">
        <v>0</v>
      </c>
    </row>
    <row r="143" spans="1:11">
      <c r="A143" s="203">
        <v>46227</v>
      </c>
      <c r="B143" s="204">
        <v>30</v>
      </c>
      <c r="C143" s="205">
        <v>2</v>
      </c>
      <c r="D143" s="205">
        <v>244.7</v>
      </c>
      <c r="E143" s="194">
        <v>0.96452502956247532</v>
      </c>
      <c r="F143" s="205">
        <v>0</v>
      </c>
      <c r="G143" s="205">
        <v>59.47</v>
      </c>
      <c r="H143" s="194">
        <v>0.23441072132439891</v>
      </c>
      <c r="I143" s="205">
        <v>0</v>
      </c>
      <c r="J143" s="205">
        <v>0</v>
      </c>
      <c r="K143" s="194">
        <v>0</v>
      </c>
    </row>
    <row r="144" spans="1:11">
      <c r="A144" s="203">
        <v>46228</v>
      </c>
      <c r="B144" s="204">
        <v>30</v>
      </c>
      <c r="C144" s="205">
        <v>0</v>
      </c>
      <c r="D144" s="205">
        <v>244.7</v>
      </c>
      <c r="E144" s="194">
        <v>0.96452502956247532</v>
      </c>
      <c r="F144" s="205">
        <v>0</v>
      </c>
      <c r="G144" s="205">
        <v>59.47</v>
      </c>
      <c r="H144" s="194">
        <v>0.23441072132439891</v>
      </c>
      <c r="I144" s="205">
        <v>0</v>
      </c>
      <c r="J144" s="205">
        <v>0</v>
      </c>
      <c r="K144" s="194">
        <v>0</v>
      </c>
    </row>
    <row r="145" spans="1:11">
      <c r="A145" s="203">
        <v>46229</v>
      </c>
      <c r="B145" s="204">
        <v>31</v>
      </c>
      <c r="C145" s="205">
        <v>0</v>
      </c>
      <c r="D145" s="205">
        <v>244.7</v>
      </c>
      <c r="E145" s="194">
        <v>0.96452502956247532</v>
      </c>
      <c r="F145" s="205">
        <v>0</v>
      </c>
      <c r="G145" s="205">
        <v>59.47</v>
      </c>
      <c r="H145" s="194">
        <v>0.23441072132439891</v>
      </c>
      <c r="I145" s="205">
        <v>0</v>
      </c>
      <c r="J145" s="205">
        <v>0</v>
      </c>
      <c r="K145" s="194">
        <v>0</v>
      </c>
    </row>
    <row r="146" spans="1:11">
      <c r="A146" s="203">
        <v>46230</v>
      </c>
      <c r="B146" s="204">
        <v>31</v>
      </c>
      <c r="C146" s="205">
        <v>2</v>
      </c>
      <c r="D146" s="205">
        <v>246.7</v>
      </c>
      <c r="E146" s="194">
        <v>0.97240835632636968</v>
      </c>
      <c r="F146" s="205">
        <v>0</v>
      </c>
      <c r="G146" s="205">
        <v>59.47</v>
      </c>
      <c r="H146" s="194">
        <v>0.23441072132439891</v>
      </c>
      <c r="I146" s="205">
        <v>0</v>
      </c>
      <c r="J146" s="205">
        <v>0</v>
      </c>
      <c r="K146" s="194">
        <v>0</v>
      </c>
    </row>
    <row r="147" spans="1:11">
      <c r="A147" s="203">
        <v>46231</v>
      </c>
      <c r="B147" s="204">
        <v>31</v>
      </c>
      <c r="C147" s="205">
        <v>1</v>
      </c>
      <c r="D147" s="205">
        <v>247.7</v>
      </c>
      <c r="E147" s="194">
        <v>0.97635001970831692</v>
      </c>
      <c r="F147" s="205">
        <v>0</v>
      </c>
      <c r="G147" s="205">
        <v>59.47</v>
      </c>
      <c r="H147" s="194">
        <v>0.23441072132439891</v>
      </c>
      <c r="I147" s="205">
        <v>0</v>
      </c>
      <c r="J147" s="205">
        <v>0</v>
      </c>
      <c r="K147" s="194">
        <v>0</v>
      </c>
    </row>
    <row r="148" spans="1:11">
      <c r="A148" s="203">
        <v>46232</v>
      </c>
      <c r="B148" s="204">
        <v>31</v>
      </c>
      <c r="C148" s="205">
        <v>1</v>
      </c>
      <c r="D148" s="205">
        <v>248.7</v>
      </c>
      <c r="E148" s="194">
        <v>0.98029168309026404</v>
      </c>
      <c r="F148" s="205">
        <v>0</v>
      </c>
      <c r="G148" s="205">
        <v>59.47</v>
      </c>
      <c r="H148" s="194">
        <v>0.23441072132439891</v>
      </c>
      <c r="I148" s="205">
        <v>0</v>
      </c>
      <c r="J148" s="205">
        <v>0</v>
      </c>
      <c r="K148" s="194">
        <v>0</v>
      </c>
    </row>
    <row r="149" spans="1:11">
      <c r="A149" s="203">
        <v>46233</v>
      </c>
      <c r="B149" s="204">
        <v>31</v>
      </c>
      <c r="C149" s="205">
        <v>1</v>
      </c>
      <c r="D149" s="205">
        <v>249.7</v>
      </c>
      <c r="E149" s="194">
        <v>0.98423334647221128</v>
      </c>
      <c r="F149" s="205">
        <v>0</v>
      </c>
      <c r="G149" s="205">
        <v>59.47</v>
      </c>
      <c r="H149" s="194">
        <v>0.23441072132439891</v>
      </c>
      <c r="I149" s="205">
        <v>0</v>
      </c>
      <c r="J149" s="205">
        <v>0</v>
      </c>
      <c r="K149" s="194">
        <v>0</v>
      </c>
    </row>
    <row r="150" spans="1:11">
      <c r="A150" s="203">
        <v>46234</v>
      </c>
      <c r="B150" s="204">
        <v>31</v>
      </c>
      <c r="C150" s="205">
        <v>1</v>
      </c>
      <c r="D150" s="205">
        <v>250.7</v>
      </c>
      <c r="E150" s="194">
        <v>0.9881750098541584</v>
      </c>
      <c r="F150" s="205">
        <v>0</v>
      </c>
      <c r="G150" s="205">
        <v>59.47</v>
      </c>
      <c r="H150" s="194">
        <v>0.23441072132439891</v>
      </c>
      <c r="I150" s="205">
        <v>0</v>
      </c>
      <c r="J150" s="205">
        <v>0</v>
      </c>
      <c r="K150" s="194">
        <v>0</v>
      </c>
    </row>
    <row r="151" spans="1:11">
      <c r="A151" s="203">
        <v>46235</v>
      </c>
      <c r="B151" s="204">
        <v>31</v>
      </c>
      <c r="C151" s="205">
        <v>0</v>
      </c>
      <c r="D151" s="205">
        <v>250.7</v>
      </c>
      <c r="E151" s="194">
        <v>0.9881750098541584</v>
      </c>
      <c r="F151" s="205">
        <v>0</v>
      </c>
      <c r="G151" s="205">
        <v>59.47</v>
      </c>
      <c r="H151" s="194">
        <v>0.23441072132439891</v>
      </c>
      <c r="I151" s="205">
        <v>0</v>
      </c>
      <c r="J151" s="205">
        <v>0</v>
      </c>
      <c r="K151" s="194">
        <v>0</v>
      </c>
    </row>
    <row r="152" spans="1:11">
      <c r="A152" s="203">
        <v>46236</v>
      </c>
      <c r="B152" s="204">
        <v>32</v>
      </c>
      <c r="C152" s="205">
        <v>0</v>
      </c>
      <c r="D152" s="205">
        <v>250.7</v>
      </c>
      <c r="E152" s="194">
        <v>0.9881750098541584</v>
      </c>
      <c r="F152" s="205">
        <v>0</v>
      </c>
      <c r="G152" s="205">
        <v>59.47</v>
      </c>
      <c r="H152" s="194">
        <v>0.23441072132439891</v>
      </c>
      <c r="I152" s="205">
        <v>0</v>
      </c>
      <c r="J152" s="205">
        <v>0</v>
      </c>
      <c r="K152" s="194">
        <v>0</v>
      </c>
    </row>
    <row r="153" spans="1:11">
      <c r="A153" s="203">
        <v>46237</v>
      </c>
      <c r="B153" s="204">
        <v>32</v>
      </c>
      <c r="C153" s="205">
        <v>3</v>
      </c>
      <c r="D153" s="205">
        <v>253.7</v>
      </c>
      <c r="E153" s="194">
        <v>1</v>
      </c>
      <c r="F153" s="205">
        <v>0</v>
      </c>
      <c r="G153" s="205">
        <v>59.47</v>
      </c>
      <c r="H153" s="194">
        <v>0.23441072132439891</v>
      </c>
      <c r="I153" s="205">
        <v>0</v>
      </c>
      <c r="J153" s="205">
        <v>0</v>
      </c>
      <c r="K153" s="194">
        <v>0</v>
      </c>
    </row>
    <row r="154" spans="1:11">
      <c r="A154" s="203">
        <v>46238</v>
      </c>
      <c r="B154" s="204">
        <v>32</v>
      </c>
      <c r="C154" s="205">
        <v>0</v>
      </c>
      <c r="D154" s="205">
        <v>253.7</v>
      </c>
      <c r="E154" s="194">
        <v>1</v>
      </c>
      <c r="F154" s="205">
        <v>0</v>
      </c>
      <c r="G154" s="205">
        <v>59.47</v>
      </c>
      <c r="H154" s="194">
        <v>0.23441072132439891</v>
      </c>
      <c r="I154" s="205">
        <v>0</v>
      </c>
      <c r="J154" s="205">
        <v>0</v>
      </c>
      <c r="K154" s="194">
        <v>0</v>
      </c>
    </row>
    <row r="155" spans="1:11">
      <c r="A155" s="203">
        <v>46239</v>
      </c>
      <c r="B155" s="204">
        <v>32</v>
      </c>
      <c r="C155" s="205">
        <v>0</v>
      </c>
      <c r="D155" s="205">
        <v>253.7</v>
      </c>
      <c r="E155" s="194">
        <v>1</v>
      </c>
      <c r="F155" s="205">
        <v>0</v>
      </c>
      <c r="G155" s="205">
        <v>59.47</v>
      </c>
      <c r="H155" s="194">
        <v>0.23441072132439891</v>
      </c>
      <c r="I155" s="205">
        <v>0</v>
      </c>
      <c r="J155" s="205">
        <v>0</v>
      </c>
      <c r="K155" s="194">
        <v>0</v>
      </c>
    </row>
    <row r="156" spans="1:11">
      <c r="A156" s="203">
        <v>46240</v>
      </c>
      <c r="B156" s="204">
        <v>32</v>
      </c>
      <c r="C156" s="205">
        <v>0</v>
      </c>
      <c r="D156" s="205">
        <v>253.7</v>
      </c>
      <c r="E156" s="194">
        <v>1</v>
      </c>
      <c r="F156" s="205">
        <v>0</v>
      </c>
      <c r="G156" s="205">
        <v>59.47</v>
      </c>
      <c r="H156" s="194">
        <v>0.23441072132439891</v>
      </c>
      <c r="I156" s="205">
        <v>0</v>
      </c>
      <c r="J156" s="205">
        <v>0</v>
      </c>
      <c r="K156" s="194">
        <v>0</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5"/>
  <cols>
    <col min="1" max="1" width="31.625" style="62" customWidth="1"/>
    <col min="2" max="2" width="14.5" style="62" customWidth="1"/>
    <col min="3" max="3" width="7.625" style="62" customWidth="1"/>
    <col min="4" max="4" width="21.5" style="62" customWidth="1"/>
    <col min="5" max="5" width="14.125" style="62" customWidth="1"/>
    <col min="6" max="6" width="11.625" style="62" bestFit="1" customWidth="1"/>
    <col min="7" max="7" width="24.25" style="62" customWidth="1"/>
    <col min="8" max="8" width="18.375" style="62" bestFit="1" customWidth="1"/>
    <col min="9" max="9" width="11.125" style="62" bestFit="1" customWidth="1"/>
    <col min="10" max="10" width="27.375" style="62" bestFit="1" customWidth="1"/>
    <col min="11" max="19" width="10" style="62"/>
    <col min="20" max="23" width="10" style="62" customWidth="1"/>
    <col min="24" max="26" width="10" style="62"/>
    <col min="27" max="27" width="0" style="62" hidden="1" customWidth="1"/>
    <col min="28" max="16384" width="10" style="62"/>
  </cols>
  <sheetData>
    <row r="1" spans="1:9" ht="36.950000000000003" customHeight="1">
      <c r="A1" s="1" t="s">
        <v>1654</v>
      </c>
      <c r="B1" s="1"/>
      <c r="C1" s="1"/>
      <c r="D1" s="1"/>
      <c r="E1" s="1"/>
      <c r="F1" s="1"/>
      <c r="G1" s="1"/>
      <c r="H1" s="1"/>
    </row>
    <row r="2" spans="1:9" s="63" customFormat="1" ht="78.75" customHeight="1">
      <c r="A2" s="281" t="s">
        <v>1655</v>
      </c>
      <c r="B2" s="282"/>
      <c r="C2" s="282"/>
      <c r="D2" s="282"/>
      <c r="E2" s="282"/>
      <c r="F2" s="282"/>
      <c r="G2" s="282"/>
      <c r="H2" s="282"/>
    </row>
    <row r="3" spans="1:9" s="63" customFormat="1" ht="24.75" customHeight="1">
      <c r="A3" s="283" t="s">
        <v>1656</v>
      </c>
      <c r="B3" s="283"/>
      <c r="D3" s="283" t="s">
        <v>1657</v>
      </c>
      <c r="E3" s="283"/>
      <c r="G3" s="283" t="s">
        <v>1658</v>
      </c>
      <c r="H3" s="283"/>
    </row>
    <row r="4" spans="1:9" s="65" customFormat="1" ht="19.5" customHeight="1">
      <c r="A4" s="64" t="s">
        <v>1659</v>
      </c>
      <c r="B4" s="64" t="s">
        <v>1660</v>
      </c>
      <c r="D4" s="64" t="s">
        <v>1659</v>
      </c>
      <c r="E4" s="64" t="s">
        <v>1660</v>
      </c>
      <c r="G4" s="64" t="s">
        <v>1659</v>
      </c>
      <c r="H4" s="64" t="s">
        <v>1660</v>
      </c>
    </row>
    <row r="5" spans="1:9" s="73" customFormat="1" ht="16.5">
      <c r="A5" s="71" t="s">
        <v>1428</v>
      </c>
      <c r="B5" s="72">
        <v>45658</v>
      </c>
      <c r="C5" s="73" t="str">
        <f t="shared" ref="C5:C68" si="0">IF(B5&gt;0,TEXT(B5,"(aaa)"),"")</f>
        <v>(수)</v>
      </c>
      <c r="D5" s="71"/>
      <c r="E5" s="72"/>
      <c r="F5" s="73" t="str">
        <f t="shared" ref="F5:F68" si="1">IF(E5&gt;0,TEXT(E5,"(aaa)"),"")</f>
        <v/>
      </c>
      <c r="G5" s="71"/>
      <c r="H5" s="72"/>
      <c r="I5" s="73" t="str">
        <f t="shared" ref="I5:I68" si="2">IF(H5&gt;0,TEXT(H5,"(aaa)"),"")</f>
        <v/>
      </c>
    </row>
    <row r="6" spans="1:9" s="73" customFormat="1" ht="16.5">
      <c r="A6" s="71" t="s">
        <v>1414</v>
      </c>
      <c r="B6" s="72">
        <v>45684</v>
      </c>
      <c r="C6" s="73" t="str">
        <f t="shared" si="0"/>
        <v>(월)</v>
      </c>
      <c r="D6" s="71"/>
      <c r="E6" s="72"/>
      <c r="F6" s="73" t="str">
        <f t="shared" si="1"/>
        <v/>
      </c>
      <c r="G6" s="71"/>
      <c r="H6" s="72"/>
      <c r="I6" s="73" t="str">
        <f t="shared" si="2"/>
        <v/>
      </c>
    </row>
    <row r="7" spans="1:9" s="73" customFormat="1" ht="16.5">
      <c r="A7" s="71" t="s">
        <v>1415</v>
      </c>
      <c r="B7" s="72">
        <v>45685</v>
      </c>
      <c r="C7" s="73" t="str">
        <f t="shared" si="0"/>
        <v>(화)</v>
      </c>
      <c r="D7" s="71"/>
      <c r="E7" s="72"/>
      <c r="F7" s="73" t="str">
        <f t="shared" si="1"/>
        <v/>
      </c>
      <c r="G7" s="71"/>
      <c r="H7" s="72"/>
      <c r="I7" s="73" t="str">
        <f t="shared" si="2"/>
        <v/>
      </c>
    </row>
    <row r="8" spans="1:9" s="73" customFormat="1" ht="16.5">
      <c r="A8" s="71" t="s">
        <v>1416</v>
      </c>
      <c r="B8" s="72">
        <v>45686</v>
      </c>
      <c r="C8" s="73" t="str">
        <f t="shared" si="0"/>
        <v>(수)</v>
      </c>
      <c r="D8" s="71"/>
      <c r="E8" s="72"/>
      <c r="F8" s="73" t="str">
        <f t="shared" si="1"/>
        <v/>
      </c>
      <c r="G8" s="71"/>
      <c r="H8" s="72"/>
      <c r="I8" s="73" t="str">
        <f t="shared" si="2"/>
        <v/>
      </c>
    </row>
    <row r="9" spans="1:9" s="73" customFormat="1" ht="16.5">
      <c r="A9" s="71" t="s">
        <v>1415</v>
      </c>
      <c r="B9" s="72">
        <v>45687</v>
      </c>
      <c r="C9" s="73" t="str">
        <f t="shared" si="0"/>
        <v>(목)</v>
      </c>
      <c r="D9" s="71"/>
      <c r="E9" s="72"/>
      <c r="F9" s="73" t="str">
        <f t="shared" si="1"/>
        <v/>
      </c>
      <c r="G9" s="71"/>
      <c r="H9" s="72"/>
      <c r="I9" s="73" t="str">
        <f t="shared" si="2"/>
        <v/>
      </c>
    </row>
    <row r="10" spans="1:9" s="73" customFormat="1" ht="16.5">
      <c r="A10" s="71" t="s">
        <v>1582</v>
      </c>
      <c r="B10" s="72">
        <v>45719</v>
      </c>
      <c r="C10" s="73" t="str">
        <f t="shared" si="0"/>
        <v>(월)</v>
      </c>
      <c r="D10" s="71"/>
      <c r="E10" s="72"/>
      <c r="F10" s="73" t="str">
        <f t="shared" si="1"/>
        <v/>
      </c>
      <c r="G10" s="71"/>
      <c r="H10" s="72"/>
      <c r="I10" s="73" t="str">
        <f t="shared" si="2"/>
        <v/>
      </c>
    </row>
    <row r="11" spans="1:9" s="73" customFormat="1" ht="16.5">
      <c r="A11" s="71" t="s">
        <v>1417</v>
      </c>
      <c r="B11" s="72">
        <v>45782</v>
      </c>
      <c r="C11" s="73" t="str">
        <f t="shared" si="0"/>
        <v>(월)</v>
      </c>
      <c r="D11" s="71"/>
      <c r="E11" s="72"/>
      <c r="F11" s="73" t="str">
        <f t="shared" si="1"/>
        <v/>
      </c>
      <c r="G11" s="71"/>
      <c r="H11" s="72"/>
      <c r="I11" s="73" t="str">
        <f t="shared" si="2"/>
        <v/>
      </c>
    </row>
    <row r="12" spans="1:9" s="73" customFormat="1" ht="16.5">
      <c r="A12" s="71" t="s">
        <v>1583</v>
      </c>
      <c r="B12" s="72">
        <v>45783</v>
      </c>
      <c r="C12" s="73" t="str">
        <f t="shared" si="0"/>
        <v>(화)</v>
      </c>
      <c r="D12" s="71"/>
      <c r="E12" s="72"/>
      <c r="F12" s="73" t="str">
        <f t="shared" si="1"/>
        <v/>
      </c>
      <c r="G12" s="71"/>
      <c r="H12" s="72"/>
      <c r="I12" s="73" t="str">
        <f t="shared" si="2"/>
        <v/>
      </c>
    </row>
    <row r="13" spans="1:9" s="73" customFormat="1" ht="16.5">
      <c r="A13" s="71" t="s">
        <v>1432</v>
      </c>
      <c r="B13" s="72">
        <v>45811</v>
      </c>
      <c r="C13" s="73" t="str">
        <f t="shared" si="0"/>
        <v>(화)</v>
      </c>
      <c r="D13" s="71"/>
      <c r="E13" s="72"/>
      <c r="F13" s="73" t="str">
        <f t="shared" si="1"/>
        <v/>
      </c>
      <c r="G13" s="71"/>
      <c r="H13" s="72"/>
      <c r="I13" s="73" t="str">
        <f t="shared" si="2"/>
        <v/>
      </c>
    </row>
    <row r="14" spans="1:9" s="73" customFormat="1" ht="16.5">
      <c r="A14" s="71" t="s">
        <v>1433</v>
      </c>
      <c r="B14" s="72">
        <v>45814</v>
      </c>
      <c r="C14" s="73" t="str">
        <f t="shared" si="0"/>
        <v>(금)</v>
      </c>
      <c r="D14" s="71"/>
      <c r="E14" s="72"/>
      <c r="F14" s="73" t="str">
        <f t="shared" si="1"/>
        <v/>
      </c>
      <c r="G14" s="71"/>
      <c r="H14" s="72"/>
      <c r="I14" s="73" t="str">
        <f t="shared" si="2"/>
        <v/>
      </c>
    </row>
    <row r="15" spans="1:9" s="73" customFormat="1" ht="16.5">
      <c r="A15" s="71" t="s">
        <v>1434</v>
      </c>
      <c r="B15" s="72">
        <v>45884</v>
      </c>
      <c r="C15" s="73" t="str">
        <f t="shared" si="0"/>
        <v>(금)</v>
      </c>
      <c r="D15" s="71"/>
      <c r="E15" s="72"/>
      <c r="F15" s="73" t="str">
        <f t="shared" si="1"/>
        <v/>
      </c>
      <c r="G15" s="71"/>
      <c r="H15" s="72"/>
      <c r="I15" s="73" t="str">
        <f t="shared" si="2"/>
        <v/>
      </c>
    </row>
    <row r="16" spans="1:9" s="73" customFormat="1" ht="16.5">
      <c r="A16" s="71" t="s">
        <v>1418</v>
      </c>
      <c r="B16" s="72">
        <v>45933</v>
      </c>
      <c r="C16" s="73" t="str">
        <f t="shared" si="0"/>
        <v>(금)</v>
      </c>
      <c r="D16" s="71"/>
      <c r="E16" s="72"/>
      <c r="F16" s="73" t="str">
        <f t="shared" si="1"/>
        <v/>
      </c>
      <c r="G16" s="71"/>
      <c r="H16" s="72"/>
      <c r="I16" s="73" t="str">
        <f t="shared" si="2"/>
        <v/>
      </c>
    </row>
    <row r="17" spans="1:10" s="73" customFormat="1" ht="16.5">
      <c r="A17" s="71" t="s">
        <v>1419</v>
      </c>
      <c r="B17" s="72">
        <v>45936</v>
      </c>
      <c r="C17" s="73" t="str">
        <f t="shared" si="0"/>
        <v>(월)</v>
      </c>
      <c r="D17" s="71"/>
      <c r="E17" s="72"/>
      <c r="F17" s="73" t="str">
        <f t="shared" si="1"/>
        <v/>
      </c>
      <c r="G17" s="71"/>
      <c r="H17" s="72"/>
      <c r="I17" s="73" t="str">
        <f t="shared" si="2"/>
        <v/>
      </c>
    </row>
    <row r="18" spans="1:10" s="73" customFormat="1" ht="16.5">
      <c r="A18" s="71" t="s">
        <v>1420</v>
      </c>
      <c r="B18" s="72">
        <v>45937</v>
      </c>
      <c r="C18" s="73" t="str">
        <f t="shared" si="0"/>
        <v>(화)</v>
      </c>
      <c r="D18" s="71"/>
      <c r="E18" s="72"/>
      <c r="F18" s="73" t="str">
        <f t="shared" si="1"/>
        <v/>
      </c>
      <c r="G18" s="71"/>
      <c r="H18" s="72"/>
      <c r="I18" s="73" t="str">
        <f t="shared" si="2"/>
        <v/>
      </c>
    </row>
    <row r="19" spans="1:10" s="73" customFormat="1" ht="17.25">
      <c r="A19" s="71" t="s">
        <v>1584</v>
      </c>
      <c r="B19" s="72">
        <v>45938</v>
      </c>
      <c r="C19" s="73" t="str">
        <f t="shared" si="0"/>
        <v>(수)</v>
      </c>
      <c r="D19" s="71"/>
      <c r="E19" s="72"/>
      <c r="F19" s="73" t="str">
        <f t="shared" si="1"/>
        <v/>
      </c>
      <c r="G19" s="71"/>
      <c r="H19" s="72"/>
      <c r="I19" s="73" t="str">
        <f t="shared" si="2"/>
        <v/>
      </c>
      <c r="J19" s="74"/>
    </row>
    <row r="20" spans="1:10" s="73" customFormat="1" ht="17.25">
      <c r="A20" s="71" t="s">
        <v>1421</v>
      </c>
      <c r="B20" s="72">
        <v>45939</v>
      </c>
      <c r="C20" s="73" t="str">
        <f t="shared" si="0"/>
        <v>(목)</v>
      </c>
      <c r="D20" s="71"/>
      <c r="E20" s="72"/>
      <c r="F20" s="73" t="str">
        <f t="shared" si="1"/>
        <v/>
      </c>
      <c r="G20" s="71"/>
      <c r="H20" s="72"/>
      <c r="I20" s="73" t="str">
        <f t="shared" si="2"/>
        <v/>
      </c>
      <c r="J20" s="74"/>
    </row>
    <row r="21" spans="1:10" s="73" customFormat="1" ht="16.5">
      <c r="A21" s="71" t="s">
        <v>1429</v>
      </c>
      <c r="B21" s="72">
        <v>46016</v>
      </c>
      <c r="C21" s="73" t="str">
        <f t="shared" si="0"/>
        <v>(목)</v>
      </c>
      <c r="D21" s="71"/>
      <c r="E21" s="72"/>
      <c r="F21" s="73" t="str">
        <f t="shared" si="1"/>
        <v/>
      </c>
      <c r="G21" s="71"/>
      <c r="H21" s="72"/>
      <c r="I21" s="73" t="str">
        <f t="shared" si="2"/>
        <v/>
      </c>
    </row>
    <row r="22" spans="1:10" s="73" customFormat="1" ht="16.5">
      <c r="A22" s="71" t="s">
        <v>1430</v>
      </c>
      <c r="B22" s="72">
        <v>46023</v>
      </c>
      <c r="C22" s="73" t="str">
        <f t="shared" si="0"/>
        <v>(목)</v>
      </c>
      <c r="D22" s="71"/>
      <c r="E22" s="72"/>
      <c r="F22" s="73" t="str">
        <f t="shared" si="1"/>
        <v/>
      </c>
      <c r="G22" s="71"/>
      <c r="H22" s="72"/>
      <c r="I22" s="73" t="str">
        <f t="shared" si="2"/>
        <v/>
      </c>
    </row>
    <row r="23" spans="1:10" s="73" customFormat="1" ht="16.5">
      <c r="A23" s="71" t="s">
        <v>1423</v>
      </c>
      <c r="B23" s="72">
        <v>46069</v>
      </c>
      <c r="C23" s="73" t="str">
        <f t="shared" si="0"/>
        <v>(월)</v>
      </c>
      <c r="D23" s="71"/>
      <c r="E23" s="72"/>
      <c r="F23" s="73" t="str">
        <f t="shared" si="1"/>
        <v/>
      </c>
      <c r="G23" s="71"/>
      <c r="H23" s="72"/>
      <c r="I23" s="73" t="str">
        <f t="shared" si="2"/>
        <v/>
      </c>
    </row>
    <row r="24" spans="1:10" s="73" customFormat="1" ht="16.5">
      <c r="A24" s="71" t="s">
        <v>1422</v>
      </c>
      <c r="B24" s="72">
        <v>46070</v>
      </c>
      <c r="C24" s="73" t="str">
        <f t="shared" si="0"/>
        <v>(화)</v>
      </c>
      <c r="D24" s="71"/>
      <c r="E24" s="72"/>
      <c r="F24" s="73" t="str">
        <f t="shared" si="1"/>
        <v/>
      </c>
      <c r="G24" s="71"/>
      <c r="H24" s="72"/>
      <c r="I24" s="73" t="str">
        <f t="shared" si="2"/>
        <v/>
      </c>
    </row>
    <row r="25" spans="1:10" s="73" customFormat="1" ht="16.5">
      <c r="A25" s="71" t="s">
        <v>1423</v>
      </c>
      <c r="B25" s="72">
        <v>46071</v>
      </c>
      <c r="C25" s="73" t="str">
        <f t="shared" si="0"/>
        <v>(수)</v>
      </c>
      <c r="D25" s="71"/>
      <c r="E25" s="72"/>
      <c r="F25" s="73" t="str">
        <f t="shared" si="1"/>
        <v/>
      </c>
      <c r="G25" s="71"/>
      <c r="H25" s="72"/>
      <c r="I25" s="73" t="str">
        <f t="shared" si="2"/>
        <v/>
      </c>
    </row>
    <row r="26" spans="1:10" s="73" customFormat="1" ht="16.5">
      <c r="A26" s="71" t="s">
        <v>1585</v>
      </c>
      <c r="B26" s="72">
        <v>46083</v>
      </c>
      <c r="C26" s="73" t="str">
        <f t="shared" si="0"/>
        <v>(월)</v>
      </c>
      <c r="D26" s="71"/>
      <c r="E26" s="72"/>
      <c r="F26" s="73" t="str">
        <f t="shared" si="1"/>
        <v/>
      </c>
      <c r="G26" s="71"/>
      <c r="H26" s="72"/>
      <c r="I26" s="73" t="str">
        <f t="shared" si="2"/>
        <v/>
      </c>
    </row>
    <row r="27" spans="1:10" s="73" customFormat="1" ht="16.5">
      <c r="A27" s="71" t="s">
        <v>1424</v>
      </c>
      <c r="B27" s="72">
        <v>46147</v>
      </c>
      <c r="C27" s="73" t="str">
        <f t="shared" si="0"/>
        <v>(화)</v>
      </c>
      <c r="D27" s="71"/>
      <c r="E27" s="72"/>
      <c r="F27" s="73" t="str">
        <f t="shared" si="1"/>
        <v/>
      </c>
      <c r="G27" s="71"/>
      <c r="H27" s="72"/>
      <c r="I27" s="73" t="str">
        <f t="shared" si="2"/>
        <v/>
      </c>
    </row>
    <row r="28" spans="1:10" s="73" customFormat="1" ht="16.5">
      <c r="A28" s="71" t="s">
        <v>1586</v>
      </c>
      <c r="B28" s="72">
        <v>46167</v>
      </c>
      <c r="C28" s="73" t="str">
        <f t="shared" si="0"/>
        <v>(월)</v>
      </c>
      <c r="D28" s="71"/>
      <c r="E28" s="72"/>
      <c r="F28" s="73" t="str">
        <f t="shared" si="1"/>
        <v/>
      </c>
      <c r="G28" s="71"/>
      <c r="H28" s="72"/>
      <c r="I28" s="73" t="str">
        <f t="shared" si="2"/>
        <v/>
      </c>
    </row>
    <row r="29" spans="1:10" s="73" customFormat="1" ht="16.5">
      <c r="A29" s="71" t="s">
        <v>1568</v>
      </c>
      <c r="B29" s="72">
        <v>46176</v>
      </c>
      <c r="C29" s="73" t="str">
        <f t="shared" si="0"/>
        <v>(수)</v>
      </c>
      <c r="D29" s="71"/>
      <c r="E29" s="72"/>
      <c r="F29" s="73" t="str">
        <f t="shared" si="1"/>
        <v/>
      </c>
      <c r="G29" s="71"/>
      <c r="H29" s="72"/>
      <c r="I29" s="73" t="str">
        <f t="shared" si="2"/>
        <v/>
      </c>
    </row>
    <row r="30" spans="1:10" s="73" customFormat="1" ht="16.5">
      <c r="A30" s="71" t="s">
        <v>1569</v>
      </c>
      <c r="B30" s="72">
        <v>46220</v>
      </c>
      <c r="C30" s="73" t="str">
        <f t="shared" si="0"/>
        <v>(금)</v>
      </c>
      <c r="D30" s="71"/>
      <c r="E30" s="72"/>
      <c r="F30" s="73" t="str">
        <f t="shared" si="1"/>
        <v/>
      </c>
      <c r="G30" s="71"/>
      <c r="H30" s="72"/>
      <c r="I30" s="73" t="str">
        <f t="shared" si="2"/>
        <v/>
      </c>
    </row>
    <row r="31" spans="1:10" s="73" customFormat="1" ht="16.5">
      <c r="A31" s="71" t="s">
        <v>1587</v>
      </c>
      <c r="B31" s="72">
        <v>46251</v>
      </c>
      <c r="C31" s="73" t="str">
        <f t="shared" si="0"/>
        <v>(월)</v>
      </c>
      <c r="D31" s="71"/>
      <c r="E31" s="72"/>
      <c r="F31" s="73" t="str">
        <f t="shared" si="1"/>
        <v/>
      </c>
      <c r="G31" s="71"/>
      <c r="H31" s="72"/>
      <c r="I31" s="73" t="str">
        <f t="shared" si="2"/>
        <v/>
      </c>
    </row>
    <row r="32" spans="1:10" s="73" customFormat="1" ht="16.5">
      <c r="A32" s="71" t="s">
        <v>1425</v>
      </c>
      <c r="B32" s="72">
        <v>46289</v>
      </c>
      <c r="C32" s="73" t="str">
        <f t="shared" si="0"/>
        <v>(목)</v>
      </c>
      <c r="D32" s="71"/>
      <c r="E32" s="72"/>
      <c r="F32" s="73" t="str">
        <f t="shared" si="1"/>
        <v/>
      </c>
      <c r="G32" s="71"/>
      <c r="H32" s="72"/>
      <c r="I32" s="73" t="str">
        <f t="shared" si="2"/>
        <v/>
      </c>
    </row>
    <row r="33" spans="1:9" s="73" customFormat="1" ht="16.5">
      <c r="A33" s="71" t="s">
        <v>1426</v>
      </c>
      <c r="B33" s="72">
        <v>46290</v>
      </c>
      <c r="C33" s="73" t="str">
        <f t="shared" si="0"/>
        <v>(금)</v>
      </c>
      <c r="D33" s="71"/>
      <c r="E33" s="72"/>
      <c r="F33" s="73" t="str">
        <f t="shared" si="1"/>
        <v/>
      </c>
      <c r="G33" s="71"/>
      <c r="H33" s="72"/>
      <c r="I33" s="73" t="str">
        <f t="shared" si="2"/>
        <v/>
      </c>
    </row>
    <row r="34" spans="1:9" s="73" customFormat="1" ht="16.5">
      <c r="A34" s="71" t="s">
        <v>1588</v>
      </c>
      <c r="B34" s="72">
        <v>46300</v>
      </c>
      <c r="C34" s="73" t="str">
        <f t="shared" si="0"/>
        <v>(월)</v>
      </c>
      <c r="D34" s="71"/>
      <c r="E34" s="72"/>
      <c r="F34" s="73" t="str">
        <f t="shared" si="1"/>
        <v/>
      </c>
      <c r="G34" s="71"/>
      <c r="H34" s="72"/>
      <c r="I34" s="73" t="str">
        <f t="shared" si="2"/>
        <v/>
      </c>
    </row>
    <row r="35" spans="1:9" s="73" customFormat="1" ht="16.5">
      <c r="A35" s="71" t="s">
        <v>1427</v>
      </c>
      <c r="B35" s="72">
        <v>46304</v>
      </c>
      <c r="C35" s="73" t="str">
        <f t="shared" si="0"/>
        <v>(금)</v>
      </c>
      <c r="D35" s="71"/>
      <c r="E35" s="72"/>
      <c r="F35" s="73" t="str">
        <f t="shared" si="1"/>
        <v/>
      </c>
      <c r="G35" s="71"/>
      <c r="H35" s="72"/>
      <c r="I35" s="73" t="str">
        <f t="shared" si="2"/>
        <v/>
      </c>
    </row>
    <row r="36" spans="1:9" s="73" customFormat="1" ht="16.5">
      <c r="A36" s="71" t="s">
        <v>1431</v>
      </c>
      <c r="B36" s="72">
        <v>46381</v>
      </c>
      <c r="C36" s="73" t="str">
        <f t="shared" si="0"/>
        <v>(금)</v>
      </c>
      <c r="D36" s="71"/>
      <c r="E36" s="72"/>
      <c r="F36" s="73" t="str">
        <f t="shared" si="1"/>
        <v/>
      </c>
      <c r="G36" s="71"/>
      <c r="H36" s="72"/>
      <c r="I36" s="73" t="str">
        <f t="shared" si="2"/>
        <v/>
      </c>
    </row>
    <row r="37" spans="1:9" s="73" customFormat="1" ht="16.5">
      <c r="A37" s="71" t="s">
        <v>1570</v>
      </c>
      <c r="B37" s="72">
        <v>46388</v>
      </c>
      <c r="C37" s="73" t="str">
        <f t="shared" si="0"/>
        <v>(금)</v>
      </c>
      <c r="D37" s="71"/>
      <c r="E37" s="72"/>
      <c r="F37" s="73" t="str">
        <f t="shared" si="1"/>
        <v/>
      </c>
      <c r="G37" s="71"/>
      <c r="H37" s="72"/>
      <c r="I37" s="73" t="str">
        <f t="shared" si="2"/>
        <v/>
      </c>
    </row>
    <row r="38" spans="1:9" s="73" customFormat="1" ht="16.5">
      <c r="A38" s="71" t="s">
        <v>1571</v>
      </c>
      <c r="B38" s="72">
        <v>46426</v>
      </c>
      <c r="C38" s="73" t="str">
        <f t="shared" si="0"/>
        <v>(월)</v>
      </c>
      <c r="D38" s="71"/>
      <c r="E38" s="72"/>
      <c r="F38" s="73" t="str">
        <f t="shared" si="1"/>
        <v/>
      </c>
      <c r="G38" s="71"/>
      <c r="H38" s="72"/>
      <c r="I38" s="73" t="str">
        <f t="shared" si="2"/>
        <v/>
      </c>
    </row>
    <row r="39" spans="1:9" s="73" customFormat="1" ht="16.5">
      <c r="A39" s="71" t="s">
        <v>1572</v>
      </c>
      <c r="B39" s="72">
        <v>46427</v>
      </c>
      <c r="C39" s="73" t="str">
        <f t="shared" si="0"/>
        <v>(화)</v>
      </c>
      <c r="D39" s="71"/>
      <c r="E39" s="72"/>
      <c r="F39" s="73" t="str">
        <f t="shared" si="1"/>
        <v/>
      </c>
      <c r="G39" s="71"/>
      <c r="H39" s="72"/>
      <c r="I39" s="73" t="str">
        <f t="shared" si="2"/>
        <v/>
      </c>
    </row>
    <row r="40" spans="1:9" s="73" customFormat="1" ht="16.5">
      <c r="A40" s="71" t="s">
        <v>1573</v>
      </c>
      <c r="B40" s="72">
        <v>46447</v>
      </c>
      <c r="C40" s="73" t="str">
        <f t="shared" si="0"/>
        <v>(월)</v>
      </c>
      <c r="D40" s="71"/>
      <c r="E40" s="72"/>
      <c r="F40" s="73" t="str">
        <f t="shared" si="1"/>
        <v/>
      </c>
      <c r="G40" s="71"/>
      <c r="H40" s="72"/>
      <c r="I40" s="73" t="str">
        <f t="shared" si="2"/>
        <v/>
      </c>
    </row>
    <row r="41" spans="1:9" s="73" customFormat="1" ht="16.5">
      <c r="A41" s="71" t="s">
        <v>1574</v>
      </c>
      <c r="B41" s="72">
        <v>46512</v>
      </c>
      <c r="C41" s="73" t="str">
        <f t="shared" si="0"/>
        <v>(수)</v>
      </c>
      <c r="D41" s="71"/>
      <c r="E41" s="72"/>
      <c r="F41" s="73" t="str">
        <f t="shared" si="1"/>
        <v/>
      </c>
      <c r="G41" s="71"/>
      <c r="H41" s="72"/>
      <c r="I41" s="73" t="str">
        <f t="shared" si="2"/>
        <v/>
      </c>
    </row>
    <row r="42" spans="1:9" s="73" customFormat="1" ht="16.5">
      <c r="A42" s="71" t="s">
        <v>1575</v>
      </c>
      <c r="B42" s="72">
        <v>46520</v>
      </c>
      <c r="C42" s="73" t="str">
        <f t="shared" si="0"/>
        <v>(목)</v>
      </c>
      <c r="D42" s="71"/>
      <c r="E42" s="72"/>
      <c r="F42" s="73" t="str">
        <f t="shared" si="1"/>
        <v/>
      </c>
      <c r="G42" s="71"/>
      <c r="H42" s="72"/>
      <c r="I42" s="73" t="str">
        <f t="shared" si="2"/>
        <v/>
      </c>
    </row>
    <row r="43" spans="1:9" s="73" customFormat="1" ht="16.5">
      <c r="A43" s="71" t="s">
        <v>1576</v>
      </c>
      <c r="B43" s="72">
        <v>46615</v>
      </c>
      <c r="C43" s="73" t="str">
        <f t="shared" si="0"/>
        <v>(월)</v>
      </c>
      <c r="D43" s="71"/>
      <c r="E43" s="72"/>
      <c r="F43" s="73" t="str">
        <f t="shared" si="1"/>
        <v/>
      </c>
      <c r="G43" s="71"/>
      <c r="H43" s="72"/>
      <c r="I43" s="73" t="str">
        <f t="shared" si="2"/>
        <v/>
      </c>
    </row>
    <row r="44" spans="1:9" s="73" customFormat="1" ht="16.5">
      <c r="A44" s="71" t="s">
        <v>1577</v>
      </c>
      <c r="B44" s="72">
        <v>46644</v>
      </c>
      <c r="C44" s="73" t="str">
        <f t="shared" si="0"/>
        <v>(화)</v>
      </c>
      <c r="D44" s="71"/>
      <c r="E44" s="72"/>
      <c r="F44" s="73" t="str">
        <f t="shared" si="1"/>
        <v/>
      </c>
      <c r="G44" s="71"/>
      <c r="H44" s="72"/>
      <c r="I44" s="73" t="str">
        <f t="shared" si="2"/>
        <v/>
      </c>
    </row>
    <row r="45" spans="1:9" s="73" customFormat="1" ht="16.5">
      <c r="A45" s="71" t="s">
        <v>1578</v>
      </c>
      <c r="B45" s="72">
        <v>46645</v>
      </c>
      <c r="C45" s="73" t="str">
        <f t="shared" si="0"/>
        <v>(수)</v>
      </c>
      <c r="D45" s="71"/>
      <c r="E45" s="72"/>
      <c r="F45" s="73" t="str">
        <f t="shared" si="1"/>
        <v/>
      </c>
      <c r="G45" s="71"/>
      <c r="H45" s="72"/>
      <c r="I45" s="73" t="str">
        <f t="shared" si="2"/>
        <v/>
      </c>
    </row>
    <row r="46" spans="1:9" s="73" customFormat="1" ht="16.5">
      <c r="A46" s="71" t="s">
        <v>1577</v>
      </c>
      <c r="B46" s="72">
        <v>46646</v>
      </c>
      <c r="C46" s="73" t="str">
        <f t="shared" si="0"/>
        <v>(목)</v>
      </c>
      <c r="D46" s="71"/>
      <c r="E46" s="72"/>
      <c r="F46" s="73" t="str">
        <f t="shared" si="1"/>
        <v/>
      </c>
      <c r="G46" s="71"/>
      <c r="H46" s="72"/>
      <c r="I46" s="73" t="str">
        <f t="shared" si="2"/>
        <v/>
      </c>
    </row>
    <row r="47" spans="1:9" s="73" customFormat="1" ht="16.5">
      <c r="A47" s="71" t="s">
        <v>1579</v>
      </c>
      <c r="B47" s="73">
        <v>46664</v>
      </c>
      <c r="C47" s="73" t="str">
        <f t="shared" si="0"/>
        <v>(월)</v>
      </c>
      <c r="D47" s="71"/>
      <c r="E47" s="72"/>
      <c r="F47" s="73" t="str">
        <f t="shared" si="1"/>
        <v/>
      </c>
      <c r="G47" s="71"/>
      <c r="H47" s="72"/>
      <c r="I47" s="73" t="str">
        <f t="shared" si="2"/>
        <v/>
      </c>
    </row>
    <row r="48" spans="1:9" s="73" customFormat="1" ht="16.5">
      <c r="A48" s="71" t="s">
        <v>1580</v>
      </c>
      <c r="B48" s="72">
        <v>46671</v>
      </c>
      <c r="C48" s="73" t="str">
        <f t="shared" si="0"/>
        <v>(월)</v>
      </c>
      <c r="D48" s="71"/>
      <c r="E48" s="72"/>
      <c r="F48" s="73" t="str">
        <f t="shared" si="1"/>
        <v/>
      </c>
      <c r="G48" s="71"/>
      <c r="H48" s="72"/>
      <c r="I48" s="73" t="str">
        <f t="shared" si="2"/>
        <v/>
      </c>
    </row>
    <row r="49" spans="1:9" s="73" customFormat="1" ht="16.5">
      <c r="A49" s="71" t="s">
        <v>1581</v>
      </c>
      <c r="B49" s="72">
        <v>46748</v>
      </c>
      <c r="C49" s="73" t="str">
        <f t="shared" si="0"/>
        <v>(월)</v>
      </c>
      <c r="D49" s="71"/>
      <c r="E49" s="72"/>
      <c r="F49" s="73" t="str">
        <f t="shared" si="1"/>
        <v/>
      </c>
      <c r="G49" s="71"/>
      <c r="H49" s="72"/>
      <c r="I49" s="73" t="str">
        <f t="shared" si="2"/>
        <v/>
      </c>
    </row>
    <row r="50" spans="1:9" s="73" customFormat="1" ht="16.5">
      <c r="A50" s="71"/>
      <c r="B50" s="72"/>
      <c r="C50" s="73" t="str">
        <f t="shared" si="0"/>
        <v/>
      </c>
      <c r="D50" s="71"/>
      <c r="E50" s="72"/>
      <c r="F50" s="73" t="str">
        <f t="shared" si="1"/>
        <v/>
      </c>
      <c r="G50" s="71"/>
      <c r="H50" s="72"/>
      <c r="I50" s="73" t="str">
        <f t="shared" si="2"/>
        <v/>
      </c>
    </row>
    <row r="51" spans="1:9" s="73" customFormat="1" ht="16.5">
      <c r="A51" s="71"/>
      <c r="B51" s="72"/>
      <c r="C51" s="73" t="str">
        <f t="shared" si="0"/>
        <v/>
      </c>
      <c r="D51" s="71"/>
      <c r="E51" s="72"/>
      <c r="F51" s="73" t="str">
        <f t="shared" si="1"/>
        <v/>
      </c>
      <c r="G51" s="71"/>
      <c r="H51" s="72"/>
      <c r="I51" s="73" t="str">
        <f t="shared" si="2"/>
        <v/>
      </c>
    </row>
    <row r="52" spans="1:9" s="73" customFormat="1" ht="16.5">
      <c r="A52" s="71"/>
      <c r="B52" s="72"/>
      <c r="C52" s="73" t="str">
        <f t="shared" si="0"/>
        <v/>
      </c>
      <c r="D52" s="71"/>
      <c r="E52" s="72"/>
      <c r="F52" s="73" t="str">
        <f t="shared" si="1"/>
        <v/>
      </c>
      <c r="G52" s="71"/>
      <c r="H52" s="72"/>
      <c r="I52" s="73" t="str">
        <f t="shared" si="2"/>
        <v/>
      </c>
    </row>
    <row r="53" spans="1:9" s="73" customFormat="1" ht="16.5">
      <c r="A53" s="71"/>
      <c r="B53" s="72"/>
      <c r="C53" s="73" t="str">
        <f t="shared" si="0"/>
        <v/>
      </c>
      <c r="D53" s="71"/>
      <c r="E53" s="72"/>
      <c r="F53" s="73" t="str">
        <f t="shared" si="1"/>
        <v/>
      </c>
      <c r="G53" s="71"/>
      <c r="H53" s="72"/>
      <c r="I53" s="73" t="str">
        <f t="shared" si="2"/>
        <v/>
      </c>
    </row>
    <row r="54" spans="1:9" s="73" customFormat="1" ht="16.5">
      <c r="A54" s="71"/>
      <c r="B54" s="72"/>
      <c r="C54" s="73" t="str">
        <f t="shared" si="0"/>
        <v/>
      </c>
      <c r="D54" s="71"/>
      <c r="E54" s="72"/>
      <c r="F54" s="73" t="str">
        <f t="shared" si="1"/>
        <v/>
      </c>
      <c r="G54" s="71"/>
      <c r="H54" s="72"/>
      <c r="I54" s="73" t="str">
        <f t="shared" si="2"/>
        <v/>
      </c>
    </row>
    <row r="55" spans="1:9" s="73" customFormat="1" ht="16.5">
      <c r="A55" s="71"/>
      <c r="B55" s="72"/>
      <c r="C55" s="73" t="str">
        <f t="shared" si="0"/>
        <v/>
      </c>
      <c r="D55" s="71"/>
      <c r="E55" s="72"/>
      <c r="F55" s="73" t="str">
        <f t="shared" si="1"/>
        <v/>
      </c>
      <c r="G55" s="71"/>
      <c r="H55" s="72"/>
      <c r="I55" s="73" t="str">
        <f t="shared" si="2"/>
        <v/>
      </c>
    </row>
    <row r="56" spans="1:9" s="73" customFormat="1" ht="16.5">
      <c r="A56" s="71"/>
      <c r="B56" s="72"/>
      <c r="C56" s="73" t="str">
        <f t="shared" si="0"/>
        <v/>
      </c>
      <c r="D56" s="71"/>
      <c r="E56" s="72"/>
      <c r="F56" s="73" t="str">
        <f t="shared" si="1"/>
        <v/>
      </c>
      <c r="G56" s="71"/>
      <c r="H56" s="72"/>
      <c r="I56" s="73" t="str">
        <f t="shared" si="2"/>
        <v/>
      </c>
    </row>
    <row r="57" spans="1:9" s="73" customFormat="1" ht="16.5">
      <c r="A57" s="71"/>
      <c r="B57" s="72"/>
      <c r="C57" s="73" t="str">
        <f t="shared" si="0"/>
        <v/>
      </c>
      <c r="D57" s="71"/>
      <c r="E57" s="72"/>
      <c r="F57" s="73" t="str">
        <f t="shared" si="1"/>
        <v/>
      </c>
      <c r="G57" s="71"/>
      <c r="H57" s="72"/>
      <c r="I57" s="73" t="str">
        <f t="shared" si="2"/>
        <v/>
      </c>
    </row>
    <row r="58" spans="1:9" s="73" customFormat="1" ht="16.5">
      <c r="A58" s="71"/>
      <c r="B58" s="72"/>
      <c r="C58" s="73" t="str">
        <f t="shared" si="0"/>
        <v/>
      </c>
      <c r="D58" s="71"/>
      <c r="E58" s="72"/>
      <c r="F58" s="73" t="str">
        <f t="shared" si="1"/>
        <v/>
      </c>
      <c r="G58" s="71"/>
      <c r="H58" s="72"/>
      <c r="I58" s="73" t="str">
        <f t="shared" si="2"/>
        <v/>
      </c>
    </row>
    <row r="59" spans="1:9" s="73" customFormat="1" ht="16.5">
      <c r="A59" s="71"/>
      <c r="B59" s="72"/>
      <c r="C59" s="73" t="str">
        <f t="shared" si="0"/>
        <v/>
      </c>
      <c r="D59" s="71"/>
      <c r="E59" s="72"/>
      <c r="F59" s="73" t="str">
        <f t="shared" si="1"/>
        <v/>
      </c>
      <c r="G59" s="71"/>
      <c r="H59" s="72"/>
      <c r="I59" s="73" t="str">
        <f t="shared" si="2"/>
        <v/>
      </c>
    </row>
    <row r="60" spans="1:9" s="73" customFormat="1" ht="16.5">
      <c r="A60" s="71"/>
      <c r="B60" s="72"/>
      <c r="C60" s="73" t="str">
        <f t="shared" si="0"/>
        <v/>
      </c>
      <c r="D60" s="71"/>
      <c r="E60" s="72"/>
      <c r="F60" s="73" t="str">
        <f t="shared" si="1"/>
        <v/>
      </c>
      <c r="G60" s="71"/>
      <c r="H60" s="72"/>
      <c r="I60" s="73" t="str">
        <f t="shared" si="2"/>
        <v/>
      </c>
    </row>
    <row r="61" spans="1:9" s="73" customFormat="1" ht="16.5">
      <c r="A61" s="71"/>
      <c r="B61" s="72"/>
      <c r="C61" s="73" t="str">
        <f t="shared" si="0"/>
        <v/>
      </c>
      <c r="D61" s="71"/>
      <c r="E61" s="72"/>
      <c r="F61" s="73" t="str">
        <f t="shared" si="1"/>
        <v/>
      </c>
      <c r="G61" s="71"/>
      <c r="H61" s="72"/>
      <c r="I61" s="73" t="str">
        <f t="shared" si="2"/>
        <v/>
      </c>
    </row>
    <row r="62" spans="1:9" s="73" customFormat="1" ht="16.5">
      <c r="A62" s="71"/>
      <c r="B62" s="72"/>
      <c r="C62" s="73" t="str">
        <f t="shared" si="0"/>
        <v/>
      </c>
      <c r="D62" s="71"/>
      <c r="E62" s="72"/>
      <c r="F62" s="73" t="str">
        <f t="shared" si="1"/>
        <v/>
      </c>
      <c r="G62" s="71"/>
      <c r="H62" s="72"/>
      <c r="I62" s="73" t="str">
        <f t="shared" si="2"/>
        <v/>
      </c>
    </row>
    <row r="63" spans="1:9" s="73" customFormat="1" ht="16.5">
      <c r="A63" s="71"/>
      <c r="B63" s="72"/>
      <c r="C63" s="73" t="str">
        <f t="shared" si="0"/>
        <v/>
      </c>
      <c r="D63" s="71"/>
      <c r="E63" s="72"/>
      <c r="F63" s="73" t="str">
        <f t="shared" si="1"/>
        <v/>
      </c>
      <c r="G63" s="71"/>
      <c r="H63" s="72"/>
      <c r="I63" s="73" t="str">
        <f t="shared" si="2"/>
        <v/>
      </c>
    </row>
    <row r="64" spans="1:9" s="73" customFormat="1" ht="16.5">
      <c r="A64" s="71"/>
      <c r="B64" s="72"/>
      <c r="C64" s="73" t="str">
        <f t="shared" si="0"/>
        <v/>
      </c>
      <c r="D64" s="71"/>
      <c r="E64" s="72"/>
      <c r="F64" s="73" t="str">
        <f t="shared" si="1"/>
        <v/>
      </c>
      <c r="G64" s="71"/>
      <c r="H64" s="72"/>
      <c r="I64" s="73" t="str">
        <f t="shared" si="2"/>
        <v/>
      </c>
    </row>
    <row r="65" spans="1:9" s="73" customFormat="1" ht="16.5">
      <c r="A65" s="71"/>
      <c r="B65" s="72"/>
      <c r="C65" s="73" t="str">
        <f t="shared" si="0"/>
        <v/>
      </c>
      <c r="D65" s="71"/>
      <c r="E65" s="72"/>
      <c r="F65" s="73" t="str">
        <f t="shared" si="1"/>
        <v/>
      </c>
      <c r="G65" s="71"/>
      <c r="H65" s="72"/>
      <c r="I65" s="73" t="str">
        <f t="shared" si="2"/>
        <v/>
      </c>
    </row>
    <row r="66" spans="1:9" s="73" customFormat="1" ht="16.5">
      <c r="A66" s="71"/>
      <c r="B66" s="72"/>
      <c r="C66" s="73" t="str">
        <f t="shared" si="0"/>
        <v/>
      </c>
      <c r="D66" s="71"/>
      <c r="E66" s="72"/>
      <c r="F66" s="73" t="str">
        <f t="shared" si="1"/>
        <v/>
      </c>
      <c r="G66" s="71"/>
      <c r="H66" s="72"/>
      <c r="I66" s="73" t="str">
        <f t="shared" si="2"/>
        <v/>
      </c>
    </row>
    <row r="67" spans="1:9" s="73" customFormat="1" ht="16.5">
      <c r="A67" s="71"/>
      <c r="B67" s="72"/>
      <c r="C67" s="73" t="str">
        <f t="shared" si="0"/>
        <v/>
      </c>
      <c r="D67" s="71"/>
      <c r="E67" s="72"/>
      <c r="F67" s="73" t="str">
        <f t="shared" si="1"/>
        <v/>
      </c>
      <c r="G67" s="71"/>
      <c r="H67" s="72"/>
      <c r="I67" s="73" t="str">
        <f t="shared" si="2"/>
        <v/>
      </c>
    </row>
    <row r="68" spans="1:9" s="73" customFormat="1" ht="16.5">
      <c r="A68" s="71"/>
      <c r="B68" s="72"/>
      <c r="C68" s="73" t="str">
        <f t="shared" si="0"/>
        <v/>
      </c>
      <c r="D68" s="71"/>
      <c r="E68" s="72"/>
      <c r="F68" s="73" t="str">
        <f t="shared" si="1"/>
        <v/>
      </c>
      <c r="G68" s="71"/>
      <c r="H68" s="72"/>
      <c r="I68" s="73" t="str">
        <f t="shared" si="2"/>
        <v/>
      </c>
    </row>
    <row r="69" spans="1:9" s="73" customFormat="1" ht="16.5">
      <c r="A69" s="71"/>
      <c r="B69" s="72"/>
      <c r="C69" s="73" t="str">
        <f t="shared" ref="C69:C132" si="3">IF(B69&gt;0,TEXT(B69,"(aaa)"),"")</f>
        <v/>
      </c>
      <c r="D69" s="71"/>
      <c r="E69" s="72"/>
      <c r="F69" s="73" t="str">
        <f t="shared" ref="F69:F132" si="4">IF(E69&gt;0,TEXT(E69,"(aaa)"),"")</f>
        <v/>
      </c>
      <c r="G69" s="71"/>
      <c r="H69" s="72"/>
      <c r="I69" s="73" t="str">
        <f t="shared" ref="I69:I132" si="5">IF(H69&gt;0,TEXT(H69,"(aaa)"),"")</f>
        <v/>
      </c>
    </row>
    <row r="70" spans="1:9" s="73" customFormat="1" ht="16.5">
      <c r="A70" s="71"/>
      <c r="B70" s="72"/>
      <c r="C70" s="73" t="str">
        <f t="shared" si="3"/>
        <v/>
      </c>
      <c r="D70" s="71"/>
      <c r="E70" s="72"/>
      <c r="F70" s="73" t="str">
        <f t="shared" si="4"/>
        <v/>
      </c>
      <c r="G70" s="71"/>
      <c r="H70" s="72"/>
      <c r="I70" s="73" t="str">
        <f t="shared" si="5"/>
        <v/>
      </c>
    </row>
    <row r="71" spans="1:9" s="73" customFormat="1" ht="16.5">
      <c r="A71" s="71"/>
      <c r="B71" s="72"/>
      <c r="C71" s="73" t="str">
        <f t="shared" si="3"/>
        <v/>
      </c>
      <c r="D71" s="71"/>
      <c r="E71" s="72"/>
      <c r="F71" s="73" t="str">
        <f t="shared" si="4"/>
        <v/>
      </c>
      <c r="G71" s="71"/>
      <c r="H71" s="72"/>
      <c r="I71" s="73" t="str">
        <f t="shared" si="5"/>
        <v/>
      </c>
    </row>
    <row r="72" spans="1:9" s="73" customFormat="1" ht="16.5">
      <c r="A72" s="71"/>
      <c r="B72" s="72"/>
      <c r="C72" s="73" t="str">
        <f t="shared" si="3"/>
        <v/>
      </c>
      <c r="D72" s="71"/>
      <c r="E72" s="72"/>
      <c r="F72" s="73" t="str">
        <f t="shared" si="4"/>
        <v/>
      </c>
      <c r="G72" s="71"/>
      <c r="H72" s="72"/>
      <c r="I72" s="73" t="str">
        <f t="shared" si="5"/>
        <v/>
      </c>
    </row>
    <row r="73" spans="1:9" s="73" customFormat="1" ht="16.5">
      <c r="A73" s="71"/>
      <c r="B73" s="72"/>
      <c r="C73" s="73" t="str">
        <f t="shared" si="3"/>
        <v/>
      </c>
      <c r="D73" s="71"/>
      <c r="E73" s="72"/>
      <c r="F73" s="73" t="str">
        <f t="shared" si="4"/>
        <v/>
      </c>
      <c r="G73" s="71"/>
      <c r="H73" s="72"/>
      <c r="I73" s="73" t="str">
        <f t="shared" si="5"/>
        <v/>
      </c>
    </row>
    <row r="74" spans="1:9" s="73" customFormat="1" ht="16.5">
      <c r="A74" s="71"/>
      <c r="B74" s="72"/>
      <c r="C74" s="73" t="str">
        <f t="shared" si="3"/>
        <v/>
      </c>
      <c r="D74" s="71"/>
      <c r="E74" s="72"/>
      <c r="F74" s="73" t="str">
        <f t="shared" si="4"/>
        <v/>
      </c>
      <c r="G74" s="71"/>
      <c r="H74" s="72"/>
      <c r="I74" s="73" t="str">
        <f t="shared" si="5"/>
        <v/>
      </c>
    </row>
    <row r="75" spans="1:9" s="73" customFormat="1" ht="16.5">
      <c r="A75" s="71"/>
      <c r="B75" s="72"/>
      <c r="C75" s="73" t="str">
        <f t="shared" si="3"/>
        <v/>
      </c>
      <c r="D75" s="71"/>
      <c r="E75" s="72"/>
      <c r="F75" s="73" t="str">
        <f t="shared" si="4"/>
        <v/>
      </c>
      <c r="G75" s="71"/>
      <c r="H75" s="72"/>
      <c r="I75" s="73" t="str">
        <f t="shared" si="5"/>
        <v/>
      </c>
    </row>
    <row r="76" spans="1:9" s="73" customFormat="1" ht="16.5">
      <c r="A76" s="71"/>
      <c r="B76" s="72"/>
      <c r="C76" s="73" t="str">
        <f t="shared" si="3"/>
        <v/>
      </c>
      <c r="D76" s="71"/>
      <c r="E76" s="72"/>
      <c r="F76" s="73" t="str">
        <f t="shared" si="4"/>
        <v/>
      </c>
      <c r="G76" s="71"/>
      <c r="H76" s="72"/>
      <c r="I76" s="73" t="str">
        <f t="shared" si="5"/>
        <v/>
      </c>
    </row>
    <row r="77" spans="1:9" s="73" customFormat="1" ht="16.5">
      <c r="A77" s="71"/>
      <c r="B77" s="72"/>
      <c r="C77" s="73" t="str">
        <f t="shared" si="3"/>
        <v/>
      </c>
      <c r="D77" s="71"/>
      <c r="E77" s="72"/>
      <c r="F77" s="73" t="str">
        <f t="shared" si="4"/>
        <v/>
      </c>
      <c r="G77" s="71"/>
      <c r="H77" s="72"/>
      <c r="I77" s="73" t="str">
        <f t="shared" si="5"/>
        <v/>
      </c>
    </row>
    <row r="78" spans="1:9" s="73" customFormat="1" ht="16.5">
      <c r="A78" s="71"/>
      <c r="B78" s="72"/>
      <c r="C78" s="73" t="str">
        <f t="shared" si="3"/>
        <v/>
      </c>
      <c r="D78" s="71"/>
      <c r="E78" s="72"/>
      <c r="F78" s="73" t="str">
        <f t="shared" si="4"/>
        <v/>
      </c>
      <c r="G78" s="71"/>
      <c r="H78" s="72"/>
      <c r="I78" s="73" t="str">
        <f t="shared" si="5"/>
        <v/>
      </c>
    </row>
    <row r="79" spans="1:9" s="73" customFormat="1" ht="16.5">
      <c r="A79" s="71"/>
      <c r="B79" s="72"/>
      <c r="C79" s="73" t="str">
        <f t="shared" si="3"/>
        <v/>
      </c>
      <c r="D79" s="71"/>
      <c r="E79" s="72"/>
      <c r="F79" s="73" t="str">
        <f t="shared" si="4"/>
        <v/>
      </c>
      <c r="G79" s="71"/>
      <c r="H79" s="72"/>
      <c r="I79" s="73" t="str">
        <f t="shared" si="5"/>
        <v/>
      </c>
    </row>
    <row r="80" spans="1:9" s="73" customFormat="1" ht="16.5">
      <c r="A80" s="71"/>
      <c r="B80" s="72"/>
      <c r="C80" s="73" t="str">
        <f t="shared" si="3"/>
        <v/>
      </c>
      <c r="D80" s="71"/>
      <c r="E80" s="72"/>
      <c r="F80" s="73" t="str">
        <f t="shared" si="4"/>
        <v/>
      </c>
      <c r="G80" s="71"/>
      <c r="H80" s="72"/>
      <c r="I80" s="73" t="str">
        <f t="shared" si="5"/>
        <v/>
      </c>
    </row>
    <row r="81" spans="1:9" s="73" customFormat="1" ht="16.5">
      <c r="A81" s="71"/>
      <c r="B81" s="72"/>
      <c r="C81" s="73" t="str">
        <f t="shared" si="3"/>
        <v/>
      </c>
      <c r="D81" s="71"/>
      <c r="E81" s="72"/>
      <c r="F81" s="73" t="str">
        <f t="shared" si="4"/>
        <v/>
      </c>
      <c r="G81" s="71"/>
      <c r="H81" s="72"/>
      <c r="I81" s="73" t="str">
        <f t="shared" si="5"/>
        <v/>
      </c>
    </row>
    <row r="82" spans="1:9" s="73" customFormat="1" ht="16.5">
      <c r="A82" s="71"/>
      <c r="B82" s="72"/>
      <c r="C82" s="73" t="str">
        <f t="shared" si="3"/>
        <v/>
      </c>
      <c r="D82" s="71"/>
      <c r="E82" s="72"/>
      <c r="F82" s="73" t="str">
        <f t="shared" si="4"/>
        <v/>
      </c>
      <c r="G82" s="71"/>
      <c r="H82" s="72"/>
      <c r="I82" s="73" t="str">
        <f t="shared" si="5"/>
        <v/>
      </c>
    </row>
    <row r="83" spans="1:9" s="73" customFormat="1" ht="16.5">
      <c r="A83" s="71"/>
      <c r="B83" s="72"/>
      <c r="C83" s="73" t="str">
        <f t="shared" si="3"/>
        <v/>
      </c>
      <c r="D83" s="71"/>
      <c r="E83" s="72"/>
      <c r="F83" s="73" t="str">
        <f t="shared" si="4"/>
        <v/>
      </c>
      <c r="G83" s="71"/>
      <c r="H83" s="72"/>
      <c r="I83" s="73" t="str">
        <f t="shared" si="5"/>
        <v/>
      </c>
    </row>
    <row r="84" spans="1:9" s="73" customFormat="1" ht="16.5">
      <c r="A84" s="71"/>
      <c r="B84" s="72"/>
      <c r="C84" s="73" t="str">
        <f t="shared" si="3"/>
        <v/>
      </c>
      <c r="D84" s="71"/>
      <c r="E84" s="72"/>
      <c r="F84" s="73" t="str">
        <f t="shared" si="4"/>
        <v/>
      </c>
      <c r="G84" s="71"/>
      <c r="H84" s="72"/>
      <c r="I84" s="73" t="str">
        <f t="shared" si="5"/>
        <v/>
      </c>
    </row>
    <row r="85" spans="1:9" s="73" customFormat="1" ht="16.5">
      <c r="A85" s="71"/>
      <c r="B85" s="72"/>
      <c r="C85" s="73" t="str">
        <f t="shared" si="3"/>
        <v/>
      </c>
      <c r="D85" s="71"/>
      <c r="E85" s="72"/>
      <c r="F85" s="73" t="str">
        <f t="shared" si="4"/>
        <v/>
      </c>
      <c r="G85" s="71"/>
      <c r="H85" s="72"/>
      <c r="I85" s="73" t="str">
        <f t="shared" si="5"/>
        <v/>
      </c>
    </row>
    <row r="86" spans="1:9" s="73" customFormat="1" ht="16.5">
      <c r="A86" s="71"/>
      <c r="B86" s="72"/>
      <c r="C86" s="73" t="str">
        <f t="shared" si="3"/>
        <v/>
      </c>
      <c r="D86" s="71"/>
      <c r="E86" s="72"/>
      <c r="F86" s="73" t="str">
        <f t="shared" si="4"/>
        <v/>
      </c>
      <c r="G86" s="71"/>
      <c r="H86" s="72"/>
      <c r="I86" s="73" t="str">
        <f t="shared" si="5"/>
        <v/>
      </c>
    </row>
    <row r="87" spans="1:9" s="73" customFormat="1" ht="16.5">
      <c r="A87" s="71"/>
      <c r="B87" s="72"/>
      <c r="C87" s="73" t="str">
        <f t="shared" si="3"/>
        <v/>
      </c>
      <c r="D87" s="71"/>
      <c r="E87" s="72"/>
      <c r="F87" s="73" t="str">
        <f t="shared" si="4"/>
        <v/>
      </c>
      <c r="G87" s="71"/>
      <c r="H87" s="72"/>
      <c r="I87" s="73" t="str">
        <f t="shared" si="5"/>
        <v/>
      </c>
    </row>
    <row r="88" spans="1:9" s="73" customFormat="1" ht="16.5">
      <c r="A88" s="71"/>
      <c r="B88" s="72"/>
      <c r="C88" s="73" t="str">
        <f t="shared" si="3"/>
        <v/>
      </c>
      <c r="D88" s="71"/>
      <c r="E88" s="72"/>
      <c r="F88" s="73" t="str">
        <f t="shared" si="4"/>
        <v/>
      </c>
      <c r="G88" s="71"/>
      <c r="H88" s="72"/>
      <c r="I88" s="73" t="str">
        <f t="shared" si="5"/>
        <v/>
      </c>
    </row>
    <row r="89" spans="1:9" s="73" customFormat="1" ht="16.5">
      <c r="A89" s="71"/>
      <c r="B89" s="72"/>
      <c r="C89" s="73" t="str">
        <f t="shared" si="3"/>
        <v/>
      </c>
      <c r="D89" s="71"/>
      <c r="E89" s="72"/>
      <c r="F89" s="73" t="str">
        <f t="shared" si="4"/>
        <v/>
      </c>
      <c r="G89" s="71"/>
      <c r="H89" s="72"/>
      <c r="I89" s="73" t="str">
        <f t="shared" si="5"/>
        <v/>
      </c>
    </row>
    <row r="90" spans="1:9" s="73" customFormat="1" ht="16.5">
      <c r="A90" s="71"/>
      <c r="B90" s="72"/>
      <c r="C90" s="73" t="str">
        <f t="shared" si="3"/>
        <v/>
      </c>
      <c r="D90" s="71"/>
      <c r="E90" s="72"/>
      <c r="F90" s="73" t="str">
        <f t="shared" si="4"/>
        <v/>
      </c>
      <c r="G90" s="71"/>
      <c r="H90" s="72"/>
      <c r="I90" s="73" t="str">
        <f t="shared" si="5"/>
        <v/>
      </c>
    </row>
    <row r="91" spans="1:9" s="73" customFormat="1" ht="16.5">
      <c r="A91" s="71"/>
      <c r="B91" s="72"/>
      <c r="C91" s="73" t="str">
        <f t="shared" si="3"/>
        <v/>
      </c>
      <c r="D91" s="71"/>
      <c r="E91" s="72"/>
      <c r="F91" s="73" t="str">
        <f t="shared" si="4"/>
        <v/>
      </c>
      <c r="G91" s="71"/>
      <c r="H91" s="72"/>
      <c r="I91" s="73" t="str">
        <f t="shared" si="5"/>
        <v/>
      </c>
    </row>
    <row r="92" spans="1:9" s="73" customFormat="1" ht="16.5">
      <c r="A92" s="71"/>
      <c r="B92" s="72"/>
      <c r="C92" s="73" t="str">
        <f t="shared" si="3"/>
        <v/>
      </c>
      <c r="D92" s="71"/>
      <c r="E92" s="72"/>
      <c r="F92" s="73" t="str">
        <f t="shared" si="4"/>
        <v/>
      </c>
      <c r="G92" s="71"/>
      <c r="H92" s="72"/>
      <c r="I92" s="73" t="str">
        <f t="shared" si="5"/>
        <v/>
      </c>
    </row>
    <row r="93" spans="1:9" s="73" customFormat="1" ht="16.5">
      <c r="A93" s="71"/>
      <c r="B93" s="72"/>
      <c r="C93" s="73" t="str">
        <f t="shared" si="3"/>
        <v/>
      </c>
      <c r="D93" s="71"/>
      <c r="E93" s="72"/>
      <c r="F93" s="73" t="str">
        <f t="shared" si="4"/>
        <v/>
      </c>
      <c r="G93" s="71"/>
      <c r="H93" s="72"/>
      <c r="I93" s="73" t="str">
        <f t="shared" si="5"/>
        <v/>
      </c>
    </row>
    <row r="94" spans="1:9" s="73" customFormat="1" ht="16.5">
      <c r="A94" s="71"/>
      <c r="B94" s="72"/>
      <c r="C94" s="73" t="str">
        <f t="shared" si="3"/>
        <v/>
      </c>
      <c r="D94" s="71"/>
      <c r="E94" s="72"/>
      <c r="F94" s="73" t="str">
        <f t="shared" si="4"/>
        <v/>
      </c>
      <c r="G94" s="71"/>
      <c r="H94" s="72"/>
      <c r="I94" s="73" t="str">
        <f t="shared" si="5"/>
        <v/>
      </c>
    </row>
    <row r="95" spans="1:9" s="73" customFormat="1" ht="16.5">
      <c r="A95" s="71"/>
      <c r="B95" s="72"/>
      <c r="C95" s="73" t="str">
        <f t="shared" si="3"/>
        <v/>
      </c>
      <c r="D95" s="71"/>
      <c r="E95" s="72"/>
      <c r="F95" s="73" t="str">
        <f t="shared" si="4"/>
        <v/>
      </c>
      <c r="G95" s="71"/>
      <c r="H95" s="72"/>
      <c r="I95" s="73" t="str">
        <f t="shared" si="5"/>
        <v/>
      </c>
    </row>
    <row r="96" spans="1:9" s="73" customFormat="1" ht="16.5">
      <c r="A96" s="71"/>
      <c r="B96" s="72"/>
      <c r="C96" s="73" t="str">
        <f t="shared" si="3"/>
        <v/>
      </c>
      <c r="D96" s="71"/>
      <c r="E96" s="72"/>
      <c r="F96" s="73" t="str">
        <f t="shared" si="4"/>
        <v/>
      </c>
      <c r="G96" s="71"/>
      <c r="H96" s="72"/>
      <c r="I96" s="73" t="str">
        <f t="shared" si="5"/>
        <v/>
      </c>
    </row>
    <row r="97" spans="1:9" s="73" customFormat="1" ht="16.5">
      <c r="A97" s="71"/>
      <c r="B97" s="72"/>
      <c r="C97" s="73" t="str">
        <f t="shared" si="3"/>
        <v/>
      </c>
      <c r="D97" s="71"/>
      <c r="E97" s="72"/>
      <c r="F97" s="73" t="str">
        <f t="shared" si="4"/>
        <v/>
      </c>
      <c r="G97" s="71"/>
      <c r="H97" s="72"/>
      <c r="I97" s="73" t="str">
        <f t="shared" si="5"/>
        <v/>
      </c>
    </row>
    <row r="98" spans="1:9" s="73" customFormat="1" ht="16.5">
      <c r="A98" s="71"/>
      <c r="B98" s="72"/>
      <c r="C98" s="73" t="str">
        <f t="shared" si="3"/>
        <v/>
      </c>
      <c r="D98" s="71"/>
      <c r="E98" s="72"/>
      <c r="F98" s="73" t="str">
        <f t="shared" si="4"/>
        <v/>
      </c>
      <c r="G98" s="71"/>
      <c r="H98" s="72"/>
      <c r="I98" s="73" t="str">
        <f t="shared" si="5"/>
        <v/>
      </c>
    </row>
    <row r="99" spans="1:9" s="73" customFormat="1" ht="16.5">
      <c r="A99" s="71"/>
      <c r="B99" s="72"/>
      <c r="C99" s="73" t="str">
        <f t="shared" si="3"/>
        <v/>
      </c>
      <c r="D99" s="71"/>
      <c r="E99" s="72"/>
      <c r="F99" s="73" t="str">
        <f t="shared" si="4"/>
        <v/>
      </c>
      <c r="G99" s="71"/>
      <c r="H99" s="72"/>
      <c r="I99" s="73" t="str">
        <f t="shared" si="5"/>
        <v/>
      </c>
    </row>
    <row r="100" spans="1:9" s="73" customFormat="1" ht="16.5">
      <c r="A100" s="71"/>
      <c r="B100" s="72"/>
      <c r="C100" s="73" t="str">
        <f t="shared" si="3"/>
        <v/>
      </c>
      <c r="D100" s="71"/>
      <c r="E100" s="72"/>
      <c r="F100" s="73" t="str">
        <f t="shared" si="4"/>
        <v/>
      </c>
      <c r="G100" s="71"/>
      <c r="H100" s="72"/>
      <c r="I100" s="73" t="str">
        <f t="shared" si="5"/>
        <v/>
      </c>
    </row>
    <row r="101" spans="1:9" s="73" customFormat="1" ht="16.5">
      <c r="A101" s="71"/>
      <c r="B101" s="72"/>
      <c r="C101" s="73" t="str">
        <f t="shared" si="3"/>
        <v/>
      </c>
      <c r="D101" s="71"/>
      <c r="E101" s="72"/>
      <c r="F101" s="73" t="str">
        <f t="shared" si="4"/>
        <v/>
      </c>
      <c r="G101" s="71"/>
      <c r="H101" s="72"/>
      <c r="I101" s="73" t="str">
        <f t="shared" si="5"/>
        <v/>
      </c>
    </row>
    <row r="102" spans="1:9" s="73" customFormat="1" ht="16.5">
      <c r="A102" s="71"/>
      <c r="B102" s="72"/>
      <c r="C102" s="73" t="str">
        <f t="shared" si="3"/>
        <v/>
      </c>
      <c r="D102" s="71"/>
      <c r="E102" s="72"/>
      <c r="F102" s="73" t="str">
        <f t="shared" si="4"/>
        <v/>
      </c>
      <c r="G102" s="71"/>
      <c r="H102" s="72"/>
      <c r="I102" s="73" t="str">
        <f t="shared" si="5"/>
        <v/>
      </c>
    </row>
    <row r="103" spans="1:9" s="73" customFormat="1" ht="16.5">
      <c r="A103" s="71"/>
      <c r="B103" s="72"/>
      <c r="C103" s="73" t="str">
        <f t="shared" si="3"/>
        <v/>
      </c>
      <c r="D103" s="71"/>
      <c r="E103" s="72"/>
      <c r="F103" s="73" t="str">
        <f t="shared" si="4"/>
        <v/>
      </c>
      <c r="G103" s="71"/>
      <c r="H103" s="72"/>
      <c r="I103" s="73" t="str">
        <f t="shared" si="5"/>
        <v/>
      </c>
    </row>
    <row r="104" spans="1:9" s="73" customFormat="1" ht="16.5">
      <c r="A104" s="71"/>
      <c r="B104" s="72"/>
      <c r="C104" s="73" t="str">
        <f t="shared" si="3"/>
        <v/>
      </c>
      <c r="D104" s="71"/>
      <c r="E104" s="72"/>
      <c r="F104" s="73" t="str">
        <f t="shared" si="4"/>
        <v/>
      </c>
      <c r="G104" s="71"/>
      <c r="H104" s="72"/>
      <c r="I104" s="73" t="str">
        <f t="shared" si="5"/>
        <v/>
      </c>
    </row>
    <row r="105" spans="1:9" s="73" customFormat="1" ht="16.5">
      <c r="A105" s="71"/>
      <c r="B105" s="72"/>
      <c r="C105" s="73" t="str">
        <f t="shared" si="3"/>
        <v/>
      </c>
      <c r="D105" s="71"/>
      <c r="E105" s="72"/>
      <c r="F105" s="73" t="str">
        <f t="shared" si="4"/>
        <v/>
      </c>
      <c r="G105" s="71"/>
      <c r="H105" s="72"/>
      <c r="I105" s="73" t="str">
        <f t="shared" si="5"/>
        <v/>
      </c>
    </row>
    <row r="106" spans="1:9" s="73" customFormat="1" ht="16.5">
      <c r="A106" s="71"/>
      <c r="B106" s="72"/>
      <c r="C106" s="73" t="str">
        <f t="shared" si="3"/>
        <v/>
      </c>
      <c r="D106" s="71"/>
      <c r="E106" s="72"/>
      <c r="F106" s="73" t="str">
        <f t="shared" si="4"/>
        <v/>
      </c>
      <c r="G106" s="71"/>
      <c r="H106" s="72"/>
      <c r="I106" s="73" t="str">
        <f t="shared" si="5"/>
        <v/>
      </c>
    </row>
    <row r="107" spans="1:9" s="73" customFormat="1" ht="16.5">
      <c r="A107" s="71"/>
      <c r="B107" s="72"/>
      <c r="C107" s="73" t="str">
        <f t="shared" si="3"/>
        <v/>
      </c>
      <c r="D107" s="71"/>
      <c r="E107" s="72"/>
      <c r="F107" s="73" t="str">
        <f t="shared" si="4"/>
        <v/>
      </c>
      <c r="G107" s="71"/>
      <c r="H107" s="72"/>
      <c r="I107" s="73" t="str">
        <f t="shared" si="5"/>
        <v/>
      </c>
    </row>
    <row r="108" spans="1:9" s="73" customFormat="1" ht="16.5">
      <c r="A108" s="71"/>
      <c r="B108" s="72"/>
      <c r="C108" s="73" t="str">
        <f t="shared" si="3"/>
        <v/>
      </c>
      <c r="D108" s="71"/>
      <c r="E108" s="72"/>
      <c r="F108" s="73" t="str">
        <f t="shared" si="4"/>
        <v/>
      </c>
      <c r="G108" s="71"/>
      <c r="H108" s="72"/>
      <c r="I108" s="73" t="str">
        <f t="shared" si="5"/>
        <v/>
      </c>
    </row>
    <row r="109" spans="1:9" s="73" customFormat="1" ht="16.5">
      <c r="A109" s="71"/>
      <c r="B109" s="72"/>
      <c r="C109" s="73" t="str">
        <f t="shared" si="3"/>
        <v/>
      </c>
      <c r="D109" s="71"/>
      <c r="E109" s="72"/>
      <c r="F109" s="73" t="str">
        <f t="shared" si="4"/>
        <v/>
      </c>
      <c r="G109" s="71"/>
      <c r="H109" s="72"/>
      <c r="I109" s="73" t="str">
        <f t="shared" si="5"/>
        <v/>
      </c>
    </row>
    <row r="110" spans="1:9" s="73" customFormat="1" ht="16.5">
      <c r="A110" s="71"/>
      <c r="B110" s="72"/>
      <c r="C110" s="73" t="str">
        <f t="shared" si="3"/>
        <v/>
      </c>
      <c r="D110" s="71"/>
      <c r="E110" s="72"/>
      <c r="F110" s="73" t="str">
        <f t="shared" si="4"/>
        <v/>
      </c>
      <c r="G110" s="71"/>
      <c r="H110" s="72"/>
      <c r="I110" s="73" t="str">
        <f t="shared" si="5"/>
        <v/>
      </c>
    </row>
    <row r="111" spans="1:9" s="73" customFormat="1" ht="16.5">
      <c r="A111" s="71"/>
      <c r="B111" s="72"/>
      <c r="C111" s="73" t="str">
        <f t="shared" si="3"/>
        <v/>
      </c>
      <c r="D111" s="71"/>
      <c r="E111" s="72"/>
      <c r="F111" s="73" t="str">
        <f t="shared" si="4"/>
        <v/>
      </c>
      <c r="G111" s="71"/>
      <c r="H111" s="72"/>
      <c r="I111" s="73" t="str">
        <f t="shared" si="5"/>
        <v/>
      </c>
    </row>
    <row r="112" spans="1:9" s="73" customFormat="1" ht="16.5">
      <c r="A112" s="71"/>
      <c r="B112" s="72"/>
      <c r="C112" s="73" t="str">
        <f t="shared" si="3"/>
        <v/>
      </c>
      <c r="D112" s="71"/>
      <c r="E112" s="72"/>
      <c r="F112" s="73" t="str">
        <f t="shared" si="4"/>
        <v/>
      </c>
      <c r="G112" s="71"/>
      <c r="H112" s="72"/>
      <c r="I112" s="73" t="str">
        <f t="shared" si="5"/>
        <v/>
      </c>
    </row>
    <row r="113" spans="1:9" s="73" customFormat="1" ht="16.5">
      <c r="A113" s="71"/>
      <c r="B113" s="72"/>
      <c r="C113" s="73" t="str">
        <f t="shared" si="3"/>
        <v/>
      </c>
      <c r="D113" s="71"/>
      <c r="E113" s="72"/>
      <c r="F113" s="73" t="str">
        <f t="shared" si="4"/>
        <v/>
      </c>
      <c r="G113" s="71"/>
      <c r="H113" s="72"/>
      <c r="I113" s="73" t="str">
        <f t="shared" si="5"/>
        <v/>
      </c>
    </row>
    <row r="114" spans="1:9" s="73" customFormat="1" ht="16.5">
      <c r="A114" s="71"/>
      <c r="B114" s="72"/>
      <c r="C114" s="73" t="str">
        <f t="shared" si="3"/>
        <v/>
      </c>
      <c r="D114" s="71"/>
      <c r="E114" s="72"/>
      <c r="F114" s="73" t="str">
        <f t="shared" si="4"/>
        <v/>
      </c>
      <c r="G114" s="71"/>
      <c r="H114" s="72"/>
      <c r="I114" s="73" t="str">
        <f t="shared" si="5"/>
        <v/>
      </c>
    </row>
    <row r="115" spans="1:9" s="73" customFormat="1" ht="16.5">
      <c r="A115" s="71"/>
      <c r="B115" s="72"/>
      <c r="C115" s="73" t="str">
        <f t="shared" si="3"/>
        <v/>
      </c>
      <c r="D115" s="71"/>
      <c r="E115" s="72"/>
      <c r="F115" s="73" t="str">
        <f t="shared" si="4"/>
        <v/>
      </c>
      <c r="G115" s="71"/>
      <c r="H115" s="72"/>
      <c r="I115" s="73" t="str">
        <f t="shared" si="5"/>
        <v/>
      </c>
    </row>
    <row r="116" spans="1:9" s="73" customFormat="1" ht="16.5">
      <c r="A116" s="71"/>
      <c r="B116" s="72"/>
      <c r="C116" s="73" t="str">
        <f t="shared" si="3"/>
        <v/>
      </c>
      <c r="D116" s="71"/>
      <c r="E116" s="72"/>
      <c r="F116" s="73" t="str">
        <f t="shared" si="4"/>
        <v/>
      </c>
      <c r="G116" s="71"/>
      <c r="H116" s="72"/>
      <c r="I116" s="73" t="str">
        <f t="shared" si="5"/>
        <v/>
      </c>
    </row>
    <row r="117" spans="1:9" s="73" customFormat="1" ht="16.5">
      <c r="A117" s="71"/>
      <c r="B117" s="72"/>
      <c r="C117" s="73" t="str">
        <f t="shared" si="3"/>
        <v/>
      </c>
      <c r="D117" s="71"/>
      <c r="E117" s="72"/>
      <c r="F117" s="73" t="str">
        <f t="shared" si="4"/>
        <v/>
      </c>
      <c r="G117" s="71"/>
      <c r="H117" s="72"/>
      <c r="I117" s="73" t="str">
        <f t="shared" si="5"/>
        <v/>
      </c>
    </row>
    <row r="118" spans="1:9" s="73" customFormat="1" ht="16.5">
      <c r="A118" s="71"/>
      <c r="B118" s="72"/>
      <c r="C118" s="73" t="str">
        <f t="shared" si="3"/>
        <v/>
      </c>
      <c r="D118" s="71"/>
      <c r="E118" s="72"/>
      <c r="F118" s="73" t="str">
        <f t="shared" si="4"/>
        <v/>
      </c>
      <c r="G118" s="71"/>
      <c r="H118" s="72"/>
      <c r="I118" s="73" t="str">
        <f t="shared" si="5"/>
        <v/>
      </c>
    </row>
    <row r="119" spans="1:9" s="73" customFormat="1" ht="16.5">
      <c r="A119" s="71"/>
      <c r="B119" s="72"/>
      <c r="C119" s="73" t="str">
        <f t="shared" si="3"/>
        <v/>
      </c>
      <c r="D119" s="71"/>
      <c r="E119" s="72"/>
      <c r="F119" s="73" t="str">
        <f t="shared" si="4"/>
        <v/>
      </c>
      <c r="G119" s="71"/>
      <c r="H119" s="72"/>
      <c r="I119" s="73" t="str">
        <f t="shared" si="5"/>
        <v/>
      </c>
    </row>
    <row r="120" spans="1:9" s="73" customFormat="1" ht="16.5">
      <c r="A120" s="71"/>
      <c r="B120" s="72"/>
      <c r="C120" s="73" t="str">
        <f t="shared" si="3"/>
        <v/>
      </c>
      <c r="D120" s="71"/>
      <c r="E120" s="72"/>
      <c r="F120" s="73" t="str">
        <f t="shared" si="4"/>
        <v/>
      </c>
      <c r="G120" s="71"/>
      <c r="H120" s="72"/>
      <c r="I120" s="73" t="str">
        <f t="shared" si="5"/>
        <v/>
      </c>
    </row>
    <row r="121" spans="1:9" s="73" customFormat="1" ht="16.5">
      <c r="A121" s="71"/>
      <c r="B121" s="72"/>
      <c r="C121" s="73" t="str">
        <f t="shared" si="3"/>
        <v/>
      </c>
      <c r="D121" s="71"/>
      <c r="E121" s="72"/>
      <c r="F121" s="73" t="str">
        <f t="shared" si="4"/>
        <v/>
      </c>
      <c r="G121" s="71"/>
      <c r="H121" s="72"/>
      <c r="I121" s="73" t="str">
        <f t="shared" si="5"/>
        <v/>
      </c>
    </row>
    <row r="122" spans="1:9" s="73" customFormat="1" ht="16.5">
      <c r="A122" s="71"/>
      <c r="B122" s="72"/>
      <c r="C122" s="73" t="str">
        <f t="shared" si="3"/>
        <v/>
      </c>
      <c r="D122" s="71"/>
      <c r="E122" s="72"/>
      <c r="F122" s="73" t="str">
        <f t="shared" si="4"/>
        <v/>
      </c>
      <c r="G122" s="71"/>
      <c r="H122" s="72"/>
      <c r="I122" s="73" t="str">
        <f t="shared" si="5"/>
        <v/>
      </c>
    </row>
    <row r="123" spans="1:9" s="73" customFormat="1" ht="16.5">
      <c r="A123" s="71"/>
      <c r="B123" s="72"/>
      <c r="C123" s="73" t="str">
        <f t="shared" si="3"/>
        <v/>
      </c>
      <c r="D123" s="71"/>
      <c r="E123" s="72"/>
      <c r="F123" s="73" t="str">
        <f t="shared" si="4"/>
        <v/>
      </c>
      <c r="G123" s="71"/>
      <c r="H123" s="72"/>
      <c r="I123" s="73" t="str">
        <f t="shared" si="5"/>
        <v/>
      </c>
    </row>
    <row r="124" spans="1:9" s="73" customFormat="1" ht="16.5">
      <c r="A124" s="71"/>
      <c r="B124" s="72"/>
      <c r="C124" s="73" t="str">
        <f t="shared" si="3"/>
        <v/>
      </c>
      <c r="D124" s="71"/>
      <c r="E124" s="72"/>
      <c r="F124" s="73" t="str">
        <f t="shared" si="4"/>
        <v/>
      </c>
      <c r="G124" s="71"/>
      <c r="H124" s="72"/>
      <c r="I124" s="73" t="str">
        <f t="shared" si="5"/>
        <v/>
      </c>
    </row>
    <row r="125" spans="1:9" s="73" customFormat="1" ht="16.5">
      <c r="A125" s="71"/>
      <c r="B125" s="72"/>
      <c r="C125" s="73" t="str">
        <f t="shared" si="3"/>
        <v/>
      </c>
      <c r="D125" s="71"/>
      <c r="E125" s="72"/>
      <c r="F125" s="73" t="str">
        <f t="shared" si="4"/>
        <v/>
      </c>
      <c r="G125" s="71"/>
      <c r="H125" s="72"/>
      <c r="I125" s="73" t="str">
        <f t="shared" si="5"/>
        <v/>
      </c>
    </row>
    <row r="126" spans="1:9" s="73" customFormat="1" ht="16.5">
      <c r="A126" s="71"/>
      <c r="B126" s="72"/>
      <c r="C126" s="73" t="str">
        <f t="shared" si="3"/>
        <v/>
      </c>
      <c r="D126" s="71"/>
      <c r="E126" s="72"/>
      <c r="F126" s="73" t="str">
        <f t="shared" si="4"/>
        <v/>
      </c>
      <c r="G126" s="71"/>
      <c r="H126" s="72"/>
      <c r="I126" s="73" t="str">
        <f t="shared" si="5"/>
        <v/>
      </c>
    </row>
    <row r="127" spans="1:9" s="73" customFormat="1" ht="16.5">
      <c r="A127" s="71"/>
      <c r="B127" s="72"/>
      <c r="C127" s="73" t="str">
        <f t="shared" si="3"/>
        <v/>
      </c>
      <c r="D127" s="71"/>
      <c r="E127" s="72"/>
      <c r="F127" s="73" t="str">
        <f t="shared" si="4"/>
        <v/>
      </c>
      <c r="G127" s="71"/>
      <c r="H127" s="72"/>
      <c r="I127" s="73" t="str">
        <f t="shared" si="5"/>
        <v/>
      </c>
    </row>
    <row r="128" spans="1:9" s="73" customFormat="1" ht="16.5">
      <c r="A128" s="71"/>
      <c r="B128" s="72"/>
      <c r="C128" s="73" t="str">
        <f t="shared" si="3"/>
        <v/>
      </c>
      <c r="D128" s="71"/>
      <c r="E128" s="72"/>
      <c r="F128" s="73" t="str">
        <f t="shared" si="4"/>
        <v/>
      </c>
      <c r="G128" s="71"/>
      <c r="H128" s="72"/>
      <c r="I128" s="73" t="str">
        <f t="shared" si="5"/>
        <v/>
      </c>
    </row>
    <row r="129" spans="1:9" s="73" customFormat="1" ht="16.5">
      <c r="A129" s="71"/>
      <c r="B129" s="72"/>
      <c r="C129" s="73" t="str">
        <f t="shared" si="3"/>
        <v/>
      </c>
      <c r="D129" s="71"/>
      <c r="E129" s="72"/>
      <c r="F129" s="73" t="str">
        <f t="shared" si="4"/>
        <v/>
      </c>
      <c r="G129" s="71"/>
      <c r="H129" s="72"/>
      <c r="I129" s="73" t="str">
        <f t="shared" si="5"/>
        <v/>
      </c>
    </row>
    <row r="130" spans="1:9" s="73" customFormat="1" ht="16.5">
      <c r="A130" s="71"/>
      <c r="B130" s="72"/>
      <c r="C130" s="73" t="str">
        <f t="shared" si="3"/>
        <v/>
      </c>
      <c r="D130" s="71"/>
      <c r="E130" s="72"/>
      <c r="F130" s="73" t="str">
        <f t="shared" si="4"/>
        <v/>
      </c>
      <c r="G130" s="71"/>
      <c r="H130" s="72"/>
      <c r="I130" s="73" t="str">
        <f t="shared" si="5"/>
        <v/>
      </c>
    </row>
    <row r="131" spans="1:9" s="73" customFormat="1" ht="16.5">
      <c r="A131" s="71"/>
      <c r="B131" s="72"/>
      <c r="C131" s="73" t="str">
        <f t="shared" si="3"/>
        <v/>
      </c>
      <c r="D131" s="71"/>
      <c r="E131" s="72"/>
      <c r="F131" s="73" t="str">
        <f t="shared" si="4"/>
        <v/>
      </c>
      <c r="G131" s="71"/>
      <c r="H131" s="72"/>
      <c r="I131" s="73" t="str">
        <f t="shared" si="5"/>
        <v/>
      </c>
    </row>
    <row r="132" spans="1:9" s="73" customFormat="1" ht="16.5">
      <c r="A132" s="71"/>
      <c r="B132" s="72"/>
      <c r="C132" s="73" t="str">
        <f t="shared" si="3"/>
        <v/>
      </c>
      <c r="D132" s="71"/>
      <c r="E132" s="72"/>
      <c r="F132" s="73" t="str">
        <f t="shared" si="4"/>
        <v/>
      </c>
      <c r="G132" s="71"/>
      <c r="H132" s="72"/>
      <c r="I132" s="73" t="str">
        <f t="shared" si="5"/>
        <v/>
      </c>
    </row>
    <row r="133" spans="1:9" s="73" customFormat="1" ht="16.5">
      <c r="A133" s="71"/>
      <c r="B133" s="72"/>
      <c r="C133" s="73" t="str">
        <f t="shared" ref="C133:C196" si="6">IF(B133&gt;0,TEXT(B133,"(aaa)"),"")</f>
        <v/>
      </c>
      <c r="D133" s="71"/>
      <c r="E133" s="72"/>
      <c r="F133" s="73" t="str">
        <f t="shared" ref="F133:F196" si="7">IF(E133&gt;0,TEXT(E133,"(aaa)"),"")</f>
        <v/>
      </c>
      <c r="G133" s="71"/>
      <c r="H133" s="72"/>
      <c r="I133" s="73" t="str">
        <f t="shared" ref="I133:I196" si="8">IF(H133&gt;0,TEXT(H133,"(aaa)"),"")</f>
        <v/>
      </c>
    </row>
    <row r="134" spans="1:9" s="73" customFormat="1" ht="16.5">
      <c r="A134" s="71"/>
      <c r="B134" s="72"/>
      <c r="C134" s="73" t="str">
        <f t="shared" si="6"/>
        <v/>
      </c>
      <c r="D134" s="71"/>
      <c r="E134" s="72"/>
      <c r="F134" s="73" t="str">
        <f t="shared" si="7"/>
        <v/>
      </c>
      <c r="G134" s="71"/>
      <c r="H134" s="72"/>
      <c r="I134" s="73" t="str">
        <f t="shared" si="8"/>
        <v/>
      </c>
    </row>
    <row r="135" spans="1:9" s="73" customFormat="1" ht="16.5">
      <c r="A135" s="71"/>
      <c r="B135" s="72"/>
      <c r="C135" s="73" t="str">
        <f t="shared" si="6"/>
        <v/>
      </c>
      <c r="D135" s="71"/>
      <c r="E135" s="72"/>
      <c r="F135" s="73" t="str">
        <f t="shared" si="7"/>
        <v/>
      </c>
      <c r="G135" s="71"/>
      <c r="H135" s="72"/>
      <c r="I135" s="73" t="str">
        <f t="shared" si="8"/>
        <v/>
      </c>
    </row>
    <row r="136" spans="1:9" s="73" customFormat="1" ht="16.5">
      <c r="A136" s="71"/>
      <c r="B136" s="72"/>
      <c r="C136" s="73" t="str">
        <f t="shared" si="6"/>
        <v/>
      </c>
      <c r="D136" s="71"/>
      <c r="E136" s="72"/>
      <c r="F136" s="73" t="str">
        <f t="shared" si="7"/>
        <v/>
      </c>
      <c r="G136" s="71"/>
      <c r="H136" s="72"/>
      <c r="I136" s="73" t="str">
        <f t="shared" si="8"/>
        <v/>
      </c>
    </row>
    <row r="137" spans="1:9" s="73" customFormat="1" ht="16.5">
      <c r="A137" s="71"/>
      <c r="B137" s="72"/>
      <c r="C137" s="73" t="str">
        <f t="shared" si="6"/>
        <v/>
      </c>
      <c r="D137" s="71"/>
      <c r="E137" s="72"/>
      <c r="F137" s="73" t="str">
        <f t="shared" si="7"/>
        <v/>
      </c>
      <c r="G137" s="71"/>
      <c r="H137" s="72"/>
      <c r="I137" s="73" t="str">
        <f t="shared" si="8"/>
        <v/>
      </c>
    </row>
    <row r="138" spans="1:9" s="73" customFormat="1" ht="16.5">
      <c r="A138" s="71"/>
      <c r="B138" s="72"/>
      <c r="C138" s="73" t="str">
        <f t="shared" si="6"/>
        <v/>
      </c>
      <c r="D138" s="71"/>
      <c r="E138" s="72"/>
      <c r="F138" s="73" t="str">
        <f t="shared" si="7"/>
        <v/>
      </c>
      <c r="G138" s="71"/>
      <c r="H138" s="72"/>
      <c r="I138" s="73" t="str">
        <f t="shared" si="8"/>
        <v/>
      </c>
    </row>
    <row r="139" spans="1:9" s="73" customFormat="1" ht="16.5">
      <c r="A139" s="71"/>
      <c r="B139" s="72"/>
      <c r="C139" s="73" t="str">
        <f t="shared" si="6"/>
        <v/>
      </c>
      <c r="D139" s="71"/>
      <c r="E139" s="72"/>
      <c r="F139" s="73" t="str">
        <f t="shared" si="7"/>
        <v/>
      </c>
      <c r="G139" s="71"/>
      <c r="H139" s="72"/>
      <c r="I139" s="73" t="str">
        <f t="shared" si="8"/>
        <v/>
      </c>
    </row>
    <row r="140" spans="1:9" s="73" customFormat="1" ht="16.5">
      <c r="A140" s="71"/>
      <c r="B140" s="72"/>
      <c r="C140" s="73" t="str">
        <f t="shared" si="6"/>
        <v/>
      </c>
      <c r="D140" s="71"/>
      <c r="E140" s="72"/>
      <c r="F140" s="73" t="str">
        <f t="shared" si="7"/>
        <v/>
      </c>
      <c r="G140" s="71"/>
      <c r="H140" s="72"/>
      <c r="I140" s="73" t="str">
        <f t="shared" si="8"/>
        <v/>
      </c>
    </row>
    <row r="141" spans="1:9" s="73" customFormat="1" ht="16.5">
      <c r="A141" s="71"/>
      <c r="B141" s="72"/>
      <c r="C141" s="73" t="str">
        <f t="shared" si="6"/>
        <v/>
      </c>
      <c r="D141" s="71"/>
      <c r="E141" s="72"/>
      <c r="F141" s="73" t="str">
        <f t="shared" si="7"/>
        <v/>
      </c>
      <c r="G141" s="71"/>
      <c r="H141" s="72"/>
      <c r="I141" s="73" t="str">
        <f t="shared" si="8"/>
        <v/>
      </c>
    </row>
    <row r="142" spans="1:9" s="73" customFormat="1" ht="16.5">
      <c r="A142" s="71"/>
      <c r="B142" s="72"/>
      <c r="C142" s="73" t="str">
        <f t="shared" si="6"/>
        <v/>
      </c>
      <c r="D142" s="71"/>
      <c r="E142" s="72"/>
      <c r="F142" s="73" t="str">
        <f t="shared" si="7"/>
        <v/>
      </c>
      <c r="G142" s="71"/>
      <c r="H142" s="72"/>
      <c r="I142" s="73" t="str">
        <f t="shared" si="8"/>
        <v/>
      </c>
    </row>
    <row r="143" spans="1:9" s="73" customFormat="1" ht="16.5">
      <c r="A143" s="71"/>
      <c r="B143" s="72"/>
      <c r="C143" s="73" t="str">
        <f t="shared" si="6"/>
        <v/>
      </c>
      <c r="D143" s="71"/>
      <c r="E143" s="72"/>
      <c r="F143" s="73" t="str">
        <f t="shared" si="7"/>
        <v/>
      </c>
      <c r="G143" s="71"/>
      <c r="H143" s="72"/>
      <c r="I143" s="73" t="str">
        <f t="shared" si="8"/>
        <v/>
      </c>
    </row>
    <row r="144" spans="1:9" s="73" customFormat="1" ht="16.5">
      <c r="A144" s="71"/>
      <c r="B144" s="72"/>
      <c r="C144" s="73" t="str">
        <f t="shared" si="6"/>
        <v/>
      </c>
      <c r="D144" s="71"/>
      <c r="E144" s="72"/>
      <c r="F144" s="73" t="str">
        <f t="shared" si="7"/>
        <v/>
      </c>
      <c r="G144" s="71"/>
      <c r="H144" s="72"/>
      <c r="I144" s="73" t="str">
        <f t="shared" si="8"/>
        <v/>
      </c>
    </row>
    <row r="145" spans="1:9" s="73" customFormat="1" ht="16.5">
      <c r="A145" s="71"/>
      <c r="B145" s="72"/>
      <c r="C145" s="73" t="str">
        <f t="shared" si="6"/>
        <v/>
      </c>
      <c r="D145" s="71"/>
      <c r="E145" s="72"/>
      <c r="F145" s="73" t="str">
        <f t="shared" si="7"/>
        <v/>
      </c>
      <c r="G145" s="71"/>
      <c r="H145" s="72"/>
      <c r="I145" s="73" t="str">
        <f t="shared" si="8"/>
        <v/>
      </c>
    </row>
    <row r="146" spans="1:9" s="73" customFormat="1" ht="16.5">
      <c r="A146" s="71"/>
      <c r="B146" s="72"/>
      <c r="C146" s="73" t="str">
        <f t="shared" si="6"/>
        <v/>
      </c>
      <c r="D146" s="71"/>
      <c r="E146" s="72"/>
      <c r="F146" s="73" t="str">
        <f t="shared" si="7"/>
        <v/>
      </c>
      <c r="G146" s="71"/>
      <c r="H146" s="72"/>
      <c r="I146" s="73" t="str">
        <f t="shared" si="8"/>
        <v/>
      </c>
    </row>
    <row r="147" spans="1:9" s="73" customFormat="1" ht="16.5">
      <c r="A147" s="71"/>
      <c r="B147" s="72"/>
      <c r="C147" s="73" t="str">
        <f t="shared" si="6"/>
        <v/>
      </c>
      <c r="D147" s="71"/>
      <c r="E147" s="72"/>
      <c r="F147" s="73" t="str">
        <f t="shared" si="7"/>
        <v/>
      </c>
      <c r="G147" s="71"/>
      <c r="H147" s="72"/>
      <c r="I147" s="73" t="str">
        <f t="shared" si="8"/>
        <v/>
      </c>
    </row>
    <row r="148" spans="1:9" s="73" customFormat="1" ht="16.5">
      <c r="A148" s="71"/>
      <c r="B148" s="72"/>
      <c r="C148" s="73" t="str">
        <f t="shared" si="6"/>
        <v/>
      </c>
      <c r="D148" s="71"/>
      <c r="E148" s="72"/>
      <c r="F148" s="73" t="str">
        <f t="shared" si="7"/>
        <v/>
      </c>
      <c r="G148" s="71"/>
      <c r="H148" s="72"/>
      <c r="I148" s="73" t="str">
        <f t="shared" si="8"/>
        <v/>
      </c>
    </row>
    <row r="149" spans="1:9" s="73" customFormat="1" ht="16.5">
      <c r="A149" s="71"/>
      <c r="B149" s="72"/>
      <c r="C149" s="73" t="str">
        <f t="shared" si="6"/>
        <v/>
      </c>
      <c r="D149" s="71"/>
      <c r="E149" s="72"/>
      <c r="F149" s="73" t="str">
        <f t="shared" si="7"/>
        <v/>
      </c>
      <c r="G149" s="71"/>
      <c r="H149" s="72"/>
      <c r="I149" s="73" t="str">
        <f t="shared" si="8"/>
        <v/>
      </c>
    </row>
    <row r="150" spans="1:9" s="73" customFormat="1" ht="16.5">
      <c r="A150" s="71"/>
      <c r="B150" s="72"/>
      <c r="C150" s="73" t="str">
        <f t="shared" si="6"/>
        <v/>
      </c>
      <c r="D150" s="71"/>
      <c r="E150" s="72"/>
      <c r="F150" s="73" t="str">
        <f t="shared" si="7"/>
        <v/>
      </c>
      <c r="G150" s="71"/>
      <c r="H150" s="72"/>
      <c r="I150" s="73" t="str">
        <f t="shared" si="8"/>
        <v/>
      </c>
    </row>
    <row r="151" spans="1:9" s="73" customFormat="1" ht="16.5">
      <c r="A151" s="71"/>
      <c r="B151" s="72"/>
      <c r="C151" s="73" t="str">
        <f t="shared" si="6"/>
        <v/>
      </c>
      <c r="D151" s="71"/>
      <c r="E151" s="72"/>
      <c r="F151" s="73" t="str">
        <f t="shared" si="7"/>
        <v/>
      </c>
      <c r="G151" s="71"/>
      <c r="H151" s="72"/>
      <c r="I151" s="73" t="str">
        <f t="shared" si="8"/>
        <v/>
      </c>
    </row>
    <row r="152" spans="1:9" s="73" customFormat="1" ht="16.5">
      <c r="A152" s="71"/>
      <c r="B152" s="72"/>
      <c r="C152" s="73" t="str">
        <f t="shared" si="6"/>
        <v/>
      </c>
      <c r="D152" s="71"/>
      <c r="E152" s="72"/>
      <c r="F152" s="73" t="str">
        <f t="shared" si="7"/>
        <v/>
      </c>
      <c r="G152" s="71"/>
      <c r="H152" s="72"/>
      <c r="I152" s="73" t="str">
        <f t="shared" si="8"/>
        <v/>
      </c>
    </row>
    <row r="153" spans="1:9" s="73" customFormat="1" ht="16.5">
      <c r="A153" s="71"/>
      <c r="B153" s="72"/>
      <c r="C153" s="73" t="str">
        <f t="shared" si="6"/>
        <v/>
      </c>
      <c r="D153" s="71"/>
      <c r="E153" s="72"/>
      <c r="F153" s="73" t="str">
        <f t="shared" si="7"/>
        <v/>
      </c>
      <c r="G153" s="71"/>
      <c r="H153" s="72"/>
      <c r="I153" s="73" t="str">
        <f t="shared" si="8"/>
        <v/>
      </c>
    </row>
    <row r="154" spans="1:9" s="73" customFormat="1" ht="16.5">
      <c r="A154" s="71"/>
      <c r="B154" s="72"/>
      <c r="C154" s="73" t="str">
        <f t="shared" si="6"/>
        <v/>
      </c>
      <c r="D154" s="71"/>
      <c r="E154" s="72"/>
      <c r="F154" s="73" t="str">
        <f t="shared" si="7"/>
        <v/>
      </c>
      <c r="G154" s="71"/>
      <c r="H154" s="72"/>
      <c r="I154" s="73" t="str">
        <f t="shared" si="8"/>
        <v/>
      </c>
    </row>
    <row r="155" spans="1:9" s="73" customFormat="1" ht="16.5">
      <c r="A155" s="71"/>
      <c r="B155" s="72"/>
      <c r="C155" s="73" t="str">
        <f t="shared" si="6"/>
        <v/>
      </c>
      <c r="D155" s="71"/>
      <c r="E155" s="72"/>
      <c r="F155" s="73" t="str">
        <f t="shared" si="7"/>
        <v/>
      </c>
      <c r="G155" s="71"/>
      <c r="H155" s="72"/>
      <c r="I155" s="73" t="str">
        <f t="shared" si="8"/>
        <v/>
      </c>
    </row>
    <row r="156" spans="1:9" s="73" customFormat="1" ht="16.5">
      <c r="A156" s="71"/>
      <c r="B156" s="72"/>
      <c r="C156" s="73" t="str">
        <f t="shared" si="6"/>
        <v/>
      </c>
      <c r="D156" s="71"/>
      <c r="E156" s="72"/>
      <c r="F156" s="73" t="str">
        <f t="shared" si="7"/>
        <v/>
      </c>
      <c r="G156" s="71"/>
      <c r="H156" s="72"/>
      <c r="I156" s="73" t="str">
        <f t="shared" si="8"/>
        <v/>
      </c>
    </row>
    <row r="157" spans="1:9" s="73" customFormat="1" ht="16.5">
      <c r="A157" s="71"/>
      <c r="B157" s="72"/>
      <c r="C157" s="73" t="str">
        <f t="shared" si="6"/>
        <v/>
      </c>
      <c r="D157" s="71"/>
      <c r="E157" s="72"/>
      <c r="F157" s="73" t="str">
        <f t="shared" si="7"/>
        <v/>
      </c>
      <c r="G157" s="71"/>
      <c r="H157" s="72"/>
      <c r="I157" s="73" t="str">
        <f t="shared" si="8"/>
        <v/>
      </c>
    </row>
    <row r="158" spans="1:9" s="73" customFormat="1" ht="16.5">
      <c r="A158" s="71"/>
      <c r="B158" s="72"/>
      <c r="C158" s="73" t="str">
        <f t="shared" si="6"/>
        <v/>
      </c>
      <c r="D158" s="71"/>
      <c r="E158" s="72"/>
      <c r="F158" s="73" t="str">
        <f t="shared" si="7"/>
        <v/>
      </c>
      <c r="G158" s="71"/>
      <c r="H158" s="72"/>
      <c r="I158" s="73" t="str">
        <f t="shared" si="8"/>
        <v/>
      </c>
    </row>
    <row r="159" spans="1:9" s="73" customFormat="1" ht="16.5">
      <c r="A159" s="71"/>
      <c r="B159" s="72"/>
      <c r="C159" s="73" t="str">
        <f t="shared" si="6"/>
        <v/>
      </c>
      <c r="D159" s="71"/>
      <c r="E159" s="72"/>
      <c r="F159" s="73" t="str">
        <f t="shared" si="7"/>
        <v/>
      </c>
      <c r="G159" s="71"/>
      <c r="H159" s="72"/>
      <c r="I159" s="73" t="str">
        <f t="shared" si="8"/>
        <v/>
      </c>
    </row>
    <row r="160" spans="1:9" s="73" customFormat="1" ht="16.5">
      <c r="A160" s="71"/>
      <c r="B160" s="72"/>
      <c r="C160" s="73" t="str">
        <f t="shared" si="6"/>
        <v/>
      </c>
      <c r="D160" s="71"/>
      <c r="E160" s="72"/>
      <c r="F160" s="73" t="str">
        <f t="shared" si="7"/>
        <v/>
      </c>
      <c r="G160" s="71"/>
      <c r="H160" s="72"/>
      <c r="I160" s="73" t="str">
        <f t="shared" si="8"/>
        <v/>
      </c>
    </row>
    <row r="161" spans="1:9" s="73" customFormat="1" ht="16.5">
      <c r="A161" s="71"/>
      <c r="B161" s="72"/>
      <c r="C161" s="73" t="str">
        <f t="shared" si="6"/>
        <v/>
      </c>
      <c r="D161" s="71"/>
      <c r="E161" s="72"/>
      <c r="F161" s="73" t="str">
        <f t="shared" si="7"/>
        <v/>
      </c>
      <c r="G161" s="71"/>
      <c r="H161" s="72"/>
      <c r="I161" s="73" t="str">
        <f t="shared" si="8"/>
        <v/>
      </c>
    </row>
    <row r="162" spans="1:9" s="73" customFormat="1" ht="16.5">
      <c r="A162" s="71"/>
      <c r="B162" s="72"/>
      <c r="C162" s="73" t="str">
        <f t="shared" si="6"/>
        <v/>
      </c>
      <c r="D162" s="71"/>
      <c r="E162" s="72"/>
      <c r="F162" s="73" t="str">
        <f t="shared" si="7"/>
        <v/>
      </c>
      <c r="G162" s="71"/>
      <c r="H162" s="72"/>
      <c r="I162" s="73" t="str">
        <f t="shared" si="8"/>
        <v/>
      </c>
    </row>
    <row r="163" spans="1:9" s="73" customFormat="1" ht="16.5">
      <c r="A163" s="71"/>
      <c r="B163" s="72"/>
      <c r="C163" s="73" t="str">
        <f t="shared" si="6"/>
        <v/>
      </c>
      <c r="D163" s="71"/>
      <c r="E163" s="72"/>
      <c r="F163" s="73" t="str">
        <f t="shared" si="7"/>
        <v/>
      </c>
      <c r="G163" s="71"/>
      <c r="H163" s="72"/>
      <c r="I163" s="73" t="str">
        <f t="shared" si="8"/>
        <v/>
      </c>
    </row>
    <row r="164" spans="1:9" s="73" customFormat="1" ht="16.5">
      <c r="A164" s="71"/>
      <c r="B164" s="72"/>
      <c r="C164" s="73" t="str">
        <f t="shared" si="6"/>
        <v/>
      </c>
      <c r="D164" s="71"/>
      <c r="E164" s="72"/>
      <c r="F164" s="73" t="str">
        <f t="shared" si="7"/>
        <v/>
      </c>
      <c r="G164" s="71"/>
      <c r="H164" s="72"/>
      <c r="I164" s="73" t="str">
        <f t="shared" si="8"/>
        <v/>
      </c>
    </row>
    <row r="165" spans="1:9" s="73" customFormat="1" ht="16.5">
      <c r="A165" s="71"/>
      <c r="B165" s="72"/>
      <c r="C165" s="73" t="str">
        <f t="shared" si="6"/>
        <v/>
      </c>
      <c r="D165" s="71"/>
      <c r="E165" s="72"/>
      <c r="F165" s="73" t="str">
        <f t="shared" si="7"/>
        <v/>
      </c>
      <c r="G165" s="71"/>
      <c r="H165" s="72"/>
      <c r="I165" s="73" t="str">
        <f t="shared" si="8"/>
        <v/>
      </c>
    </row>
    <row r="166" spans="1:9" s="73" customFormat="1" ht="16.5">
      <c r="A166" s="71"/>
      <c r="B166" s="72"/>
      <c r="C166" s="73" t="str">
        <f t="shared" si="6"/>
        <v/>
      </c>
      <c r="D166" s="71"/>
      <c r="E166" s="72"/>
      <c r="F166" s="73" t="str">
        <f t="shared" si="7"/>
        <v/>
      </c>
      <c r="G166" s="71"/>
      <c r="H166" s="72"/>
      <c r="I166" s="73" t="str">
        <f t="shared" si="8"/>
        <v/>
      </c>
    </row>
    <row r="167" spans="1:9" s="73" customFormat="1" ht="16.5">
      <c r="A167" s="71"/>
      <c r="B167" s="72"/>
      <c r="C167" s="73" t="str">
        <f t="shared" si="6"/>
        <v/>
      </c>
      <c r="D167" s="71"/>
      <c r="E167" s="72"/>
      <c r="F167" s="73" t="str">
        <f t="shared" si="7"/>
        <v/>
      </c>
      <c r="G167" s="71"/>
      <c r="H167" s="72"/>
      <c r="I167" s="73" t="str">
        <f t="shared" si="8"/>
        <v/>
      </c>
    </row>
    <row r="168" spans="1:9" s="73" customFormat="1" ht="16.5">
      <c r="A168" s="71"/>
      <c r="B168" s="72"/>
      <c r="C168" s="73" t="str">
        <f t="shared" si="6"/>
        <v/>
      </c>
      <c r="D168" s="71"/>
      <c r="E168" s="72"/>
      <c r="F168" s="73" t="str">
        <f t="shared" si="7"/>
        <v/>
      </c>
      <c r="G168" s="71"/>
      <c r="H168" s="72"/>
      <c r="I168" s="73" t="str">
        <f t="shared" si="8"/>
        <v/>
      </c>
    </row>
    <row r="169" spans="1:9" s="73" customFormat="1" ht="16.5">
      <c r="A169" s="71"/>
      <c r="B169" s="72"/>
      <c r="C169" s="73" t="str">
        <f t="shared" si="6"/>
        <v/>
      </c>
      <c r="D169" s="71"/>
      <c r="E169" s="72"/>
      <c r="F169" s="73" t="str">
        <f t="shared" si="7"/>
        <v/>
      </c>
      <c r="G169" s="71"/>
      <c r="H169" s="72"/>
      <c r="I169" s="73" t="str">
        <f t="shared" si="8"/>
        <v/>
      </c>
    </row>
    <row r="170" spans="1:9" s="73" customFormat="1" ht="16.5">
      <c r="A170" s="71"/>
      <c r="B170" s="72"/>
      <c r="C170" s="73" t="str">
        <f t="shared" si="6"/>
        <v/>
      </c>
      <c r="D170" s="71"/>
      <c r="E170" s="72"/>
      <c r="F170" s="73" t="str">
        <f t="shared" si="7"/>
        <v/>
      </c>
      <c r="G170" s="71"/>
      <c r="H170" s="72"/>
      <c r="I170" s="73" t="str">
        <f t="shared" si="8"/>
        <v/>
      </c>
    </row>
    <row r="171" spans="1:9" s="73" customFormat="1" ht="16.5">
      <c r="A171" s="71"/>
      <c r="B171" s="72"/>
      <c r="C171" s="73" t="str">
        <f t="shared" si="6"/>
        <v/>
      </c>
      <c r="D171" s="71"/>
      <c r="E171" s="72"/>
      <c r="F171" s="73" t="str">
        <f t="shared" si="7"/>
        <v/>
      </c>
      <c r="G171" s="71"/>
      <c r="H171" s="72"/>
      <c r="I171" s="73" t="str">
        <f t="shared" si="8"/>
        <v/>
      </c>
    </row>
    <row r="172" spans="1:9" s="73" customFormat="1" ht="16.5">
      <c r="A172" s="71"/>
      <c r="B172" s="72"/>
      <c r="C172" s="73" t="str">
        <f t="shared" si="6"/>
        <v/>
      </c>
      <c r="D172" s="71"/>
      <c r="E172" s="72"/>
      <c r="F172" s="73" t="str">
        <f t="shared" si="7"/>
        <v/>
      </c>
      <c r="G172" s="71"/>
      <c r="H172" s="72"/>
      <c r="I172" s="73" t="str">
        <f t="shared" si="8"/>
        <v/>
      </c>
    </row>
    <row r="173" spans="1:9" s="73" customFormat="1" ht="16.5">
      <c r="A173" s="71"/>
      <c r="B173" s="72"/>
      <c r="C173" s="73" t="str">
        <f t="shared" si="6"/>
        <v/>
      </c>
      <c r="D173" s="71"/>
      <c r="E173" s="72"/>
      <c r="F173" s="73" t="str">
        <f t="shared" si="7"/>
        <v/>
      </c>
      <c r="G173" s="71"/>
      <c r="H173" s="72"/>
      <c r="I173" s="73" t="str">
        <f t="shared" si="8"/>
        <v/>
      </c>
    </row>
    <row r="174" spans="1:9" s="73" customFormat="1" ht="16.5">
      <c r="A174" s="71"/>
      <c r="B174" s="72"/>
      <c r="C174" s="73" t="str">
        <f t="shared" si="6"/>
        <v/>
      </c>
      <c r="D174" s="71"/>
      <c r="E174" s="72"/>
      <c r="F174" s="73" t="str">
        <f t="shared" si="7"/>
        <v/>
      </c>
      <c r="G174" s="71"/>
      <c r="H174" s="72"/>
      <c r="I174" s="73" t="str">
        <f t="shared" si="8"/>
        <v/>
      </c>
    </row>
    <row r="175" spans="1:9" s="73" customFormat="1" ht="16.5">
      <c r="A175" s="71"/>
      <c r="B175" s="72"/>
      <c r="C175" s="73" t="str">
        <f t="shared" si="6"/>
        <v/>
      </c>
      <c r="D175" s="71"/>
      <c r="E175" s="72"/>
      <c r="F175" s="73" t="str">
        <f t="shared" si="7"/>
        <v/>
      </c>
      <c r="G175" s="71"/>
      <c r="H175" s="72"/>
      <c r="I175" s="73" t="str">
        <f t="shared" si="8"/>
        <v/>
      </c>
    </row>
    <row r="176" spans="1:9" s="73" customFormat="1" ht="16.5">
      <c r="A176" s="71"/>
      <c r="B176" s="72"/>
      <c r="C176" s="73" t="str">
        <f t="shared" si="6"/>
        <v/>
      </c>
      <c r="D176" s="71"/>
      <c r="E176" s="72"/>
      <c r="F176" s="73" t="str">
        <f t="shared" si="7"/>
        <v/>
      </c>
      <c r="G176" s="71"/>
      <c r="H176" s="72"/>
      <c r="I176" s="73" t="str">
        <f t="shared" si="8"/>
        <v/>
      </c>
    </row>
    <row r="177" spans="1:9" s="73" customFormat="1" ht="16.5">
      <c r="A177" s="71"/>
      <c r="B177" s="72"/>
      <c r="C177" s="73" t="str">
        <f t="shared" si="6"/>
        <v/>
      </c>
      <c r="D177" s="71"/>
      <c r="E177" s="72"/>
      <c r="F177" s="73" t="str">
        <f t="shared" si="7"/>
        <v/>
      </c>
      <c r="G177" s="71"/>
      <c r="H177" s="72"/>
      <c r="I177" s="73" t="str">
        <f t="shared" si="8"/>
        <v/>
      </c>
    </row>
    <row r="178" spans="1:9" s="73" customFormat="1" ht="16.5">
      <c r="A178" s="71"/>
      <c r="B178" s="72"/>
      <c r="C178" s="73" t="str">
        <f t="shared" si="6"/>
        <v/>
      </c>
      <c r="D178" s="71"/>
      <c r="E178" s="72"/>
      <c r="F178" s="73" t="str">
        <f t="shared" si="7"/>
        <v/>
      </c>
      <c r="G178" s="71"/>
      <c r="H178" s="72"/>
      <c r="I178" s="73" t="str">
        <f t="shared" si="8"/>
        <v/>
      </c>
    </row>
    <row r="179" spans="1:9" s="73" customFormat="1" ht="16.5">
      <c r="A179" s="71"/>
      <c r="B179" s="72"/>
      <c r="C179" s="73" t="str">
        <f t="shared" si="6"/>
        <v/>
      </c>
      <c r="D179" s="71"/>
      <c r="E179" s="72"/>
      <c r="F179" s="73" t="str">
        <f t="shared" si="7"/>
        <v/>
      </c>
      <c r="G179" s="71"/>
      <c r="H179" s="72"/>
      <c r="I179" s="73" t="str">
        <f t="shared" si="8"/>
        <v/>
      </c>
    </row>
    <row r="180" spans="1:9" s="73" customFormat="1" ht="16.5">
      <c r="A180" s="71"/>
      <c r="B180" s="72"/>
      <c r="C180" s="73" t="str">
        <f t="shared" si="6"/>
        <v/>
      </c>
      <c r="D180" s="71"/>
      <c r="E180" s="72"/>
      <c r="F180" s="73" t="str">
        <f t="shared" si="7"/>
        <v/>
      </c>
      <c r="G180" s="71"/>
      <c r="H180" s="72"/>
      <c r="I180" s="73" t="str">
        <f t="shared" si="8"/>
        <v/>
      </c>
    </row>
    <row r="181" spans="1:9" s="73" customFormat="1" ht="16.5">
      <c r="A181" s="71"/>
      <c r="B181" s="72"/>
      <c r="C181" s="73" t="str">
        <f t="shared" si="6"/>
        <v/>
      </c>
      <c r="D181" s="71"/>
      <c r="E181" s="72"/>
      <c r="F181" s="73" t="str">
        <f t="shared" si="7"/>
        <v/>
      </c>
      <c r="G181" s="71"/>
      <c r="H181" s="72"/>
      <c r="I181" s="73" t="str">
        <f t="shared" si="8"/>
        <v/>
      </c>
    </row>
    <row r="182" spans="1:9" s="73" customFormat="1" ht="16.5">
      <c r="A182" s="71"/>
      <c r="B182" s="72"/>
      <c r="C182" s="73" t="str">
        <f t="shared" si="6"/>
        <v/>
      </c>
      <c r="D182" s="71"/>
      <c r="E182" s="72"/>
      <c r="F182" s="73" t="str">
        <f t="shared" si="7"/>
        <v/>
      </c>
      <c r="G182" s="71"/>
      <c r="H182" s="72"/>
      <c r="I182" s="73" t="str">
        <f t="shared" si="8"/>
        <v/>
      </c>
    </row>
    <row r="183" spans="1:9" s="73" customFormat="1" ht="16.5">
      <c r="A183" s="71"/>
      <c r="B183" s="72"/>
      <c r="C183" s="73" t="str">
        <f t="shared" si="6"/>
        <v/>
      </c>
      <c r="D183" s="71"/>
      <c r="E183" s="72"/>
      <c r="F183" s="73" t="str">
        <f t="shared" si="7"/>
        <v/>
      </c>
      <c r="G183" s="71"/>
      <c r="H183" s="72"/>
      <c r="I183" s="73" t="str">
        <f t="shared" si="8"/>
        <v/>
      </c>
    </row>
    <row r="184" spans="1:9" s="73" customFormat="1" ht="16.5">
      <c r="A184" s="71"/>
      <c r="B184" s="72"/>
      <c r="C184" s="73" t="str">
        <f t="shared" si="6"/>
        <v/>
      </c>
      <c r="D184" s="71"/>
      <c r="E184" s="72"/>
      <c r="F184" s="73" t="str">
        <f t="shared" si="7"/>
        <v/>
      </c>
      <c r="G184" s="71"/>
      <c r="H184" s="72"/>
      <c r="I184" s="73" t="str">
        <f t="shared" si="8"/>
        <v/>
      </c>
    </row>
    <row r="185" spans="1:9" s="73" customFormat="1" ht="16.5">
      <c r="A185" s="71"/>
      <c r="B185" s="72"/>
      <c r="C185" s="73" t="str">
        <f t="shared" si="6"/>
        <v/>
      </c>
      <c r="D185" s="71"/>
      <c r="E185" s="72"/>
      <c r="F185" s="73" t="str">
        <f t="shared" si="7"/>
        <v/>
      </c>
      <c r="G185" s="71"/>
      <c r="H185" s="72"/>
      <c r="I185" s="73" t="str">
        <f t="shared" si="8"/>
        <v/>
      </c>
    </row>
    <row r="186" spans="1:9" s="73" customFormat="1" ht="16.5">
      <c r="A186" s="71"/>
      <c r="B186" s="72"/>
      <c r="C186" s="73" t="str">
        <f t="shared" si="6"/>
        <v/>
      </c>
      <c r="D186" s="71"/>
      <c r="E186" s="72"/>
      <c r="F186" s="73" t="str">
        <f t="shared" si="7"/>
        <v/>
      </c>
      <c r="G186" s="71"/>
      <c r="H186" s="72"/>
      <c r="I186" s="73" t="str">
        <f t="shared" si="8"/>
        <v/>
      </c>
    </row>
    <row r="187" spans="1:9" s="73" customFormat="1" ht="16.5">
      <c r="A187" s="71"/>
      <c r="B187" s="72"/>
      <c r="C187" s="73" t="str">
        <f t="shared" si="6"/>
        <v/>
      </c>
      <c r="D187" s="71"/>
      <c r="E187" s="72"/>
      <c r="F187" s="73" t="str">
        <f t="shared" si="7"/>
        <v/>
      </c>
      <c r="G187" s="71"/>
      <c r="H187" s="72"/>
      <c r="I187" s="73" t="str">
        <f t="shared" si="8"/>
        <v/>
      </c>
    </row>
    <row r="188" spans="1:9" s="73" customFormat="1" ht="16.5">
      <c r="A188" s="71"/>
      <c r="B188" s="72"/>
      <c r="C188" s="73" t="str">
        <f t="shared" si="6"/>
        <v/>
      </c>
      <c r="D188" s="71"/>
      <c r="E188" s="72"/>
      <c r="F188" s="73" t="str">
        <f t="shared" si="7"/>
        <v/>
      </c>
      <c r="G188" s="71"/>
      <c r="H188" s="72"/>
      <c r="I188" s="73" t="str">
        <f t="shared" si="8"/>
        <v/>
      </c>
    </row>
    <row r="189" spans="1:9" s="73" customFormat="1" ht="16.5">
      <c r="A189" s="71"/>
      <c r="B189" s="72"/>
      <c r="C189" s="73" t="str">
        <f t="shared" si="6"/>
        <v/>
      </c>
      <c r="D189" s="71"/>
      <c r="E189" s="72"/>
      <c r="F189" s="73" t="str">
        <f t="shared" si="7"/>
        <v/>
      </c>
      <c r="G189" s="71"/>
      <c r="H189" s="72"/>
      <c r="I189" s="73" t="str">
        <f t="shared" si="8"/>
        <v/>
      </c>
    </row>
    <row r="190" spans="1:9" s="73" customFormat="1" ht="16.5">
      <c r="A190" s="71"/>
      <c r="B190" s="72"/>
      <c r="C190" s="73" t="str">
        <f t="shared" si="6"/>
        <v/>
      </c>
      <c r="D190" s="71"/>
      <c r="E190" s="72"/>
      <c r="F190" s="73" t="str">
        <f t="shared" si="7"/>
        <v/>
      </c>
      <c r="G190" s="71"/>
      <c r="H190" s="72"/>
      <c r="I190" s="73" t="str">
        <f t="shared" si="8"/>
        <v/>
      </c>
    </row>
    <row r="191" spans="1:9" s="73" customFormat="1" ht="16.5">
      <c r="A191" s="71"/>
      <c r="B191" s="72"/>
      <c r="C191" s="73" t="str">
        <f t="shared" si="6"/>
        <v/>
      </c>
      <c r="D191" s="71"/>
      <c r="E191" s="72"/>
      <c r="F191" s="73" t="str">
        <f t="shared" si="7"/>
        <v/>
      </c>
      <c r="G191" s="71"/>
      <c r="H191" s="72"/>
      <c r="I191" s="73" t="str">
        <f t="shared" si="8"/>
        <v/>
      </c>
    </row>
    <row r="192" spans="1:9" s="73" customFormat="1" ht="16.5">
      <c r="A192" s="71"/>
      <c r="B192" s="72"/>
      <c r="C192" s="73" t="str">
        <f t="shared" si="6"/>
        <v/>
      </c>
      <c r="D192" s="71"/>
      <c r="E192" s="72"/>
      <c r="F192" s="73" t="str">
        <f t="shared" si="7"/>
        <v/>
      </c>
      <c r="G192" s="71"/>
      <c r="H192" s="72"/>
      <c r="I192" s="73" t="str">
        <f t="shared" si="8"/>
        <v/>
      </c>
    </row>
    <row r="193" spans="1:9" s="73" customFormat="1" ht="16.5">
      <c r="A193" s="71"/>
      <c r="B193" s="72"/>
      <c r="C193" s="73" t="str">
        <f t="shared" si="6"/>
        <v/>
      </c>
      <c r="D193" s="71"/>
      <c r="E193" s="72"/>
      <c r="F193" s="73" t="str">
        <f t="shared" si="7"/>
        <v/>
      </c>
      <c r="G193" s="71"/>
      <c r="H193" s="72"/>
      <c r="I193" s="73" t="str">
        <f t="shared" si="8"/>
        <v/>
      </c>
    </row>
    <row r="194" spans="1:9" s="73" customFormat="1" ht="16.5">
      <c r="A194" s="71"/>
      <c r="B194" s="72"/>
      <c r="C194" s="73" t="str">
        <f t="shared" si="6"/>
        <v/>
      </c>
      <c r="D194" s="71"/>
      <c r="E194" s="72"/>
      <c r="F194" s="73" t="str">
        <f t="shared" si="7"/>
        <v/>
      </c>
      <c r="G194" s="71"/>
      <c r="H194" s="72"/>
      <c r="I194" s="73" t="str">
        <f t="shared" si="8"/>
        <v/>
      </c>
    </row>
    <row r="195" spans="1:9" s="73" customFormat="1" ht="16.5">
      <c r="A195" s="71"/>
      <c r="B195" s="72"/>
      <c r="C195" s="73" t="str">
        <f t="shared" si="6"/>
        <v/>
      </c>
      <c r="D195" s="71"/>
      <c r="E195" s="72"/>
      <c r="F195" s="73" t="str">
        <f t="shared" si="7"/>
        <v/>
      </c>
      <c r="G195" s="71"/>
      <c r="H195" s="72"/>
      <c r="I195" s="73" t="str">
        <f t="shared" si="8"/>
        <v/>
      </c>
    </row>
    <row r="196" spans="1:9" s="73" customFormat="1" ht="16.5">
      <c r="A196" s="71"/>
      <c r="B196" s="72"/>
      <c r="C196" s="73" t="str">
        <f t="shared" si="6"/>
        <v/>
      </c>
      <c r="D196" s="71"/>
      <c r="E196" s="72"/>
      <c r="F196" s="73" t="str">
        <f t="shared" si="7"/>
        <v/>
      </c>
      <c r="G196" s="71"/>
      <c r="H196" s="72"/>
      <c r="I196" s="73" t="str">
        <f t="shared" si="8"/>
        <v/>
      </c>
    </row>
    <row r="197" spans="1:9" s="73" customFormat="1" ht="16.5">
      <c r="A197" s="71"/>
      <c r="B197" s="72"/>
      <c r="C197" s="73" t="str">
        <f t="shared" ref="C197:C260" si="9">IF(B197&gt;0,TEXT(B197,"(aaa)"),"")</f>
        <v/>
      </c>
      <c r="D197" s="71"/>
      <c r="E197" s="72"/>
      <c r="F197" s="73" t="str">
        <f t="shared" ref="F197:F260" si="10">IF(E197&gt;0,TEXT(E197,"(aaa)"),"")</f>
        <v/>
      </c>
      <c r="G197" s="71"/>
      <c r="H197" s="72"/>
      <c r="I197" s="73" t="str">
        <f t="shared" ref="I197:I260" si="11">IF(H197&gt;0,TEXT(H197,"(aaa)"),"")</f>
        <v/>
      </c>
    </row>
    <row r="198" spans="1:9" s="73" customFormat="1" ht="16.5">
      <c r="A198" s="71"/>
      <c r="B198" s="72"/>
      <c r="C198" s="73" t="str">
        <f t="shared" si="9"/>
        <v/>
      </c>
      <c r="D198" s="71"/>
      <c r="E198" s="72"/>
      <c r="F198" s="73" t="str">
        <f t="shared" si="10"/>
        <v/>
      </c>
      <c r="G198" s="71"/>
      <c r="H198" s="72"/>
      <c r="I198" s="73" t="str">
        <f t="shared" si="11"/>
        <v/>
      </c>
    </row>
    <row r="199" spans="1:9" s="73" customFormat="1" ht="16.5">
      <c r="A199" s="71"/>
      <c r="B199" s="72"/>
      <c r="C199" s="73" t="str">
        <f t="shared" si="9"/>
        <v/>
      </c>
      <c r="D199" s="71"/>
      <c r="E199" s="72"/>
      <c r="F199" s="73" t="str">
        <f t="shared" si="10"/>
        <v/>
      </c>
      <c r="G199" s="71"/>
      <c r="H199" s="72"/>
      <c r="I199" s="73" t="str">
        <f t="shared" si="11"/>
        <v/>
      </c>
    </row>
    <row r="200" spans="1:9" s="73" customFormat="1" ht="16.5">
      <c r="A200" s="71"/>
      <c r="B200" s="72"/>
      <c r="C200" s="73" t="str">
        <f t="shared" si="9"/>
        <v/>
      </c>
      <c r="D200" s="71"/>
      <c r="E200" s="72"/>
      <c r="F200" s="73" t="str">
        <f t="shared" si="10"/>
        <v/>
      </c>
      <c r="G200" s="71"/>
      <c r="H200" s="72"/>
      <c r="I200" s="73" t="str">
        <f t="shared" si="11"/>
        <v/>
      </c>
    </row>
    <row r="201" spans="1:9" s="73" customFormat="1" ht="16.5">
      <c r="A201" s="71"/>
      <c r="B201" s="72"/>
      <c r="C201" s="73" t="str">
        <f t="shared" si="9"/>
        <v/>
      </c>
      <c r="D201" s="71"/>
      <c r="E201" s="72"/>
      <c r="F201" s="73" t="str">
        <f t="shared" si="10"/>
        <v/>
      </c>
      <c r="G201" s="71"/>
      <c r="H201" s="72"/>
      <c r="I201" s="73" t="str">
        <f t="shared" si="11"/>
        <v/>
      </c>
    </row>
    <row r="202" spans="1:9" s="73" customFormat="1" ht="16.5">
      <c r="A202" s="71"/>
      <c r="B202" s="72"/>
      <c r="C202" s="73" t="str">
        <f t="shared" si="9"/>
        <v/>
      </c>
      <c r="D202" s="71"/>
      <c r="E202" s="72"/>
      <c r="F202" s="73" t="str">
        <f t="shared" si="10"/>
        <v/>
      </c>
      <c r="G202" s="71"/>
      <c r="H202" s="72"/>
      <c r="I202" s="73" t="str">
        <f t="shared" si="11"/>
        <v/>
      </c>
    </row>
    <row r="203" spans="1:9" s="73" customFormat="1" ht="16.5">
      <c r="A203" s="71"/>
      <c r="B203" s="72"/>
      <c r="C203" s="73" t="str">
        <f t="shared" si="9"/>
        <v/>
      </c>
      <c r="D203" s="71"/>
      <c r="E203" s="72"/>
      <c r="F203" s="73" t="str">
        <f t="shared" si="10"/>
        <v/>
      </c>
      <c r="G203" s="71"/>
      <c r="H203" s="72"/>
      <c r="I203" s="73" t="str">
        <f t="shared" si="11"/>
        <v/>
      </c>
    </row>
    <row r="204" spans="1:9" s="73" customFormat="1" ht="16.5">
      <c r="A204" s="71"/>
      <c r="B204" s="72"/>
      <c r="C204" s="73" t="str">
        <f t="shared" si="9"/>
        <v/>
      </c>
      <c r="D204" s="71"/>
      <c r="E204" s="72"/>
      <c r="F204" s="73" t="str">
        <f t="shared" si="10"/>
        <v/>
      </c>
      <c r="G204" s="71"/>
      <c r="H204" s="72"/>
      <c r="I204" s="73" t="str">
        <f t="shared" si="11"/>
        <v/>
      </c>
    </row>
    <row r="205" spans="1:9" s="73" customFormat="1" ht="16.5">
      <c r="A205" s="71"/>
      <c r="B205" s="72"/>
      <c r="C205" s="73" t="str">
        <f t="shared" si="9"/>
        <v/>
      </c>
      <c r="D205" s="71"/>
      <c r="E205" s="72"/>
      <c r="F205" s="73" t="str">
        <f t="shared" si="10"/>
        <v/>
      </c>
      <c r="G205" s="71"/>
      <c r="H205" s="72"/>
      <c r="I205" s="73" t="str">
        <f t="shared" si="11"/>
        <v/>
      </c>
    </row>
    <row r="206" spans="1:9" s="73" customFormat="1" ht="16.5">
      <c r="A206" s="71"/>
      <c r="B206" s="72"/>
      <c r="C206" s="73" t="str">
        <f t="shared" si="9"/>
        <v/>
      </c>
      <c r="D206" s="71"/>
      <c r="E206" s="72"/>
      <c r="F206" s="73" t="str">
        <f t="shared" si="10"/>
        <v/>
      </c>
      <c r="G206" s="71"/>
      <c r="H206" s="72"/>
      <c r="I206" s="73" t="str">
        <f t="shared" si="11"/>
        <v/>
      </c>
    </row>
    <row r="207" spans="1:9" s="73" customFormat="1" ht="16.5">
      <c r="A207" s="71"/>
      <c r="B207" s="72"/>
      <c r="C207" s="73" t="str">
        <f t="shared" si="9"/>
        <v/>
      </c>
      <c r="D207" s="71"/>
      <c r="E207" s="72"/>
      <c r="F207" s="73" t="str">
        <f t="shared" si="10"/>
        <v/>
      </c>
      <c r="G207" s="71"/>
      <c r="H207" s="72"/>
      <c r="I207" s="73" t="str">
        <f t="shared" si="11"/>
        <v/>
      </c>
    </row>
    <row r="208" spans="1:9" s="73" customFormat="1" ht="16.5">
      <c r="A208" s="71"/>
      <c r="B208" s="72"/>
      <c r="C208" s="73" t="str">
        <f t="shared" si="9"/>
        <v/>
      </c>
      <c r="D208" s="71"/>
      <c r="E208" s="72"/>
      <c r="F208" s="73" t="str">
        <f t="shared" si="10"/>
        <v/>
      </c>
      <c r="G208" s="71"/>
      <c r="H208" s="72"/>
      <c r="I208" s="73" t="str">
        <f t="shared" si="11"/>
        <v/>
      </c>
    </row>
    <row r="209" spans="1:9" s="73" customFormat="1" ht="16.5">
      <c r="A209" s="71"/>
      <c r="B209" s="72"/>
      <c r="C209" s="73" t="str">
        <f t="shared" si="9"/>
        <v/>
      </c>
      <c r="D209" s="71"/>
      <c r="E209" s="72"/>
      <c r="F209" s="73" t="str">
        <f t="shared" si="10"/>
        <v/>
      </c>
      <c r="G209" s="71"/>
      <c r="H209" s="72"/>
      <c r="I209" s="73" t="str">
        <f t="shared" si="11"/>
        <v/>
      </c>
    </row>
    <row r="210" spans="1:9" s="73" customFormat="1" ht="16.5">
      <c r="A210" s="71"/>
      <c r="B210" s="72"/>
      <c r="C210" s="73" t="str">
        <f t="shared" si="9"/>
        <v/>
      </c>
      <c r="D210" s="71"/>
      <c r="E210" s="72"/>
      <c r="F210" s="73" t="str">
        <f t="shared" si="10"/>
        <v/>
      </c>
      <c r="G210" s="71"/>
      <c r="H210" s="72"/>
      <c r="I210" s="73" t="str">
        <f t="shared" si="11"/>
        <v/>
      </c>
    </row>
    <row r="211" spans="1:9" s="73" customFormat="1" ht="16.5">
      <c r="A211" s="71"/>
      <c r="B211" s="72"/>
      <c r="C211" s="73" t="str">
        <f t="shared" si="9"/>
        <v/>
      </c>
      <c r="D211" s="71"/>
      <c r="E211" s="72"/>
      <c r="F211" s="73" t="str">
        <f t="shared" si="10"/>
        <v/>
      </c>
      <c r="G211" s="71"/>
      <c r="H211" s="72"/>
      <c r="I211" s="73" t="str">
        <f t="shared" si="11"/>
        <v/>
      </c>
    </row>
    <row r="212" spans="1:9" s="73" customFormat="1" ht="16.5">
      <c r="A212" s="71"/>
      <c r="B212" s="72"/>
      <c r="C212" s="73" t="str">
        <f t="shared" si="9"/>
        <v/>
      </c>
      <c r="D212" s="71"/>
      <c r="E212" s="72"/>
      <c r="F212" s="73" t="str">
        <f t="shared" si="10"/>
        <v/>
      </c>
      <c r="G212" s="71"/>
      <c r="H212" s="72"/>
      <c r="I212" s="73" t="str">
        <f t="shared" si="11"/>
        <v/>
      </c>
    </row>
    <row r="213" spans="1:9" s="73" customFormat="1" ht="16.5">
      <c r="A213" s="71"/>
      <c r="B213" s="72"/>
      <c r="C213" s="73" t="str">
        <f t="shared" si="9"/>
        <v/>
      </c>
      <c r="D213" s="71"/>
      <c r="E213" s="72"/>
      <c r="F213" s="73" t="str">
        <f t="shared" si="10"/>
        <v/>
      </c>
      <c r="G213" s="71"/>
      <c r="H213" s="72"/>
      <c r="I213" s="73" t="str">
        <f t="shared" si="11"/>
        <v/>
      </c>
    </row>
    <row r="214" spans="1:9" s="73" customFormat="1" ht="16.5">
      <c r="A214" s="71"/>
      <c r="B214" s="72"/>
      <c r="C214" s="73" t="str">
        <f t="shared" si="9"/>
        <v/>
      </c>
      <c r="D214" s="71"/>
      <c r="E214" s="72"/>
      <c r="F214" s="73" t="str">
        <f t="shared" si="10"/>
        <v/>
      </c>
      <c r="G214" s="71"/>
      <c r="H214" s="72"/>
      <c r="I214" s="73" t="str">
        <f t="shared" si="11"/>
        <v/>
      </c>
    </row>
    <row r="215" spans="1:9" s="73" customFormat="1" ht="16.5">
      <c r="A215" s="71"/>
      <c r="B215" s="72"/>
      <c r="C215" s="73" t="str">
        <f t="shared" si="9"/>
        <v/>
      </c>
      <c r="D215" s="71"/>
      <c r="E215" s="72"/>
      <c r="F215" s="73" t="str">
        <f t="shared" si="10"/>
        <v/>
      </c>
      <c r="G215" s="71"/>
      <c r="H215" s="72"/>
      <c r="I215" s="73" t="str">
        <f t="shared" si="11"/>
        <v/>
      </c>
    </row>
    <row r="216" spans="1:9" s="73" customFormat="1" ht="16.5">
      <c r="A216" s="71"/>
      <c r="B216" s="72"/>
      <c r="C216" s="73" t="str">
        <f t="shared" si="9"/>
        <v/>
      </c>
      <c r="D216" s="71"/>
      <c r="E216" s="72"/>
      <c r="F216" s="73" t="str">
        <f t="shared" si="10"/>
        <v/>
      </c>
      <c r="G216" s="71"/>
      <c r="H216" s="72"/>
      <c r="I216" s="73" t="str">
        <f t="shared" si="11"/>
        <v/>
      </c>
    </row>
    <row r="217" spans="1:9" s="73" customFormat="1" ht="16.5">
      <c r="A217" s="71"/>
      <c r="B217" s="72"/>
      <c r="C217" s="73" t="str">
        <f t="shared" si="9"/>
        <v/>
      </c>
      <c r="D217" s="71"/>
      <c r="E217" s="72"/>
      <c r="F217" s="73" t="str">
        <f t="shared" si="10"/>
        <v/>
      </c>
      <c r="G217" s="71"/>
      <c r="H217" s="72"/>
      <c r="I217" s="73" t="str">
        <f t="shared" si="11"/>
        <v/>
      </c>
    </row>
    <row r="218" spans="1:9" s="73" customFormat="1" ht="16.5">
      <c r="A218" s="71"/>
      <c r="B218" s="72"/>
      <c r="C218" s="73" t="str">
        <f t="shared" si="9"/>
        <v/>
      </c>
      <c r="D218" s="71"/>
      <c r="E218" s="72"/>
      <c r="F218" s="73" t="str">
        <f t="shared" si="10"/>
        <v/>
      </c>
      <c r="G218" s="71"/>
      <c r="H218" s="72"/>
      <c r="I218" s="73" t="str">
        <f t="shared" si="11"/>
        <v/>
      </c>
    </row>
    <row r="219" spans="1:9" s="73" customFormat="1" ht="16.5">
      <c r="A219" s="71"/>
      <c r="B219" s="72"/>
      <c r="C219" s="73" t="str">
        <f t="shared" si="9"/>
        <v/>
      </c>
      <c r="D219" s="71"/>
      <c r="E219" s="72"/>
      <c r="F219" s="73" t="str">
        <f t="shared" si="10"/>
        <v/>
      </c>
      <c r="G219" s="71"/>
      <c r="H219" s="72"/>
      <c r="I219" s="73" t="str">
        <f t="shared" si="11"/>
        <v/>
      </c>
    </row>
    <row r="220" spans="1:9" s="73" customFormat="1" ht="16.5">
      <c r="A220" s="71"/>
      <c r="B220" s="72"/>
      <c r="C220" s="73" t="str">
        <f t="shared" si="9"/>
        <v/>
      </c>
      <c r="D220" s="71"/>
      <c r="E220" s="72"/>
      <c r="F220" s="73" t="str">
        <f t="shared" si="10"/>
        <v/>
      </c>
      <c r="G220" s="71"/>
      <c r="H220" s="72"/>
      <c r="I220" s="73" t="str">
        <f t="shared" si="11"/>
        <v/>
      </c>
    </row>
    <row r="221" spans="1:9" s="73" customFormat="1" ht="16.5">
      <c r="A221" s="71"/>
      <c r="B221" s="72"/>
      <c r="C221" s="73" t="str">
        <f t="shared" si="9"/>
        <v/>
      </c>
      <c r="D221" s="71"/>
      <c r="E221" s="72"/>
      <c r="F221" s="73" t="str">
        <f t="shared" si="10"/>
        <v/>
      </c>
      <c r="G221" s="71"/>
      <c r="H221" s="72"/>
      <c r="I221" s="73" t="str">
        <f t="shared" si="11"/>
        <v/>
      </c>
    </row>
    <row r="222" spans="1:9" s="73" customFormat="1" ht="16.5">
      <c r="A222" s="71"/>
      <c r="B222" s="72"/>
      <c r="C222" s="73" t="str">
        <f t="shared" si="9"/>
        <v/>
      </c>
      <c r="D222" s="71"/>
      <c r="E222" s="72"/>
      <c r="F222" s="73" t="str">
        <f t="shared" si="10"/>
        <v/>
      </c>
      <c r="G222" s="71"/>
      <c r="H222" s="72"/>
      <c r="I222" s="73" t="str">
        <f t="shared" si="11"/>
        <v/>
      </c>
    </row>
    <row r="223" spans="1:9" s="73" customFormat="1" ht="16.5">
      <c r="A223" s="71"/>
      <c r="B223" s="72"/>
      <c r="C223" s="73" t="str">
        <f t="shared" si="9"/>
        <v/>
      </c>
      <c r="D223" s="71"/>
      <c r="E223" s="72"/>
      <c r="F223" s="73" t="str">
        <f t="shared" si="10"/>
        <v/>
      </c>
      <c r="G223" s="71"/>
      <c r="H223" s="72"/>
      <c r="I223" s="73" t="str">
        <f t="shared" si="11"/>
        <v/>
      </c>
    </row>
    <row r="224" spans="1:9" s="73" customFormat="1" ht="16.5">
      <c r="A224" s="71"/>
      <c r="B224" s="72"/>
      <c r="C224" s="73" t="str">
        <f t="shared" si="9"/>
        <v/>
      </c>
      <c r="D224" s="71"/>
      <c r="E224" s="72"/>
      <c r="F224" s="73" t="str">
        <f t="shared" si="10"/>
        <v/>
      </c>
      <c r="G224" s="71"/>
      <c r="H224" s="72"/>
      <c r="I224" s="73" t="str">
        <f t="shared" si="11"/>
        <v/>
      </c>
    </row>
    <row r="225" spans="1:9" s="73" customFormat="1" ht="16.5">
      <c r="A225" s="71"/>
      <c r="B225" s="72"/>
      <c r="C225" s="73" t="str">
        <f t="shared" si="9"/>
        <v/>
      </c>
      <c r="D225" s="71"/>
      <c r="E225" s="72"/>
      <c r="F225" s="73" t="str">
        <f t="shared" si="10"/>
        <v/>
      </c>
      <c r="G225" s="71"/>
      <c r="H225" s="72"/>
      <c r="I225" s="73" t="str">
        <f t="shared" si="11"/>
        <v/>
      </c>
    </row>
    <row r="226" spans="1:9" s="73" customFormat="1" ht="16.5">
      <c r="A226" s="71"/>
      <c r="B226" s="72"/>
      <c r="C226" s="73" t="str">
        <f t="shared" si="9"/>
        <v/>
      </c>
      <c r="D226" s="71"/>
      <c r="E226" s="72"/>
      <c r="F226" s="73" t="str">
        <f t="shared" si="10"/>
        <v/>
      </c>
      <c r="G226" s="71"/>
      <c r="H226" s="72"/>
      <c r="I226" s="73" t="str">
        <f t="shared" si="11"/>
        <v/>
      </c>
    </row>
    <row r="227" spans="1:9" s="73" customFormat="1" ht="16.5">
      <c r="A227" s="71"/>
      <c r="B227" s="72"/>
      <c r="C227" s="73" t="str">
        <f t="shared" si="9"/>
        <v/>
      </c>
      <c r="D227" s="71"/>
      <c r="E227" s="72"/>
      <c r="F227" s="73" t="str">
        <f t="shared" si="10"/>
        <v/>
      </c>
      <c r="G227" s="71"/>
      <c r="H227" s="72"/>
      <c r="I227" s="73" t="str">
        <f t="shared" si="11"/>
        <v/>
      </c>
    </row>
    <row r="228" spans="1:9" s="73" customFormat="1" ht="16.5">
      <c r="A228" s="71"/>
      <c r="B228" s="72"/>
      <c r="C228" s="73" t="str">
        <f t="shared" si="9"/>
        <v/>
      </c>
      <c r="D228" s="71"/>
      <c r="E228" s="72"/>
      <c r="F228" s="73" t="str">
        <f t="shared" si="10"/>
        <v/>
      </c>
      <c r="G228" s="71"/>
      <c r="H228" s="72"/>
      <c r="I228" s="73" t="str">
        <f t="shared" si="11"/>
        <v/>
      </c>
    </row>
    <row r="229" spans="1:9" s="73" customFormat="1" ht="16.5">
      <c r="A229" s="71"/>
      <c r="B229" s="72"/>
      <c r="C229" s="73" t="str">
        <f t="shared" si="9"/>
        <v/>
      </c>
      <c r="D229" s="71"/>
      <c r="E229" s="72"/>
      <c r="F229" s="73" t="str">
        <f t="shared" si="10"/>
        <v/>
      </c>
      <c r="G229" s="71"/>
      <c r="H229" s="72"/>
      <c r="I229" s="73" t="str">
        <f t="shared" si="11"/>
        <v/>
      </c>
    </row>
    <row r="230" spans="1:9" s="73" customFormat="1" ht="16.5">
      <c r="A230" s="71"/>
      <c r="B230" s="72"/>
      <c r="C230" s="73" t="str">
        <f t="shared" si="9"/>
        <v/>
      </c>
      <c r="D230" s="71"/>
      <c r="E230" s="72"/>
      <c r="F230" s="73" t="str">
        <f t="shared" si="10"/>
        <v/>
      </c>
      <c r="G230" s="71"/>
      <c r="H230" s="72"/>
      <c r="I230" s="73" t="str">
        <f t="shared" si="11"/>
        <v/>
      </c>
    </row>
    <row r="231" spans="1:9" s="73" customFormat="1" ht="16.5">
      <c r="A231" s="71"/>
      <c r="B231" s="72"/>
      <c r="C231" s="73" t="str">
        <f t="shared" si="9"/>
        <v/>
      </c>
      <c r="D231" s="71"/>
      <c r="E231" s="72"/>
      <c r="F231" s="73" t="str">
        <f t="shared" si="10"/>
        <v/>
      </c>
      <c r="G231" s="71"/>
      <c r="H231" s="72"/>
      <c r="I231" s="73" t="str">
        <f t="shared" si="11"/>
        <v/>
      </c>
    </row>
    <row r="232" spans="1:9" s="73" customFormat="1" ht="16.5">
      <c r="A232" s="71"/>
      <c r="B232" s="72"/>
      <c r="C232" s="73" t="str">
        <f t="shared" si="9"/>
        <v/>
      </c>
      <c r="D232" s="71"/>
      <c r="E232" s="72"/>
      <c r="F232" s="73" t="str">
        <f t="shared" si="10"/>
        <v/>
      </c>
      <c r="G232" s="71"/>
      <c r="H232" s="72"/>
      <c r="I232" s="73" t="str">
        <f t="shared" si="11"/>
        <v/>
      </c>
    </row>
    <row r="233" spans="1:9" s="73" customFormat="1" ht="16.5">
      <c r="A233" s="71"/>
      <c r="B233" s="72"/>
      <c r="C233" s="73" t="str">
        <f t="shared" si="9"/>
        <v/>
      </c>
      <c r="D233" s="71"/>
      <c r="E233" s="72"/>
      <c r="F233" s="73" t="str">
        <f t="shared" si="10"/>
        <v/>
      </c>
      <c r="G233" s="71"/>
      <c r="H233" s="72"/>
      <c r="I233" s="73" t="str">
        <f t="shared" si="11"/>
        <v/>
      </c>
    </row>
    <row r="234" spans="1:9" s="73" customFormat="1" ht="16.5">
      <c r="A234" s="71"/>
      <c r="B234" s="72"/>
      <c r="C234" s="73" t="str">
        <f t="shared" si="9"/>
        <v/>
      </c>
      <c r="D234" s="71"/>
      <c r="E234" s="72"/>
      <c r="F234" s="73" t="str">
        <f t="shared" si="10"/>
        <v/>
      </c>
      <c r="G234" s="71"/>
      <c r="H234" s="72"/>
      <c r="I234" s="73" t="str">
        <f t="shared" si="11"/>
        <v/>
      </c>
    </row>
    <row r="235" spans="1:9" s="73" customFormat="1" ht="16.5">
      <c r="A235" s="71"/>
      <c r="B235" s="72"/>
      <c r="C235" s="73" t="str">
        <f t="shared" si="9"/>
        <v/>
      </c>
      <c r="D235" s="71"/>
      <c r="E235" s="72"/>
      <c r="F235" s="73" t="str">
        <f t="shared" si="10"/>
        <v/>
      </c>
      <c r="G235" s="71"/>
      <c r="H235" s="72"/>
      <c r="I235" s="73" t="str">
        <f t="shared" si="11"/>
        <v/>
      </c>
    </row>
    <row r="236" spans="1:9" s="73" customFormat="1" ht="16.5">
      <c r="A236" s="71"/>
      <c r="B236" s="72"/>
      <c r="C236" s="73" t="str">
        <f t="shared" si="9"/>
        <v/>
      </c>
      <c r="D236" s="71"/>
      <c r="E236" s="72"/>
      <c r="F236" s="73" t="str">
        <f t="shared" si="10"/>
        <v/>
      </c>
      <c r="G236" s="71"/>
      <c r="H236" s="72"/>
      <c r="I236" s="73" t="str">
        <f t="shared" si="11"/>
        <v/>
      </c>
    </row>
    <row r="237" spans="1:9" s="73" customFormat="1" ht="16.5">
      <c r="A237" s="71"/>
      <c r="B237" s="72"/>
      <c r="C237" s="73" t="str">
        <f t="shared" si="9"/>
        <v/>
      </c>
      <c r="D237" s="71"/>
      <c r="E237" s="72"/>
      <c r="F237" s="73" t="str">
        <f t="shared" si="10"/>
        <v/>
      </c>
      <c r="G237" s="71"/>
      <c r="H237" s="72"/>
      <c r="I237" s="73" t="str">
        <f t="shared" si="11"/>
        <v/>
      </c>
    </row>
    <row r="238" spans="1:9" s="73" customFormat="1" ht="16.5">
      <c r="A238" s="71"/>
      <c r="B238" s="72"/>
      <c r="C238" s="73" t="str">
        <f t="shared" si="9"/>
        <v/>
      </c>
      <c r="D238" s="71"/>
      <c r="E238" s="72"/>
      <c r="F238" s="73" t="str">
        <f t="shared" si="10"/>
        <v/>
      </c>
      <c r="G238" s="71"/>
      <c r="H238" s="72"/>
      <c r="I238" s="73" t="str">
        <f t="shared" si="11"/>
        <v/>
      </c>
    </row>
    <row r="239" spans="1:9" s="73" customFormat="1" ht="16.5">
      <c r="A239" s="71"/>
      <c r="B239" s="72"/>
      <c r="C239" s="73" t="str">
        <f t="shared" si="9"/>
        <v/>
      </c>
      <c r="D239" s="71"/>
      <c r="E239" s="72"/>
      <c r="F239" s="73" t="str">
        <f t="shared" si="10"/>
        <v/>
      </c>
      <c r="G239" s="71"/>
      <c r="H239" s="72"/>
      <c r="I239" s="73" t="str">
        <f t="shared" si="11"/>
        <v/>
      </c>
    </row>
    <row r="240" spans="1:9" s="73" customFormat="1" ht="16.5">
      <c r="A240" s="71"/>
      <c r="B240" s="72"/>
      <c r="C240" s="73" t="str">
        <f t="shared" si="9"/>
        <v/>
      </c>
      <c r="D240" s="71"/>
      <c r="E240" s="72"/>
      <c r="F240" s="73" t="str">
        <f t="shared" si="10"/>
        <v/>
      </c>
      <c r="G240" s="71"/>
      <c r="H240" s="72"/>
      <c r="I240" s="73" t="str">
        <f t="shared" si="11"/>
        <v/>
      </c>
    </row>
    <row r="241" spans="1:9" s="73" customFormat="1" ht="16.5">
      <c r="A241" s="71"/>
      <c r="B241" s="72"/>
      <c r="C241" s="73" t="str">
        <f t="shared" si="9"/>
        <v/>
      </c>
      <c r="D241" s="71"/>
      <c r="E241" s="72"/>
      <c r="F241" s="73" t="str">
        <f t="shared" si="10"/>
        <v/>
      </c>
      <c r="G241" s="71"/>
      <c r="H241" s="72"/>
      <c r="I241" s="73" t="str">
        <f t="shared" si="11"/>
        <v/>
      </c>
    </row>
    <row r="242" spans="1:9" s="73" customFormat="1" ht="16.5">
      <c r="A242" s="71"/>
      <c r="B242" s="72"/>
      <c r="C242" s="73" t="str">
        <f t="shared" si="9"/>
        <v/>
      </c>
      <c r="D242" s="71"/>
      <c r="E242" s="72"/>
      <c r="F242" s="73" t="str">
        <f t="shared" si="10"/>
        <v/>
      </c>
      <c r="G242" s="71"/>
      <c r="H242" s="72"/>
      <c r="I242" s="73" t="str">
        <f t="shared" si="11"/>
        <v/>
      </c>
    </row>
    <row r="243" spans="1:9" s="73" customFormat="1" ht="16.5">
      <c r="A243" s="71"/>
      <c r="B243" s="72"/>
      <c r="C243" s="73" t="str">
        <f t="shared" si="9"/>
        <v/>
      </c>
      <c r="D243" s="71"/>
      <c r="E243" s="72"/>
      <c r="F243" s="73" t="str">
        <f t="shared" si="10"/>
        <v/>
      </c>
      <c r="G243" s="71"/>
      <c r="H243" s="72"/>
      <c r="I243" s="73" t="str">
        <f t="shared" si="11"/>
        <v/>
      </c>
    </row>
    <row r="244" spans="1:9" s="73" customFormat="1" ht="16.5">
      <c r="A244" s="71"/>
      <c r="B244" s="72"/>
      <c r="C244" s="73" t="str">
        <f t="shared" si="9"/>
        <v/>
      </c>
      <c r="D244" s="71"/>
      <c r="E244" s="72"/>
      <c r="F244" s="73" t="str">
        <f t="shared" si="10"/>
        <v/>
      </c>
      <c r="G244" s="71"/>
      <c r="H244" s="72"/>
      <c r="I244" s="73" t="str">
        <f t="shared" si="11"/>
        <v/>
      </c>
    </row>
    <row r="245" spans="1:9" s="73" customFormat="1" ht="16.5">
      <c r="A245" s="71"/>
      <c r="B245" s="72"/>
      <c r="C245" s="73" t="str">
        <f t="shared" si="9"/>
        <v/>
      </c>
      <c r="D245" s="71"/>
      <c r="E245" s="72"/>
      <c r="F245" s="73" t="str">
        <f t="shared" si="10"/>
        <v/>
      </c>
      <c r="G245" s="71"/>
      <c r="H245" s="72"/>
      <c r="I245" s="73" t="str">
        <f t="shared" si="11"/>
        <v/>
      </c>
    </row>
    <row r="246" spans="1:9" s="73" customFormat="1" ht="16.5">
      <c r="A246" s="71"/>
      <c r="B246" s="72"/>
      <c r="C246" s="73" t="str">
        <f t="shared" si="9"/>
        <v/>
      </c>
      <c r="D246" s="71"/>
      <c r="E246" s="72"/>
      <c r="F246" s="73" t="str">
        <f t="shared" si="10"/>
        <v/>
      </c>
      <c r="G246" s="71"/>
      <c r="H246" s="72"/>
      <c r="I246" s="73" t="str">
        <f t="shared" si="11"/>
        <v/>
      </c>
    </row>
    <row r="247" spans="1:9" s="73" customFormat="1" ht="16.5">
      <c r="A247" s="71"/>
      <c r="B247" s="72"/>
      <c r="C247" s="73" t="str">
        <f t="shared" si="9"/>
        <v/>
      </c>
      <c r="D247" s="71"/>
      <c r="E247" s="72"/>
      <c r="F247" s="73" t="str">
        <f t="shared" si="10"/>
        <v/>
      </c>
      <c r="G247" s="71"/>
      <c r="H247" s="72"/>
      <c r="I247" s="73" t="str">
        <f t="shared" si="11"/>
        <v/>
      </c>
    </row>
    <row r="248" spans="1:9" s="73" customFormat="1" ht="16.5">
      <c r="A248" s="71"/>
      <c r="B248" s="72"/>
      <c r="C248" s="73" t="str">
        <f t="shared" si="9"/>
        <v/>
      </c>
      <c r="D248" s="71"/>
      <c r="E248" s="72"/>
      <c r="F248" s="73" t="str">
        <f t="shared" si="10"/>
        <v/>
      </c>
      <c r="G248" s="71"/>
      <c r="H248" s="72"/>
      <c r="I248" s="73" t="str">
        <f t="shared" si="11"/>
        <v/>
      </c>
    </row>
    <row r="249" spans="1:9" s="73" customFormat="1" ht="16.5">
      <c r="A249" s="71"/>
      <c r="B249" s="72"/>
      <c r="C249" s="73" t="str">
        <f t="shared" si="9"/>
        <v/>
      </c>
      <c r="D249" s="71"/>
      <c r="E249" s="72"/>
      <c r="F249" s="73" t="str">
        <f t="shared" si="10"/>
        <v/>
      </c>
      <c r="G249" s="71"/>
      <c r="H249" s="72"/>
      <c r="I249" s="73" t="str">
        <f t="shared" si="11"/>
        <v/>
      </c>
    </row>
    <row r="250" spans="1:9" s="73" customFormat="1" ht="16.5">
      <c r="A250" s="71"/>
      <c r="B250" s="72"/>
      <c r="C250" s="73" t="str">
        <f t="shared" si="9"/>
        <v/>
      </c>
      <c r="D250" s="71"/>
      <c r="E250" s="72"/>
      <c r="F250" s="73" t="str">
        <f t="shared" si="10"/>
        <v/>
      </c>
      <c r="G250" s="71"/>
      <c r="H250" s="72"/>
      <c r="I250" s="73" t="str">
        <f t="shared" si="11"/>
        <v/>
      </c>
    </row>
    <row r="251" spans="1:9" s="73" customFormat="1" ht="16.5">
      <c r="A251" s="71"/>
      <c r="B251" s="72"/>
      <c r="C251" s="73" t="str">
        <f t="shared" si="9"/>
        <v/>
      </c>
      <c r="D251" s="71"/>
      <c r="E251" s="72"/>
      <c r="F251" s="73" t="str">
        <f t="shared" si="10"/>
        <v/>
      </c>
      <c r="G251" s="71"/>
      <c r="H251" s="72"/>
      <c r="I251" s="73" t="str">
        <f t="shared" si="11"/>
        <v/>
      </c>
    </row>
    <row r="252" spans="1:9" s="73" customFormat="1" ht="16.5">
      <c r="A252" s="71"/>
      <c r="B252" s="72"/>
      <c r="C252" s="73" t="str">
        <f t="shared" si="9"/>
        <v/>
      </c>
      <c r="D252" s="71"/>
      <c r="E252" s="72"/>
      <c r="F252" s="73" t="str">
        <f t="shared" si="10"/>
        <v/>
      </c>
      <c r="G252" s="71"/>
      <c r="H252" s="72"/>
      <c r="I252" s="73" t="str">
        <f t="shared" si="11"/>
        <v/>
      </c>
    </row>
    <row r="253" spans="1:9" s="73" customFormat="1" ht="16.5">
      <c r="A253" s="71"/>
      <c r="B253" s="72"/>
      <c r="C253" s="73" t="str">
        <f t="shared" si="9"/>
        <v/>
      </c>
      <c r="D253" s="71"/>
      <c r="E253" s="72"/>
      <c r="F253" s="73" t="str">
        <f t="shared" si="10"/>
        <v/>
      </c>
      <c r="G253" s="71"/>
      <c r="H253" s="72"/>
      <c r="I253" s="73" t="str">
        <f t="shared" si="11"/>
        <v/>
      </c>
    </row>
    <row r="254" spans="1:9" s="73" customFormat="1" ht="16.5">
      <c r="A254" s="71"/>
      <c r="B254" s="72"/>
      <c r="C254" s="73" t="str">
        <f t="shared" si="9"/>
        <v/>
      </c>
      <c r="D254" s="71"/>
      <c r="E254" s="72"/>
      <c r="F254" s="73" t="str">
        <f t="shared" si="10"/>
        <v/>
      </c>
      <c r="G254" s="71"/>
      <c r="H254" s="72"/>
      <c r="I254" s="73" t="str">
        <f t="shared" si="11"/>
        <v/>
      </c>
    </row>
    <row r="255" spans="1:9" s="73" customFormat="1" ht="16.5">
      <c r="A255" s="71"/>
      <c r="B255" s="72"/>
      <c r="C255" s="73" t="str">
        <f t="shared" si="9"/>
        <v/>
      </c>
      <c r="D255" s="71"/>
      <c r="E255" s="72"/>
      <c r="F255" s="73" t="str">
        <f t="shared" si="10"/>
        <v/>
      </c>
      <c r="G255" s="71"/>
      <c r="H255" s="72"/>
      <c r="I255" s="73" t="str">
        <f t="shared" si="11"/>
        <v/>
      </c>
    </row>
    <row r="256" spans="1:9" s="73" customFormat="1" ht="16.5">
      <c r="A256" s="71"/>
      <c r="B256" s="72"/>
      <c r="C256" s="73" t="str">
        <f t="shared" si="9"/>
        <v/>
      </c>
      <c r="D256" s="71"/>
      <c r="E256" s="72"/>
      <c r="F256" s="73" t="str">
        <f t="shared" si="10"/>
        <v/>
      </c>
      <c r="G256" s="71"/>
      <c r="H256" s="72"/>
      <c r="I256" s="73" t="str">
        <f t="shared" si="11"/>
        <v/>
      </c>
    </row>
    <row r="257" spans="1:9" s="73" customFormat="1" ht="16.5">
      <c r="A257" s="71"/>
      <c r="B257" s="72"/>
      <c r="C257" s="73" t="str">
        <f t="shared" si="9"/>
        <v/>
      </c>
      <c r="D257" s="71"/>
      <c r="E257" s="72"/>
      <c r="F257" s="73" t="str">
        <f t="shared" si="10"/>
        <v/>
      </c>
      <c r="G257" s="71"/>
      <c r="H257" s="72"/>
      <c r="I257" s="73" t="str">
        <f t="shared" si="11"/>
        <v/>
      </c>
    </row>
    <row r="258" spans="1:9" s="73" customFormat="1" ht="16.5">
      <c r="A258" s="71"/>
      <c r="B258" s="72"/>
      <c r="C258" s="73" t="str">
        <f t="shared" si="9"/>
        <v/>
      </c>
      <c r="D258" s="71"/>
      <c r="E258" s="72"/>
      <c r="F258" s="73" t="str">
        <f t="shared" si="10"/>
        <v/>
      </c>
      <c r="G258" s="71"/>
      <c r="H258" s="72"/>
      <c r="I258" s="73" t="str">
        <f t="shared" si="11"/>
        <v/>
      </c>
    </row>
    <row r="259" spans="1:9" s="73" customFormat="1" ht="16.5">
      <c r="A259" s="71"/>
      <c r="B259" s="72"/>
      <c r="C259" s="73" t="str">
        <f t="shared" si="9"/>
        <v/>
      </c>
      <c r="D259" s="71"/>
      <c r="E259" s="72"/>
      <c r="F259" s="73" t="str">
        <f t="shared" si="10"/>
        <v/>
      </c>
      <c r="G259" s="71"/>
      <c r="H259" s="72"/>
      <c r="I259" s="73" t="str">
        <f t="shared" si="11"/>
        <v/>
      </c>
    </row>
    <row r="260" spans="1:9" s="73" customFormat="1" ht="16.5">
      <c r="A260" s="71"/>
      <c r="B260" s="72"/>
      <c r="C260" s="73" t="str">
        <f t="shared" si="9"/>
        <v/>
      </c>
      <c r="D260" s="71"/>
      <c r="E260" s="72"/>
      <c r="F260" s="73" t="str">
        <f t="shared" si="10"/>
        <v/>
      </c>
      <c r="G260" s="71"/>
      <c r="H260" s="72"/>
      <c r="I260" s="73" t="str">
        <f t="shared" si="11"/>
        <v/>
      </c>
    </row>
    <row r="261" spans="1:9" s="73" customFormat="1" ht="16.5">
      <c r="A261" s="71"/>
      <c r="B261" s="72"/>
      <c r="C261" s="73" t="str">
        <f t="shared" ref="C261:C304" si="12">IF(B261&gt;0,TEXT(B261,"(aaa)"),"")</f>
        <v/>
      </c>
      <c r="D261" s="71"/>
      <c r="E261" s="72"/>
      <c r="F261" s="73" t="str">
        <f t="shared" ref="F261:F304" si="13">IF(E261&gt;0,TEXT(E261,"(aaa)"),"")</f>
        <v/>
      </c>
      <c r="G261" s="71"/>
      <c r="H261" s="72"/>
      <c r="I261" s="73" t="str">
        <f t="shared" ref="I261:I304" si="14">IF(H261&gt;0,TEXT(H261,"(aaa)"),"")</f>
        <v/>
      </c>
    </row>
    <row r="262" spans="1:9" s="73" customFormat="1" ht="16.5">
      <c r="A262" s="71"/>
      <c r="B262" s="72"/>
      <c r="C262" s="73" t="str">
        <f t="shared" si="12"/>
        <v/>
      </c>
      <c r="D262" s="71"/>
      <c r="E262" s="72"/>
      <c r="F262" s="73" t="str">
        <f t="shared" si="13"/>
        <v/>
      </c>
      <c r="G262" s="71"/>
      <c r="H262" s="72"/>
      <c r="I262" s="73" t="str">
        <f t="shared" si="14"/>
        <v/>
      </c>
    </row>
    <row r="263" spans="1:9" s="73" customFormat="1" ht="16.5">
      <c r="A263" s="71"/>
      <c r="B263" s="72"/>
      <c r="C263" s="73" t="str">
        <f t="shared" si="12"/>
        <v/>
      </c>
      <c r="D263" s="71"/>
      <c r="E263" s="72"/>
      <c r="F263" s="73" t="str">
        <f t="shared" si="13"/>
        <v/>
      </c>
      <c r="G263" s="71"/>
      <c r="H263" s="72"/>
      <c r="I263" s="73" t="str">
        <f t="shared" si="14"/>
        <v/>
      </c>
    </row>
    <row r="264" spans="1:9" s="73" customFormat="1" ht="16.5">
      <c r="A264" s="71"/>
      <c r="B264" s="72"/>
      <c r="C264" s="73" t="str">
        <f t="shared" si="12"/>
        <v/>
      </c>
      <c r="D264" s="71"/>
      <c r="E264" s="72"/>
      <c r="F264" s="73" t="str">
        <f t="shared" si="13"/>
        <v/>
      </c>
      <c r="G264" s="71"/>
      <c r="H264" s="72"/>
      <c r="I264" s="73" t="str">
        <f t="shared" si="14"/>
        <v/>
      </c>
    </row>
    <row r="265" spans="1:9" s="73" customFormat="1" ht="16.5">
      <c r="A265" s="71"/>
      <c r="B265" s="72"/>
      <c r="C265" s="73" t="str">
        <f t="shared" si="12"/>
        <v/>
      </c>
      <c r="D265" s="71"/>
      <c r="E265" s="72"/>
      <c r="F265" s="73" t="str">
        <f t="shared" si="13"/>
        <v/>
      </c>
      <c r="G265" s="71"/>
      <c r="H265" s="72"/>
      <c r="I265" s="73" t="str">
        <f t="shared" si="14"/>
        <v/>
      </c>
    </row>
    <row r="266" spans="1:9" s="73" customFormat="1" ht="16.5">
      <c r="A266" s="71"/>
      <c r="B266" s="72"/>
      <c r="C266" s="73" t="str">
        <f t="shared" si="12"/>
        <v/>
      </c>
      <c r="D266" s="71"/>
      <c r="E266" s="72"/>
      <c r="F266" s="73" t="str">
        <f t="shared" si="13"/>
        <v/>
      </c>
      <c r="G266" s="71"/>
      <c r="H266" s="72"/>
      <c r="I266" s="73" t="str">
        <f t="shared" si="14"/>
        <v/>
      </c>
    </row>
    <row r="267" spans="1:9" s="73" customFormat="1" ht="16.5">
      <c r="A267" s="71"/>
      <c r="B267" s="72"/>
      <c r="C267" s="73" t="str">
        <f t="shared" si="12"/>
        <v/>
      </c>
      <c r="D267" s="71"/>
      <c r="E267" s="72"/>
      <c r="F267" s="73" t="str">
        <f t="shared" si="13"/>
        <v/>
      </c>
      <c r="G267" s="71"/>
      <c r="H267" s="72"/>
      <c r="I267" s="73" t="str">
        <f t="shared" si="14"/>
        <v/>
      </c>
    </row>
    <row r="268" spans="1:9" s="73" customFormat="1" ht="16.5">
      <c r="A268" s="71"/>
      <c r="B268" s="72"/>
      <c r="C268" s="73" t="str">
        <f t="shared" si="12"/>
        <v/>
      </c>
      <c r="D268" s="71"/>
      <c r="E268" s="72"/>
      <c r="F268" s="73" t="str">
        <f t="shared" si="13"/>
        <v/>
      </c>
      <c r="G268" s="71"/>
      <c r="H268" s="72"/>
      <c r="I268" s="73" t="str">
        <f t="shared" si="14"/>
        <v/>
      </c>
    </row>
    <row r="269" spans="1:9" s="73" customFormat="1" ht="16.5">
      <c r="A269" s="71"/>
      <c r="B269" s="72"/>
      <c r="C269" s="73" t="str">
        <f t="shared" si="12"/>
        <v/>
      </c>
      <c r="D269" s="71"/>
      <c r="E269" s="72"/>
      <c r="F269" s="73" t="str">
        <f t="shared" si="13"/>
        <v/>
      </c>
      <c r="G269" s="71"/>
      <c r="H269" s="72"/>
      <c r="I269" s="73" t="str">
        <f t="shared" si="14"/>
        <v/>
      </c>
    </row>
    <row r="270" spans="1:9" s="73" customFormat="1" ht="16.5">
      <c r="A270" s="71"/>
      <c r="B270" s="72"/>
      <c r="C270" s="73" t="str">
        <f t="shared" si="12"/>
        <v/>
      </c>
      <c r="D270" s="71"/>
      <c r="E270" s="72"/>
      <c r="F270" s="73" t="str">
        <f t="shared" si="13"/>
        <v/>
      </c>
      <c r="G270" s="71"/>
      <c r="H270" s="72"/>
      <c r="I270" s="73" t="str">
        <f t="shared" si="14"/>
        <v/>
      </c>
    </row>
    <row r="271" spans="1:9" s="73" customFormat="1" ht="16.5">
      <c r="A271" s="71"/>
      <c r="B271" s="72"/>
      <c r="C271" s="73" t="str">
        <f t="shared" si="12"/>
        <v/>
      </c>
      <c r="D271" s="71"/>
      <c r="E271" s="72"/>
      <c r="F271" s="73" t="str">
        <f t="shared" si="13"/>
        <v/>
      </c>
      <c r="G271" s="71"/>
      <c r="H271" s="72"/>
      <c r="I271" s="73" t="str">
        <f t="shared" si="14"/>
        <v/>
      </c>
    </row>
    <row r="272" spans="1:9" s="73" customFormat="1" ht="16.5">
      <c r="A272" s="71"/>
      <c r="B272" s="72"/>
      <c r="C272" s="73" t="str">
        <f t="shared" si="12"/>
        <v/>
      </c>
      <c r="D272" s="71"/>
      <c r="E272" s="72"/>
      <c r="F272" s="73" t="str">
        <f t="shared" si="13"/>
        <v/>
      </c>
      <c r="G272" s="71"/>
      <c r="H272" s="72"/>
      <c r="I272" s="73" t="str">
        <f t="shared" si="14"/>
        <v/>
      </c>
    </row>
    <row r="273" spans="1:9" s="73" customFormat="1" ht="16.5">
      <c r="A273" s="71"/>
      <c r="B273" s="72"/>
      <c r="C273" s="73" t="str">
        <f t="shared" si="12"/>
        <v/>
      </c>
      <c r="D273" s="71"/>
      <c r="E273" s="72"/>
      <c r="F273" s="73" t="str">
        <f t="shared" si="13"/>
        <v/>
      </c>
      <c r="G273" s="71"/>
      <c r="H273" s="72"/>
      <c r="I273" s="73" t="str">
        <f t="shared" si="14"/>
        <v/>
      </c>
    </row>
    <row r="274" spans="1:9" s="73" customFormat="1" ht="16.5">
      <c r="A274" s="71"/>
      <c r="B274" s="72"/>
      <c r="C274" s="73" t="str">
        <f t="shared" si="12"/>
        <v/>
      </c>
      <c r="D274" s="71"/>
      <c r="E274" s="72"/>
      <c r="F274" s="73" t="str">
        <f t="shared" si="13"/>
        <v/>
      </c>
      <c r="G274" s="71"/>
      <c r="H274" s="72"/>
      <c r="I274" s="73" t="str">
        <f t="shared" si="14"/>
        <v/>
      </c>
    </row>
    <row r="275" spans="1:9" s="73" customFormat="1" ht="16.5">
      <c r="A275" s="71"/>
      <c r="B275" s="72"/>
      <c r="C275" s="73" t="str">
        <f t="shared" si="12"/>
        <v/>
      </c>
      <c r="D275" s="71"/>
      <c r="E275" s="72"/>
      <c r="F275" s="73" t="str">
        <f t="shared" si="13"/>
        <v/>
      </c>
      <c r="G275" s="71"/>
      <c r="H275" s="72"/>
      <c r="I275" s="73" t="str">
        <f t="shared" si="14"/>
        <v/>
      </c>
    </row>
    <row r="276" spans="1:9" s="73" customFormat="1" ht="16.5">
      <c r="A276" s="71"/>
      <c r="B276" s="72"/>
      <c r="C276" s="73" t="str">
        <f t="shared" si="12"/>
        <v/>
      </c>
      <c r="D276" s="71"/>
      <c r="E276" s="72"/>
      <c r="F276" s="73" t="str">
        <f t="shared" si="13"/>
        <v/>
      </c>
      <c r="G276" s="71"/>
      <c r="H276" s="72"/>
      <c r="I276" s="73" t="str">
        <f t="shared" si="14"/>
        <v/>
      </c>
    </row>
    <row r="277" spans="1:9" s="73" customFormat="1" ht="16.5">
      <c r="A277" s="71"/>
      <c r="B277" s="72"/>
      <c r="C277" s="73" t="str">
        <f t="shared" si="12"/>
        <v/>
      </c>
      <c r="D277" s="71"/>
      <c r="E277" s="72"/>
      <c r="F277" s="73" t="str">
        <f t="shared" si="13"/>
        <v/>
      </c>
      <c r="G277" s="71"/>
      <c r="H277" s="72"/>
      <c r="I277" s="73" t="str">
        <f t="shared" si="14"/>
        <v/>
      </c>
    </row>
    <row r="278" spans="1:9" s="73" customFormat="1" ht="16.5">
      <c r="A278" s="71"/>
      <c r="B278" s="72"/>
      <c r="C278" s="73" t="str">
        <f t="shared" si="12"/>
        <v/>
      </c>
      <c r="D278" s="71"/>
      <c r="E278" s="72"/>
      <c r="F278" s="73" t="str">
        <f t="shared" si="13"/>
        <v/>
      </c>
      <c r="G278" s="71"/>
      <c r="H278" s="72"/>
      <c r="I278" s="73" t="str">
        <f t="shared" si="14"/>
        <v/>
      </c>
    </row>
    <row r="279" spans="1:9" s="73" customFormat="1" ht="16.5">
      <c r="A279" s="71"/>
      <c r="B279" s="72"/>
      <c r="C279" s="73" t="str">
        <f t="shared" si="12"/>
        <v/>
      </c>
      <c r="D279" s="71"/>
      <c r="E279" s="72"/>
      <c r="F279" s="73" t="str">
        <f t="shared" si="13"/>
        <v/>
      </c>
      <c r="G279" s="71"/>
      <c r="H279" s="72"/>
      <c r="I279" s="73" t="str">
        <f t="shared" si="14"/>
        <v/>
      </c>
    </row>
    <row r="280" spans="1:9" s="73" customFormat="1" ht="16.5">
      <c r="A280" s="71"/>
      <c r="B280" s="72"/>
      <c r="C280" s="73" t="str">
        <f t="shared" si="12"/>
        <v/>
      </c>
      <c r="D280" s="71"/>
      <c r="E280" s="72"/>
      <c r="F280" s="73" t="str">
        <f t="shared" si="13"/>
        <v/>
      </c>
      <c r="G280" s="71"/>
      <c r="H280" s="72"/>
      <c r="I280" s="73" t="str">
        <f t="shared" si="14"/>
        <v/>
      </c>
    </row>
    <row r="281" spans="1:9" s="73" customFormat="1" ht="16.5">
      <c r="A281" s="71"/>
      <c r="B281" s="72"/>
      <c r="C281" s="73" t="str">
        <f t="shared" si="12"/>
        <v/>
      </c>
      <c r="D281" s="71"/>
      <c r="E281" s="72"/>
      <c r="F281" s="73" t="str">
        <f t="shared" si="13"/>
        <v/>
      </c>
      <c r="G281" s="71"/>
      <c r="H281" s="72"/>
      <c r="I281" s="73" t="str">
        <f t="shared" si="14"/>
        <v/>
      </c>
    </row>
    <row r="282" spans="1:9" s="73" customFormat="1" ht="16.5">
      <c r="A282" s="71"/>
      <c r="B282" s="72"/>
      <c r="C282" s="73" t="str">
        <f t="shared" si="12"/>
        <v/>
      </c>
      <c r="D282" s="71"/>
      <c r="E282" s="72"/>
      <c r="F282" s="73" t="str">
        <f t="shared" si="13"/>
        <v/>
      </c>
      <c r="G282" s="71"/>
      <c r="H282" s="72"/>
      <c r="I282" s="73" t="str">
        <f t="shared" si="14"/>
        <v/>
      </c>
    </row>
    <row r="283" spans="1:9" s="73" customFormat="1" ht="16.5">
      <c r="A283" s="71"/>
      <c r="B283" s="72"/>
      <c r="C283" s="73" t="str">
        <f t="shared" si="12"/>
        <v/>
      </c>
      <c r="D283" s="71"/>
      <c r="E283" s="72"/>
      <c r="F283" s="73" t="str">
        <f t="shared" si="13"/>
        <v/>
      </c>
      <c r="G283" s="71"/>
      <c r="H283" s="72"/>
      <c r="I283" s="73" t="str">
        <f t="shared" si="14"/>
        <v/>
      </c>
    </row>
    <row r="284" spans="1:9" s="73" customFormat="1" ht="16.5">
      <c r="A284" s="71"/>
      <c r="B284" s="72"/>
      <c r="C284" s="73" t="str">
        <f t="shared" si="12"/>
        <v/>
      </c>
      <c r="D284" s="71"/>
      <c r="E284" s="72"/>
      <c r="F284" s="73" t="str">
        <f t="shared" si="13"/>
        <v/>
      </c>
      <c r="G284" s="71"/>
      <c r="H284" s="72"/>
      <c r="I284" s="73" t="str">
        <f t="shared" si="14"/>
        <v/>
      </c>
    </row>
    <row r="285" spans="1:9" s="73" customFormat="1" ht="16.5">
      <c r="A285" s="71"/>
      <c r="B285" s="72"/>
      <c r="C285" s="73" t="str">
        <f t="shared" si="12"/>
        <v/>
      </c>
      <c r="D285" s="71"/>
      <c r="E285" s="72"/>
      <c r="F285" s="73" t="str">
        <f t="shared" si="13"/>
        <v/>
      </c>
      <c r="G285" s="71"/>
      <c r="H285" s="72"/>
      <c r="I285" s="73" t="str">
        <f t="shared" si="14"/>
        <v/>
      </c>
    </row>
    <row r="286" spans="1:9" s="73" customFormat="1" ht="16.5">
      <c r="A286" s="71"/>
      <c r="B286" s="72"/>
      <c r="C286" s="73" t="str">
        <f t="shared" si="12"/>
        <v/>
      </c>
      <c r="D286" s="71"/>
      <c r="E286" s="72"/>
      <c r="F286" s="73" t="str">
        <f t="shared" si="13"/>
        <v/>
      </c>
      <c r="G286" s="71"/>
      <c r="H286" s="72"/>
      <c r="I286" s="73" t="str">
        <f t="shared" si="14"/>
        <v/>
      </c>
    </row>
    <row r="287" spans="1:9" s="73" customFormat="1" ht="16.5">
      <c r="A287" s="71"/>
      <c r="B287" s="72"/>
      <c r="C287" s="73" t="str">
        <f t="shared" si="12"/>
        <v/>
      </c>
      <c r="D287" s="71"/>
      <c r="E287" s="72"/>
      <c r="F287" s="73" t="str">
        <f t="shared" si="13"/>
        <v/>
      </c>
      <c r="G287" s="71"/>
      <c r="H287" s="72"/>
      <c r="I287" s="73" t="str">
        <f t="shared" si="14"/>
        <v/>
      </c>
    </row>
    <row r="288" spans="1:9" s="73" customFormat="1" ht="16.5">
      <c r="A288" s="71"/>
      <c r="B288" s="72"/>
      <c r="C288" s="73" t="str">
        <f t="shared" si="12"/>
        <v/>
      </c>
      <c r="D288" s="71"/>
      <c r="E288" s="72"/>
      <c r="F288" s="73" t="str">
        <f t="shared" si="13"/>
        <v/>
      </c>
      <c r="G288" s="71"/>
      <c r="H288" s="72"/>
      <c r="I288" s="73" t="str">
        <f t="shared" si="14"/>
        <v/>
      </c>
    </row>
    <row r="289" spans="1:9" s="73" customFormat="1" ht="16.5">
      <c r="A289" s="71"/>
      <c r="B289" s="72"/>
      <c r="C289" s="73" t="str">
        <f t="shared" si="12"/>
        <v/>
      </c>
      <c r="D289" s="71"/>
      <c r="E289" s="72"/>
      <c r="F289" s="73" t="str">
        <f t="shared" si="13"/>
        <v/>
      </c>
      <c r="G289" s="71"/>
      <c r="H289" s="72"/>
      <c r="I289" s="73" t="str">
        <f t="shared" si="14"/>
        <v/>
      </c>
    </row>
    <row r="290" spans="1:9" s="73" customFormat="1" ht="16.5">
      <c r="A290" s="71"/>
      <c r="B290" s="72"/>
      <c r="C290" s="73" t="str">
        <f t="shared" si="12"/>
        <v/>
      </c>
      <c r="D290" s="71"/>
      <c r="E290" s="72"/>
      <c r="F290" s="73" t="str">
        <f t="shared" si="13"/>
        <v/>
      </c>
      <c r="G290" s="71"/>
      <c r="H290" s="72"/>
      <c r="I290" s="73" t="str">
        <f t="shared" si="14"/>
        <v/>
      </c>
    </row>
    <row r="291" spans="1:9" s="73" customFormat="1" ht="16.5">
      <c r="A291" s="71"/>
      <c r="B291" s="72"/>
      <c r="C291" s="73" t="str">
        <f t="shared" si="12"/>
        <v/>
      </c>
      <c r="D291" s="71"/>
      <c r="E291" s="72"/>
      <c r="F291" s="73" t="str">
        <f t="shared" si="13"/>
        <v/>
      </c>
      <c r="G291" s="71"/>
      <c r="H291" s="72"/>
      <c r="I291" s="73" t="str">
        <f t="shared" si="14"/>
        <v/>
      </c>
    </row>
    <row r="292" spans="1:9" s="73" customFormat="1" ht="16.5">
      <c r="A292" s="71"/>
      <c r="B292" s="72"/>
      <c r="C292" s="73" t="str">
        <f t="shared" si="12"/>
        <v/>
      </c>
      <c r="D292" s="71"/>
      <c r="E292" s="72"/>
      <c r="F292" s="73" t="str">
        <f t="shared" si="13"/>
        <v/>
      </c>
      <c r="G292" s="71"/>
      <c r="H292" s="72"/>
      <c r="I292" s="73" t="str">
        <f t="shared" si="14"/>
        <v/>
      </c>
    </row>
    <row r="293" spans="1:9" s="73" customFormat="1" ht="16.5">
      <c r="A293" s="71"/>
      <c r="B293" s="72"/>
      <c r="C293" s="73" t="str">
        <f t="shared" si="12"/>
        <v/>
      </c>
      <c r="D293" s="71"/>
      <c r="E293" s="72"/>
      <c r="F293" s="73" t="str">
        <f t="shared" si="13"/>
        <v/>
      </c>
      <c r="G293" s="71"/>
      <c r="H293" s="72"/>
      <c r="I293" s="73" t="str">
        <f t="shared" si="14"/>
        <v/>
      </c>
    </row>
    <row r="294" spans="1:9" s="73" customFormat="1" ht="16.5">
      <c r="A294" s="71"/>
      <c r="B294" s="72"/>
      <c r="C294" s="73" t="str">
        <f t="shared" si="12"/>
        <v/>
      </c>
      <c r="D294" s="71"/>
      <c r="E294" s="72"/>
      <c r="F294" s="73" t="str">
        <f t="shared" si="13"/>
        <v/>
      </c>
      <c r="G294" s="71"/>
      <c r="H294" s="72"/>
      <c r="I294" s="73" t="str">
        <f t="shared" si="14"/>
        <v/>
      </c>
    </row>
    <row r="295" spans="1:9" s="73" customFormat="1" ht="16.5">
      <c r="A295" s="71"/>
      <c r="B295" s="72"/>
      <c r="C295" s="73" t="str">
        <f t="shared" si="12"/>
        <v/>
      </c>
      <c r="D295" s="71"/>
      <c r="E295" s="72"/>
      <c r="F295" s="73" t="str">
        <f t="shared" si="13"/>
        <v/>
      </c>
      <c r="G295" s="71"/>
      <c r="H295" s="72"/>
      <c r="I295" s="73" t="str">
        <f t="shared" si="14"/>
        <v/>
      </c>
    </row>
    <row r="296" spans="1:9" s="73" customFormat="1" ht="16.5">
      <c r="A296" s="71"/>
      <c r="B296" s="72"/>
      <c r="C296" s="73" t="str">
        <f t="shared" si="12"/>
        <v/>
      </c>
      <c r="D296" s="71"/>
      <c r="E296" s="72"/>
      <c r="F296" s="73" t="str">
        <f t="shared" si="13"/>
        <v/>
      </c>
      <c r="G296" s="71"/>
      <c r="H296" s="72"/>
      <c r="I296" s="73" t="str">
        <f t="shared" si="14"/>
        <v/>
      </c>
    </row>
    <row r="297" spans="1:9" s="73" customFormat="1" ht="16.5">
      <c r="A297" s="71"/>
      <c r="B297" s="72"/>
      <c r="C297" s="73" t="str">
        <f t="shared" si="12"/>
        <v/>
      </c>
      <c r="D297" s="71"/>
      <c r="E297" s="72"/>
      <c r="F297" s="73" t="str">
        <f t="shared" si="13"/>
        <v/>
      </c>
      <c r="G297" s="71"/>
      <c r="H297" s="72"/>
      <c r="I297" s="73" t="str">
        <f t="shared" si="14"/>
        <v/>
      </c>
    </row>
    <row r="298" spans="1:9" s="73" customFormat="1" ht="16.5">
      <c r="A298" s="71"/>
      <c r="B298" s="72"/>
      <c r="C298" s="73" t="str">
        <f t="shared" si="12"/>
        <v/>
      </c>
      <c r="D298" s="71"/>
      <c r="E298" s="72"/>
      <c r="F298" s="73" t="str">
        <f t="shared" si="13"/>
        <v/>
      </c>
      <c r="G298" s="71"/>
      <c r="H298" s="72"/>
      <c r="I298" s="73" t="str">
        <f t="shared" si="14"/>
        <v/>
      </c>
    </row>
    <row r="299" spans="1:9" s="73" customFormat="1" ht="16.5">
      <c r="A299" s="71"/>
      <c r="B299" s="72"/>
      <c r="C299" s="73" t="str">
        <f t="shared" si="12"/>
        <v/>
      </c>
      <c r="D299" s="71"/>
      <c r="E299" s="72"/>
      <c r="F299" s="73" t="str">
        <f t="shared" si="13"/>
        <v/>
      </c>
      <c r="G299" s="71"/>
      <c r="H299" s="72"/>
      <c r="I299" s="73" t="str">
        <f t="shared" si="14"/>
        <v/>
      </c>
    </row>
    <row r="300" spans="1:9" s="73" customFormat="1" ht="16.5">
      <c r="A300" s="71"/>
      <c r="B300" s="72"/>
      <c r="C300" s="73" t="str">
        <f t="shared" si="12"/>
        <v/>
      </c>
      <c r="D300" s="71"/>
      <c r="E300" s="72"/>
      <c r="F300" s="73" t="str">
        <f t="shared" si="13"/>
        <v/>
      </c>
      <c r="G300" s="71"/>
      <c r="H300" s="72"/>
      <c r="I300" s="73" t="str">
        <f t="shared" si="14"/>
        <v/>
      </c>
    </row>
    <row r="301" spans="1:9" s="73" customFormat="1" ht="16.5">
      <c r="A301" s="71"/>
      <c r="B301" s="72"/>
      <c r="C301" s="73" t="str">
        <f t="shared" si="12"/>
        <v/>
      </c>
      <c r="D301" s="71"/>
      <c r="E301" s="72"/>
      <c r="F301" s="73" t="str">
        <f t="shared" si="13"/>
        <v/>
      </c>
      <c r="G301" s="71"/>
      <c r="H301" s="72"/>
      <c r="I301" s="73" t="str">
        <f t="shared" si="14"/>
        <v/>
      </c>
    </row>
    <row r="302" spans="1:9" s="73" customFormat="1" ht="16.5">
      <c r="A302" s="71"/>
      <c r="B302" s="75"/>
      <c r="C302" s="73" t="str">
        <f t="shared" si="12"/>
        <v/>
      </c>
      <c r="D302" s="71"/>
      <c r="E302" s="75"/>
      <c r="F302" s="73" t="str">
        <f t="shared" si="13"/>
        <v/>
      </c>
      <c r="G302" s="71"/>
      <c r="H302" s="75"/>
      <c r="I302" s="73" t="str">
        <f t="shared" si="14"/>
        <v/>
      </c>
    </row>
    <row r="303" spans="1:9" s="73" customFormat="1" ht="16.5">
      <c r="A303" s="71"/>
      <c r="B303" s="75"/>
      <c r="C303" s="73" t="str">
        <f t="shared" si="12"/>
        <v/>
      </c>
      <c r="D303" s="71"/>
      <c r="E303" s="75"/>
      <c r="F303" s="73" t="str">
        <f t="shared" si="13"/>
        <v/>
      </c>
      <c r="G303" s="71"/>
      <c r="H303" s="75"/>
      <c r="I303" s="73" t="str">
        <f t="shared" si="14"/>
        <v/>
      </c>
    </row>
    <row r="304" spans="1:9" s="73" customFormat="1" ht="16.5">
      <c r="A304" s="71"/>
      <c r="B304" s="75"/>
      <c r="C304" s="73" t="str">
        <f t="shared" si="12"/>
        <v/>
      </c>
      <c r="D304" s="71"/>
      <c r="E304" s="75"/>
      <c r="F304" s="73" t="str">
        <f t="shared" si="13"/>
        <v/>
      </c>
      <c r="G304" s="71"/>
      <c r="H304" s="75"/>
      <c r="I304" s="73" t="str">
        <f t="shared" si="14"/>
        <v/>
      </c>
    </row>
    <row r="305" spans="1:7" s="73" customFormat="1" ht="16.5">
      <c r="A305" s="73" t="s">
        <v>1661</v>
      </c>
      <c r="D305" s="73" t="s">
        <v>1661</v>
      </c>
      <c r="G305" s="73" t="s">
        <v>1661</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628"/>
  <sheetViews>
    <sheetView zoomScaleNormal="100" workbookViewId="0">
      <pane ySplit="1" topLeftCell="A592" activePane="bottomLeft" state="frozen"/>
      <selection pane="bottomLeft" activeCell="C625" sqref="C625"/>
    </sheetView>
  </sheetViews>
  <sheetFormatPr defaultColWidth="73.375" defaultRowHeight="12"/>
  <cols>
    <col min="1" max="1" width="7.625" style="126" bestFit="1" customWidth="1"/>
    <col min="2" max="2" width="8.375" style="127" bestFit="1" customWidth="1"/>
    <col min="3" max="3" width="23.125" style="128" bestFit="1" customWidth="1"/>
    <col min="4" max="4" width="47.125" style="129" customWidth="1"/>
    <col min="5" max="5" width="56.125" style="129" customWidth="1"/>
    <col min="6" max="6" width="57.375" style="126" customWidth="1"/>
    <col min="7" max="26" width="73.375" style="126"/>
    <col min="27" max="27" width="73.375" style="126" hidden="1" customWidth="1"/>
    <col min="28" max="29" width="73.375" style="126"/>
    <col min="30" max="30" width="0" style="126" hidden="1" customWidth="1"/>
    <col min="31" max="16384" width="73.375" style="126"/>
  </cols>
  <sheetData>
    <row r="1" spans="1:6" s="124" customFormat="1">
      <c r="A1" s="124" t="s">
        <v>408</v>
      </c>
      <c r="B1" s="124" t="s">
        <v>409</v>
      </c>
      <c r="C1" s="125" t="s">
        <v>410</v>
      </c>
      <c r="D1" s="125" t="s">
        <v>18</v>
      </c>
      <c r="E1" s="125" t="s">
        <v>19</v>
      </c>
      <c r="F1" s="124" t="s">
        <v>575</v>
      </c>
    </row>
    <row r="2" spans="1:6" ht="84">
      <c r="A2" s="210" t="s">
        <v>568</v>
      </c>
      <c r="B2" s="127">
        <v>1</v>
      </c>
      <c r="C2" s="128" t="s">
        <v>473</v>
      </c>
      <c r="D2" s="129" t="s">
        <v>411</v>
      </c>
      <c r="E2" s="129" t="s">
        <v>742</v>
      </c>
      <c r="F2" s="129" t="s">
        <v>742</v>
      </c>
    </row>
    <row r="3" spans="1:6" ht="96">
      <c r="A3" s="211">
        <v>650</v>
      </c>
      <c r="B3" s="127">
        <v>2</v>
      </c>
      <c r="C3" s="128" t="s">
        <v>473</v>
      </c>
      <c r="D3" s="129" t="s">
        <v>404</v>
      </c>
      <c r="E3" s="129" t="s">
        <v>743</v>
      </c>
      <c r="F3" s="129" t="s">
        <v>743</v>
      </c>
    </row>
    <row r="4" spans="1:6" ht="60">
      <c r="B4" s="127">
        <v>3</v>
      </c>
      <c r="C4" s="128" t="s">
        <v>473</v>
      </c>
      <c r="D4" s="129" t="s">
        <v>412</v>
      </c>
      <c r="E4" s="129" t="s">
        <v>744</v>
      </c>
      <c r="F4" s="129" t="s">
        <v>744</v>
      </c>
    </row>
    <row r="5" spans="1:6" ht="60">
      <c r="B5" s="127">
        <v>4</v>
      </c>
      <c r="C5" s="128" t="s">
        <v>473</v>
      </c>
      <c r="D5" s="129" t="s">
        <v>413</v>
      </c>
      <c r="E5" s="129" t="s">
        <v>745</v>
      </c>
      <c r="F5" s="129" t="s">
        <v>745</v>
      </c>
    </row>
    <row r="6" spans="1:6" ht="60">
      <c r="B6" s="127">
        <v>5</v>
      </c>
      <c r="C6" s="128" t="s">
        <v>473</v>
      </c>
      <c r="D6" s="129" t="s">
        <v>414</v>
      </c>
      <c r="E6" s="129" t="s">
        <v>746</v>
      </c>
      <c r="F6" s="129" t="s">
        <v>746</v>
      </c>
    </row>
    <row r="7" spans="1:6" ht="48">
      <c r="B7" s="127">
        <v>6</v>
      </c>
      <c r="C7" s="128" t="s">
        <v>473</v>
      </c>
      <c r="D7" s="129" t="s">
        <v>415</v>
      </c>
      <c r="E7" s="129" t="s">
        <v>747</v>
      </c>
      <c r="F7" s="129" t="s">
        <v>747</v>
      </c>
    </row>
    <row r="8" spans="1:6">
      <c r="B8" s="127">
        <v>7</v>
      </c>
      <c r="C8" s="128" t="s">
        <v>473</v>
      </c>
      <c r="D8" s="129" t="s">
        <v>406</v>
      </c>
      <c r="E8" s="129" t="s">
        <v>748</v>
      </c>
      <c r="F8" s="129" t="s">
        <v>748</v>
      </c>
    </row>
    <row r="9" spans="1:6" ht="48">
      <c r="B9" s="127">
        <v>8</v>
      </c>
      <c r="C9" s="128" t="s">
        <v>542</v>
      </c>
      <c r="D9" s="129" t="s">
        <v>539</v>
      </c>
      <c r="E9" s="145" t="s">
        <v>1225</v>
      </c>
      <c r="F9" s="145" t="s">
        <v>1225</v>
      </c>
    </row>
    <row r="10" spans="1:6" ht="48">
      <c r="B10" s="127">
        <v>9</v>
      </c>
      <c r="C10" s="128" t="s">
        <v>542</v>
      </c>
      <c r="D10" s="129" t="s">
        <v>531</v>
      </c>
      <c r="E10" s="129" t="s">
        <v>749</v>
      </c>
      <c r="F10" s="129" t="s">
        <v>749</v>
      </c>
    </row>
    <row r="11" spans="1:6" ht="60">
      <c r="B11" s="127">
        <v>10</v>
      </c>
      <c r="C11" s="128" t="s">
        <v>542</v>
      </c>
      <c r="D11" s="129" t="s">
        <v>540</v>
      </c>
      <c r="E11" s="129" t="s">
        <v>750</v>
      </c>
      <c r="F11" s="129" t="s">
        <v>750</v>
      </c>
    </row>
    <row r="12" spans="1:6" ht="48">
      <c r="B12" s="127">
        <v>11</v>
      </c>
      <c r="C12" s="128" t="s">
        <v>542</v>
      </c>
      <c r="D12" s="129" t="s">
        <v>534</v>
      </c>
      <c r="E12" s="129" t="s">
        <v>751</v>
      </c>
      <c r="F12" s="129" t="s">
        <v>751</v>
      </c>
    </row>
    <row r="13" spans="1:6" ht="84">
      <c r="B13" s="127">
        <v>12</v>
      </c>
      <c r="C13" s="128" t="s">
        <v>542</v>
      </c>
      <c r="D13" s="129" t="s">
        <v>535</v>
      </c>
      <c r="E13" s="129" t="s">
        <v>752</v>
      </c>
      <c r="F13" s="129" t="s">
        <v>752</v>
      </c>
    </row>
    <row r="14" spans="1:6" ht="48">
      <c r="B14" s="127">
        <v>13</v>
      </c>
      <c r="C14" s="128" t="s">
        <v>473</v>
      </c>
      <c r="D14" s="129" t="s">
        <v>695</v>
      </c>
      <c r="E14" s="129" t="s">
        <v>753</v>
      </c>
      <c r="F14" s="129" t="s">
        <v>753</v>
      </c>
    </row>
    <row r="15" spans="1:6" ht="36">
      <c r="B15" s="127">
        <v>14</v>
      </c>
      <c r="C15" s="128" t="s">
        <v>473</v>
      </c>
      <c r="D15" s="129" t="s">
        <v>696</v>
      </c>
      <c r="E15" s="129" t="s">
        <v>754</v>
      </c>
      <c r="F15" s="129" t="s">
        <v>754</v>
      </c>
    </row>
    <row r="16" spans="1:6">
      <c r="B16" s="127">
        <v>15</v>
      </c>
      <c r="C16" s="128" t="s">
        <v>473</v>
      </c>
      <c r="D16" s="129" t="s">
        <v>697</v>
      </c>
      <c r="E16" s="129" t="s">
        <v>755</v>
      </c>
      <c r="F16" s="129" t="s">
        <v>755</v>
      </c>
    </row>
    <row r="17" spans="1:6">
      <c r="B17" s="127">
        <v>101</v>
      </c>
      <c r="D17" s="129" t="s">
        <v>20</v>
      </c>
      <c r="E17" s="129" t="s">
        <v>756</v>
      </c>
      <c r="F17" s="129" t="s">
        <v>756</v>
      </c>
    </row>
    <row r="18" spans="1:6">
      <c r="B18" s="127">
        <v>102</v>
      </c>
      <c r="D18" s="129" t="s">
        <v>21</v>
      </c>
      <c r="E18" s="129" t="s">
        <v>757</v>
      </c>
      <c r="F18" s="129" t="s">
        <v>757</v>
      </c>
    </row>
    <row r="19" spans="1:6">
      <c r="B19" s="127">
        <v>103</v>
      </c>
      <c r="D19" s="129" t="s">
        <v>22</v>
      </c>
      <c r="E19" s="129" t="s">
        <v>758</v>
      </c>
      <c r="F19" s="129" t="s">
        <v>758</v>
      </c>
    </row>
    <row r="20" spans="1:6">
      <c r="B20" s="127">
        <v>104</v>
      </c>
      <c r="D20" s="129" t="s">
        <v>23</v>
      </c>
      <c r="E20" s="129" t="s">
        <v>759</v>
      </c>
      <c r="F20" s="129" t="s">
        <v>759</v>
      </c>
    </row>
    <row r="21" spans="1:6">
      <c r="B21" s="127">
        <v>105</v>
      </c>
      <c r="D21" s="129" t="s">
        <v>24</v>
      </c>
      <c r="E21" s="129" t="s">
        <v>760</v>
      </c>
      <c r="F21" s="129" t="s">
        <v>760</v>
      </c>
    </row>
    <row r="22" spans="1:6">
      <c r="B22" s="127">
        <v>106</v>
      </c>
      <c r="D22" s="129" t="s">
        <v>328</v>
      </c>
      <c r="E22" s="129" t="s">
        <v>1317</v>
      </c>
      <c r="F22" s="129" t="s">
        <v>1317</v>
      </c>
    </row>
    <row r="23" spans="1:6" ht="36">
      <c r="B23" s="127">
        <v>107</v>
      </c>
      <c r="D23" s="129" t="s">
        <v>329</v>
      </c>
      <c r="E23" s="129" t="s">
        <v>761</v>
      </c>
      <c r="F23" s="129" t="s">
        <v>761</v>
      </c>
    </row>
    <row r="24" spans="1:6" ht="36">
      <c r="B24" s="127">
        <v>108</v>
      </c>
      <c r="D24" s="129" t="s">
        <v>330</v>
      </c>
      <c r="E24" s="129" t="s">
        <v>762</v>
      </c>
      <c r="F24" s="129" t="s">
        <v>762</v>
      </c>
    </row>
    <row r="25" spans="1:6">
      <c r="B25" s="127">
        <v>109</v>
      </c>
      <c r="D25" s="129" t="s">
        <v>25</v>
      </c>
      <c r="E25" s="129" t="s">
        <v>1318</v>
      </c>
      <c r="F25" s="129" t="s">
        <v>1318</v>
      </c>
    </row>
    <row r="26" spans="1:6">
      <c r="B26" s="127">
        <v>110</v>
      </c>
      <c r="D26" s="129" t="s">
        <v>26</v>
      </c>
      <c r="E26" s="129" t="s">
        <v>1319</v>
      </c>
      <c r="F26" s="129" t="s">
        <v>1319</v>
      </c>
    </row>
    <row r="27" spans="1:6">
      <c r="B27" s="127">
        <v>111</v>
      </c>
      <c r="D27" s="129" t="s">
        <v>27</v>
      </c>
      <c r="E27" s="129" t="s">
        <v>763</v>
      </c>
      <c r="F27" s="129" t="s">
        <v>763</v>
      </c>
    </row>
    <row r="28" spans="1:6">
      <c r="A28" s="131"/>
      <c r="B28" s="127">
        <v>112</v>
      </c>
      <c r="C28" s="132" t="s">
        <v>399</v>
      </c>
      <c r="D28" s="130" t="s">
        <v>416</v>
      </c>
      <c r="E28" s="130" t="s">
        <v>764</v>
      </c>
      <c r="F28" s="130" t="s">
        <v>764</v>
      </c>
    </row>
    <row r="29" spans="1:6">
      <c r="B29" s="127">
        <v>113</v>
      </c>
      <c r="D29" s="129" t="s">
        <v>28</v>
      </c>
      <c r="E29" s="129" t="s">
        <v>764</v>
      </c>
      <c r="F29" s="129" t="s">
        <v>764</v>
      </c>
    </row>
    <row r="30" spans="1:6">
      <c r="B30" s="127">
        <v>114</v>
      </c>
      <c r="C30" s="128" t="s">
        <v>500</v>
      </c>
      <c r="D30" s="129" t="s">
        <v>505</v>
      </c>
      <c r="E30" s="129" t="s">
        <v>765</v>
      </c>
      <c r="F30" s="129" t="s">
        <v>765</v>
      </c>
    </row>
    <row r="31" spans="1:6">
      <c r="B31" s="127">
        <v>115</v>
      </c>
      <c r="D31" s="129" t="s">
        <v>557</v>
      </c>
      <c r="E31" s="129" t="s">
        <v>766</v>
      </c>
      <c r="F31" s="129" t="s">
        <v>766</v>
      </c>
    </row>
    <row r="32" spans="1:6">
      <c r="B32" s="127">
        <v>116</v>
      </c>
      <c r="D32" s="129" t="s">
        <v>29</v>
      </c>
      <c r="E32" s="129" t="s">
        <v>767</v>
      </c>
      <c r="F32" s="129" t="s">
        <v>767</v>
      </c>
    </row>
    <row r="33" spans="2:6">
      <c r="B33" s="127">
        <v>117</v>
      </c>
      <c r="D33" s="129" t="s">
        <v>30</v>
      </c>
      <c r="E33" s="129" t="s">
        <v>768</v>
      </c>
      <c r="F33" s="129" t="s">
        <v>768</v>
      </c>
    </row>
    <row r="34" spans="2:6" ht="24">
      <c r="B34" s="127">
        <v>118</v>
      </c>
      <c r="D34" s="129" t="s">
        <v>331</v>
      </c>
      <c r="E34" s="129" t="s">
        <v>769</v>
      </c>
      <c r="F34" s="129" t="s">
        <v>769</v>
      </c>
    </row>
    <row r="35" spans="2:6">
      <c r="B35" s="127">
        <v>119</v>
      </c>
      <c r="D35" s="129" t="s">
        <v>486</v>
      </c>
      <c r="E35" s="129" t="s">
        <v>1450</v>
      </c>
      <c r="F35" s="129" t="s">
        <v>1450</v>
      </c>
    </row>
    <row r="36" spans="2:6">
      <c r="B36" s="127">
        <v>120</v>
      </c>
      <c r="D36" s="129" t="s">
        <v>479</v>
      </c>
      <c r="E36" s="129" t="s">
        <v>1451</v>
      </c>
      <c r="F36" s="129" t="s">
        <v>1451</v>
      </c>
    </row>
    <row r="37" spans="2:6" ht="24">
      <c r="B37" s="127">
        <v>121</v>
      </c>
      <c r="D37" s="129" t="s">
        <v>31</v>
      </c>
      <c r="E37" s="129" t="s">
        <v>1301</v>
      </c>
      <c r="F37" s="129" t="s">
        <v>1301</v>
      </c>
    </row>
    <row r="38" spans="2:6">
      <c r="B38" s="127">
        <v>122</v>
      </c>
      <c r="D38" s="129" t="s">
        <v>32</v>
      </c>
      <c r="E38" s="129" t="s">
        <v>770</v>
      </c>
      <c r="F38" s="129" t="s">
        <v>770</v>
      </c>
    </row>
    <row r="39" spans="2:6">
      <c r="B39" s="127">
        <v>123</v>
      </c>
      <c r="D39" s="129" t="s">
        <v>326</v>
      </c>
      <c r="E39" s="129" t="s">
        <v>771</v>
      </c>
      <c r="F39" s="129" t="s">
        <v>771</v>
      </c>
    </row>
    <row r="40" spans="2:6">
      <c r="B40" s="127">
        <v>124</v>
      </c>
      <c r="D40" s="129" t="s">
        <v>33</v>
      </c>
      <c r="E40" s="129" t="s">
        <v>1320</v>
      </c>
      <c r="F40" s="129" t="s">
        <v>1320</v>
      </c>
    </row>
    <row r="41" spans="2:6" ht="24">
      <c r="B41" s="127">
        <v>125</v>
      </c>
      <c r="D41" s="129" t="s">
        <v>488</v>
      </c>
      <c r="E41" s="129" t="s">
        <v>1321</v>
      </c>
      <c r="F41" s="129" t="s">
        <v>1321</v>
      </c>
    </row>
    <row r="42" spans="2:6" ht="24">
      <c r="B42" s="127">
        <v>126</v>
      </c>
      <c r="D42" s="129" t="s">
        <v>487</v>
      </c>
      <c r="E42" s="129" t="s">
        <v>1322</v>
      </c>
      <c r="F42" s="129" t="s">
        <v>1322</v>
      </c>
    </row>
    <row r="43" spans="2:6" ht="24">
      <c r="B43" s="127">
        <v>127</v>
      </c>
      <c r="D43" s="129" t="s">
        <v>34</v>
      </c>
      <c r="E43" s="129" t="s">
        <v>1302</v>
      </c>
      <c r="F43" s="129" t="s">
        <v>1302</v>
      </c>
    </row>
    <row r="44" spans="2:6" ht="24">
      <c r="B44" s="127">
        <v>128</v>
      </c>
      <c r="D44" s="129" t="s">
        <v>35</v>
      </c>
      <c r="E44" s="129" t="s">
        <v>772</v>
      </c>
      <c r="F44" s="129" t="s">
        <v>772</v>
      </c>
    </row>
    <row r="45" spans="2:6" ht="24">
      <c r="B45" s="127">
        <v>129</v>
      </c>
      <c r="D45" s="129" t="s">
        <v>327</v>
      </c>
      <c r="E45" s="129" t="s">
        <v>773</v>
      </c>
      <c r="F45" s="129" t="s">
        <v>773</v>
      </c>
    </row>
    <row r="46" spans="2:6">
      <c r="B46" s="127">
        <v>130</v>
      </c>
      <c r="D46" s="129" t="s">
        <v>36</v>
      </c>
      <c r="E46" s="129" t="s">
        <v>774</v>
      </c>
      <c r="F46" s="129" t="s">
        <v>774</v>
      </c>
    </row>
    <row r="47" spans="2:6">
      <c r="B47" s="127">
        <v>131</v>
      </c>
      <c r="D47" s="129" t="s">
        <v>332</v>
      </c>
      <c r="E47" s="129" t="s">
        <v>775</v>
      </c>
      <c r="F47" s="129" t="s">
        <v>775</v>
      </c>
    </row>
    <row r="48" spans="2:6">
      <c r="B48" s="127">
        <v>132</v>
      </c>
      <c r="D48" s="129" t="s">
        <v>37</v>
      </c>
      <c r="E48" s="129" t="s">
        <v>776</v>
      </c>
      <c r="F48" s="129" t="s">
        <v>776</v>
      </c>
    </row>
    <row r="49" spans="2:6">
      <c r="B49" s="127">
        <v>133</v>
      </c>
      <c r="D49" s="129" t="s">
        <v>583</v>
      </c>
      <c r="E49" s="129" t="s">
        <v>777</v>
      </c>
      <c r="F49" s="129" t="s">
        <v>777</v>
      </c>
    </row>
    <row r="50" spans="2:6">
      <c r="B50" s="127">
        <v>134</v>
      </c>
      <c r="D50" s="129" t="s">
        <v>582</v>
      </c>
      <c r="E50" s="129" t="s">
        <v>778</v>
      </c>
      <c r="F50" s="129" t="s">
        <v>778</v>
      </c>
    </row>
    <row r="51" spans="2:6">
      <c r="B51" s="127">
        <v>135</v>
      </c>
      <c r="D51" s="130" t="s">
        <v>581</v>
      </c>
      <c r="E51" s="133">
        <v>43435</v>
      </c>
      <c r="F51" s="133">
        <v>43435</v>
      </c>
    </row>
    <row r="52" spans="2:6">
      <c r="B52" s="127">
        <v>136</v>
      </c>
      <c r="D52" s="130" t="s">
        <v>333</v>
      </c>
      <c r="E52" s="133">
        <v>43465</v>
      </c>
      <c r="F52" s="133">
        <v>43465</v>
      </c>
    </row>
    <row r="53" spans="2:6">
      <c r="B53" s="127">
        <v>137</v>
      </c>
      <c r="D53" s="129" t="s">
        <v>38</v>
      </c>
      <c r="E53" s="129" t="s">
        <v>38</v>
      </c>
      <c r="F53" s="129" t="s">
        <v>38</v>
      </c>
    </row>
    <row r="54" spans="2:6">
      <c r="B54" s="127">
        <v>138</v>
      </c>
      <c r="D54" s="129" t="s">
        <v>39</v>
      </c>
      <c r="E54" s="129" t="s">
        <v>779</v>
      </c>
      <c r="F54" s="129" t="s">
        <v>779</v>
      </c>
    </row>
    <row r="55" spans="2:6">
      <c r="B55" s="127">
        <v>139</v>
      </c>
      <c r="C55" s="128" t="s">
        <v>417</v>
      </c>
      <c r="D55" s="129" t="s">
        <v>418</v>
      </c>
      <c r="E55" s="129" t="s">
        <v>780</v>
      </c>
      <c r="F55" s="129" t="s">
        <v>780</v>
      </c>
    </row>
    <row r="56" spans="2:6" ht="24">
      <c r="B56" s="127">
        <v>140</v>
      </c>
      <c r="D56" s="129" t="s">
        <v>40</v>
      </c>
      <c r="E56" s="129" t="s">
        <v>1323</v>
      </c>
      <c r="F56" s="129" t="s">
        <v>1323</v>
      </c>
    </row>
    <row r="57" spans="2:6" ht="24">
      <c r="B57" s="127">
        <v>141</v>
      </c>
      <c r="D57" s="129" t="s">
        <v>41</v>
      </c>
      <c r="E57" s="145" t="s">
        <v>1381</v>
      </c>
      <c r="F57" s="145" t="s">
        <v>1381</v>
      </c>
    </row>
    <row r="58" spans="2:6">
      <c r="B58" s="127">
        <v>142</v>
      </c>
      <c r="D58" s="129" t="s">
        <v>475</v>
      </c>
      <c r="E58" s="129" t="s">
        <v>781</v>
      </c>
      <c r="F58" s="129" t="s">
        <v>781</v>
      </c>
    </row>
    <row r="59" spans="2:6">
      <c r="B59" s="127">
        <v>143</v>
      </c>
      <c r="C59" s="128" t="s">
        <v>451</v>
      </c>
      <c r="D59" s="126" t="s">
        <v>334</v>
      </c>
      <c r="E59" s="134" t="s">
        <v>782</v>
      </c>
      <c r="F59" s="134" t="s">
        <v>782</v>
      </c>
    </row>
    <row r="60" spans="2:6">
      <c r="B60" s="127">
        <v>144</v>
      </c>
      <c r="D60" s="129" t="s">
        <v>42</v>
      </c>
      <c r="E60" s="129" t="s">
        <v>783</v>
      </c>
      <c r="F60" s="129" t="s">
        <v>783</v>
      </c>
    </row>
    <row r="61" spans="2:6" ht="24">
      <c r="B61" s="127">
        <v>145</v>
      </c>
      <c r="D61" s="129" t="s">
        <v>43</v>
      </c>
      <c r="E61" s="129" t="s">
        <v>784</v>
      </c>
      <c r="F61" s="129" t="s">
        <v>784</v>
      </c>
    </row>
    <row r="62" spans="2:6">
      <c r="B62" s="127">
        <v>146</v>
      </c>
      <c r="D62" s="129" t="s">
        <v>44</v>
      </c>
      <c r="E62" s="129" t="s">
        <v>785</v>
      </c>
      <c r="F62" s="129" t="s">
        <v>785</v>
      </c>
    </row>
    <row r="63" spans="2:6" ht="24">
      <c r="B63" s="127">
        <v>147</v>
      </c>
      <c r="D63" s="129" t="s">
        <v>45</v>
      </c>
      <c r="E63" s="129" t="s">
        <v>786</v>
      </c>
      <c r="F63" s="129" t="s">
        <v>786</v>
      </c>
    </row>
    <row r="64" spans="2:6">
      <c r="B64" s="127">
        <v>148</v>
      </c>
      <c r="D64" s="129" t="s">
        <v>476</v>
      </c>
      <c r="E64" s="129" t="s">
        <v>787</v>
      </c>
      <c r="F64" s="129" t="s">
        <v>787</v>
      </c>
    </row>
    <row r="65" spans="1:6">
      <c r="B65" s="127">
        <v>149</v>
      </c>
      <c r="D65" s="129" t="s">
        <v>477</v>
      </c>
      <c r="E65" s="129" t="s">
        <v>1324</v>
      </c>
      <c r="F65" s="129" t="s">
        <v>1324</v>
      </c>
    </row>
    <row r="66" spans="1:6">
      <c r="B66" s="127">
        <v>150</v>
      </c>
      <c r="D66" s="129" t="s">
        <v>46</v>
      </c>
      <c r="E66" s="129" t="s">
        <v>1325</v>
      </c>
      <c r="F66" s="129" t="s">
        <v>1325</v>
      </c>
    </row>
    <row r="67" spans="1:6">
      <c r="B67" s="127">
        <v>151</v>
      </c>
      <c r="C67" s="128" t="s">
        <v>451</v>
      </c>
      <c r="D67" s="126" t="s">
        <v>335</v>
      </c>
      <c r="E67" s="134" t="s">
        <v>788</v>
      </c>
      <c r="F67" s="134" t="s">
        <v>788</v>
      </c>
    </row>
    <row r="68" spans="1:6">
      <c r="B68" s="127">
        <v>152</v>
      </c>
      <c r="D68" s="129" t="s">
        <v>47</v>
      </c>
      <c r="E68" s="129" t="s">
        <v>789</v>
      </c>
      <c r="F68" s="129" t="s">
        <v>789</v>
      </c>
    </row>
    <row r="69" spans="1:6">
      <c r="B69" s="127">
        <v>153</v>
      </c>
      <c r="D69" s="129" t="s">
        <v>48</v>
      </c>
      <c r="E69" s="129" t="s">
        <v>790</v>
      </c>
      <c r="F69" s="129" t="s">
        <v>790</v>
      </c>
    </row>
    <row r="70" spans="1:6">
      <c r="B70" s="127">
        <v>154</v>
      </c>
      <c r="D70" s="129" t="s">
        <v>49</v>
      </c>
      <c r="E70" s="129" t="s">
        <v>791</v>
      </c>
      <c r="F70" s="129" t="s">
        <v>791</v>
      </c>
    </row>
    <row r="71" spans="1:6" ht="24">
      <c r="B71" s="127">
        <v>155</v>
      </c>
      <c r="D71" s="129" t="s">
        <v>50</v>
      </c>
      <c r="E71" s="129" t="s">
        <v>792</v>
      </c>
      <c r="F71" s="129" t="s">
        <v>792</v>
      </c>
    </row>
    <row r="72" spans="1:6">
      <c r="B72" s="127">
        <v>156</v>
      </c>
      <c r="C72" s="128" t="s">
        <v>451</v>
      </c>
      <c r="D72" s="126" t="s">
        <v>449</v>
      </c>
      <c r="E72" s="134" t="s">
        <v>793</v>
      </c>
      <c r="F72" s="134" t="s">
        <v>793</v>
      </c>
    </row>
    <row r="73" spans="1:6">
      <c r="B73" s="127">
        <v>157</v>
      </c>
      <c r="C73" s="128" t="s">
        <v>451</v>
      </c>
      <c r="D73" s="126" t="s">
        <v>448</v>
      </c>
      <c r="E73" s="134" t="s">
        <v>794</v>
      </c>
      <c r="F73" s="134" t="s">
        <v>794</v>
      </c>
    </row>
    <row r="74" spans="1:6">
      <c r="B74" s="127">
        <v>158</v>
      </c>
      <c r="D74" s="129" t="s">
        <v>336</v>
      </c>
      <c r="E74" s="129" t="s">
        <v>795</v>
      </c>
      <c r="F74" s="129" t="s">
        <v>795</v>
      </c>
    </row>
    <row r="75" spans="1:6">
      <c r="A75" s="135"/>
      <c r="B75" s="127">
        <v>159</v>
      </c>
      <c r="C75" s="132" t="s">
        <v>399</v>
      </c>
      <c r="D75" s="130" t="s">
        <v>419</v>
      </c>
      <c r="E75" s="130" t="s">
        <v>796</v>
      </c>
      <c r="F75" s="130" t="s">
        <v>796</v>
      </c>
    </row>
    <row r="76" spans="1:6">
      <c r="B76" s="127">
        <v>160</v>
      </c>
      <c r="D76" s="129" t="s">
        <v>51</v>
      </c>
      <c r="E76" s="130" t="s">
        <v>797</v>
      </c>
      <c r="F76" s="130" t="s">
        <v>797</v>
      </c>
    </row>
    <row r="77" spans="1:6">
      <c r="B77" s="127">
        <v>161</v>
      </c>
      <c r="D77" s="129" t="s">
        <v>52</v>
      </c>
      <c r="E77" s="130" t="s">
        <v>1258</v>
      </c>
      <c r="F77" s="130" t="s">
        <v>1258</v>
      </c>
    </row>
    <row r="78" spans="1:6">
      <c r="B78" s="127">
        <v>162</v>
      </c>
      <c r="D78" s="129" t="s">
        <v>1372</v>
      </c>
      <c r="E78" s="145" t="s">
        <v>1447</v>
      </c>
      <c r="F78" s="145" t="s">
        <v>1447</v>
      </c>
    </row>
    <row r="79" spans="1:6">
      <c r="B79" s="127">
        <v>163</v>
      </c>
      <c r="D79" s="129" t="s">
        <v>1373</v>
      </c>
      <c r="E79" s="145" t="s">
        <v>1446</v>
      </c>
      <c r="F79" s="145" t="s">
        <v>1446</v>
      </c>
    </row>
    <row r="80" spans="1:6">
      <c r="B80" s="127">
        <v>164</v>
      </c>
      <c r="D80" s="129" t="s">
        <v>1374</v>
      </c>
      <c r="E80" s="145" t="s">
        <v>1445</v>
      </c>
      <c r="F80" s="145" t="s">
        <v>1445</v>
      </c>
    </row>
    <row r="81" spans="1:6">
      <c r="A81" s="135"/>
      <c r="B81" s="127">
        <v>165</v>
      </c>
      <c r="C81" s="132" t="s">
        <v>399</v>
      </c>
      <c r="D81" s="130" t="s">
        <v>420</v>
      </c>
      <c r="E81" s="130" t="s">
        <v>798</v>
      </c>
      <c r="F81" s="130" t="s">
        <v>798</v>
      </c>
    </row>
    <row r="82" spans="1:6">
      <c r="A82" s="135"/>
      <c r="B82" s="127">
        <v>166</v>
      </c>
      <c r="C82" s="132" t="s">
        <v>399</v>
      </c>
      <c r="D82" s="130" t="s">
        <v>421</v>
      </c>
      <c r="E82" s="130" t="s">
        <v>799</v>
      </c>
      <c r="F82" s="130" t="s">
        <v>799</v>
      </c>
    </row>
    <row r="83" spans="1:6">
      <c r="A83" s="135"/>
      <c r="B83" s="127">
        <v>167</v>
      </c>
      <c r="C83" s="132" t="s">
        <v>399</v>
      </c>
      <c r="D83" s="130" t="s">
        <v>422</v>
      </c>
      <c r="E83" s="130" t="s">
        <v>800</v>
      </c>
      <c r="F83" s="130" t="s">
        <v>800</v>
      </c>
    </row>
    <row r="84" spans="1:6">
      <c r="A84" s="135"/>
      <c r="B84" s="127">
        <v>168</v>
      </c>
      <c r="C84" s="132" t="s">
        <v>399</v>
      </c>
      <c r="D84" s="130" t="s">
        <v>407</v>
      </c>
      <c r="E84" s="130" t="s">
        <v>801</v>
      </c>
      <c r="F84" s="130" t="s">
        <v>801</v>
      </c>
    </row>
    <row r="85" spans="1:6">
      <c r="B85" s="127">
        <v>169</v>
      </c>
      <c r="D85" s="129" t="s">
        <v>53</v>
      </c>
      <c r="E85" s="129" t="s">
        <v>802</v>
      </c>
      <c r="F85" s="129" t="s">
        <v>802</v>
      </c>
    </row>
    <row r="86" spans="1:6">
      <c r="B86" s="127">
        <v>170</v>
      </c>
      <c r="D86" s="129" t="s">
        <v>54</v>
      </c>
      <c r="E86" s="129" t="s">
        <v>803</v>
      </c>
      <c r="F86" s="129" t="s">
        <v>803</v>
      </c>
    </row>
    <row r="87" spans="1:6">
      <c r="B87" s="127">
        <v>171</v>
      </c>
      <c r="D87" s="129" t="s">
        <v>423</v>
      </c>
      <c r="E87" s="129" t="s">
        <v>804</v>
      </c>
      <c r="F87" s="129" t="s">
        <v>804</v>
      </c>
    </row>
    <row r="88" spans="1:6">
      <c r="B88" s="127">
        <v>172</v>
      </c>
      <c r="D88" s="129" t="s">
        <v>55</v>
      </c>
      <c r="E88" s="129" t="s">
        <v>805</v>
      </c>
      <c r="F88" s="129" t="s">
        <v>805</v>
      </c>
    </row>
    <row r="89" spans="1:6">
      <c r="B89" s="127">
        <v>173</v>
      </c>
      <c r="D89" s="129" t="s">
        <v>56</v>
      </c>
      <c r="E89" s="129" t="s">
        <v>806</v>
      </c>
      <c r="F89" s="129" t="s">
        <v>806</v>
      </c>
    </row>
    <row r="90" spans="1:6">
      <c r="B90" s="127">
        <v>174</v>
      </c>
      <c r="D90" s="129" t="s">
        <v>1371</v>
      </c>
      <c r="E90" s="129" t="s">
        <v>807</v>
      </c>
      <c r="F90" s="129" t="s">
        <v>807</v>
      </c>
    </row>
    <row r="91" spans="1:6" ht="24">
      <c r="B91" s="127">
        <v>175</v>
      </c>
      <c r="D91" s="129" t="s">
        <v>1377</v>
      </c>
      <c r="E91" s="145" t="s">
        <v>1378</v>
      </c>
      <c r="F91" s="145" t="s">
        <v>1378</v>
      </c>
    </row>
    <row r="92" spans="1:6" ht="24">
      <c r="B92" s="127">
        <v>176</v>
      </c>
      <c r="D92" s="129" t="s">
        <v>1370</v>
      </c>
      <c r="E92" s="145" t="s">
        <v>1379</v>
      </c>
      <c r="F92" s="129" t="s">
        <v>1303</v>
      </c>
    </row>
    <row r="93" spans="1:6">
      <c r="B93" s="127">
        <v>177</v>
      </c>
      <c r="D93" s="129" t="s">
        <v>57</v>
      </c>
      <c r="E93" s="129" t="s">
        <v>808</v>
      </c>
      <c r="F93" s="129" t="s">
        <v>808</v>
      </c>
    </row>
    <row r="94" spans="1:6">
      <c r="B94" s="127">
        <v>178</v>
      </c>
      <c r="D94" s="129" t="s">
        <v>58</v>
      </c>
      <c r="E94" s="129" t="s">
        <v>809</v>
      </c>
      <c r="F94" s="129" t="s">
        <v>809</v>
      </c>
    </row>
    <row r="95" spans="1:6">
      <c r="B95" s="127">
        <v>179</v>
      </c>
      <c r="D95" s="129" t="s">
        <v>59</v>
      </c>
      <c r="E95" s="129" t="s">
        <v>810</v>
      </c>
      <c r="F95" s="129" t="s">
        <v>810</v>
      </c>
    </row>
    <row r="96" spans="1:6">
      <c r="B96" s="127">
        <v>180</v>
      </c>
      <c r="D96" s="129" t="s">
        <v>337</v>
      </c>
      <c r="E96" s="129" t="s">
        <v>811</v>
      </c>
      <c r="F96" s="129" t="s">
        <v>811</v>
      </c>
    </row>
    <row r="97" spans="2:6">
      <c r="B97" s="127">
        <v>181</v>
      </c>
      <c r="C97" s="128" t="s">
        <v>500</v>
      </c>
      <c r="D97" s="129" t="s">
        <v>521</v>
      </c>
      <c r="E97" s="129" t="s">
        <v>812</v>
      </c>
      <c r="F97" s="129" t="s">
        <v>812</v>
      </c>
    </row>
    <row r="98" spans="2:6" ht="36">
      <c r="B98" s="127">
        <v>182</v>
      </c>
      <c r="C98" s="128" t="s">
        <v>500</v>
      </c>
      <c r="D98" s="129" t="s">
        <v>541</v>
      </c>
      <c r="E98" s="129" t="s">
        <v>813</v>
      </c>
      <c r="F98" s="129" t="s">
        <v>813</v>
      </c>
    </row>
    <row r="99" spans="2:6">
      <c r="B99" s="127">
        <v>183</v>
      </c>
      <c r="D99" s="129" t="s">
        <v>60</v>
      </c>
      <c r="E99" s="129" t="s">
        <v>814</v>
      </c>
      <c r="F99" s="129" t="s">
        <v>814</v>
      </c>
    </row>
    <row r="100" spans="2:6">
      <c r="B100" s="127">
        <v>184</v>
      </c>
      <c r="D100" s="129" t="s">
        <v>572</v>
      </c>
      <c r="E100" s="129" t="s">
        <v>815</v>
      </c>
      <c r="F100" s="129" t="s">
        <v>815</v>
      </c>
    </row>
    <row r="101" spans="2:6">
      <c r="B101" s="127">
        <v>185</v>
      </c>
      <c r="D101" s="129" t="s">
        <v>61</v>
      </c>
      <c r="E101" s="129" t="s">
        <v>816</v>
      </c>
      <c r="F101" s="129" t="s">
        <v>816</v>
      </c>
    </row>
    <row r="102" spans="2:6" ht="24">
      <c r="B102" s="127">
        <v>186</v>
      </c>
      <c r="D102" s="129" t="s">
        <v>62</v>
      </c>
      <c r="E102" s="129" t="s">
        <v>817</v>
      </c>
      <c r="F102" s="129" t="s">
        <v>817</v>
      </c>
    </row>
    <row r="103" spans="2:6" ht="24">
      <c r="B103" s="127">
        <v>187</v>
      </c>
      <c r="D103" s="129" t="s">
        <v>63</v>
      </c>
      <c r="E103" s="129" t="s">
        <v>818</v>
      </c>
      <c r="F103" s="129" t="s">
        <v>818</v>
      </c>
    </row>
    <row r="104" spans="2:6" ht="24">
      <c r="B104" s="127">
        <v>188</v>
      </c>
      <c r="D104" s="129" t="s">
        <v>64</v>
      </c>
      <c r="E104" s="129" t="s">
        <v>819</v>
      </c>
      <c r="F104" s="129" t="s">
        <v>819</v>
      </c>
    </row>
    <row r="105" spans="2:6">
      <c r="B105" s="127">
        <v>189</v>
      </c>
      <c r="D105" s="129" t="s">
        <v>65</v>
      </c>
      <c r="E105" s="129" t="s">
        <v>820</v>
      </c>
      <c r="F105" s="129" t="s">
        <v>820</v>
      </c>
    </row>
    <row r="106" spans="2:6">
      <c r="B106" s="127">
        <v>190</v>
      </c>
      <c r="C106" s="128" t="s">
        <v>500</v>
      </c>
      <c r="D106" s="129" t="s">
        <v>519</v>
      </c>
      <c r="E106" s="129" t="s">
        <v>821</v>
      </c>
      <c r="F106" s="129" t="s">
        <v>821</v>
      </c>
    </row>
    <row r="107" spans="2:6">
      <c r="B107" s="127">
        <v>191</v>
      </c>
      <c r="D107" s="129" t="s">
        <v>547</v>
      </c>
      <c r="E107" s="129" t="s">
        <v>822</v>
      </c>
      <c r="F107" s="129" t="s">
        <v>822</v>
      </c>
    </row>
    <row r="108" spans="2:6">
      <c r="B108" s="127">
        <v>192</v>
      </c>
      <c r="D108" s="129" t="s">
        <v>441</v>
      </c>
      <c r="E108" s="129" t="s">
        <v>823</v>
      </c>
      <c r="F108" s="129" t="s">
        <v>823</v>
      </c>
    </row>
    <row r="109" spans="2:6">
      <c r="B109" s="127">
        <v>193</v>
      </c>
      <c r="D109" s="129" t="s">
        <v>442</v>
      </c>
      <c r="E109" s="129" t="s">
        <v>824</v>
      </c>
      <c r="F109" s="129" t="s">
        <v>824</v>
      </c>
    </row>
    <row r="110" spans="2:6">
      <c r="B110" s="127">
        <v>194</v>
      </c>
      <c r="D110" s="129" t="s">
        <v>66</v>
      </c>
      <c r="E110" s="129" t="s">
        <v>825</v>
      </c>
      <c r="F110" s="129" t="s">
        <v>825</v>
      </c>
    </row>
    <row r="111" spans="2:6">
      <c r="B111" s="127">
        <v>195</v>
      </c>
      <c r="D111" s="129" t="s">
        <v>67</v>
      </c>
      <c r="E111" s="129" t="s">
        <v>826</v>
      </c>
      <c r="F111" s="129" t="s">
        <v>826</v>
      </c>
    </row>
    <row r="112" spans="2:6">
      <c r="B112" s="127">
        <v>196</v>
      </c>
      <c r="D112" s="129" t="s">
        <v>338</v>
      </c>
      <c r="E112" s="129" t="s">
        <v>827</v>
      </c>
      <c r="F112" s="129" t="s">
        <v>827</v>
      </c>
    </row>
    <row r="113" spans="2:6" ht="24">
      <c r="B113" s="127">
        <v>197</v>
      </c>
      <c r="D113" s="129" t="s">
        <v>339</v>
      </c>
      <c r="E113" s="129" t="s">
        <v>828</v>
      </c>
      <c r="F113" s="129" t="s">
        <v>828</v>
      </c>
    </row>
    <row r="114" spans="2:6" ht="24">
      <c r="B114" s="127">
        <v>198</v>
      </c>
      <c r="D114" s="129" t="s">
        <v>68</v>
      </c>
      <c r="E114" s="129" t="s">
        <v>829</v>
      </c>
      <c r="F114" s="129" t="s">
        <v>829</v>
      </c>
    </row>
    <row r="115" spans="2:6">
      <c r="B115" s="127">
        <v>199</v>
      </c>
      <c r="D115" s="129" t="s">
        <v>574</v>
      </c>
      <c r="E115" s="129" t="s">
        <v>830</v>
      </c>
      <c r="F115" s="129" t="s">
        <v>830</v>
      </c>
    </row>
    <row r="116" spans="2:6">
      <c r="B116" s="127">
        <v>200</v>
      </c>
      <c r="D116" s="129" t="s">
        <v>69</v>
      </c>
      <c r="E116" s="129" t="s">
        <v>70</v>
      </c>
      <c r="F116" s="129" t="s">
        <v>70</v>
      </c>
    </row>
    <row r="117" spans="2:6">
      <c r="B117" s="127">
        <v>201</v>
      </c>
      <c r="D117" s="129" t="s">
        <v>566</v>
      </c>
      <c r="E117" s="129" t="s">
        <v>831</v>
      </c>
      <c r="F117" s="129" t="s">
        <v>831</v>
      </c>
    </row>
    <row r="118" spans="2:6">
      <c r="B118" s="127">
        <v>202</v>
      </c>
      <c r="D118" s="129" t="s">
        <v>340</v>
      </c>
      <c r="E118" s="129" t="s">
        <v>832</v>
      </c>
      <c r="F118" s="129" t="s">
        <v>832</v>
      </c>
    </row>
    <row r="119" spans="2:6">
      <c r="B119" s="127">
        <v>203</v>
      </c>
      <c r="D119" s="129" t="s">
        <v>341</v>
      </c>
      <c r="E119" s="129" t="s">
        <v>833</v>
      </c>
      <c r="F119" s="129" t="s">
        <v>833</v>
      </c>
    </row>
    <row r="120" spans="2:6">
      <c r="B120" s="127">
        <v>204</v>
      </c>
      <c r="D120" s="129" t="s">
        <v>342</v>
      </c>
      <c r="E120" s="129" t="s">
        <v>834</v>
      </c>
      <c r="F120" s="129" t="s">
        <v>834</v>
      </c>
    </row>
    <row r="121" spans="2:6">
      <c r="B121" s="127">
        <v>205</v>
      </c>
      <c r="D121" s="129" t="s">
        <v>558</v>
      </c>
      <c r="E121" s="129" t="s">
        <v>835</v>
      </c>
      <c r="F121" s="129" t="s">
        <v>835</v>
      </c>
    </row>
    <row r="122" spans="2:6">
      <c r="B122" s="127">
        <v>206</v>
      </c>
      <c r="D122" s="129" t="s">
        <v>1267</v>
      </c>
      <c r="E122" s="129" t="s">
        <v>1259</v>
      </c>
      <c r="F122" s="129" t="s">
        <v>1259</v>
      </c>
    </row>
    <row r="123" spans="2:6">
      <c r="B123" s="127">
        <v>207</v>
      </c>
      <c r="D123" s="129" t="s">
        <v>71</v>
      </c>
      <c r="E123" s="129" t="s">
        <v>1326</v>
      </c>
      <c r="F123" s="129" t="s">
        <v>1326</v>
      </c>
    </row>
    <row r="124" spans="2:6" ht="24">
      <c r="B124" s="127">
        <v>208</v>
      </c>
      <c r="D124" s="129" t="s">
        <v>72</v>
      </c>
      <c r="E124" s="129" t="s">
        <v>1327</v>
      </c>
      <c r="F124" s="129" t="s">
        <v>1327</v>
      </c>
    </row>
    <row r="125" spans="2:6" ht="24">
      <c r="B125" s="127">
        <v>209</v>
      </c>
      <c r="D125" s="129" t="s">
        <v>73</v>
      </c>
      <c r="E125" s="129" t="s">
        <v>1328</v>
      </c>
      <c r="F125" s="129" t="s">
        <v>1328</v>
      </c>
    </row>
    <row r="126" spans="2:6">
      <c r="B126" s="127">
        <v>210</v>
      </c>
      <c r="D126" s="129" t="s">
        <v>443</v>
      </c>
      <c r="E126" s="129" t="s">
        <v>836</v>
      </c>
      <c r="F126" s="129" t="s">
        <v>836</v>
      </c>
    </row>
    <row r="127" spans="2:6">
      <c r="B127" s="127">
        <v>211</v>
      </c>
      <c r="D127" s="129" t="s">
        <v>74</v>
      </c>
      <c r="E127" s="129" t="s">
        <v>74</v>
      </c>
      <c r="F127" s="129" t="s">
        <v>74</v>
      </c>
    </row>
    <row r="128" spans="2:6">
      <c r="B128" s="127">
        <v>212</v>
      </c>
      <c r="D128" s="129" t="s">
        <v>75</v>
      </c>
      <c r="E128" s="129" t="s">
        <v>837</v>
      </c>
      <c r="F128" s="129" t="s">
        <v>837</v>
      </c>
    </row>
    <row r="129" spans="2:6">
      <c r="B129" s="127">
        <v>213</v>
      </c>
      <c r="D129" s="129" t="s">
        <v>76</v>
      </c>
      <c r="E129" s="129" t="s">
        <v>838</v>
      </c>
      <c r="F129" s="129" t="s">
        <v>838</v>
      </c>
    </row>
    <row r="130" spans="2:6">
      <c r="B130" s="127">
        <v>214</v>
      </c>
      <c r="D130" s="129" t="s">
        <v>77</v>
      </c>
      <c r="E130" s="129" t="s">
        <v>839</v>
      </c>
      <c r="F130" s="129" t="s">
        <v>839</v>
      </c>
    </row>
    <row r="131" spans="2:6">
      <c r="B131" s="127">
        <v>215</v>
      </c>
      <c r="D131" s="129" t="s">
        <v>343</v>
      </c>
      <c r="E131" s="129" t="s">
        <v>840</v>
      </c>
      <c r="F131" s="129" t="s">
        <v>840</v>
      </c>
    </row>
    <row r="132" spans="2:6">
      <c r="B132" s="127">
        <v>216</v>
      </c>
      <c r="D132" s="129" t="s">
        <v>78</v>
      </c>
      <c r="E132" s="129" t="s">
        <v>841</v>
      </c>
      <c r="F132" s="129" t="s">
        <v>841</v>
      </c>
    </row>
    <row r="133" spans="2:6">
      <c r="B133" s="127">
        <v>217</v>
      </c>
      <c r="D133" s="129" t="s">
        <v>344</v>
      </c>
      <c r="E133" s="129" t="s">
        <v>842</v>
      </c>
      <c r="F133" s="129" t="s">
        <v>842</v>
      </c>
    </row>
    <row r="134" spans="2:6">
      <c r="B134" s="127">
        <v>218</v>
      </c>
      <c r="D134" s="129" t="s">
        <v>79</v>
      </c>
      <c r="E134" s="129" t="s">
        <v>843</v>
      </c>
      <c r="F134" s="129" t="s">
        <v>843</v>
      </c>
    </row>
    <row r="135" spans="2:6">
      <c r="B135" s="127">
        <v>219</v>
      </c>
      <c r="D135" s="129" t="s">
        <v>80</v>
      </c>
      <c r="E135" s="129" t="s">
        <v>844</v>
      </c>
      <c r="F135" s="129" t="s">
        <v>844</v>
      </c>
    </row>
    <row r="136" spans="2:6">
      <c r="B136" s="127">
        <v>220</v>
      </c>
      <c r="D136" s="129" t="s">
        <v>81</v>
      </c>
      <c r="E136" s="129" t="s">
        <v>845</v>
      </c>
      <c r="F136" s="129" t="s">
        <v>845</v>
      </c>
    </row>
    <row r="137" spans="2:6">
      <c r="B137" s="127">
        <v>221</v>
      </c>
      <c r="D137" s="129" t="s">
        <v>345</v>
      </c>
      <c r="E137" s="129" t="s">
        <v>846</v>
      </c>
      <c r="F137" s="129" t="s">
        <v>846</v>
      </c>
    </row>
    <row r="138" spans="2:6">
      <c r="B138" s="127">
        <v>222</v>
      </c>
      <c r="D138" s="129" t="s">
        <v>82</v>
      </c>
      <c r="E138" s="129" t="s">
        <v>847</v>
      </c>
      <c r="F138" s="129" t="s">
        <v>847</v>
      </c>
    </row>
    <row r="139" spans="2:6">
      <c r="B139" s="127">
        <v>223</v>
      </c>
      <c r="D139" s="129" t="s">
        <v>83</v>
      </c>
      <c r="E139" s="129" t="s">
        <v>848</v>
      </c>
      <c r="F139" s="129" t="s">
        <v>848</v>
      </c>
    </row>
    <row r="140" spans="2:6">
      <c r="B140" s="127">
        <v>224</v>
      </c>
      <c r="C140" s="128" t="s">
        <v>451</v>
      </c>
      <c r="D140" s="129" t="s">
        <v>460</v>
      </c>
      <c r="E140" s="129" t="s">
        <v>849</v>
      </c>
      <c r="F140" s="129" t="s">
        <v>849</v>
      </c>
    </row>
    <row r="141" spans="2:6">
      <c r="B141" s="127">
        <v>225</v>
      </c>
      <c r="D141" s="129" t="s">
        <v>84</v>
      </c>
      <c r="E141" s="129" t="s">
        <v>850</v>
      </c>
      <c r="F141" s="129" t="s">
        <v>850</v>
      </c>
    </row>
    <row r="142" spans="2:6">
      <c r="B142" s="127">
        <v>226</v>
      </c>
      <c r="D142" s="129" t="s">
        <v>543</v>
      </c>
      <c r="E142" s="129" t="s">
        <v>851</v>
      </c>
      <c r="F142" s="129" t="s">
        <v>851</v>
      </c>
    </row>
    <row r="143" spans="2:6">
      <c r="B143" s="127">
        <v>227</v>
      </c>
      <c r="D143" s="129" t="s">
        <v>346</v>
      </c>
      <c r="E143" s="129" t="s">
        <v>852</v>
      </c>
      <c r="F143" s="129" t="s">
        <v>852</v>
      </c>
    </row>
    <row r="144" spans="2:6">
      <c r="B144" s="127">
        <v>228</v>
      </c>
      <c r="D144" s="129" t="s">
        <v>347</v>
      </c>
      <c r="E144" s="129" t="s">
        <v>853</v>
      </c>
      <c r="F144" s="129" t="s">
        <v>853</v>
      </c>
    </row>
    <row r="145" spans="2:6">
      <c r="B145" s="127">
        <v>229</v>
      </c>
      <c r="D145" s="129" t="s">
        <v>498</v>
      </c>
      <c r="E145" s="129" t="s">
        <v>854</v>
      </c>
      <c r="F145" s="129" t="s">
        <v>854</v>
      </c>
    </row>
    <row r="146" spans="2:6">
      <c r="B146" s="127">
        <v>230</v>
      </c>
      <c r="D146" s="129" t="s">
        <v>497</v>
      </c>
      <c r="E146" s="129" t="s">
        <v>855</v>
      </c>
      <c r="F146" s="129" t="s">
        <v>855</v>
      </c>
    </row>
    <row r="147" spans="2:6">
      <c r="B147" s="127">
        <v>231</v>
      </c>
      <c r="D147" s="129" t="s">
        <v>348</v>
      </c>
      <c r="E147" s="129" t="s">
        <v>856</v>
      </c>
      <c r="F147" s="129" t="s">
        <v>856</v>
      </c>
    </row>
    <row r="148" spans="2:6">
      <c r="B148" s="127">
        <v>232</v>
      </c>
      <c r="D148" s="129" t="s">
        <v>556</v>
      </c>
      <c r="E148" s="129" t="s">
        <v>857</v>
      </c>
      <c r="F148" s="129" t="s">
        <v>857</v>
      </c>
    </row>
    <row r="149" spans="2:6">
      <c r="B149" s="127">
        <v>233</v>
      </c>
      <c r="D149" s="129" t="s">
        <v>349</v>
      </c>
      <c r="E149" s="129" t="s">
        <v>858</v>
      </c>
      <c r="F149" s="129" t="s">
        <v>858</v>
      </c>
    </row>
    <row r="150" spans="2:6">
      <c r="B150" s="127">
        <v>234</v>
      </c>
      <c r="D150" s="129" t="s">
        <v>350</v>
      </c>
      <c r="E150" s="129" t="s">
        <v>859</v>
      </c>
      <c r="F150" s="129" t="s">
        <v>859</v>
      </c>
    </row>
    <row r="151" spans="2:6">
      <c r="B151" s="127">
        <v>235</v>
      </c>
      <c r="D151" s="129" t="s">
        <v>85</v>
      </c>
      <c r="E151" s="129" t="s">
        <v>860</v>
      </c>
      <c r="F151" s="129" t="s">
        <v>860</v>
      </c>
    </row>
    <row r="152" spans="2:6">
      <c r="B152" s="127">
        <v>236</v>
      </c>
      <c r="D152" s="129" t="s">
        <v>351</v>
      </c>
      <c r="E152" s="129" t="s">
        <v>861</v>
      </c>
      <c r="F152" s="129" t="s">
        <v>861</v>
      </c>
    </row>
    <row r="153" spans="2:6">
      <c r="B153" s="127">
        <v>237</v>
      </c>
      <c r="D153" s="129" t="s">
        <v>1254</v>
      </c>
      <c r="E153" s="129" t="s">
        <v>862</v>
      </c>
      <c r="F153" s="129" t="s">
        <v>862</v>
      </c>
    </row>
    <row r="154" spans="2:6">
      <c r="B154" s="127">
        <v>238</v>
      </c>
      <c r="D154" s="129" t="s">
        <v>86</v>
      </c>
      <c r="E154" s="129" t="s">
        <v>863</v>
      </c>
      <c r="F154" s="129" t="s">
        <v>863</v>
      </c>
    </row>
    <row r="155" spans="2:6">
      <c r="B155" s="127">
        <v>239</v>
      </c>
      <c r="D155" s="129" t="s">
        <v>87</v>
      </c>
      <c r="E155" s="129" t="s">
        <v>864</v>
      </c>
      <c r="F155" s="129" t="s">
        <v>864</v>
      </c>
    </row>
    <row r="156" spans="2:6">
      <c r="B156" s="127">
        <v>240</v>
      </c>
      <c r="D156" s="129" t="s">
        <v>88</v>
      </c>
      <c r="E156" s="129" t="s">
        <v>865</v>
      </c>
      <c r="F156" s="129" t="s">
        <v>865</v>
      </c>
    </row>
    <row r="157" spans="2:6">
      <c r="B157" s="127">
        <v>241</v>
      </c>
      <c r="D157" s="129" t="s">
        <v>352</v>
      </c>
      <c r="E157" s="129" t="s">
        <v>1329</v>
      </c>
      <c r="F157" s="129" t="s">
        <v>1329</v>
      </c>
    </row>
    <row r="158" spans="2:6">
      <c r="B158" s="127">
        <v>242</v>
      </c>
      <c r="D158" s="129" t="s">
        <v>353</v>
      </c>
      <c r="E158" s="129" t="s">
        <v>866</v>
      </c>
      <c r="F158" s="129" t="s">
        <v>866</v>
      </c>
    </row>
    <row r="159" spans="2:6">
      <c r="B159" s="127">
        <v>243</v>
      </c>
      <c r="D159" s="129" t="s">
        <v>544</v>
      </c>
      <c r="E159" s="129" t="s">
        <v>867</v>
      </c>
      <c r="F159" s="129" t="s">
        <v>867</v>
      </c>
    </row>
    <row r="160" spans="2:6">
      <c r="B160" s="127">
        <v>244</v>
      </c>
      <c r="D160" s="129" t="s">
        <v>597</v>
      </c>
      <c r="E160" s="129" t="s">
        <v>868</v>
      </c>
      <c r="F160" s="129" t="s">
        <v>868</v>
      </c>
    </row>
    <row r="161" spans="2:6">
      <c r="B161" s="127">
        <v>245</v>
      </c>
      <c r="D161" s="129" t="s">
        <v>598</v>
      </c>
      <c r="E161" s="129" t="s">
        <v>869</v>
      </c>
      <c r="F161" s="129" t="s">
        <v>869</v>
      </c>
    </row>
    <row r="162" spans="2:6">
      <c r="B162" s="127">
        <v>246</v>
      </c>
      <c r="D162" s="129" t="s">
        <v>354</v>
      </c>
      <c r="E162" s="129" t="s">
        <v>1330</v>
      </c>
      <c r="F162" s="129" t="s">
        <v>1330</v>
      </c>
    </row>
    <row r="163" spans="2:6">
      <c r="B163" s="127">
        <v>247</v>
      </c>
      <c r="D163" s="129" t="s">
        <v>546</v>
      </c>
      <c r="E163" s="129" t="s">
        <v>870</v>
      </c>
      <c r="F163" s="129" t="s">
        <v>870</v>
      </c>
    </row>
    <row r="164" spans="2:6">
      <c r="B164" s="127">
        <v>248</v>
      </c>
      <c r="D164" s="129" t="s">
        <v>355</v>
      </c>
      <c r="E164" s="129" t="s">
        <v>871</v>
      </c>
      <c r="F164" s="129" t="s">
        <v>871</v>
      </c>
    </row>
    <row r="165" spans="2:6">
      <c r="B165" s="127">
        <v>249</v>
      </c>
      <c r="D165" s="129" t="s">
        <v>356</v>
      </c>
      <c r="E165" s="129" t="s">
        <v>872</v>
      </c>
      <c r="F165" s="129" t="s">
        <v>872</v>
      </c>
    </row>
    <row r="166" spans="2:6">
      <c r="B166" s="127">
        <v>250</v>
      </c>
      <c r="D166" s="129" t="s">
        <v>89</v>
      </c>
      <c r="E166" s="129" t="s">
        <v>873</v>
      </c>
      <c r="F166" s="129" t="s">
        <v>873</v>
      </c>
    </row>
    <row r="167" spans="2:6">
      <c r="B167" s="127">
        <v>251</v>
      </c>
      <c r="D167" s="129" t="s">
        <v>90</v>
      </c>
      <c r="E167" s="145" t="s">
        <v>1380</v>
      </c>
      <c r="F167" s="145" t="s">
        <v>1380</v>
      </c>
    </row>
    <row r="168" spans="2:6">
      <c r="B168" s="127">
        <v>252</v>
      </c>
      <c r="D168" s="129" t="s">
        <v>545</v>
      </c>
      <c r="E168" s="129" t="s">
        <v>874</v>
      </c>
      <c r="F168" s="129" t="s">
        <v>874</v>
      </c>
    </row>
    <row r="169" spans="2:6">
      <c r="B169" s="127">
        <v>253</v>
      </c>
      <c r="D169" s="129" t="s">
        <v>607</v>
      </c>
      <c r="E169" s="129" t="s">
        <v>875</v>
      </c>
      <c r="F169" s="129" t="s">
        <v>875</v>
      </c>
    </row>
    <row r="170" spans="2:6">
      <c r="B170" s="127">
        <v>254</v>
      </c>
      <c r="D170" s="129" t="s">
        <v>91</v>
      </c>
      <c r="E170" s="129" t="s">
        <v>876</v>
      </c>
      <c r="F170" s="129" t="s">
        <v>876</v>
      </c>
    </row>
    <row r="171" spans="2:6">
      <c r="B171" s="127">
        <v>255</v>
      </c>
      <c r="C171" s="128" t="s">
        <v>451</v>
      </c>
      <c r="D171" s="129" t="s">
        <v>457</v>
      </c>
      <c r="E171" s="129" t="s">
        <v>877</v>
      </c>
      <c r="F171" s="129" t="s">
        <v>877</v>
      </c>
    </row>
    <row r="172" spans="2:6">
      <c r="B172" s="127">
        <v>256</v>
      </c>
      <c r="D172" s="129" t="s">
        <v>92</v>
      </c>
      <c r="E172" s="129" t="s">
        <v>878</v>
      </c>
      <c r="F172" s="129" t="s">
        <v>878</v>
      </c>
    </row>
    <row r="173" spans="2:6">
      <c r="B173" s="127">
        <v>257</v>
      </c>
      <c r="D173" s="129" t="s">
        <v>357</v>
      </c>
      <c r="E173" s="129" t="s">
        <v>879</v>
      </c>
      <c r="F173" s="129" t="s">
        <v>879</v>
      </c>
    </row>
    <row r="174" spans="2:6">
      <c r="B174" s="127">
        <v>258</v>
      </c>
      <c r="D174" s="129" t="s">
        <v>358</v>
      </c>
      <c r="E174" s="129" t="s">
        <v>1331</v>
      </c>
      <c r="F174" s="129" t="s">
        <v>1331</v>
      </c>
    </row>
    <row r="175" spans="2:6">
      <c r="B175" s="127">
        <v>259</v>
      </c>
      <c r="D175" s="129" t="s">
        <v>359</v>
      </c>
      <c r="E175" s="129" t="s">
        <v>880</v>
      </c>
      <c r="F175" s="129" t="s">
        <v>880</v>
      </c>
    </row>
    <row r="176" spans="2:6">
      <c r="B176" s="127">
        <v>260</v>
      </c>
      <c r="D176" s="129" t="s">
        <v>490</v>
      </c>
      <c r="E176" s="129" t="s">
        <v>881</v>
      </c>
      <c r="F176" s="129" t="s">
        <v>881</v>
      </c>
    </row>
    <row r="177" spans="2:6">
      <c r="B177" s="127">
        <v>261</v>
      </c>
      <c r="D177" s="129" t="s">
        <v>492</v>
      </c>
      <c r="E177" s="129" t="s">
        <v>882</v>
      </c>
      <c r="F177" s="129" t="s">
        <v>882</v>
      </c>
    </row>
    <row r="178" spans="2:6" ht="24">
      <c r="B178" s="127">
        <v>262</v>
      </c>
      <c r="D178" s="129" t="s">
        <v>1375</v>
      </c>
      <c r="E178" s="145" t="s">
        <v>1376</v>
      </c>
      <c r="F178" s="145" t="s">
        <v>1376</v>
      </c>
    </row>
    <row r="179" spans="2:6" ht="24">
      <c r="B179" s="127">
        <v>263</v>
      </c>
      <c r="D179" s="129" t="s">
        <v>1369</v>
      </c>
      <c r="E179" s="145" t="s">
        <v>1368</v>
      </c>
      <c r="F179" s="145" t="s">
        <v>1368</v>
      </c>
    </row>
    <row r="180" spans="2:6">
      <c r="B180" s="127">
        <v>264</v>
      </c>
      <c r="D180" s="129" t="s">
        <v>491</v>
      </c>
      <c r="E180" s="129" t="s">
        <v>1332</v>
      </c>
      <c r="F180" s="129" t="s">
        <v>1332</v>
      </c>
    </row>
    <row r="181" spans="2:6">
      <c r="B181" s="127">
        <v>265</v>
      </c>
      <c r="D181" s="129" t="s">
        <v>493</v>
      </c>
      <c r="E181" s="129" t="s">
        <v>883</v>
      </c>
      <c r="F181" s="129" t="s">
        <v>883</v>
      </c>
    </row>
    <row r="182" spans="2:6">
      <c r="B182" s="127">
        <v>266</v>
      </c>
      <c r="D182" s="129" t="s">
        <v>489</v>
      </c>
      <c r="E182" s="129" t="s">
        <v>884</v>
      </c>
      <c r="F182" s="129" t="s">
        <v>884</v>
      </c>
    </row>
    <row r="183" spans="2:6">
      <c r="B183" s="127">
        <v>267</v>
      </c>
      <c r="D183" s="129" t="s">
        <v>93</v>
      </c>
      <c r="E183" s="129" t="s">
        <v>885</v>
      </c>
      <c r="F183" s="129" t="s">
        <v>885</v>
      </c>
    </row>
    <row r="184" spans="2:6">
      <c r="B184" s="127">
        <v>268</v>
      </c>
      <c r="D184" s="129" t="s">
        <v>562</v>
      </c>
      <c r="E184" s="129" t="s">
        <v>886</v>
      </c>
      <c r="F184" s="129" t="s">
        <v>886</v>
      </c>
    </row>
    <row r="185" spans="2:6">
      <c r="B185" s="127">
        <v>269</v>
      </c>
      <c r="D185" s="129" t="s">
        <v>94</v>
      </c>
      <c r="E185" s="129" t="s">
        <v>887</v>
      </c>
      <c r="F185" s="129" t="s">
        <v>887</v>
      </c>
    </row>
    <row r="186" spans="2:6">
      <c r="B186" s="127">
        <v>270</v>
      </c>
      <c r="D186" s="129" t="s">
        <v>360</v>
      </c>
      <c r="E186" s="129" t="s">
        <v>888</v>
      </c>
      <c r="F186" s="129" t="s">
        <v>888</v>
      </c>
    </row>
    <row r="187" spans="2:6" ht="24">
      <c r="B187" s="127">
        <v>271</v>
      </c>
      <c r="D187" s="129" t="s">
        <v>1403</v>
      </c>
      <c r="E187" s="129" t="s">
        <v>889</v>
      </c>
      <c r="F187" s="129" t="s">
        <v>889</v>
      </c>
    </row>
    <row r="188" spans="2:6" ht="36">
      <c r="B188" s="127">
        <v>272</v>
      </c>
      <c r="D188" s="129" t="s">
        <v>95</v>
      </c>
      <c r="E188" s="129" t="s">
        <v>890</v>
      </c>
      <c r="F188" s="129" t="s">
        <v>890</v>
      </c>
    </row>
    <row r="189" spans="2:6">
      <c r="B189" s="127">
        <v>273</v>
      </c>
      <c r="D189" s="129" t="s">
        <v>96</v>
      </c>
      <c r="E189" s="129" t="s">
        <v>891</v>
      </c>
      <c r="F189" s="129" t="s">
        <v>891</v>
      </c>
    </row>
    <row r="190" spans="2:6">
      <c r="B190" s="127">
        <v>274</v>
      </c>
      <c r="D190" s="129" t="s">
        <v>97</v>
      </c>
      <c r="E190" s="129" t="s">
        <v>892</v>
      </c>
      <c r="F190" s="129" t="s">
        <v>892</v>
      </c>
    </row>
    <row r="191" spans="2:6">
      <c r="B191" s="127">
        <v>275</v>
      </c>
      <c r="D191" s="129" t="s">
        <v>98</v>
      </c>
      <c r="E191" s="129" t="s">
        <v>893</v>
      </c>
      <c r="F191" s="129" t="s">
        <v>893</v>
      </c>
    </row>
    <row r="192" spans="2:6">
      <c r="B192" s="127">
        <v>276</v>
      </c>
      <c r="D192" s="129" t="s">
        <v>99</v>
      </c>
      <c r="E192" s="129" t="s">
        <v>894</v>
      </c>
      <c r="F192" s="129" t="s">
        <v>894</v>
      </c>
    </row>
    <row r="193" spans="2:6">
      <c r="B193" s="127">
        <v>277</v>
      </c>
      <c r="D193" s="129" t="s">
        <v>100</v>
      </c>
      <c r="E193" s="129" t="s">
        <v>895</v>
      </c>
      <c r="F193" s="129" t="s">
        <v>895</v>
      </c>
    </row>
    <row r="194" spans="2:6">
      <c r="B194" s="127">
        <v>278</v>
      </c>
      <c r="D194" s="129" t="s">
        <v>101</v>
      </c>
      <c r="E194" s="129" t="s">
        <v>896</v>
      </c>
      <c r="F194" s="129" t="s">
        <v>896</v>
      </c>
    </row>
    <row r="195" spans="2:6">
      <c r="B195" s="127">
        <v>279</v>
      </c>
      <c r="D195" s="129" t="s">
        <v>102</v>
      </c>
      <c r="E195" s="129" t="s">
        <v>897</v>
      </c>
      <c r="F195" s="129" t="s">
        <v>897</v>
      </c>
    </row>
    <row r="196" spans="2:6">
      <c r="B196" s="127">
        <v>280</v>
      </c>
      <c r="D196" s="129" t="s">
        <v>103</v>
      </c>
      <c r="E196" s="129" t="s">
        <v>898</v>
      </c>
      <c r="F196" s="129" t="s">
        <v>898</v>
      </c>
    </row>
    <row r="197" spans="2:6">
      <c r="B197" s="127">
        <v>281</v>
      </c>
      <c r="D197" s="129" t="s">
        <v>104</v>
      </c>
      <c r="E197" s="129" t="s">
        <v>899</v>
      </c>
      <c r="F197" s="129" t="s">
        <v>899</v>
      </c>
    </row>
    <row r="198" spans="2:6">
      <c r="B198" s="127">
        <v>282</v>
      </c>
      <c r="D198" s="129" t="s">
        <v>105</v>
      </c>
      <c r="E198" s="129" t="s">
        <v>900</v>
      </c>
      <c r="F198" s="129" t="s">
        <v>900</v>
      </c>
    </row>
    <row r="199" spans="2:6">
      <c r="B199" s="127">
        <v>283</v>
      </c>
      <c r="D199" s="129" t="s">
        <v>106</v>
      </c>
      <c r="E199" s="129" t="s">
        <v>901</v>
      </c>
      <c r="F199" s="129" t="s">
        <v>901</v>
      </c>
    </row>
    <row r="200" spans="2:6" ht="24">
      <c r="B200" s="127">
        <v>284</v>
      </c>
      <c r="D200" s="129" t="s">
        <v>107</v>
      </c>
      <c r="E200" s="145" t="s">
        <v>1402</v>
      </c>
      <c r="F200" s="129" t="s">
        <v>902</v>
      </c>
    </row>
    <row r="201" spans="2:6">
      <c r="B201" s="127">
        <v>285</v>
      </c>
      <c r="D201" s="129" t="s">
        <v>361</v>
      </c>
      <c r="E201" s="129" t="s">
        <v>903</v>
      </c>
      <c r="F201" s="129" t="s">
        <v>903</v>
      </c>
    </row>
    <row r="202" spans="2:6">
      <c r="B202" s="127">
        <v>286</v>
      </c>
      <c r="D202" s="129" t="s">
        <v>108</v>
      </c>
      <c r="E202" s="129" t="s">
        <v>904</v>
      </c>
      <c r="F202" s="129" t="s">
        <v>904</v>
      </c>
    </row>
    <row r="203" spans="2:6">
      <c r="B203" s="127">
        <v>287</v>
      </c>
      <c r="D203" s="129" t="s">
        <v>109</v>
      </c>
      <c r="E203" s="129" t="s">
        <v>905</v>
      </c>
      <c r="F203" s="129" t="s">
        <v>905</v>
      </c>
    </row>
    <row r="204" spans="2:6">
      <c r="B204" s="127">
        <v>288</v>
      </c>
      <c r="D204" s="129" t="s">
        <v>110</v>
      </c>
      <c r="E204" s="129" t="s">
        <v>906</v>
      </c>
      <c r="F204" s="129" t="s">
        <v>906</v>
      </c>
    </row>
    <row r="205" spans="2:6">
      <c r="B205" s="127">
        <v>289</v>
      </c>
      <c r="D205" s="129" t="s">
        <v>362</v>
      </c>
      <c r="E205" s="129" t="s">
        <v>907</v>
      </c>
      <c r="F205" s="129" t="s">
        <v>907</v>
      </c>
    </row>
    <row r="206" spans="2:6">
      <c r="B206" s="127">
        <v>290</v>
      </c>
      <c r="D206" s="129" t="s">
        <v>363</v>
      </c>
      <c r="E206" s="129" t="s">
        <v>1245</v>
      </c>
      <c r="F206" s="129" t="s">
        <v>1245</v>
      </c>
    </row>
    <row r="207" spans="2:6">
      <c r="B207" s="127">
        <v>291</v>
      </c>
      <c r="D207" s="129" t="s">
        <v>549</v>
      </c>
      <c r="E207" s="129" t="s">
        <v>908</v>
      </c>
      <c r="F207" s="129" t="s">
        <v>908</v>
      </c>
    </row>
    <row r="208" spans="2:6">
      <c r="B208" s="127">
        <v>292</v>
      </c>
      <c r="D208" s="129" t="s">
        <v>576</v>
      </c>
      <c r="E208" s="129" t="s">
        <v>1333</v>
      </c>
      <c r="F208" s="129" t="s">
        <v>1333</v>
      </c>
    </row>
    <row r="209" spans="2:6">
      <c r="B209" s="127">
        <v>293</v>
      </c>
      <c r="D209" s="129" t="s">
        <v>550</v>
      </c>
      <c r="E209" s="129" t="s">
        <v>909</v>
      </c>
      <c r="F209" s="129" t="s">
        <v>909</v>
      </c>
    </row>
    <row r="210" spans="2:6">
      <c r="B210" s="127">
        <v>294</v>
      </c>
      <c r="D210" s="129" t="s">
        <v>548</v>
      </c>
      <c r="E210" s="129" t="s">
        <v>910</v>
      </c>
      <c r="F210" s="129" t="s">
        <v>910</v>
      </c>
    </row>
    <row r="211" spans="2:6">
      <c r="B211" s="127">
        <v>295</v>
      </c>
      <c r="D211" s="129" t="s">
        <v>364</v>
      </c>
      <c r="E211" s="129" t="s">
        <v>911</v>
      </c>
      <c r="F211" s="129" t="s">
        <v>911</v>
      </c>
    </row>
    <row r="212" spans="2:6">
      <c r="B212" s="127">
        <v>296</v>
      </c>
      <c r="D212" s="129" t="s">
        <v>439</v>
      </c>
      <c r="E212" s="129" t="s">
        <v>912</v>
      </c>
      <c r="F212" s="129" t="s">
        <v>912</v>
      </c>
    </row>
    <row r="213" spans="2:6">
      <c r="B213" s="127">
        <v>297</v>
      </c>
      <c r="D213" s="129" t="s">
        <v>111</v>
      </c>
      <c r="E213" s="129" t="s">
        <v>913</v>
      </c>
      <c r="F213" s="129" t="s">
        <v>913</v>
      </c>
    </row>
    <row r="214" spans="2:6">
      <c r="B214" s="127">
        <v>298</v>
      </c>
      <c r="C214" s="128" t="s">
        <v>500</v>
      </c>
      <c r="D214" s="129" t="s">
        <v>536</v>
      </c>
      <c r="E214" s="129" t="s">
        <v>914</v>
      </c>
      <c r="F214" s="129" t="s">
        <v>914</v>
      </c>
    </row>
    <row r="215" spans="2:6">
      <c r="B215" s="127">
        <v>299</v>
      </c>
      <c r="D215" s="129" t="s">
        <v>555</v>
      </c>
      <c r="E215" s="129" t="s">
        <v>915</v>
      </c>
      <c r="F215" s="129" t="s">
        <v>915</v>
      </c>
    </row>
    <row r="216" spans="2:6">
      <c r="B216" s="127">
        <v>300</v>
      </c>
      <c r="D216" s="129" t="s">
        <v>433</v>
      </c>
      <c r="E216" s="129" t="s">
        <v>916</v>
      </c>
      <c r="F216" s="129" t="s">
        <v>916</v>
      </c>
    </row>
    <row r="217" spans="2:6">
      <c r="B217" s="127">
        <v>301</v>
      </c>
      <c r="D217" s="129" t="s">
        <v>472</v>
      </c>
      <c r="E217" s="129" t="s">
        <v>917</v>
      </c>
      <c r="F217" s="129" t="s">
        <v>917</v>
      </c>
    </row>
    <row r="218" spans="2:6">
      <c r="B218" s="127">
        <v>302</v>
      </c>
      <c r="C218" s="128" t="s">
        <v>500</v>
      </c>
      <c r="D218" s="134" t="s">
        <v>588</v>
      </c>
      <c r="E218" s="134" t="s">
        <v>918</v>
      </c>
      <c r="F218" s="134" t="s">
        <v>918</v>
      </c>
    </row>
    <row r="219" spans="2:6">
      <c r="B219" s="127">
        <v>303</v>
      </c>
      <c r="C219" s="128" t="s">
        <v>500</v>
      </c>
      <c r="D219" s="134" t="s">
        <v>508</v>
      </c>
      <c r="E219" s="134" t="s">
        <v>919</v>
      </c>
      <c r="F219" s="134" t="s">
        <v>919</v>
      </c>
    </row>
    <row r="220" spans="2:6">
      <c r="B220" s="127">
        <v>304</v>
      </c>
      <c r="C220" s="128" t="s">
        <v>500</v>
      </c>
      <c r="D220" s="134" t="s">
        <v>590</v>
      </c>
      <c r="E220" s="134" t="s">
        <v>920</v>
      </c>
      <c r="F220" s="134" t="s">
        <v>920</v>
      </c>
    </row>
    <row r="221" spans="2:6">
      <c r="B221" s="127">
        <v>305</v>
      </c>
      <c r="C221" s="128" t="s">
        <v>500</v>
      </c>
      <c r="D221" s="134" t="s">
        <v>1278</v>
      </c>
      <c r="E221" s="134" t="s">
        <v>741</v>
      </c>
      <c r="F221" s="134" t="s">
        <v>741</v>
      </c>
    </row>
    <row r="222" spans="2:6">
      <c r="B222" s="127">
        <v>306</v>
      </c>
      <c r="C222" s="128" t="s">
        <v>500</v>
      </c>
      <c r="D222" s="134" t="s">
        <v>1279</v>
      </c>
      <c r="E222" s="134" t="s">
        <v>589</v>
      </c>
      <c r="F222" s="134" t="s">
        <v>589</v>
      </c>
    </row>
    <row r="223" spans="2:6">
      <c r="B223" s="127">
        <v>307</v>
      </c>
      <c r="C223" s="128" t="s">
        <v>500</v>
      </c>
      <c r="D223" s="134" t="s">
        <v>1280</v>
      </c>
      <c r="E223" s="134" t="s">
        <v>584</v>
      </c>
      <c r="F223" s="134" t="s">
        <v>584</v>
      </c>
    </row>
    <row r="224" spans="2:6">
      <c r="B224" s="127">
        <v>308</v>
      </c>
      <c r="C224" s="128" t="s">
        <v>500</v>
      </c>
      <c r="D224" s="134" t="s">
        <v>1281</v>
      </c>
      <c r="E224" s="134" t="s">
        <v>585</v>
      </c>
      <c r="F224" s="134" t="s">
        <v>585</v>
      </c>
    </row>
    <row r="225" spans="2:6">
      <c r="B225" s="127">
        <v>309</v>
      </c>
      <c r="C225" s="128" t="s">
        <v>500</v>
      </c>
      <c r="D225" s="134" t="s">
        <v>1282</v>
      </c>
      <c r="E225" s="134" t="s">
        <v>586</v>
      </c>
      <c r="F225" s="134" t="s">
        <v>586</v>
      </c>
    </row>
    <row r="226" spans="2:6">
      <c r="B226" s="127">
        <v>310</v>
      </c>
      <c r="C226" s="128" t="s">
        <v>500</v>
      </c>
      <c r="D226" s="134" t="s">
        <v>1283</v>
      </c>
      <c r="E226" s="134" t="s">
        <v>587</v>
      </c>
      <c r="F226" s="134" t="s">
        <v>587</v>
      </c>
    </row>
    <row r="227" spans="2:6">
      <c r="B227" s="127">
        <v>311</v>
      </c>
      <c r="C227" s="128" t="s">
        <v>500</v>
      </c>
      <c r="D227" s="134" t="s">
        <v>1284</v>
      </c>
      <c r="E227" s="134" t="s">
        <v>591</v>
      </c>
      <c r="F227" s="134" t="s">
        <v>591</v>
      </c>
    </row>
    <row r="228" spans="2:6">
      <c r="B228" s="127">
        <v>312</v>
      </c>
      <c r="C228" s="128" t="s">
        <v>500</v>
      </c>
      <c r="D228" s="134" t="s">
        <v>1285</v>
      </c>
      <c r="E228" s="134" t="s">
        <v>592</v>
      </c>
      <c r="F228" s="134" t="s">
        <v>592</v>
      </c>
    </row>
    <row r="229" spans="2:6">
      <c r="B229" s="127">
        <v>313</v>
      </c>
      <c r="C229" s="128" t="s">
        <v>500</v>
      </c>
      <c r="D229" s="134" t="s">
        <v>1286</v>
      </c>
      <c r="E229" s="134" t="s">
        <v>593</v>
      </c>
      <c r="F229" s="134" t="s">
        <v>593</v>
      </c>
    </row>
    <row r="230" spans="2:6">
      <c r="B230" s="127">
        <v>314</v>
      </c>
      <c r="C230" s="128" t="s">
        <v>500</v>
      </c>
      <c r="D230" s="134" t="s">
        <v>1287</v>
      </c>
      <c r="E230" s="134" t="s">
        <v>594</v>
      </c>
      <c r="F230" s="134" t="s">
        <v>594</v>
      </c>
    </row>
    <row r="231" spans="2:6">
      <c r="B231" s="127">
        <v>315</v>
      </c>
      <c r="C231" s="128" t="s">
        <v>500</v>
      </c>
      <c r="D231" s="134" t="s">
        <v>1288</v>
      </c>
      <c r="E231" s="129" t="s">
        <v>501</v>
      </c>
      <c r="F231" s="129" t="s">
        <v>501</v>
      </c>
    </row>
    <row r="232" spans="2:6">
      <c r="B232" s="127">
        <v>316</v>
      </c>
      <c r="C232" s="128" t="s">
        <v>500</v>
      </c>
      <c r="D232" s="134" t="s">
        <v>1289</v>
      </c>
      <c r="E232" s="129" t="s">
        <v>502</v>
      </c>
      <c r="F232" s="129" t="s">
        <v>502</v>
      </c>
    </row>
    <row r="233" spans="2:6">
      <c r="B233" s="127">
        <v>317</v>
      </c>
      <c r="C233" s="128" t="s">
        <v>500</v>
      </c>
      <c r="D233" s="134" t="s">
        <v>1290</v>
      </c>
      <c r="E233" s="129" t="s">
        <v>503</v>
      </c>
      <c r="F233" s="129" t="s">
        <v>503</v>
      </c>
    </row>
    <row r="234" spans="2:6">
      <c r="B234" s="127">
        <v>318</v>
      </c>
      <c r="C234" s="128" t="s">
        <v>500</v>
      </c>
      <c r="D234" s="134" t="s">
        <v>1291</v>
      </c>
      <c r="E234" s="129" t="s">
        <v>504</v>
      </c>
      <c r="F234" s="129" t="s">
        <v>504</v>
      </c>
    </row>
    <row r="235" spans="2:6">
      <c r="B235" s="127">
        <v>319</v>
      </c>
      <c r="C235" s="128" t="s">
        <v>500</v>
      </c>
      <c r="D235" s="134" t="s">
        <v>1292</v>
      </c>
      <c r="E235" s="134" t="s">
        <v>538</v>
      </c>
      <c r="F235" s="134" t="s">
        <v>538</v>
      </c>
    </row>
    <row r="236" spans="2:6">
      <c r="B236" s="127">
        <v>320</v>
      </c>
      <c r="C236" s="128" t="s">
        <v>500</v>
      </c>
      <c r="D236" s="134" t="s">
        <v>1293</v>
      </c>
      <c r="E236" s="134" t="s">
        <v>1226</v>
      </c>
      <c r="F236" s="134" t="s">
        <v>1226</v>
      </c>
    </row>
    <row r="237" spans="2:6">
      <c r="B237" s="127">
        <v>321</v>
      </c>
      <c r="C237" s="128" t="s">
        <v>500</v>
      </c>
      <c r="D237" s="134" t="s">
        <v>1294</v>
      </c>
      <c r="E237" s="134" t="s">
        <v>1227</v>
      </c>
      <c r="F237" s="134" t="s">
        <v>1227</v>
      </c>
    </row>
    <row r="238" spans="2:6">
      <c r="B238" s="127">
        <v>322</v>
      </c>
      <c r="C238" s="128" t="s">
        <v>500</v>
      </c>
      <c r="D238" s="134"/>
      <c r="E238" s="134"/>
      <c r="F238" s="134"/>
    </row>
    <row r="239" spans="2:6" ht="24">
      <c r="B239" s="127">
        <v>323</v>
      </c>
      <c r="D239" s="129" t="s">
        <v>112</v>
      </c>
      <c r="E239" s="129" t="s">
        <v>921</v>
      </c>
      <c r="F239" s="129" t="s">
        <v>921</v>
      </c>
    </row>
    <row r="240" spans="2:6" ht="24">
      <c r="B240" s="127">
        <v>324</v>
      </c>
      <c r="D240" s="129" t="s">
        <v>113</v>
      </c>
      <c r="E240" s="129" t="s">
        <v>922</v>
      </c>
      <c r="F240" s="129" t="s">
        <v>922</v>
      </c>
    </row>
    <row r="241" spans="2:6" ht="24">
      <c r="B241" s="127">
        <v>325</v>
      </c>
      <c r="D241" s="129" t="s">
        <v>114</v>
      </c>
      <c r="E241" s="129" t="s">
        <v>923</v>
      </c>
      <c r="F241" s="129" t="s">
        <v>923</v>
      </c>
    </row>
    <row r="242" spans="2:6" ht="24">
      <c r="B242" s="127">
        <v>326</v>
      </c>
      <c r="C242" s="128" t="s">
        <v>500</v>
      </c>
      <c r="D242" s="129" t="s">
        <v>537</v>
      </c>
      <c r="E242" s="129" t="s">
        <v>924</v>
      </c>
      <c r="F242" s="129" t="s">
        <v>924</v>
      </c>
    </row>
    <row r="243" spans="2:6">
      <c r="B243" s="127">
        <v>327</v>
      </c>
      <c r="D243" s="129" t="s">
        <v>115</v>
      </c>
      <c r="E243" s="129" t="s">
        <v>925</v>
      </c>
      <c r="F243" s="129" t="s">
        <v>925</v>
      </c>
    </row>
    <row r="244" spans="2:6">
      <c r="B244" s="127">
        <v>328</v>
      </c>
      <c r="C244" s="128" t="s">
        <v>451</v>
      </c>
      <c r="D244" s="129" t="s">
        <v>461</v>
      </c>
      <c r="E244" s="129" t="s">
        <v>926</v>
      </c>
      <c r="F244" s="129" t="s">
        <v>926</v>
      </c>
    </row>
    <row r="245" spans="2:6">
      <c r="B245" s="127">
        <v>329</v>
      </c>
      <c r="D245" s="129" t="s">
        <v>116</v>
      </c>
      <c r="E245" s="129" t="s">
        <v>927</v>
      </c>
      <c r="F245" s="129" t="s">
        <v>927</v>
      </c>
    </row>
    <row r="246" spans="2:6">
      <c r="B246" s="127">
        <v>330</v>
      </c>
      <c r="D246" s="129" t="s">
        <v>117</v>
      </c>
      <c r="E246" s="129" t="s">
        <v>928</v>
      </c>
      <c r="F246" s="129" t="s">
        <v>928</v>
      </c>
    </row>
    <row r="247" spans="2:6">
      <c r="B247" s="127">
        <v>331</v>
      </c>
      <c r="D247" s="129" t="s">
        <v>118</v>
      </c>
      <c r="E247" s="129" t="s">
        <v>929</v>
      </c>
      <c r="F247" s="129" t="s">
        <v>929</v>
      </c>
    </row>
    <row r="248" spans="2:6">
      <c r="B248" s="127">
        <v>332</v>
      </c>
      <c r="C248" s="128" t="s">
        <v>451</v>
      </c>
      <c r="D248" s="126" t="s">
        <v>453</v>
      </c>
      <c r="E248" s="134" t="s">
        <v>930</v>
      </c>
      <c r="F248" s="134" t="s">
        <v>930</v>
      </c>
    </row>
    <row r="249" spans="2:6">
      <c r="B249" s="127">
        <v>333</v>
      </c>
      <c r="C249" s="128" t="s">
        <v>451</v>
      </c>
      <c r="D249" s="126" t="s">
        <v>454</v>
      </c>
      <c r="E249" s="134" t="s">
        <v>931</v>
      </c>
      <c r="F249" s="134" t="s">
        <v>931</v>
      </c>
    </row>
    <row r="250" spans="2:6">
      <c r="B250" s="127">
        <v>334</v>
      </c>
      <c r="D250" s="129" t="s">
        <v>119</v>
      </c>
      <c r="E250" s="129" t="s">
        <v>932</v>
      </c>
      <c r="F250" s="129" t="s">
        <v>932</v>
      </c>
    </row>
    <row r="251" spans="2:6">
      <c r="B251" s="127">
        <v>335</v>
      </c>
      <c r="C251" s="128" t="s">
        <v>451</v>
      </c>
      <c r="D251" s="129" t="s">
        <v>459</v>
      </c>
      <c r="E251" s="129" t="s">
        <v>933</v>
      </c>
      <c r="F251" s="129" t="s">
        <v>933</v>
      </c>
    </row>
    <row r="252" spans="2:6">
      <c r="B252" s="127">
        <v>336</v>
      </c>
      <c r="C252" s="128" t="s">
        <v>451</v>
      </c>
      <c r="D252" s="126" t="s">
        <v>462</v>
      </c>
      <c r="E252" s="134" t="s">
        <v>934</v>
      </c>
      <c r="F252" s="134" t="s">
        <v>934</v>
      </c>
    </row>
    <row r="253" spans="2:6" ht="24">
      <c r="B253" s="127">
        <v>337</v>
      </c>
      <c r="D253" s="129" t="s">
        <v>120</v>
      </c>
      <c r="E253" s="129" t="s">
        <v>935</v>
      </c>
      <c r="F253" s="129" t="s">
        <v>935</v>
      </c>
    </row>
    <row r="254" spans="2:6" ht="24">
      <c r="B254" s="127">
        <v>338</v>
      </c>
      <c r="D254" s="129" t="s">
        <v>121</v>
      </c>
      <c r="E254" s="129" t="s">
        <v>936</v>
      </c>
      <c r="F254" s="129" t="s">
        <v>936</v>
      </c>
    </row>
    <row r="255" spans="2:6">
      <c r="B255" s="127">
        <v>339</v>
      </c>
      <c r="D255" s="129" t="s">
        <v>122</v>
      </c>
      <c r="E255" s="129" t="s">
        <v>937</v>
      </c>
      <c r="F255" s="129" t="s">
        <v>937</v>
      </c>
    </row>
    <row r="256" spans="2:6">
      <c r="B256" s="127">
        <v>340</v>
      </c>
      <c r="D256" s="129" t="s">
        <v>123</v>
      </c>
      <c r="E256" s="129" t="s">
        <v>938</v>
      </c>
      <c r="F256" s="129" t="s">
        <v>938</v>
      </c>
    </row>
    <row r="257" spans="2:6">
      <c r="B257" s="127">
        <v>341</v>
      </c>
      <c r="D257" s="129" t="s">
        <v>124</v>
      </c>
      <c r="E257" s="129" t="s">
        <v>939</v>
      </c>
      <c r="F257" s="129" t="s">
        <v>939</v>
      </c>
    </row>
    <row r="258" spans="2:6">
      <c r="B258" s="127">
        <v>342</v>
      </c>
      <c r="D258" s="129" t="s">
        <v>125</v>
      </c>
      <c r="E258" s="129" t="s">
        <v>940</v>
      </c>
      <c r="F258" s="129" t="s">
        <v>940</v>
      </c>
    </row>
    <row r="259" spans="2:6">
      <c r="B259" s="127">
        <v>343</v>
      </c>
      <c r="C259" s="128" t="s">
        <v>500</v>
      </c>
      <c r="D259" s="129" t="s">
        <v>522</v>
      </c>
      <c r="E259" s="129" t="s">
        <v>941</v>
      </c>
      <c r="F259" s="129" t="s">
        <v>941</v>
      </c>
    </row>
    <row r="260" spans="2:6">
      <c r="B260" s="127">
        <v>344</v>
      </c>
      <c r="C260" s="128" t="s">
        <v>500</v>
      </c>
      <c r="D260" s="129" t="s">
        <v>524</v>
      </c>
      <c r="E260" s="129" t="s">
        <v>942</v>
      </c>
      <c r="F260" s="129" t="s">
        <v>942</v>
      </c>
    </row>
    <row r="261" spans="2:6">
      <c r="B261" s="127">
        <v>345</v>
      </c>
      <c r="D261" s="129" t="s">
        <v>126</v>
      </c>
      <c r="E261" s="129" t="s">
        <v>943</v>
      </c>
      <c r="F261" s="129" t="s">
        <v>943</v>
      </c>
    </row>
    <row r="262" spans="2:6" ht="24">
      <c r="B262" s="127">
        <v>346</v>
      </c>
      <c r="C262" s="128" t="s">
        <v>500</v>
      </c>
      <c r="D262" s="129" t="s">
        <v>532</v>
      </c>
      <c r="E262" s="129" t="s">
        <v>944</v>
      </c>
      <c r="F262" s="129" t="s">
        <v>944</v>
      </c>
    </row>
    <row r="263" spans="2:6">
      <c r="B263" s="127">
        <v>347</v>
      </c>
      <c r="D263" s="129" t="s">
        <v>365</v>
      </c>
      <c r="E263" s="129" t="s">
        <v>945</v>
      </c>
      <c r="F263" s="129" t="s">
        <v>945</v>
      </c>
    </row>
    <row r="264" spans="2:6">
      <c r="B264" s="127">
        <v>348</v>
      </c>
      <c r="D264" s="129" t="s">
        <v>127</v>
      </c>
      <c r="E264" s="129" t="s">
        <v>946</v>
      </c>
      <c r="F264" s="129" t="s">
        <v>946</v>
      </c>
    </row>
    <row r="265" spans="2:6">
      <c r="B265" s="127">
        <v>349</v>
      </c>
      <c r="D265" s="129" t="s">
        <v>366</v>
      </c>
      <c r="E265" s="129" t="s">
        <v>947</v>
      </c>
      <c r="F265" s="129" t="s">
        <v>947</v>
      </c>
    </row>
    <row r="266" spans="2:6">
      <c r="B266" s="127">
        <v>350</v>
      </c>
      <c r="C266" s="128" t="s">
        <v>500</v>
      </c>
      <c r="D266" s="129" t="s">
        <v>523</v>
      </c>
      <c r="E266" s="129" t="s">
        <v>948</v>
      </c>
      <c r="F266" s="129" t="s">
        <v>948</v>
      </c>
    </row>
    <row r="267" spans="2:6">
      <c r="B267" s="127">
        <v>351</v>
      </c>
      <c r="C267" s="128" t="s">
        <v>451</v>
      </c>
      <c r="D267" s="126" t="s">
        <v>452</v>
      </c>
      <c r="E267" s="134" t="s">
        <v>949</v>
      </c>
      <c r="F267" s="134" t="s">
        <v>949</v>
      </c>
    </row>
    <row r="268" spans="2:6" ht="24">
      <c r="B268" s="127">
        <v>352</v>
      </c>
      <c r="C268" s="128" t="s">
        <v>500</v>
      </c>
      <c r="D268" s="129" t="s">
        <v>515</v>
      </c>
      <c r="E268" s="129" t="s">
        <v>950</v>
      </c>
      <c r="F268" s="129" t="s">
        <v>950</v>
      </c>
    </row>
    <row r="269" spans="2:6" ht="24">
      <c r="B269" s="127">
        <v>353</v>
      </c>
      <c r="D269" s="129" t="s">
        <v>128</v>
      </c>
      <c r="F269" s="129"/>
    </row>
    <row r="270" spans="2:6">
      <c r="B270" s="127">
        <v>354</v>
      </c>
      <c r="D270" s="129" t="s">
        <v>129</v>
      </c>
      <c r="E270" s="129" t="s">
        <v>951</v>
      </c>
      <c r="F270" s="129" t="s">
        <v>951</v>
      </c>
    </row>
    <row r="271" spans="2:6">
      <c r="B271" s="127">
        <v>355</v>
      </c>
      <c r="D271" s="129" t="s">
        <v>130</v>
      </c>
      <c r="E271" s="129" t="s">
        <v>952</v>
      </c>
      <c r="F271" s="129" t="s">
        <v>952</v>
      </c>
    </row>
    <row r="272" spans="2:6">
      <c r="B272" s="127">
        <v>356</v>
      </c>
      <c r="D272" s="129" t="s">
        <v>131</v>
      </c>
      <c r="E272" s="129" t="s">
        <v>953</v>
      </c>
      <c r="F272" s="129" t="s">
        <v>953</v>
      </c>
    </row>
    <row r="273" spans="2:6">
      <c r="B273" s="127">
        <v>357</v>
      </c>
      <c r="C273" s="128" t="s">
        <v>500</v>
      </c>
      <c r="D273" s="129" t="s">
        <v>518</v>
      </c>
      <c r="E273" s="129" t="s">
        <v>954</v>
      </c>
      <c r="F273" s="129" t="s">
        <v>954</v>
      </c>
    </row>
    <row r="274" spans="2:6">
      <c r="B274" s="127">
        <v>358</v>
      </c>
      <c r="D274" s="129" t="s">
        <v>132</v>
      </c>
      <c r="E274" s="129" t="s">
        <v>955</v>
      </c>
      <c r="F274" s="129" t="s">
        <v>955</v>
      </c>
    </row>
    <row r="275" spans="2:6">
      <c r="B275" s="127">
        <v>359</v>
      </c>
      <c r="D275" s="129" t="s">
        <v>367</v>
      </c>
      <c r="E275" s="129" t="s">
        <v>956</v>
      </c>
      <c r="F275" s="129" t="s">
        <v>956</v>
      </c>
    </row>
    <row r="276" spans="2:6">
      <c r="B276" s="127">
        <v>360</v>
      </c>
      <c r="D276" s="129" t="s">
        <v>133</v>
      </c>
      <c r="E276" s="129" t="s">
        <v>957</v>
      </c>
      <c r="F276" s="129" t="s">
        <v>957</v>
      </c>
    </row>
    <row r="277" spans="2:6" ht="24">
      <c r="B277" s="127">
        <v>361</v>
      </c>
      <c r="C277" s="128" t="s">
        <v>500</v>
      </c>
      <c r="D277" s="129" t="s">
        <v>514</v>
      </c>
      <c r="E277" s="129" t="s">
        <v>958</v>
      </c>
      <c r="F277" s="129" t="s">
        <v>958</v>
      </c>
    </row>
    <row r="278" spans="2:6" ht="36">
      <c r="B278" s="127">
        <v>362</v>
      </c>
      <c r="C278" s="128" t="s">
        <v>500</v>
      </c>
      <c r="D278" s="129" t="s">
        <v>529</v>
      </c>
      <c r="E278" s="129" t="s">
        <v>959</v>
      </c>
      <c r="F278" s="129" t="s">
        <v>959</v>
      </c>
    </row>
    <row r="279" spans="2:6">
      <c r="B279" s="127">
        <v>363</v>
      </c>
      <c r="D279" s="129" t="s">
        <v>134</v>
      </c>
      <c r="E279" s="129" t="s">
        <v>960</v>
      </c>
      <c r="F279" s="129" t="s">
        <v>960</v>
      </c>
    </row>
    <row r="280" spans="2:6">
      <c r="B280" s="127">
        <v>364</v>
      </c>
      <c r="D280" s="129" t="s">
        <v>1</v>
      </c>
      <c r="E280" s="129" t="s">
        <v>1</v>
      </c>
      <c r="F280" s="129" t="s">
        <v>1</v>
      </c>
    </row>
    <row r="281" spans="2:6">
      <c r="B281" s="127">
        <v>365</v>
      </c>
      <c r="D281" s="129" t="s">
        <v>2</v>
      </c>
      <c r="E281" s="129" t="s">
        <v>2</v>
      </c>
      <c r="F281" s="129" t="s">
        <v>2</v>
      </c>
    </row>
    <row r="282" spans="2:6">
      <c r="B282" s="127">
        <v>366</v>
      </c>
      <c r="D282" s="129" t="s">
        <v>440</v>
      </c>
      <c r="E282" s="129" t="s">
        <v>961</v>
      </c>
      <c r="F282" s="129" t="s">
        <v>961</v>
      </c>
    </row>
    <row r="283" spans="2:6">
      <c r="B283" s="127">
        <v>367</v>
      </c>
      <c r="D283" s="129" t="s">
        <v>135</v>
      </c>
      <c r="E283" s="129" t="s">
        <v>136</v>
      </c>
      <c r="F283" s="129" t="s">
        <v>136</v>
      </c>
    </row>
    <row r="284" spans="2:6">
      <c r="B284" s="127">
        <v>368</v>
      </c>
      <c r="D284" s="129" t="s">
        <v>563</v>
      </c>
      <c r="E284" s="129" t="s">
        <v>962</v>
      </c>
      <c r="F284" s="129" t="s">
        <v>962</v>
      </c>
    </row>
    <row r="285" spans="2:6">
      <c r="B285" s="127">
        <v>369</v>
      </c>
      <c r="D285" s="129" t="s">
        <v>137</v>
      </c>
      <c r="E285" s="129" t="s">
        <v>424</v>
      </c>
      <c r="F285" s="129" t="s">
        <v>424</v>
      </c>
    </row>
    <row r="286" spans="2:6">
      <c r="B286" s="127">
        <v>370</v>
      </c>
      <c r="D286" s="129" t="s">
        <v>138</v>
      </c>
      <c r="E286" s="129" t="s">
        <v>963</v>
      </c>
      <c r="F286" s="129" t="s">
        <v>963</v>
      </c>
    </row>
    <row r="287" spans="2:6">
      <c r="B287" s="127">
        <v>371</v>
      </c>
      <c r="D287" s="129" t="s">
        <v>139</v>
      </c>
      <c r="E287" s="129" t="s">
        <v>964</v>
      </c>
      <c r="F287" s="129" t="s">
        <v>964</v>
      </c>
    </row>
    <row r="288" spans="2:6">
      <c r="B288" s="127">
        <v>372</v>
      </c>
      <c r="D288" s="129" t="s">
        <v>368</v>
      </c>
      <c r="E288" s="129" t="s">
        <v>965</v>
      </c>
      <c r="F288" s="129" t="s">
        <v>965</v>
      </c>
    </row>
    <row r="289" spans="2:6">
      <c r="B289" s="127">
        <v>373</v>
      </c>
      <c r="D289" s="129" t="s">
        <v>369</v>
      </c>
      <c r="E289" s="129" t="s">
        <v>966</v>
      </c>
      <c r="F289" s="129" t="s">
        <v>966</v>
      </c>
    </row>
    <row r="290" spans="2:6">
      <c r="B290" s="127">
        <v>374</v>
      </c>
      <c r="D290" s="129" t="s">
        <v>370</v>
      </c>
      <c r="E290" s="129" t="s">
        <v>965</v>
      </c>
      <c r="F290" s="129" t="s">
        <v>965</v>
      </c>
    </row>
    <row r="291" spans="2:6">
      <c r="B291" s="127">
        <v>375</v>
      </c>
      <c r="C291" s="128" t="s">
        <v>500</v>
      </c>
      <c r="D291" s="129" t="s">
        <v>506</v>
      </c>
      <c r="E291" s="129" t="s">
        <v>967</v>
      </c>
      <c r="F291" s="129" t="s">
        <v>967</v>
      </c>
    </row>
    <row r="292" spans="2:6">
      <c r="B292" s="127">
        <v>376</v>
      </c>
      <c r="D292" s="129" t="s">
        <v>140</v>
      </c>
      <c r="E292" s="129" t="s">
        <v>968</v>
      </c>
      <c r="F292" s="129" t="s">
        <v>968</v>
      </c>
    </row>
    <row r="293" spans="2:6">
      <c r="B293" s="127">
        <v>377</v>
      </c>
      <c r="D293" s="129" t="s">
        <v>371</v>
      </c>
      <c r="E293" s="129" t="s">
        <v>969</v>
      </c>
      <c r="F293" s="129" t="s">
        <v>969</v>
      </c>
    </row>
    <row r="294" spans="2:6">
      <c r="B294" s="127">
        <v>378</v>
      </c>
      <c r="D294" s="129" t="s">
        <v>141</v>
      </c>
      <c r="E294" s="129" t="s">
        <v>970</v>
      </c>
      <c r="F294" s="129" t="s">
        <v>970</v>
      </c>
    </row>
    <row r="295" spans="2:6">
      <c r="B295" s="127">
        <v>379</v>
      </c>
      <c r="C295" s="128" t="s">
        <v>451</v>
      </c>
      <c r="D295" s="126" t="s">
        <v>463</v>
      </c>
      <c r="E295" s="134" t="s">
        <v>971</v>
      </c>
      <c r="F295" s="134" t="s">
        <v>971</v>
      </c>
    </row>
    <row r="296" spans="2:6">
      <c r="B296" s="127">
        <v>380</v>
      </c>
      <c r="D296" s="129" t="s">
        <v>400</v>
      </c>
      <c r="E296" s="129" t="s">
        <v>972</v>
      </c>
      <c r="F296" s="129" t="s">
        <v>972</v>
      </c>
    </row>
    <row r="297" spans="2:6">
      <c r="B297" s="127">
        <v>381</v>
      </c>
      <c r="D297" s="129" t="s">
        <v>401</v>
      </c>
      <c r="E297" s="129" t="s">
        <v>973</v>
      </c>
      <c r="F297" s="129" t="s">
        <v>973</v>
      </c>
    </row>
    <row r="298" spans="2:6">
      <c r="B298" s="127">
        <v>382</v>
      </c>
      <c r="C298" s="128" t="s">
        <v>469</v>
      </c>
      <c r="D298" s="129" t="s">
        <v>470</v>
      </c>
      <c r="E298" s="129" t="s">
        <v>974</v>
      </c>
      <c r="F298" s="129" t="s">
        <v>974</v>
      </c>
    </row>
    <row r="299" spans="2:6">
      <c r="B299" s="127">
        <v>383</v>
      </c>
      <c r="D299" s="129" t="s">
        <v>142</v>
      </c>
      <c r="E299" s="129" t="s">
        <v>975</v>
      </c>
      <c r="F299" s="129" t="s">
        <v>975</v>
      </c>
    </row>
    <row r="300" spans="2:6">
      <c r="B300" s="127">
        <v>384</v>
      </c>
      <c r="D300" s="129" t="s">
        <v>372</v>
      </c>
      <c r="E300" s="129" t="s">
        <v>976</v>
      </c>
      <c r="F300" s="129" t="s">
        <v>976</v>
      </c>
    </row>
    <row r="301" spans="2:6">
      <c r="B301" s="127">
        <v>385</v>
      </c>
      <c r="D301" s="129" t="s">
        <v>143</v>
      </c>
      <c r="E301" s="129" t="s">
        <v>977</v>
      </c>
      <c r="F301" s="129" t="s">
        <v>977</v>
      </c>
    </row>
    <row r="302" spans="2:6">
      <c r="B302" s="127">
        <v>386</v>
      </c>
      <c r="D302" s="129" t="s">
        <v>144</v>
      </c>
      <c r="E302" s="129" t="s">
        <v>978</v>
      </c>
      <c r="F302" s="129" t="s">
        <v>978</v>
      </c>
    </row>
    <row r="303" spans="2:6">
      <c r="B303" s="127">
        <v>387</v>
      </c>
      <c r="D303" s="129" t="s">
        <v>145</v>
      </c>
      <c r="E303" s="129" t="s">
        <v>979</v>
      </c>
      <c r="F303" s="129" t="s">
        <v>979</v>
      </c>
    </row>
    <row r="304" spans="2:6">
      <c r="B304" s="127">
        <v>388</v>
      </c>
      <c r="D304" s="129" t="s">
        <v>458</v>
      </c>
      <c r="E304" s="129" t="s">
        <v>980</v>
      </c>
      <c r="F304" s="129" t="s">
        <v>980</v>
      </c>
    </row>
    <row r="305" spans="2:6" ht="24">
      <c r="B305" s="127">
        <v>389</v>
      </c>
      <c r="D305" s="129" t="s">
        <v>146</v>
      </c>
      <c r="E305" s="129" t="s">
        <v>981</v>
      </c>
      <c r="F305" s="129" t="s">
        <v>981</v>
      </c>
    </row>
    <row r="306" spans="2:6">
      <c r="B306" s="127">
        <v>390</v>
      </c>
      <c r="D306" s="129" t="s">
        <v>573</v>
      </c>
      <c r="E306" s="129" t="s">
        <v>982</v>
      </c>
      <c r="F306" s="129" t="s">
        <v>982</v>
      </c>
    </row>
    <row r="307" spans="2:6" ht="24">
      <c r="B307" s="127">
        <v>391</v>
      </c>
      <c r="D307" s="129" t="s">
        <v>402</v>
      </c>
      <c r="E307" s="129" t="s">
        <v>983</v>
      </c>
      <c r="F307" s="129" t="s">
        <v>983</v>
      </c>
    </row>
    <row r="308" spans="2:6">
      <c r="B308" s="127">
        <v>392</v>
      </c>
      <c r="D308" s="129" t="s">
        <v>403</v>
      </c>
      <c r="E308" s="129" t="s">
        <v>984</v>
      </c>
      <c r="F308" s="129" t="s">
        <v>984</v>
      </c>
    </row>
    <row r="309" spans="2:6">
      <c r="B309" s="127">
        <v>393</v>
      </c>
      <c r="D309" s="129" t="s">
        <v>373</v>
      </c>
      <c r="E309" s="129" t="s">
        <v>985</v>
      </c>
      <c r="F309" s="129" t="s">
        <v>985</v>
      </c>
    </row>
    <row r="310" spans="2:6">
      <c r="B310" s="127">
        <v>394</v>
      </c>
      <c r="D310" s="129" t="s">
        <v>147</v>
      </c>
      <c r="E310" s="129" t="s">
        <v>986</v>
      </c>
      <c r="F310" s="129" t="s">
        <v>986</v>
      </c>
    </row>
    <row r="311" spans="2:6">
      <c r="B311" s="127">
        <v>395</v>
      </c>
      <c r="D311" s="129" t="s">
        <v>374</v>
      </c>
      <c r="E311" s="129" t="s">
        <v>987</v>
      </c>
      <c r="F311" s="129" t="s">
        <v>987</v>
      </c>
    </row>
    <row r="312" spans="2:6">
      <c r="B312" s="127">
        <v>396</v>
      </c>
      <c r="D312" s="129" t="s">
        <v>375</v>
      </c>
      <c r="E312" s="129" t="s">
        <v>988</v>
      </c>
      <c r="F312" s="129" t="s">
        <v>988</v>
      </c>
    </row>
    <row r="313" spans="2:6">
      <c r="B313" s="127">
        <v>397</v>
      </c>
      <c r="D313" s="129" t="s">
        <v>148</v>
      </c>
      <c r="E313" s="129" t="s">
        <v>989</v>
      </c>
      <c r="F313" s="129" t="s">
        <v>989</v>
      </c>
    </row>
    <row r="314" spans="2:6">
      <c r="B314" s="127">
        <v>398</v>
      </c>
      <c r="D314" s="129" t="s">
        <v>149</v>
      </c>
      <c r="E314" s="129" t="s">
        <v>990</v>
      </c>
      <c r="F314" s="129" t="s">
        <v>990</v>
      </c>
    </row>
    <row r="315" spans="2:6">
      <c r="B315" s="127">
        <v>399</v>
      </c>
      <c r="D315" s="129" t="s">
        <v>376</v>
      </c>
      <c r="E315" s="129" t="s">
        <v>991</v>
      </c>
      <c r="F315" s="129" t="s">
        <v>991</v>
      </c>
    </row>
    <row r="316" spans="2:6">
      <c r="B316" s="127">
        <v>400</v>
      </c>
      <c r="D316" s="129" t="s">
        <v>150</v>
      </c>
      <c r="E316" s="129" t="s">
        <v>992</v>
      </c>
      <c r="F316" s="129" t="s">
        <v>992</v>
      </c>
    </row>
    <row r="317" spans="2:6">
      <c r="B317" s="127">
        <v>401</v>
      </c>
      <c r="C317" s="128" t="s">
        <v>417</v>
      </c>
      <c r="D317" s="129" t="s">
        <v>425</v>
      </c>
      <c r="E317" s="129" t="s">
        <v>993</v>
      </c>
      <c r="F317" s="129" t="s">
        <v>993</v>
      </c>
    </row>
    <row r="318" spans="2:6">
      <c r="B318" s="127">
        <v>402</v>
      </c>
      <c r="C318" s="128" t="s">
        <v>451</v>
      </c>
      <c r="D318" s="126" t="s">
        <v>450</v>
      </c>
      <c r="E318" s="134" t="s">
        <v>1334</v>
      </c>
      <c r="F318" s="134" t="s">
        <v>1334</v>
      </c>
    </row>
    <row r="319" spans="2:6">
      <c r="B319" s="127">
        <v>403</v>
      </c>
      <c r="D319" s="129" t="s">
        <v>151</v>
      </c>
      <c r="E319" s="129" t="s">
        <v>1326</v>
      </c>
      <c r="F319" s="129" t="s">
        <v>1326</v>
      </c>
    </row>
    <row r="320" spans="2:6">
      <c r="B320" s="127">
        <v>404</v>
      </c>
      <c r="D320" s="129" t="s">
        <v>152</v>
      </c>
      <c r="E320" s="145" t="s">
        <v>1382</v>
      </c>
      <c r="F320" s="145" t="s">
        <v>1382</v>
      </c>
    </row>
    <row r="321" spans="1:6">
      <c r="B321" s="127">
        <v>405</v>
      </c>
      <c r="D321" s="129" t="s">
        <v>153</v>
      </c>
      <c r="E321" s="129" t="s">
        <v>1335</v>
      </c>
      <c r="F321" s="129" t="s">
        <v>1335</v>
      </c>
    </row>
    <row r="322" spans="1:6">
      <c r="B322" s="127">
        <v>406</v>
      </c>
      <c r="D322" s="129" t="s">
        <v>154</v>
      </c>
      <c r="E322" s="129" t="s">
        <v>994</v>
      </c>
      <c r="F322" s="129" t="s">
        <v>994</v>
      </c>
    </row>
    <row r="323" spans="1:6">
      <c r="B323" s="127">
        <v>407</v>
      </c>
      <c r="C323" s="128" t="s">
        <v>451</v>
      </c>
      <c r="D323" s="126" t="s">
        <v>447</v>
      </c>
      <c r="E323" s="134" t="s">
        <v>995</v>
      </c>
      <c r="F323" s="134" t="s">
        <v>995</v>
      </c>
    </row>
    <row r="324" spans="1:6">
      <c r="B324" s="127">
        <v>408</v>
      </c>
      <c r="D324" s="129" t="s">
        <v>155</v>
      </c>
      <c r="E324" s="129" t="s">
        <v>1334</v>
      </c>
      <c r="F324" s="129" t="s">
        <v>1334</v>
      </c>
    </row>
    <row r="325" spans="1:6">
      <c r="B325" s="127">
        <v>409</v>
      </c>
      <c r="C325" s="128" t="s">
        <v>451</v>
      </c>
      <c r="D325" s="129" t="s">
        <v>445</v>
      </c>
      <c r="E325" s="134" t="s">
        <v>996</v>
      </c>
      <c r="F325" s="134" t="s">
        <v>996</v>
      </c>
    </row>
    <row r="326" spans="1:6">
      <c r="B326" s="127">
        <v>410</v>
      </c>
      <c r="D326" s="129" t="s">
        <v>156</v>
      </c>
      <c r="E326" s="129" t="s">
        <v>997</v>
      </c>
      <c r="F326" s="129" t="s">
        <v>997</v>
      </c>
    </row>
    <row r="327" spans="1:6" ht="36">
      <c r="B327" s="127">
        <v>411</v>
      </c>
      <c r="D327" s="129" t="s">
        <v>157</v>
      </c>
      <c r="E327" s="129" t="s">
        <v>1260</v>
      </c>
      <c r="F327" s="129" t="s">
        <v>1260</v>
      </c>
    </row>
    <row r="328" spans="1:6">
      <c r="B328" s="127">
        <v>412</v>
      </c>
      <c r="D328" s="129" t="s">
        <v>158</v>
      </c>
      <c r="E328" s="129" t="s">
        <v>998</v>
      </c>
      <c r="F328" s="129" t="s">
        <v>998</v>
      </c>
    </row>
    <row r="329" spans="1:6">
      <c r="B329" s="127">
        <v>413</v>
      </c>
      <c r="D329" s="129" t="s">
        <v>481</v>
      </c>
      <c r="E329" s="129" t="s">
        <v>999</v>
      </c>
      <c r="F329" s="129" t="s">
        <v>999</v>
      </c>
    </row>
    <row r="330" spans="1:6" ht="24">
      <c r="B330" s="127">
        <v>414</v>
      </c>
      <c r="D330" s="129" t="s">
        <v>1367</v>
      </c>
      <c r="E330" s="145" t="s">
        <v>1383</v>
      </c>
      <c r="F330" s="145" t="s">
        <v>1383</v>
      </c>
    </row>
    <row r="331" spans="1:6">
      <c r="B331" s="127">
        <v>415</v>
      </c>
      <c r="D331" s="129" t="s">
        <v>482</v>
      </c>
      <c r="E331" s="129" t="s">
        <v>1336</v>
      </c>
      <c r="F331" s="129" t="s">
        <v>1336</v>
      </c>
    </row>
    <row r="332" spans="1:6">
      <c r="B332" s="127">
        <v>416</v>
      </c>
      <c r="D332" s="129" t="s">
        <v>480</v>
      </c>
      <c r="E332" s="129" t="s">
        <v>1000</v>
      </c>
      <c r="F332" s="129" t="s">
        <v>1000</v>
      </c>
    </row>
    <row r="333" spans="1:6">
      <c r="A333" s="131"/>
      <c r="B333" s="127">
        <v>417</v>
      </c>
      <c r="C333" s="132" t="s">
        <v>399</v>
      </c>
      <c r="D333" s="130" t="s">
        <v>426</v>
      </c>
      <c r="E333" s="130" t="s">
        <v>1001</v>
      </c>
      <c r="F333" s="130" t="s">
        <v>1001</v>
      </c>
    </row>
    <row r="334" spans="1:6">
      <c r="A334" s="131"/>
      <c r="B334" s="127">
        <v>418</v>
      </c>
      <c r="C334" s="132" t="s">
        <v>399</v>
      </c>
      <c r="D334" s="130" t="s">
        <v>427</v>
      </c>
      <c r="E334" s="130" t="s">
        <v>1002</v>
      </c>
      <c r="F334" s="130" t="s">
        <v>1002</v>
      </c>
    </row>
    <row r="335" spans="1:6">
      <c r="A335" s="131"/>
      <c r="B335" s="127">
        <v>419</v>
      </c>
      <c r="C335" s="132" t="s">
        <v>399</v>
      </c>
      <c r="D335" s="130" t="s">
        <v>428</v>
      </c>
      <c r="E335" s="130" t="s">
        <v>1003</v>
      </c>
      <c r="F335" s="130" t="s">
        <v>1003</v>
      </c>
    </row>
    <row r="336" spans="1:6">
      <c r="B336" s="127">
        <v>420</v>
      </c>
      <c r="D336" s="129" t="s">
        <v>159</v>
      </c>
      <c r="E336" s="129" t="s">
        <v>1001</v>
      </c>
      <c r="F336" s="129" t="s">
        <v>1001</v>
      </c>
    </row>
    <row r="337" spans="2:6">
      <c r="B337" s="127">
        <v>421</v>
      </c>
      <c r="D337" s="129" t="s">
        <v>160</v>
      </c>
      <c r="E337" s="130" t="s">
        <v>1004</v>
      </c>
      <c r="F337" s="130" t="s">
        <v>1004</v>
      </c>
    </row>
    <row r="338" spans="2:6">
      <c r="B338" s="127">
        <v>422</v>
      </c>
      <c r="D338" s="129" t="s">
        <v>161</v>
      </c>
      <c r="E338" s="129" t="s">
        <v>1005</v>
      </c>
      <c r="F338" s="129" t="s">
        <v>1005</v>
      </c>
    </row>
    <row r="339" spans="2:6">
      <c r="B339" s="127">
        <v>423</v>
      </c>
      <c r="D339" s="129" t="s">
        <v>162</v>
      </c>
      <c r="E339" s="129" t="s">
        <v>1006</v>
      </c>
      <c r="F339" s="129" t="s">
        <v>1006</v>
      </c>
    </row>
    <row r="340" spans="2:6">
      <c r="B340" s="127">
        <v>424</v>
      </c>
      <c r="D340" s="129" t="s">
        <v>163</v>
      </c>
      <c r="E340" s="129" t="s">
        <v>1007</v>
      </c>
      <c r="F340" s="129" t="s">
        <v>1007</v>
      </c>
    </row>
    <row r="341" spans="2:6">
      <c r="B341" s="127">
        <v>425</v>
      </c>
      <c r="D341" s="129" t="s">
        <v>164</v>
      </c>
      <c r="E341" s="129" t="s">
        <v>1008</v>
      </c>
      <c r="F341" s="129" t="s">
        <v>1008</v>
      </c>
    </row>
    <row r="342" spans="2:6">
      <c r="B342" s="127">
        <v>426</v>
      </c>
      <c r="D342" s="129" t="s">
        <v>165</v>
      </c>
      <c r="E342" s="129" t="s">
        <v>1009</v>
      </c>
      <c r="F342" s="129" t="s">
        <v>1009</v>
      </c>
    </row>
    <row r="343" spans="2:6">
      <c r="B343" s="127">
        <v>427</v>
      </c>
      <c r="D343" s="129" t="s">
        <v>166</v>
      </c>
      <c r="E343" s="129" t="s">
        <v>1010</v>
      </c>
      <c r="F343" s="129" t="s">
        <v>1010</v>
      </c>
    </row>
    <row r="344" spans="2:6">
      <c r="B344" s="127">
        <v>428</v>
      </c>
      <c r="D344" s="129" t="s">
        <v>167</v>
      </c>
      <c r="E344" s="129" t="s">
        <v>1011</v>
      </c>
      <c r="F344" s="129" t="s">
        <v>1011</v>
      </c>
    </row>
    <row r="345" spans="2:6">
      <c r="B345" s="127">
        <v>429</v>
      </c>
      <c r="D345" s="129" t="s">
        <v>168</v>
      </c>
      <c r="E345" s="129" t="s">
        <v>1012</v>
      </c>
      <c r="F345" s="129" t="s">
        <v>1012</v>
      </c>
    </row>
    <row r="346" spans="2:6">
      <c r="B346" s="127">
        <v>430</v>
      </c>
      <c r="D346" s="129" t="s">
        <v>169</v>
      </c>
      <c r="E346" s="129" t="s">
        <v>1013</v>
      </c>
      <c r="F346" s="129" t="s">
        <v>1013</v>
      </c>
    </row>
    <row r="347" spans="2:6">
      <c r="B347" s="127">
        <v>431</v>
      </c>
      <c r="D347" s="129" t="s">
        <v>170</v>
      </c>
      <c r="E347" s="129" t="s">
        <v>1014</v>
      </c>
      <c r="F347" s="129" t="s">
        <v>1014</v>
      </c>
    </row>
    <row r="348" spans="2:6">
      <c r="B348" s="127">
        <v>432</v>
      </c>
      <c r="D348" s="129" t="s">
        <v>171</v>
      </c>
      <c r="E348" s="129" t="s">
        <v>1015</v>
      </c>
      <c r="F348" s="129" t="s">
        <v>1015</v>
      </c>
    </row>
    <row r="349" spans="2:6">
      <c r="B349" s="127">
        <v>433</v>
      </c>
      <c r="D349" s="129" t="s">
        <v>172</v>
      </c>
      <c r="E349" s="129" t="s">
        <v>1337</v>
      </c>
      <c r="F349" s="129" t="s">
        <v>1337</v>
      </c>
    </row>
    <row r="350" spans="2:6">
      <c r="B350" s="127">
        <v>434</v>
      </c>
      <c r="D350" s="129" t="s">
        <v>484</v>
      </c>
      <c r="E350" s="129" t="s">
        <v>1338</v>
      </c>
      <c r="F350" s="129" t="s">
        <v>1338</v>
      </c>
    </row>
    <row r="351" spans="2:6">
      <c r="B351" s="127">
        <v>435</v>
      </c>
      <c r="D351" s="129" t="s">
        <v>483</v>
      </c>
      <c r="E351" s="129" t="s">
        <v>1339</v>
      </c>
      <c r="F351" s="129" t="s">
        <v>1339</v>
      </c>
    </row>
    <row r="352" spans="2:6">
      <c r="B352" s="127">
        <v>436</v>
      </c>
      <c r="D352" s="129" t="s">
        <v>173</v>
      </c>
      <c r="E352" s="129" t="s">
        <v>1304</v>
      </c>
      <c r="F352" s="129" t="s">
        <v>1304</v>
      </c>
    </row>
    <row r="353" spans="2:6">
      <c r="B353" s="127">
        <v>437</v>
      </c>
      <c r="D353" s="129" t="s">
        <v>174</v>
      </c>
      <c r="E353" s="129" t="s">
        <v>1016</v>
      </c>
      <c r="F353" s="129" t="s">
        <v>1016</v>
      </c>
    </row>
    <row r="354" spans="2:6">
      <c r="B354" s="127">
        <v>438</v>
      </c>
      <c r="D354" s="129" t="s">
        <v>175</v>
      </c>
      <c r="E354" s="129" t="s">
        <v>1017</v>
      </c>
      <c r="F354" s="129" t="s">
        <v>1017</v>
      </c>
    </row>
    <row r="355" spans="2:6">
      <c r="B355" s="127">
        <v>439</v>
      </c>
      <c r="D355" s="129" t="s">
        <v>176</v>
      </c>
      <c r="E355" s="129" t="s">
        <v>1018</v>
      </c>
      <c r="F355" s="129" t="s">
        <v>1018</v>
      </c>
    </row>
    <row r="356" spans="2:6">
      <c r="B356" s="127">
        <v>440</v>
      </c>
      <c r="D356" s="129" t="s">
        <v>177</v>
      </c>
      <c r="E356" s="129" t="s">
        <v>1340</v>
      </c>
      <c r="F356" s="129" t="s">
        <v>1340</v>
      </c>
    </row>
    <row r="357" spans="2:6">
      <c r="B357" s="127">
        <v>441</v>
      </c>
      <c r="D357" s="129" t="s">
        <v>178</v>
      </c>
      <c r="E357" s="129" t="s">
        <v>1341</v>
      </c>
      <c r="F357" s="129" t="s">
        <v>1341</v>
      </c>
    </row>
    <row r="358" spans="2:6">
      <c r="B358" s="127">
        <v>442</v>
      </c>
      <c r="D358" s="129" t="s">
        <v>485</v>
      </c>
      <c r="E358" s="129" t="s">
        <v>1342</v>
      </c>
      <c r="F358" s="129" t="s">
        <v>1342</v>
      </c>
    </row>
    <row r="359" spans="2:6">
      <c r="B359" s="127">
        <v>443</v>
      </c>
      <c r="D359" s="129" t="s">
        <v>478</v>
      </c>
      <c r="E359" s="129" t="s">
        <v>1343</v>
      </c>
      <c r="F359" s="129" t="s">
        <v>1343</v>
      </c>
    </row>
    <row r="360" spans="2:6">
      <c r="B360" s="127">
        <v>444</v>
      </c>
      <c r="D360" s="129" t="s">
        <v>377</v>
      </c>
      <c r="E360" s="129" t="s">
        <v>377</v>
      </c>
      <c r="F360" s="129" t="s">
        <v>377</v>
      </c>
    </row>
    <row r="361" spans="2:6" ht="24">
      <c r="B361" s="127">
        <v>445</v>
      </c>
      <c r="C361" s="128" t="s">
        <v>500</v>
      </c>
      <c r="D361" s="129" t="s">
        <v>528</v>
      </c>
      <c r="E361" s="129" t="s">
        <v>1305</v>
      </c>
      <c r="F361" s="129" t="s">
        <v>1305</v>
      </c>
    </row>
    <row r="362" spans="2:6">
      <c r="B362" s="127">
        <v>446</v>
      </c>
      <c r="D362" s="129" t="s">
        <v>554</v>
      </c>
      <c r="E362" s="129" t="s">
        <v>1019</v>
      </c>
      <c r="F362" s="129" t="s">
        <v>1019</v>
      </c>
    </row>
    <row r="363" spans="2:6">
      <c r="B363" s="127">
        <v>447</v>
      </c>
      <c r="C363" s="128" t="s">
        <v>451</v>
      </c>
      <c r="D363" s="129" t="s">
        <v>456</v>
      </c>
      <c r="E363" s="129" t="s">
        <v>1020</v>
      </c>
      <c r="F363" s="129" t="s">
        <v>1020</v>
      </c>
    </row>
    <row r="364" spans="2:6">
      <c r="B364" s="127">
        <v>448</v>
      </c>
      <c r="D364" s="129" t="s">
        <v>179</v>
      </c>
      <c r="E364" s="129" t="s">
        <v>1021</v>
      </c>
      <c r="F364" s="129" t="s">
        <v>1021</v>
      </c>
    </row>
    <row r="365" spans="2:6" ht="24">
      <c r="B365" s="127">
        <v>449</v>
      </c>
      <c r="D365" s="129" t="s">
        <v>180</v>
      </c>
      <c r="E365" s="129" t="s">
        <v>1022</v>
      </c>
      <c r="F365" s="129" t="s">
        <v>1022</v>
      </c>
    </row>
    <row r="366" spans="2:6">
      <c r="B366" s="127">
        <v>450</v>
      </c>
      <c r="D366" s="129" t="s">
        <v>181</v>
      </c>
      <c r="E366" s="129" t="s">
        <v>1023</v>
      </c>
      <c r="F366" s="129" t="s">
        <v>1023</v>
      </c>
    </row>
    <row r="367" spans="2:6">
      <c r="B367" s="127">
        <v>451</v>
      </c>
      <c r="D367" s="129" t="s">
        <v>559</v>
      </c>
      <c r="E367" s="129" t="s">
        <v>1024</v>
      </c>
      <c r="F367" s="129" t="s">
        <v>1024</v>
      </c>
    </row>
    <row r="368" spans="2:6" ht="24">
      <c r="B368" s="127">
        <v>452</v>
      </c>
      <c r="D368" s="129" t="s">
        <v>182</v>
      </c>
      <c r="E368" s="129" t="s">
        <v>1025</v>
      </c>
      <c r="F368" s="129" t="s">
        <v>1025</v>
      </c>
    </row>
    <row r="369" spans="2:6">
      <c r="B369" s="127">
        <v>453</v>
      </c>
      <c r="D369" s="130" t="s">
        <v>429</v>
      </c>
      <c r="E369" s="129" t="s">
        <v>834</v>
      </c>
      <c r="F369" s="129" t="s">
        <v>834</v>
      </c>
    </row>
    <row r="370" spans="2:6">
      <c r="B370" s="127">
        <v>454</v>
      </c>
      <c r="D370" s="129" t="s">
        <v>378</v>
      </c>
      <c r="E370" s="129" t="s">
        <v>1026</v>
      </c>
      <c r="F370" s="129" t="s">
        <v>1026</v>
      </c>
    </row>
    <row r="371" spans="2:6">
      <c r="B371" s="127">
        <v>455</v>
      </c>
      <c r="D371" s="129" t="s">
        <v>183</v>
      </c>
      <c r="E371" s="129" t="s">
        <v>1027</v>
      </c>
      <c r="F371" s="129" t="s">
        <v>1027</v>
      </c>
    </row>
    <row r="372" spans="2:6">
      <c r="B372" s="127">
        <v>456</v>
      </c>
      <c r="D372" s="129" t="s">
        <v>379</v>
      </c>
      <c r="E372" s="129" t="s">
        <v>1028</v>
      </c>
      <c r="F372" s="129" t="s">
        <v>1028</v>
      </c>
    </row>
    <row r="373" spans="2:6">
      <c r="B373" s="127">
        <v>457</v>
      </c>
      <c r="D373" s="129" t="s">
        <v>184</v>
      </c>
      <c r="E373" s="129" t="s">
        <v>1029</v>
      </c>
      <c r="F373" s="129" t="s">
        <v>1029</v>
      </c>
    </row>
    <row r="374" spans="2:6">
      <c r="B374" s="127">
        <v>458</v>
      </c>
      <c r="D374" s="129" t="s">
        <v>185</v>
      </c>
      <c r="E374" s="129" t="s">
        <v>1030</v>
      </c>
      <c r="F374" s="129" t="s">
        <v>1030</v>
      </c>
    </row>
    <row r="375" spans="2:6">
      <c r="B375" s="127">
        <v>459</v>
      </c>
      <c r="C375" s="128" t="s">
        <v>500</v>
      </c>
      <c r="D375" s="129" t="s">
        <v>520</v>
      </c>
      <c r="E375" s="129" t="s">
        <v>1031</v>
      </c>
      <c r="F375" s="129" t="s">
        <v>1031</v>
      </c>
    </row>
    <row r="376" spans="2:6">
      <c r="B376" s="127">
        <v>460</v>
      </c>
      <c r="D376" s="129" t="s">
        <v>186</v>
      </c>
      <c r="E376" s="129" t="s">
        <v>1031</v>
      </c>
      <c r="F376" s="129" t="s">
        <v>1031</v>
      </c>
    </row>
    <row r="377" spans="2:6">
      <c r="B377" s="127">
        <v>461</v>
      </c>
      <c r="D377" s="129" t="s">
        <v>187</v>
      </c>
      <c r="E377" s="129" t="s">
        <v>1032</v>
      </c>
      <c r="F377" s="129" t="s">
        <v>1032</v>
      </c>
    </row>
    <row r="378" spans="2:6">
      <c r="B378" s="127">
        <v>462</v>
      </c>
      <c r="D378" s="129" t="s">
        <v>577</v>
      </c>
      <c r="E378" s="129" t="s">
        <v>1033</v>
      </c>
      <c r="F378" s="129" t="s">
        <v>1033</v>
      </c>
    </row>
    <row r="379" spans="2:6">
      <c r="B379" s="127">
        <v>463</v>
      </c>
      <c r="D379" s="129" t="s">
        <v>188</v>
      </c>
      <c r="E379" s="129" t="s">
        <v>1034</v>
      </c>
      <c r="F379" s="129" t="s">
        <v>1034</v>
      </c>
    </row>
    <row r="380" spans="2:6">
      <c r="B380" s="127">
        <v>464</v>
      </c>
      <c r="D380" s="129" t="s">
        <v>189</v>
      </c>
      <c r="F380" s="129"/>
    </row>
    <row r="381" spans="2:6">
      <c r="B381" s="127">
        <v>465</v>
      </c>
      <c r="D381" s="129" t="s">
        <v>380</v>
      </c>
      <c r="E381" s="129" t="s">
        <v>1035</v>
      </c>
      <c r="F381" s="129" t="s">
        <v>1035</v>
      </c>
    </row>
    <row r="382" spans="2:6" ht="24">
      <c r="B382" s="127">
        <v>466</v>
      </c>
      <c r="D382" s="129" t="s">
        <v>567</v>
      </c>
      <c r="E382" s="129" t="s">
        <v>1036</v>
      </c>
      <c r="F382" s="129" t="s">
        <v>1036</v>
      </c>
    </row>
    <row r="383" spans="2:6" ht="24">
      <c r="B383" s="127">
        <v>467</v>
      </c>
      <c r="D383" s="129" t="s">
        <v>190</v>
      </c>
      <c r="E383" s="129" t="s">
        <v>1037</v>
      </c>
      <c r="F383" s="129" t="s">
        <v>1037</v>
      </c>
    </row>
    <row r="384" spans="2:6">
      <c r="B384" s="127">
        <v>468</v>
      </c>
      <c r="D384" s="129" t="s">
        <v>191</v>
      </c>
      <c r="E384" s="129" t="s">
        <v>1038</v>
      </c>
      <c r="F384" s="129" t="s">
        <v>1038</v>
      </c>
    </row>
    <row r="385" spans="2:6">
      <c r="B385" s="127">
        <v>469</v>
      </c>
      <c r="D385" s="129" t="s">
        <v>192</v>
      </c>
      <c r="E385" s="129" t="s">
        <v>1039</v>
      </c>
      <c r="F385" s="129" t="s">
        <v>1039</v>
      </c>
    </row>
    <row r="386" spans="2:6">
      <c r="B386" s="127">
        <v>470</v>
      </c>
      <c r="C386" s="128" t="s">
        <v>500</v>
      </c>
      <c r="D386" s="129" t="s">
        <v>513</v>
      </c>
      <c r="E386" s="129" t="s">
        <v>1040</v>
      </c>
      <c r="F386" s="129" t="s">
        <v>1040</v>
      </c>
    </row>
    <row r="387" spans="2:6">
      <c r="B387" s="127">
        <v>471</v>
      </c>
      <c r="C387" s="128" t="s">
        <v>500</v>
      </c>
      <c r="D387" s="129" t="s">
        <v>517</v>
      </c>
      <c r="E387" s="129" t="s">
        <v>1041</v>
      </c>
      <c r="F387" s="129" t="s">
        <v>1041</v>
      </c>
    </row>
    <row r="388" spans="2:6">
      <c r="B388" s="127">
        <v>472</v>
      </c>
      <c r="D388" s="129" t="s">
        <v>193</v>
      </c>
      <c r="E388" s="129" t="s">
        <v>1042</v>
      </c>
      <c r="F388" s="129" t="s">
        <v>1042</v>
      </c>
    </row>
    <row r="389" spans="2:6">
      <c r="B389" s="127">
        <v>473</v>
      </c>
      <c r="C389" s="128" t="s">
        <v>500</v>
      </c>
      <c r="D389" s="129" t="s">
        <v>509</v>
      </c>
      <c r="E389" s="129" t="s">
        <v>1043</v>
      </c>
      <c r="F389" s="129" t="s">
        <v>1043</v>
      </c>
    </row>
    <row r="390" spans="2:6" ht="24">
      <c r="B390" s="127">
        <v>474</v>
      </c>
      <c r="C390" s="128" t="s">
        <v>500</v>
      </c>
      <c r="D390" s="129" t="s">
        <v>511</v>
      </c>
      <c r="E390" s="129" t="s">
        <v>1306</v>
      </c>
      <c r="F390" s="129" t="s">
        <v>1306</v>
      </c>
    </row>
    <row r="391" spans="2:6">
      <c r="B391" s="127">
        <v>475</v>
      </c>
      <c r="C391" s="128" t="s">
        <v>500</v>
      </c>
      <c r="D391" s="129" t="s">
        <v>512</v>
      </c>
      <c r="E391" s="129" t="s">
        <v>1307</v>
      </c>
      <c r="F391" s="129" t="s">
        <v>1307</v>
      </c>
    </row>
    <row r="392" spans="2:6">
      <c r="B392" s="127">
        <v>476</v>
      </c>
      <c r="D392" s="129" t="s">
        <v>194</v>
      </c>
      <c r="E392" s="129" t="s">
        <v>1044</v>
      </c>
      <c r="F392" s="129" t="s">
        <v>1044</v>
      </c>
    </row>
    <row r="393" spans="2:6">
      <c r="B393" s="127">
        <v>477</v>
      </c>
      <c r="D393" s="129" t="s">
        <v>195</v>
      </c>
      <c r="E393" s="129" t="s">
        <v>1045</v>
      </c>
      <c r="F393" s="129" t="s">
        <v>1045</v>
      </c>
    </row>
    <row r="394" spans="2:6" ht="36">
      <c r="B394" s="127">
        <v>478</v>
      </c>
      <c r="C394" s="128" t="s">
        <v>500</v>
      </c>
      <c r="D394" s="129" t="s">
        <v>530</v>
      </c>
      <c r="E394" s="129" t="s">
        <v>1046</v>
      </c>
      <c r="F394" s="129" t="s">
        <v>1046</v>
      </c>
    </row>
    <row r="395" spans="2:6">
      <c r="B395" s="127">
        <v>479</v>
      </c>
      <c r="D395" s="129" t="s">
        <v>196</v>
      </c>
      <c r="E395" s="129" t="s">
        <v>1047</v>
      </c>
      <c r="F395" s="129" t="s">
        <v>1047</v>
      </c>
    </row>
    <row r="396" spans="2:6">
      <c r="B396" s="127">
        <v>480</v>
      </c>
      <c r="D396" s="129" t="s">
        <v>1238</v>
      </c>
      <c r="E396" s="129" t="s">
        <v>1048</v>
      </c>
      <c r="F396" s="129" t="s">
        <v>1048</v>
      </c>
    </row>
    <row r="397" spans="2:6">
      <c r="B397" s="127">
        <v>481</v>
      </c>
      <c r="D397" s="129" t="s">
        <v>197</v>
      </c>
      <c r="E397" s="129" t="s">
        <v>1049</v>
      </c>
      <c r="F397" s="129" t="s">
        <v>1049</v>
      </c>
    </row>
    <row r="398" spans="2:6">
      <c r="B398" s="127">
        <v>482</v>
      </c>
      <c r="D398" s="129" t="s">
        <v>198</v>
      </c>
      <c r="E398" s="129" t="s">
        <v>1050</v>
      </c>
      <c r="F398" s="129" t="s">
        <v>1050</v>
      </c>
    </row>
    <row r="399" spans="2:6">
      <c r="B399" s="127">
        <v>483</v>
      </c>
      <c r="D399" s="129" t="s">
        <v>199</v>
      </c>
      <c r="E399" s="129" t="s">
        <v>1051</v>
      </c>
      <c r="F399" s="129" t="s">
        <v>1051</v>
      </c>
    </row>
    <row r="400" spans="2:6">
      <c r="B400" s="127">
        <v>484</v>
      </c>
      <c r="D400" s="129" t="s">
        <v>200</v>
      </c>
      <c r="E400" s="129" t="s">
        <v>1052</v>
      </c>
      <c r="F400" s="129" t="s">
        <v>1052</v>
      </c>
    </row>
    <row r="401" spans="2:6" ht="24">
      <c r="B401" s="127">
        <v>485</v>
      </c>
      <c r="D401" s="129" t="s">
        <v>201</v>
      </c>
      <c r="E401" s="129" t="s">
        <v>1053</v>
      </c>
      <c r="F401" s="129" t="s">
        <v>1053</v>
      </c>
    </row>
    <row r="402" spans="2:6">
      <c r="B402" s="127">
        <v>486</v>
      </c>
      <c r="D402" s="129" t="s">
        <v>580</v>
      </c>
      <c r="E402" s="129" t="s">
        <v>1054</v>
      </c>
      <c r="F402" s="129" t="s">
        <v>1054</v>
      </c>
    </row>
    <row r="403" spans="2:6">
      <c r="B403" s="127">
        <v>487</v>
      </c>
      <c r="D403" s="129" t="s">
        <v>578</v>
      </c>
      <c r="E403" s="129" t="s">
        <v>1055</v>
      </c>
      <c r="F403" s="129" t="s">
        <v>1055</v>
      </c>
    </row>
    <row r="404" spans="2:6">
      <c r="B404" s="127">
        <v>488</v>
      </c>
      <c r="D404" s="129" t="s">
        <v>579</v>
      </c>
      <c r="E404" s="129" t="s">
        <v>1056</v>
      </c>
      <c r="F404" s="129" t="s">
        <v>1056</v>
      </c>
    </row>
    <row r="405" spans="2:6">
      <c r="B405" s="127">
        <v>489</v>
      </c>
      <c r="D405" s="129" t="s">
        <v>202</v>
      </c>
      <c r="E405" s="129" t="s">
        <v>1057</v>
      </c>
      <c r="F405" s="129" t="s">
        <v>1057</v>
      </c>
    </row>
    <row r="406" spans="2:6">
      <c r="B406" s="127">
        <v>490</v>
      </c>
      <c r="C406" s="128" t="s">
        <v>451</v>
      </c>
      <c r="D406" s="129" t="s">
        <v>455</v>
      </c>
      <c r="E406" s="129" t="s">
        <v>1058</v>
      </c>
      <c r="F406" s="129" t="s">
        <v>1058</v>
      </c>
    </row>
    <row r="407" spans="2:6">
      <c r="B407" s="127">
        <v>491</v>
      </c>
      <c r="D407" s="129" t="s">
        <v>203</v>
      </c>
      <c r="E407" s="129" t="s">
        <v>1059</v>
      </c>
      <c r="F407" s="129" t="s">
        <v>1059</v>
      </c>
    </row>
    <row r="408" spans="2:6">
      <c r="B408" s="127">
        <v>492</v>
      </c>
      <c r="C408" s="128" t="s">
        <v>469</v>
      </c>
      <c r="D408" s="129" t="s">
        <v>467</v>
      </c>
      <c r="E408" s="129" t="s">
        <v>1060</v>
      </c>
      <c r="F408" s="129" t="s">
        <v>1060</v>
      </c>
    </row>
    <row r="409" spans="2:6">
      <c r="B409" s="127">
        <v>493</v>
      </c>
      <c r="C409" s="128" t="s">
        <v>469</v>
      </c>
      <c r="D409" s="129" t="s">
        <v>466</v>
      </c>
      <c r="E409" s="129" t="s">
        <v>1061</v>
      </c>
      <c r="F409" s="129" t="s">
        <v>1061</v>
      </c>
    </row>
    <row r="410" spans="2:6">
      <c r="B410" s="127">
        <v>494</v>
      </c>
      <c r="D410" s="129" t="s">
        <v>204</v>
      </c>
      <c r="E410" s="129" t="s">
        <v>1062</v>
      </c>
      <c r="F410" s="129" t="s">
        <v>1062</v>
      </c>
    </row>
    <row r="411" spans="2:6">
      <c r="B411" s="127">
        <v>495</v>
      </c>
      <c r="D411" s="129" t="s">
        <v>205</v>
      </c>
      <c r="E411" s="129" t="s">
        <v>1063</v>
      </c>
      <c r="F411" s="129" t="s">
        <v>1063</v>
      </c>
    </row>
    <row r="412" spans="2:6">
      <c r="B412" s="127">
        <v>496</v>
      </c>
      <c r="C412" s="128" t="s">
        <v>500</v>
      </c>
      <c r="D412" s="129" t="s">
        <v>606</v>
      </c>
      <c r="E412" s="129" t="s">
        <v>1064</v>
      </c>
      <c r="F412" s="129" t="s">
        <v>1064</v>
      </c>
    </row>
    <row r="413" spans="2:6">
      <c r="B413" s="127">
        <v>497</v>
      </c>
      <c r="D413" s="129" t="s">
        <v>206</v>
      </c>
      <c r="E413" s="129" t="s">
        <v>1065</v>
      </c>
      <c r="F413" s="129" t="s">
        <v>1065</v>
      </c>
    </row>
    <row r="414" spans="2:6" ht="36">
      <c r="B414" s="127">
        <v>498</v>
      </c>
      <c r="D414" s="129" t="s">
        <v>207</v>
      </c>
      <c r="E414" s="129" t="s">
        <v>1066</v>
      </c>
      <c r="F414" s="129" t="s">
        <v>1066</v>
      </c>
    </row>
    <row r="415" spans="2:6">
      <c r="B415" s="127">
        <v>499</v>
      </c>
      <c r="D415" s="129" t="s">
        <v>208</v>
      </c>
      <c r="E415" s="129" t="s">
        <v>1067</v>
      </c>
      <c r="F415" s="129" t="s">
        <v>1067</v>
      </c>
    </row>
    <row r="416" spans="2:6" ht="24">
      <c r="B416" s="127">
        <v>500</v>
      </c>
      <c r="D416" s="129" t="s">
        <v>209</v>
      </c>
      <c r="E416" s="129" t="s">
        <v>1308</v>
      </c>
      <c r="F416" s="129" t="s">
        <v>1308</v>
      </c>
    </row>
    <row r="417" spans="2:6" ht="24">
      <c r="B417" s="127">
        <v>501</v>
      </c>
      <c r="D417" s="129" t="s">
        <v>210</v>
      </c>
      <c r="E417" s="129" t="s">
        <v>1309</v>
      </c>
      <c r="F417" s="129" t="s">
        <v>1309</v>
      </c>
    </row>
    <row r="418" spans="2:6" ht="24">
      <c r="B418" s="127">
        <v>502</v>
      </c>
      <c r="D418" s="129" t="s">
        <v>211</v>
      </c>
      <c r="E418" s="129" t="s">
        <v>1068</v>
      </c>
      <c r="F418" s="129" t="s">
        <v>1068</v>
      </c>
    </row>
    <row r="419" spans="2:6" ht="24">
      <c r="B419" s="127">
        <v>503</v>
      </c>
      <c r="D419" s="129" t="s">
        <v>212</v>
      </c>
      <c r="E419" s="129" t="s">
        <v>1069</v>
      </c>
      <c r="F419" s="129" t="s">
        <v>1069</v>
      </c>
    </row>
    <row r="420" spans="2:6" ht="24">
      <c r="B420" s="127">
        <v>504</v>
      </c>
      <c r="D420" s="129" t="s">
        <v>213</v>
      </c>
      <c r="E420" s="129" t="s">
        <v>1070</v>
      </c>
      <c r="F420" s="129" t="s">
        <v>1070</v>
      </c>
    </row>
    <row r="421" spans="2:6" ht="24">
      <c r="B421" s="127">
        <v>505</v>
      </c>
      <c r="D421" s="129" t="s">
        <v>214</v>
      </c>
      <c r="E421" s="129" t="s">
        <v>1071</v>
      </c>
      <c r="F421" s="129" t="s">
        <v>1071</v>
      </c>
    </row>
    <row r="422" spans="2:6" ht="24">
      <c r="B422" s="127">
        <v>506</v>
      </c>
      <c r="D422" s="129" t="s">
        <v>215</v>
      </c>
      <c r="E422" s="129" t="s">
        <v>1072</v>
      </c>
      <c r="F422" s="129" t="s">
        <v>1072</v>
      </c>
    </row>
    <row r="423" spans="2:6" ht="24">
      <c r="B423" s="127">
        <v>507</v>
      </c>
      <c r="D423" s="129" t="s">
        <v>216</v>
      </c>
      <c r="E423" s="129" t="s">
        <v>1073</v>
      </c>
      <c r="F423" s="129" t="s">
        <v>1073</v>
      </c>
    </row>
    <row r="424" spans="2:6" ht="24">
      <c r="B424" s="127">
        <v>508</v>
      </c>
      <c r="D424" s="129" t="s">
        <v>217</v>
      </c>
      <c r="E424" s="129" t="s">
        <v>1074</v>
      </c>
      <c r="F424" s="129" t="s">
        <v>1074</v>
      </c>
    </row>
    <row r="425" spans="2:6" ht="24">
      <c r="B425" s="127">
        <v>509</v>
      </c>
      <c r="D425" s="129" t="s">
        <v>218</v>
      </c>
      <c r="E425" s="129" t="s">
        <v>1075</v>
      </c>
      <c r="F425" s="129" t="s">
        <v>1075</v>
      </c>
    </row>
    <row r="426" spans="2:6" ht="24">
      <c r="B426" s="127">
        <v>510</v>
      </c>
      <c r="D426" s="129" t="s">
        <v>219</v>
      </c>
      <c r="E426" s="129" t="s">
        <v>1310</v>
      </c>
      <c r="F426" s="129" t="s">
        <v>1310</v>
      </c>
    </row>
    <row r="427" spans="2:6" ht="24">
      <c r="B427" s="127">
        <v>511</v>
      </c>
      <c r="D427" s="129" t="s">
        <v>220</v>
      </c>
      <c r="E427" s="129" t="s">
        <v>1076</v>
      </c>
      <c r="F427" s="129" t="s">
        <v>1076</v>
      </c>
    </row>
    <row r="428" spans="2:6" ht="24">
      <c r="B428" s="127">
        <v>512</v>
      </c>
      <c r="D428" s="129" t="s">
        <v>221</v>
      </c>
      <c r="E428" s="129" t="s">
        <v>1077</v>
      </c>
      <c r="F428" s="129" t="s">
        <v>1077</v>
      </c>
    </row>
    <row r="429" spans="2:6" ht="24">
      <c r="B429" s="127">
        <v>513</v>
      </c>
      <c r="D429" s="129" t="s">
        <v>222</v>
      </c>
      <c r="E429" s="129" t="s">
        <v>1078</v>
      </c>
      <c r="F429" s="129" t="s">
        <v>1078</v>
      </c>
    </row>
    <row r="430" spans="2:6" ht="24">
      <c r="B430" s="127">
        <v>514</v>
      </c>
      <c r="D430" s="129" t="s">
        <v>223</v>
      </c>
      <c r="E430" s="129" t="s">
        <v>1079</v>
      </c>
      <c r="F430" s="129" t="s">
        <v>1079</v>
      </c>
    </row>
    <row r="431" spans="2:6" ht="24">
      <c r="B431" s="127">
        <v>515</v>
      </c>
      <c r="D431" s="129" t="s">
        <v>224</v>
      </c>
      <c r="E431" s="129" t="s">
        <v>1080</v>
      </c>
      <c r="F431" s="129" t="s">
        <v>1080</v>
      </c>
    </row>
    <row r="432" spans="2:6" ht="24">
      <c r="B432" s="127">
        <v>516</v>
      </c>
      <c r="D432" s="129" t="s">
        <v>225</v>
      </c>
      <c r="E432" s="129" t="s">
        <v>1081</v>
      </c>
      <c r="F432" s="129" t="s">
        <v>1081</v>
      </c>
    </row>
    <row r="433" spans="1:27" ht="24">
      <c r="B433" s="127">
        <v>517</v>
      </c>
      <c r="D433" s="129" t="s">
        <v>226</v>
      </c>
      <c r="E433" s="129" t="s">
        <v>1082</v>
      </c>
      <c r="F433" s="129" t="s">
        <v>1082</v>
      </c>
    </row>
    <row r="434" spans="1:27" ht="24">
      <c r="B434" s="127">
        <v>518</v>
      </c>
      <c r="D434" s="129" t="s">
        <v>227</v>
      </c>
      <c r="E434" s="129" t="s">
        <v>1083</v>
      </c>
      <c r="F434" s="129" t="s">
        <v>1083</v>
      </c>
    </row>
    <row r="435" spans="1:27" ht="24">
      <c r="B435" s="127">
        <v>519</v>
      </c>
      <c r="D435" s="129" t="s">
        <v>228</v>
      </c>
      <c r="E435" s="129" t="s">
        <v>1084</v>
      </c>
      <c r="F435" s="129" t="s">
        <v>1084</v>
      </c>
    </row>
    <row r="436" spans="1:27" ht="24">
      <c r="B436" s="127">
        <v>520</v>
      </c>
      <c r="D436" s="129" t="s">
        <v>1268</v>
      </c>
      <c r="E436" s="129" t="s">
        <v>1261</v>
      </c>
      <c r="F436" s="129" t="s">
        <v>1261</v>
      </c>
    </row>
    <row r="437" spans="1:27" ht="24">
      <c r="B437" s="127">
        <v>521</v>
      </c>
      <c r="D437" s="129" t="s">
        <v>381</v>
      </c>
      <c r="E437" s="129" t="s">
        <v>1085</v>
      </c>
      <c r="F437" s="129" t="s">
        <v>1085</v>
      </c>
    </row>
    <row r="438" spans="1:27" ht="24">
      <c r="B438" s="127">
        <v>522</v>
      </c>
      <c r="D438" s="129" t="s">
        <v>382</v>
      </c>
      <c r="E438" s="129" t="s">
        <v>1085</v>
      </c>
      <c r="F438" s="129" t="s">
        <v>1085</v>
      </c>
    </row>
    <row r="439" spans="1:27" ht="24">
      <c r="B439" s="127">
        <v>523</v>
      </c>
      <c r="D439" s="129" t="s">
        <v>229</v>
      </c>
      <c r="E439" s="129" t="s">
        <v>1086</v>
      </c>
      <c r="F439" s="129" t="s">
        <v>1086</v>
      </c>
    </row>
    <row r="440" spans="1:27" ht="24">
      <c r="B440" s="127">
        <v>524</v>
      </c>
      <c r="D440" s="129" t="s">
        <v>230</v>
      </c>
      <c r="E440" s="129" t="s">
        <v>1087</v>
      </c>
      <c r="F440" s="129" t="s">
        <v>1087</v>
      </c>
    </row>
    <row r="441" spans="1:27" ht="24">
      <c r="B441" s="127">
        <v>525</v>
      </c>
      <c r="D441" s="129" t="s">
        <v>231</v>
      </c>
      <c r="E441" s="129" t="s">
        <v>1088</v>
      </c>
      <c r="F441" s="129" t="s">
        <v>1088</v>
      </c>
    </row>
    <row r="442" spans="1:27" ht="24">
      <c r="B442" s="127">
        <v>526</v>
      </c>
      <c r="D442" s="129" t="s">
        <v>232</v>
      </c>
      <c r="E442" s="129" t="s">
        <v>1089</v>
      </c>
      <c r="F442" s="129" t="s">
        <v>1089</v>
      </c>
    </row>
    <row r="443" spans="1:27" ht="24">
      <c r="B443" s="127">
        <v>527</v>
      </c>
      <c r="D443" s="129" t="s">
        <v>383</v>
      </c>
      <c r="E443" s="129" t="s">
        <v>1090</v>
      </c>
      <c r="F443" s="129" t="s">
        <v>1090</v>
      </c>
    </row>
    <row r="444" spans="1:27" s="130" customFormat="1" ht="24">
      <c r="A444" s="126"/>
      <c r="B444" s="127">
        <v>528</v>
      </c>
      <c r="C444" s="128"/>
      <c r="D444" s="129" t="s">
        <v>384</v>
      </c>
      <c r="E444" s="129" t="s">
        <v>1091</v>
      </c>
      <c r="F444" s="129" t="s">
        <v>1091</v>
      </c>
      <c r="G444" s="126"/>
      <c r="H444" s="126"/>
      <c r="I444" s="126"/>
      <c r="J444" s="126"/>
      <c r="K444" s="126"/>
      <c r="L444" s="126"/>
      <c r="M444" s="126"/>
      <c r="N444" s="126"/>
      <c r="O444" s="126"/>
      <c r="P444" s="126"/>
      <c r="Q444" s="126"/>
      <c r="R444" s="126"/>
      <c r="S444" s="126"/>
      <c r="T444" s="126"/>
      <c r="U444" s="126"/>
      <c r="V444" s="126"/>
      <c r="W444" s="126"/>
      <c r="X444" s="126"/>
      <c r="Y444" s="126"/>
      <c r="Z444" s="126"/>
      <c r="AA444" s="126"/>
    </row>
    <row r="445" spans="1:27" s="130" customFormat="1">
      <c r="A445" s="126"/>
      <c r="B445" s="127">
        <v>529</v>
      </c>
      <c r="C445" s="128"/>
      <c r="D445" s="129" t="s">
        <v>233</v>
      </c>
      <c r="E445" s="129" t="s">
        <v>1092</v>
      </c>
      <c r="F445" s="129" t="s">
        <v>1092</v>
      </c>
      <c r="G445" s="126"/>
      <c r="H445" s="126"/>
      <c r="I445" s="126"/>
      <c r="J445" s="126"/>
      <c r="K445" s="126"/>
      <c r="L445" s="126"/>
      <c r="M445" s="126"/>
      <c r="N445" s="126"/>
      <c r="O445" s="126"/>
      <c r="P445" s="126"/>
      <c r="Q445" s="126"/>
      <c r="R445" s="126"/>
      <c r="S445" s="126"/>
      <c r="T445" s="126"/>
      <c r="U445" s="126"/>
      <c r="V445" s="126"/>
      <c r="W445" s="126"/>
      <c r="X445" s="126"/>
      <c r="Y445" s="126"/>
      <c r="Z445" s="126"/>
      <c r="AA445" s="126"/>
    </row>
    <row r="446" spans="1:27" s="131" customFormat="1" ht="36">
      <c r="A446" s="126"/>
      <c r="B446" s="127">
        <v>530</v>
      </c>
      <c r="C446" s="128"/>
      <c r="D446" s="129" t="s">
        <v>234</v>
      </c>
      <c r="E446" s="129" t="s">
        <v>1093</v>
      </c>
      <c r="F446" s="129" t="s">
        <v>1093</v>
      </c>
      <c r="G446" s="126"/>
      <c r="H446" s="126"/>
      <c r="I446" s="126"/>
      <c r="J446" s="126"/>
      <c r="K446" s="126"/>
      <c r="L446" s="126"/>
      <c r="M446" s="126"/>
      <c r="N446" s="126"/>
      <c r="O446" s="126"/>
      <c r="P446" s="126"/>
      <c r="Q446" s="126"/>
      <c r="R446" s="126"/>
      <c r="S446" s="126"/>
      <c r="T446" s="126"/>
      <c r="U446" s="126"/>
      <c r="V446" s="126"/>
      <c r="W446" s="126"/>
      <c r="X446" s="126"/>
      <c r="Y446" s="126"/>
      <c r="Z446" s="126"/>
      <c r="AA446" s="126"/>
    </row>
    <row r="447" spans="1:27" s="131" customFormat="1">
      <c r="A447" s="126"/>
      <c r="B447" s="127">
        <v>531</v>
      </c>
      <c r="C447" s="128"/>
      <c r="D447" s="129" t="s">
        <v>235</v>
      </c>
      <c r="E447" s="129" t="s">
        <v>1094</v>
      </c>
      <c r="F447" s="129" t="s">
        <v>1094</v>
      </c>
      <c r="G447" s="126"/>
      <c r="H447" s="126"/>
      <c r="I447" s="126"/>
      <c r="J447" s="126"/>
      <c r="K447" s="126"/>
      <c r="L447" s="126"/>
      <c r="M447" s="126"/>
      <c r="N447" s="126"/>
      <c r="O447" s="126"/>
      <c r="P447" s="126"/>
      <c r="Q447" s="126"/>
      <c r="R447" s="126"/>
      <c r="S447" s="126"/>
      <c r="T447" s="126"/>
      <c r="U447" s="126"/>
      <c r="V447" s="126"/>
      <c r="W447" s="126"/>
      <c r="X447" s="126"/>
      <c r="Y447" s="126"/>
      <c r="Z447" s="126"/>
      <c r="AA447" s="126"/>
    </row>
    <row r="448" spans="1:27" s="131" customFormat="1" ht="36">
      <c r="A448" s="126"/>
      <c r="B448" s="127">
        <v>532</v>
      </c>
      <c r="C448" s="128"/>
      <c r="D448" s="129" t="s">
        <v>236</v>
      </c>
      <c r="E448" s="129" t="s">
        <v>1095</v>
      </c>
      <c r="F448" s="129" t="s">
        <v>1095</v>
      </c>
      <c r="G448" s="126"/>
      <c r="H448" s="126"/>
      <c r="I448" s="126"/>
      <c r="J448" s="126"/>
      <c r="K448" s="126"/>
      <c r="L448" s="126"/>
      <c r="M448" s="126"/>
      <c r="N448" s="126"/>
      <c r="O448" s="126"/>
      <c r="P448" s="126"/>
      <c r="Q448" s="126"/>
      <c r="R448" s="126"/>
      <c r="S448" s="126"/>
      <c r="T448" s="126"/>
      <c r="U448" s="126"/>
      <c r="V448" s="126"/>
      <c r="W448" s="126"/>
      <c r="X448" s="126"/>
      <c r="Y448" s="126"/>
      <c r="Z448" s="126"/>
      <c r="AA448" s="126"/>
    </row>
    <row r="449" spans="1:27" s="131" customFormat="1" ht="24">
      <c r="A449" s="126"/>
      <c r="B449" s="127">
        <v>533</v>
      </c>
      <c r="C449" s="128"/>
      <c r="D449" s="129" t="s">
        <v>237</v>
      </c>
      <c r="E449" s="129" t="s">
        <v>1096</v>
      </c>
      <c r="F449" s="129" t="s">
        <v>1096</v>
      </c>
      <c r="G449" s="126"/>
      <c r="H449" s="126"/>
      <c r="I449" s="126"/>
      <c r="J449" s="126"/>
      <c r="K449" s="126"/>
      <c r="L449" s="126"/>
      <c r="M449" s="126"/>
      <c r="N449" s="126"/>
      <c r="O449" s="126"/>
      <c r="P449" s="126"/>
      <c r="Q449" s="126"/>
      <c r="R449" s="126"/>
      <c r="S449" s="126"/>
      <c r="T449" s="126"/>
      <c r="U449" s="126"/>
      <c r="V449" s="126"/>
      <c r="W449" s="126"/>
      <c r="X449" s="126"/>
      <c r="Y449" s="126"/>
      <c r="Z449" s="126"/>
      <c r="AA449" s="126"/>
    </row>
    <row r="450" spans="1:27" s="131" customFormat="1" ht="24">
      <c r="A450" s="126"/>
      <c r="B450" s="127">
        <v>534</v>
      </c>
      <c r="C450" s="128"/>
      <c r="D450" s="129" t="s">
        <v>238</v>
      </c>
      <c r="E450" s="129" t="s">
        <v>1097</v>
      </c>
      <c r="F450" s="129" t="s">
        <v>1097</v>
      </c>
      <c r="G450" s="126"/>
      <c r="H450" s="126"/>
      <c r="I450" s="126"/>
      <c r="J450" s="126"/>
      <c r="K450" s="126"/>
      <c r="L450" s="126"/>
      <c r="M450" s="126"/>
      <c r="N450" s="126"/>
      <c r="O450" s="126"/>
      <c r="P450" s="126"/>
      <c r="Q450" s="126"/>
      <c r="R450" s="126"/>
      <c r="S450" s="126"/>
      <c r="T450" s="126"/>
      <c r="U450" s="126"/>
      <c r="V450" s="126"/>
      <c r="W450" s="126"/>
      <c r="X450" s="126"/>
      <c r="Y450" s="126"/>
      <c r="Z450" s="126"/>
      <c r="AA450" s="126"/>
    </row>
    <row r="451" spans="1:27" s="131" customFormat="1" ht="24">
      <c r="A451" s="126"/>
      <c r="B451" s="127">
        <v>535</v>
      </c>
      <c r="C451" s="128"/>
      <c r="D451" s="129" t="s">
        <v>239</v>
      </c>
      <c r="E451" s="129" t="s">
        <v>1098</v>
      </c>
      <c r="F451" s="129" t="s">
        <v>1098</v>
      </c>
      <c r="G451" s="126"/>
      <c r="H451" s="126"/>
      <c r="I451" s="126"/>
      <c r="J451" s="126"/>
      <c r="K451" s="126"/>
      <c r="L451" s="126"/>
      <c r="M451" s="126"/>
      <c r="N451" s="126"/>
      <c r="O451" s="126"/>
      <c r="P451" s="126"/>
      <c r="Q451" s="126"/>
      <c r="R451" s="126"/>
      <c r="S451" s="126"/>
      <c r="T451" s="126"/>
      <c r="U451" s="126"/>
      <c r="V451" s="126"/>
      <c r="W451" s="126"/>
      <c r="X451" s="126"/>
      <c r="Y451" s="126"/>
      <c r="Z451" s="126"/>
      <c r="AA451" s="126"/>
    </row>
    <row r="452" spans="1:27" s="131" customFormat="1" ht="24">
      <c r="A452" s="126"/>
      <c r="B452" s="127">
        <v>536</v>
      </c>
      <c r="C452" s="128"/>
      <c r="D452" s="129" t="s">
        <v>240</v>
      </c>
      <c r="E452" s="129" t="s">
        <v>1099</v>
      </c>
      <c r="F452" s="129" t="s">
        <v>1099</v>
      </c>
      <c r="G452" s="126"/>
      <c r="H452" s="126"/>
      <c r="I452" s="126"/>
      <c r="J452" s="126"/>
      <c r="K452" s="126"/>
      <c r="L452" s="126"/>
      <c r="M452" s="126"/>
      <c r="N452" s="126"/>
      <c r="O452" s="126"/>
      <c r="P452" s="126"/>
      <c r="Q452" s="126"/>
      <c r="R452" s="126"/>
      <c r="S452" s="126"/>
      <c r="T452" s="126"/>
      <c r="U452" s="126"/>
      <c r="V452" s="126"/>
      <c r="W452" s="126"/>
      <c r="X452" s="126"/>
      <c r="Y452" s="126"/>
      <c r="Z452" s="126"/>
      <c r="AA452" s="126"/>
    </row>
    <row r="453" spans="1:27" s="131" customFormat="1">
      <c r="A453" s="126"/>
      <c r="B453" s="127">
        <v>537</v>
      </c>
      <c r="C453" s="128"/>
      <c r="D453" s="129" t="s">
        <v>241</v>
      </c>
      <c r="E453" s="129" t="s">
        <v>1100</v>
      </c>
      <c r="F453" s="129" t="s">
        <v>1100</v>
      </c>
      <c r="G453" s="126"/>
      <c r="H453" s="126"/>
      <c r="I453" s="126"/>
      <c r="J453" s="126"/>
      <c r="K453" s="126"/>
      <c r="L453" s="126"/>
      <c r="M453" s="126"/>
      <c r="N453" s="126"/>
      <c r="O453" s="126"/>
      <c r="P453" s="126"/>
      <c r="Q453" s="126"/>
      <c r="R453" s="126"/>
      <c r="S453" s="126"/>
      <c r="T453" s="126"/>
      <c r="U453" s="126"/>
      <c r="V453" s="126"/>
      <c r="W453" s="126"/>
      <c r="X453" s="126"/>
      <c r="Y453" s="126"/>
      <c r="Z453" s="126"/>
      <c r="AA453" s="126"/>
    </row>
    <row r="454" spans="1:27" s="131" customFormat="1">
      <c r="A454" s="126"/>
      <c r="B454" s="127">
        <v>538</v>
      </c>
      <c r="C454" s="128"/>
      <c r="D454" s="129" t="s">
        <v>242</v>
      </c>
      <c r="E454" s="129" t="s">
        <v>1101</v>
      </c>
      <c r="F454" s="129" t="s">
        <v>1101</v>
      </c>
      <c r="G454" s="126"/>
      <c r="H454" s="126"/>
      <c r="I454" s="126"/>
      <c r="J454" s="126"/>
      <c r="K454" s="126"/>
      <c r="L454" s="126"/>
      <c r="M454" s="126"/>
      <c r="N454" s="126"/>
      <c r="O454" s="126"/>
      <c r="P454" s="126"/>
      <c r="Q454" s="126"/>
      <c r="R454" s="126"/>
      <c r="S454" s="126"/>
      <c r="T454" s="126"/>
      <c r="U454" s="126"/>
      <c r="V454" s="126"/>
      <c r="W454" s="126"/>
      <c r="X454" s="126"/>
      <c r="Y454" s="126"/>
      <c r="Z454" s="126"/>
      <c r="AA454" s="126"/>
    </row>
    <row r="455" spans="1:27" s="131" customFormat="1" ht="24">
      <c r="A455" s="126"/>
      <c r="B455" s="127">
        <v>539</v>
      </c>
      <c r="C455" s="128"/>
      <c r="D455" s="129" t="s">
        <v>243</v>
      </c>
      <c r="E455" s="129" t="s">
        <v>1311</v>
      </c>
      <c r="F455" s="129" t="s">
        <v>1311</v>
      </c>
      <c r="G455" s="126"/>
      <c r="H455" s="126"/>
      <c r="I455" s="126"/>
      <c r="J455" s="126"/>
      <c r="K455" s="126"/>
      <c r="L455" s="126"/>
      <c r="M455" s="126"/>
      <c r="N455" s="126"/>
      <c r="O455" s="126"/>
      <c r="P455" s="126"/>
      <c r="Q455" s="126"/>
      <c r="R455" s="126"/>
      <c r="S455" s="126"/>
      <c r="T455" s="126"/>
      <c r="U455" s="126"/>
      <c r="V455" s="126"/>
      <c r="W455" s="126"/>
      <c r="X455" s="126"/>
      <c r="Y455" s="126"/>
      <c r="Z455" s="126"/>
      <c r="AA455" s="126"/>
    </row>
    <row r="456" spans="1:27" s="131" customFormat="1">
      <c r="A456" s="126"/>
      <c r="B456" s="127">
        <v>540</v>
      </c>
      <c r="C456" s="128"/>
      <c r="D456" s="129" t="s">
        <v>244</v>
      </c>
      <c r="E456" s="129" t="s">
        <v>1102</v>
      </c>
      <c r="F456" s="129" t="s">
        <v>1102</v>
      </c>
      <c r="G456" s="126"/>
      <c r="H456" s="126"/>
      <c r="I456" s="126"/>
      <c r="J456" s="126"/>
      <c r="K456" s="126"/>
      <c r="L456" s="126"/>
      <c r="M456" s="126"/>
      <c r="N456" s="126"/>
      <c r="O456" s="126"/>
      <c r="P456" s="126"/>
      <c r="Q456" s="126"/>
      <c r="R456" s="126"/>
      <c r="S456" s="126"/>
      <c r="T456" s="126"/>
      <c r="U456" s="126"/>
      <c r="V456" s="126"/>
      <c r="W456" s="126"/>
      <c r="X456" s="126"/>
      <c r="Y456" s="126"/>
      <c r="Z456" s="126"/>
      <c r="AA456" s="126"/>
    </row>
    <row r="457" spans="1:27">
      <c r="B457" s="127">
        <v>541</v>
      </c>
      <c r="D457" s="129" t="s">
        <v>245</v>
      </c>
      <c r="E457" s="129" t="s">
        <v>1103</v>
      </c>
      <c r="F457" s="129" t="s">
        <v>1103</v>
      </c>
    </row>
    <row r="458" spans="1:27">
      <c r="B458" s="127">
        <v>542</v>
      </c>
      <c r="D458" s="129" t="s">
        <v>246</v>
      </c>
      <c r="E458" s="129" t="s">
        <v>1104</v>
      </c>
      <c r="F458" s="129" t="s">
        <v>1104</v>
      </c>
    </row>
    <row r="459" spans="1:27" ht="24">
      <c r="B459" s="127">
        <v>543</v>
      </c>
      <c r="D459" s="129" t="s">
        <v>385</v>
      </c>
      <c r="E459" s="129" t="s">
        <v>1105</v>
      </c>
      <c r="F459" s="129" t="s">
        <v>1105</v>
      </c>
    </row>
    <row r="460" spans="1:27" ht="48">
      <c r="A460" s="130"/>
      <c r="B460" s="127">
        <v>544</v>
      </c>
      <c r="C460" s="136" t="s">
        <v>417</v>
      </c>
      <c r="D460" s="130" t="s">
        <v>430</v>
      </c>
      <c r="E460" s="130" t="s">
        <v>1106</v>
      </c>
      <c r="F460" s="130" t="s">
        <v>1106</v>
      </c>
    </row>
    <row r="461" spans="1:27" ht="36">
      <c r="B461" s="127">
        <v>545</v>
      </c>
      <c r="D461" s="129" t="s">
        <v>247</v>
      </c>
      <c r="E461" s="129" t="s">
        <v>1107</v>
      </c>
      <c r="F461" s="129" t="s">
        <v>1107</v>
      </c>
    </row>
    <row r="462" spans="1:27">
      <c r="B462" s="127">
        <v>546</v>
      </c>
      <c r="D462" s="129" t="s">
        <v>248</v>
      </c>
      <c r="E462" s="129" t="s">
        <v>1108</v>
      </c>
      <c r="F462" s="129" t="s">
        <v>1108</v>
      </c>
    </row>
    <row r="463" spans="1:27">
      <c r="B463" s="127">
        <v>547</v>
      </c>
      <c r="D463" s="129" t="s">
        <v>249</v>
      </c>
      <c r="E463" s="129" t="s">
        <v>1109</v>
      </c>
      <c r="F463" s="129" t="s">
        <v>1109</v>
      </c>
    </row>
    <row r="464" spans="1:27">
      <c r="B464" s="127">
        <v>548</v>
      </c>
      <c r="D464" s="129" t="s">
        <v>250</v>
      </c>
      <c r="E464" s="129" t="s">
        <v>1110</v>
      </c>
      <c r="F464" s="129" t="s">
        <v>1110</v>
      </c>
    </row>
    <row r="465" spans="2:6" ht="24">
      <c r="B465" s="127">
        <v>549</v>
      </c>
      <c r="D465" s="129" t="s">
        <v>464</v>
      </c>
      <c r="E465" s="129" t="s">
        <v>1111</v>
      </c>
      <c r="F465" s="129" t="s">
        <v>1111</v>
      </c>
    </row>
    <row r="466" spans="2:6">
      <c r="B466" s="127">
        <v>550</v>
      </c>
      <c r="D466" s="129" t="s">
        <v>251</v>
      </c>
      <c r="E466" s="129" t="s">
        <v>1112</v>
      </c>
      <c r="F466" s="129" t="s">
        <v>1112</v>
      </c>
    </row>
    <row r="467" spans="2:6">
      <c r="B467" s="127">
        <v>551</v>
      </c>
      <c r="D467" s="129" t="s">
        <v>252</v>
      </c>
      <c r="E467" s="129" t="s">
        <v>1113</v>
      </c>
      <c r="F467" s="129" t="s">
        <v>1113</v>
      </c>
    </row>
    <row r="468" spans="2:6">
      <c r="B468" s="127">
        <v>552</v>
      </c>
      <c r="D468" s="129" t="s">
        <v>253</v>
      </c>
      <c r="E468" s="129" t="s">
        <v>1114</v>
      </c>
      <c r="F468" s="129" t="s">
        <v>1114</v>
      </c>
    </row>
    <row r="469" spans="2:6" ht="24">
      <c r="B469" s="127">
        <v>553</v>
      </c>
      <c r="D469" s="129" t="s">
        <v>560</v>
      </c>
      <c r="E469" s="129" t="s">
        <v>1115</v>
      </c>
      <c r="F469" s="129" t="s">
        <v>1115</v>
      </c>
    </row>
    <row r="470" spans="2:6">
      <c r="B470" s="127">
        <v>554</v>
      </c>
      <c r="D470" s="129" t="s">
        <v>561</v>
      </c>
      <c r="E470" s="129" t="s">
        <v>1116</v>
      </c>
      <c r="F470" s="129" t="s">
        <v>1116</v>
      </c>
    </row>
    <row r="471" spans="2:6" ht="24">
      <c r="B471" s="127">
        <v>555</v>
      </c>
      <c r="D471" s="129" t="s">
        <v>254</v>
      </c>
      <c r="E471" s="129" t="s">
        <v>1117</v>
      </c>
      <c r="F471" s="129" t="s">
        <v>1117</v>
      </c>
    </row>
    <row r="472" spans="2:6">
      <c r="B472" s="127">
        <v>556</v>
      </c>
      <c r="D472" s="129" t="s">
        <v>386</v>
      </c>
      <c r="E472" s="129" t="s">
        <v>1118</v>
      </c>
      <c r="F472" s="129" t="s">
        <v>1118</v>
      </c>
    </row>
    <row r="473" spans="2:6" ht="24">
      <c r="B473" s="127">
        <v>557</v>
      </c>
      <c r="D473" s="129" t="s">
        <v>255</v>
      </c>
      <c r="E473" s="129" t="s">
        <v>1119</v>
      </c>
      <c r="F473" s="129" t="s">
        <v>1119</v>
      </c>
    </row>
    <row r="474" spans="2:6" ht="24">
      <c r="B474" s="127">
        <v>558</v>
      </c>
      <c r="D474" s="129" t="s">
        <v>387</v>
      </c>
      <c r="E474" s="129" t="s">
        <v>1120</v>
      </c>
      <c r="F474" s="129" t="s">
        <v>1120</v>
      </c>
    </row>
    <row r="475" spans="2:6" ht="24">
      <c r="B475" s="127">
        <v>559</v>
      </c>
      <c r="D475" s="129" t="s">
        <v>256</v>
      </c>
      <c r="E475" s="129" t="s">
        <v>1121</v>
      </c>
      <c r="F475" s="129" t="s">
        <v>1121</v>
      </c>
    </row>
    <row r="476" spans="2:6">
      <c r="B476" s="127">
        <v>560</v>
      </c>
      <c r="D476" s="129" t="s">
        <v>257</v>
      </c>
      <c r="E476" s="129" t="s">
        <v>1122</v>
      </c>
      <c r="F476" s="129" t="s">
        <v>1122</v>
      </c>
    </row>
    <row r="477" spans="2:6">
      <c r="B477" s="127">
        <v>561</v>
      </c>
      <c r="C477" s="128" t="s">
        <v>469</v>
      </c>
      <c r="D477" s="129" t="s">
        <v>468</v>
      </c>
      <c r="E477" s="129" t="s">
        <v>1123</v>
      </c>
      <c r="F477" s="129" t="s">
        <v>1123</v>
      </c>
    </row>
    <row r="478" spans="2:6" ht="24">
      <c r="B478" s="127">
        <v>562</v>
      </c>
      <c r="C478" s="128" t="s">
        <v>469</v>
      </c>
      <c r="D478" s="129" t="s">
        <v>465</v>
      </c>
      <c r="E478" s="129" t="s">
        <v>1124</v>
      </c>
      <c r="F478" s="129" t="s">
        <v>1124</v>
      </c>
    </row>
    <row r="479" spans="2:6" ht="24">
      <c r="B479" s="127">
        <v>563</v>
      </c>
      <c r="D479" s="129" t="s">
        <v>1269</v>
      </c>
      <c r="E479" s="129" t="s">
        <v>1262</v>
      </c>
      <c r="F479" s="129" t="s">
        <v>1262</v>
      </c>
    </row>
    <row r="480" spans="2:6">
      <c r="B480" s="127">
        <v>564</v>
      </c>
      <c r="D480" s="129" t="s">
        <v>258</v>
      </c>
      <c r="E480" s="129" t="s">
        <v>1125</v>
      </c>
      <c r="F480" s="129" t="s">
        <v>1125</v>
      </c>
    </row>
    <row r="481" spans="2:6" ht="36">
      <c r="B481" s="127">
        <v>565</v>
      </c>
      <c r="D481" s="129" t="s">
        <v>322</v>
      </c>
      <c r="E481" s="129" t="s">
        <v>1126</v>
      </c>
      <c r="F481" s="129" t="s">
        <v>1126</v>
      </c>
    </row>
    <row r="482" spans="2:6">
      <c r="B482" s="127">
        <v>566</v>
      </c>
      <c r="D482" s="129" t="s">
        <v>259</v>
      </c>
      <c r="E482" s="129" t="s">
        <v>1127</v>
      </c>
      <c r="F482" s="129" t="s">
        <v>1127</v>
      </c>
    </row>
    <row r="483" spans="2:6">
      <c r="B483" s="127">
        <v>567</v>
      </c>
      <c r="D483" s="129" t="s">
        <v>260</v>
      </c>
      <c r="E483" s="129" t="s">
        <v>1128</v>
      </c>
      <c r="F483" s="129" t="s">
        <v>1128</v>
      </c>
    </row>
    <row r="484" spans="2:6">
      <c r="B484" s="127">
        <v>568</v>
      </c>
      <c r="D484" s="129" t="s">
        <v>261</v>
      </c>
      <c r="E484" s="129" t="s">
        <v>1129</v>
      </c>
      <c r="F484" s="129" t="s">
        <v>1129</v>
      </c>
    </row>
    <row r="485" spans="2:6">
      <c r="B485" s="127">
        <v>569</v>
      </c>
      <c r="D485" s="129" t="s">
        <v>262</v>
      </c>
      <c r="E485" s="129" t="s">
        <v>1130</v>
      </c>
      <c r="F485" s="129" t="s">
        <v>1130</v>
      </c>
    </row>
    <row r="486" spans="2:6">
      <c r="B486" s="127">
        <v>570</v>
      </c>
      <c r="D486" s="129" t="s">
        <v>263</v>
      </c>
      <c r="E486" s="129" t="s">
        <v>1131</v>
      </c>
      <c r="F486" s="129" t="s">
        <v>1131</v>
      </c>
    </row>
    <row r="487" spans="2:6" ht="36">
      <c r="B487" s="127">
        <v>571</v>
      </c>
      <c r="D487" s="129" t="s">
        <v>264</v>
      </c>
      <c r="E487" s="129" t="s">
        <v>1312</v>
      </c>
      <c r="F487" s="129" t="s">
        <v>1312</v>
      </c>
    </row>
    <row r="488" spans="2:6" ht="24">
      <c r="B488" s="127">
        <v>572</v>
      </c>
      <c r="D488" s="129" t="s">
        <v>265</v>
      </c>
      <c r="E488" s="129" t="s">
        <v>1132</v>
      </c>
      <c r="F488" s="129" t="s">
        <v>1132</v>
      </c>
    </row>
    <row r="489" spans="2:6">
      <c r="B489" s="127">
        <v>573</v>
      </c>
      <c r="D489" s="129" t="s">
        <v>266</v>
      </c>
      <c r="E489" s="129" t="s">
        <v>1133</v>
      </c>
      <c r="F489" s="129" t="s">
        <v>1133</v>
      </c>
    </row>
    <row r="490" spans="2:6">
      <c r="B490" s="127">
        <v>574</v>
      </c>
      <c r="D490" s="129" t="s">
        <v>267</v>
      </c>
      <c r="E490" s="129" t="s">
        <v>1134</v>
      </c>
      <c r="F490" s="129" t="s">
        <v>1134</v>
      </c>
    </row>
    <row r="491" spans="2:6" ht="24">
      <c r="B491" s="127">
        <v>575</v>
      </c>
      <c r="D491" s="129" t="s">
        <v>388</v>
      </c>
      <c r="E491" s="129" t="s">
        <v>1135</v>
      </c>
      <c r="F491" s="129" t="s">
        <v>1135</v>
      </c>
    </row>
    <row r="492" spans="2:6">
      <c r="B492" s="127">
        <v>576</v>
      </c>
      <c r="D492" s="129" t="s">
        <v>268</v>
      </c>
      <c r="E492" s="129" t="s">
        <v>1136</v>
      </c>
      <c r="F492" s="129" t="s">
        <v>1136</v>
      </c>
    </row>
    <row r="493" spans="2:6">
      <c r="B493" s="127">
        <v>577</v>
      </c>
      <c r="D493" s="129" t="s">
        <v>269</v>
      </c>
      <c r="E493" s="129" t="s">
        <v>1137</v>
      </c>
      <c r="F493" s="129" t="s">
        <v>1137</v>
      </c>
    </row>
    <row r="494" spans="2:6">
      <c r="B494" s="127">
        <v>578</v>
      </c>
      <c r="D494" s="129" t="s">
        <v>565</v>
      </c>
      <c r="E494" s="129" t="s">
        <v>1138</v>
      </c>
      <c r="F494" s="129" t="s">
        <v>1138</v>
      </c>
    </row>
    <row r="495" spans="2:6">
      <c r="B495" s="127">
        <v>579</v>
      </c>
      <c r="D495" s="129" t="s">
        <v>564</v>
      </c>
      <c r="E495" s="129" t="s">
        <v>1139</v>
      </c>
      <c r="F495" s="129" t="s">
        <v>1139</v>
      </c>
    </row>
    <row r="496" spans="2:6">
      <c r="B496" s="127">
        <v>580</v>
      </c>
      <c r="D496" s="129" t="s">
        <v>270</v>
      </c>
      <c r="E496" s="129" t="s">
        <v>1140</v>
      </c>
      <c r="F496" s="129" t="s">
        <v>1140</v>
      </c>
    </row>
    <row r="497" spans="1:6">
      <c r="B497" s="127">
        <v>581</v>
      </c>
      <c r="D497" s="129" t="s">
        <v>389</v>
      </c>
      <c r="E497" s="129" t="s">
        <v>1141</v>
      </c>
      <c r="F497" s="129" t="s">
        <v>1141</v>
      </c>
    </row>
    <row r="498" spans="1:6" ht="36">
      <c r="B498" s="127">
        <v>582</v>
      </c>
      <c r="D498" s="129" t="s">
        <v>390</v>
      </c>
      <c r="E498" s="129" t="s">
        <v>1142</v>
      </c>
      <c r="F498" s="129" t="s">
        <v>1142</v>
      </c>
    </row>
    <row r="499" spans="1:6">
      <c r="B499" s="127">
        <v>583</v>
      </c>
      <c r="D499" s="129" t="s">
        <v>271</v>
      </c>
      <c r="E499" s="129" t="s">
        <v>1143</v>
      </c>
      <c r="F499" s="129" t="s">
        <v>1143</v>
      </c>
    </row>
    <row r="500" spans="1:6">
      <c r="B500" s="127">
        <v>584</v>
      </c>
      <c r="D500" s="129" t="s">
        <v>272</v>
      </c>
      <c r="E500" s="129" t="s">
        <v>1144</v>
      </c>
      <c r="F500" s="129" t="s">
        <v>1144</v>
      </c>
    </row>
    <row r="501" spans="1:6">
      <c r="B501" s="127">
        <v>585</v>
      </c>
      <c r="C501" s="128" t="s">
        <v>451</v>
      </c>
      <c r="D501" s="126" t="s">
        <v>446</v>
      </c>
      <c r="E501" s="134" t="s">
        <v>1145</v>
      </c>
      <c r="F501" s="134" t="s">
        <v>1145</v>
      </c>
    </row>
    <row r="502" spans="1:6">
      <c r="B502" s="127">
        <v>586</v>
      </c>
      <c r="C502" s="128" t="s">
        <v>451</v>
      </c>
      <c r="D502" s="129" t="s">
        <v>444</v>
      </c>
      <c r="E502" s="134" t="s">
        <v>1146</v>
      </c>
      <c r="F502" s="134" t="s">
        <v>1146</v>
      </c>
    </row>
    <row r="503" spans="1:6">
      <c r="B503" s="127">
        <v>587</v>
      </c>
      <c r="D503" s="129" t="s">
        <v>273</v>
      </c>
      <c r="E503" s="129" t="s">
        <v>1147</v>
      </c>
      <c r="F503" s="129" t="s">
        <v>1147</v>
      </c>
    </row>
    <row r="504" spans="1:6" ht="36">
      <c r="B504" s="127">
        <v>588</v>
      </c>
      <c r="D504" s="129" t="s">
        <v>274</v>
      </c>
      <c r="E504" s="129" t="s">
        <v>1263</v>
      </c>
      <c r="F504" s="129" t="s">
        <v>1263</v>
      </c>
    </row>
    <row r="505" spans="1:6">
      <c r="B505" s="127">
        <v>589</v>
      </c>
      <c r="D505" s="129" t="s">
        <v>275</v>
      </c>
      <c r="E505" s="129" t="s">
        <v>1148</v>
      </c>
      <c r="F505" s="129" t="s">
        <v>1148</v>
      </c>
    </row>
    <row r="506" spans="1:6">
      <c r="A506" s="131"/>
      <c r="B506" s="127">
        <v>590</v>
      </c>
      <c r="C506" s="132" t="s">
        <v>399</v>
      </c>
      <c r="D506" s="130" t="s">
        <v>405</v>
      </c>
      <c r="E506" s="130" t="s">
        <v>1149</v>
      </c>
      <c r="F506" s="130" t="s">
        <v>1149</v>
      </c>
    </row>
    <row r="507" spans="1:6">
      <c r="A507" s="131"/>
      <c r="B507" s="127">
        <v>591</v>
      </c>
      <c r="C507" s="132" t="s">
        <v>399</v>
      </c>
      <c r="D507" s="130" t="s">
        <v>431</v>
      </c>
      <c r="E507" s="130" t="s">
        <v>1150</v>
      </c>
      <c r="F507" s="130" t="s">
        <v>1150</v>
      </c>
    </row>
    <row r="508" spans="1:6">
      <c r="B508" s="127">
        <v>592</v>
      </c>
      <c r="D508" s="129" t="s">
        <v>276</v>
      </c>
      <c r="E508" s="130" t="s">
        <v>1151</v>
      </c>
      <c r="F508" s="130" t="s">
        <v>1151</v>
      </c>
    </row>
    <row r="509" spans="1:6">
      <c r="B509" s="127">
        <v>593</v>
      </c>
      <c r="D509" s="129" t="s">
        <v>277</v>
      </c>
      <c r="E509" s="129" t="s">
        <v>1152</v>
      </c>
      <c r="F509" s="129" t="s">
        <v>1152</v>
      </c>
    </row>
    <row r="510" spans="1:6">
      <c r="B510" s="127">
        <v>594</v>
      </c>
      <c r="D510" s="129" t="s">
        <v>278</v>
      </c>
      <c r="E510" s="129" t="s">
        <v>1153</v>
      </c>
      <c r="F510" s="129" t="s">
        <v>1153</v>
      </c>
    </row>
    <row r="511" spans="1:6" ht="24">
      <c r="B511" s="127">
        <v>595</v>
      </c>
      <c r="D511" s="129" t="s">
        <v>279</v>
      </c>
      <c r="E511" s="129" t="s">
        <v>1313</v>
      </c>
      <c r="F511" s="129" t="s">
        <v>1313</v>
      </c>
    </row>
    <row r="512" spans="1:6">
      <c r="B512" s="127">
        <v>596</v>
      </c>
      <c r="D512" s="129" t="s">
        <v>280</v>
      </c>
      <c r="E512" s="129" t="s">
        <v>1154</v>
      </c>
      <c r="F512" s="129" t="s">
        <v>1154</v>
      </c>
    </row>
    <row r="513" spans="2:6" ht="36">
      <c r="B513" s="127">
        <v>597</v>
      </c>
      <c r="D513" s="129" t="s">
        <v>281</v>
      </c>
      <c r="E513" s="129" t="s">
        <v>1155</v>
      </c>
      <c r="F513" s="129" t="s">
        <v>1155</v>
      </c>
    </row>
    <row r="514" spans="2:6">
      <c r="B514" s="127">
        <v>598</v>
      </c>
      <c r="D514" s="129" t="s">
        <v>282</v>
      </c>
      <c r="E514" s="129" t="s">
        <v>1156</v>
      </c>
      <c r="F514" s="129" t="s">
        <v>1156</v>
      </c>
    </row>
    <row r="515" spans="2:6">
      <c r="B515" s="127">
        <v>599</v>
      </c>
      <c r="D515" s="129" t="s">
        <v>283</v>
      </c>
      <c r="E515" s="129" t="s">
        <v>1157</v>
      </c>
      <c r="F515" s="129" t="s">
        <v>1157</v>
      </c>
    </row>
    <row r="516" spans="2:6">
      <c r="B516" s="127">
        <v>600</v>
      </c>
      <c r="D516" s="129" t="s">
        <v>284</v>
      </c>
      <c r="E516" s="129" t="s">
        <v>1158</v>
      </c>
      <c r="F516" s="129" t="s">
        <v>1158</v>
      </c>
    </row>
    <row r="517" spans="2:6">
      <c r="B517" s="127">
        <v>601</v>
      </c>
      <c r="D517" s="129" t="s">
        <v>285</v>
      </c>
      <c r="E517" s="129" t="s">
        <v>1159</v>
      </c>
      <c r="F517" s="129" t="s">
        <v>1159</v>
      </c>
    </row>
    <row r="518" spans="2:6">
      <c r="B518" s="127">
        <v>602</v>
      </c>
      <c r="D518" s="129" t="s">
        <v>286</v>
      </c>
      <c r="E518" s="129" t="s">
        <v>1160</v>
      </c>
      <c r="F518" s="129" t="s">
        <v>1160</v>
      </c>
    </row>
    <row r="519" spans="2:6">
      <c r="B519" s="127">
        <v>603</v>
      </c>
      <c r="D519" s="129" t="s">
        <v>287</v>
      </c>
      <c r="E519" s="129" t="s">
        <v>1161</v>
      </c>
      <c r="F519" s="129" t="s">
        <v>1161</v>
      </c>
    </row>
    <row r="520" spans="2:6">
      <c r="B520" s="127">
        <v>604</v>
      </c>
      <c r="D520" s="129" t="s">
        <v>288</v>
      </c>
      <c r="E520" s="129" t="s">
        <v>288</v>
      </c>
      <c r="F520" s="129" t="s">
        <v>288</v>
      </c>
    </row>
    <row r="521" spans="2:6">
      <c r="B521" s="127">
        <v>605</v>
      </c>
      <c r="D521" s="129" t="s">
        <v>391</v>
      </c>
      <c r="E521" s="129" t="s">
        <v>1162</v>
      </c>
      <c r="F521" s="129" t="s">
        <v>1162</v>
      </c>
    </row>
    <row r="522" spans="2:6" ht="24">
      <c r="B522" s="127">
        <v>606</v>
      </c>
      <c r="D522" s="129" t="s">
        <v>289</v>
      </c>
      <c r="E522" s="129" t="s">
        <v>1163</v>
      </c>
      <c r="F522" s="129" t="s">
        <v>1163</v>
      </c>
    </row>
    <row r="523" spans="2:6">
      <c r="B523" s="127">
        <v>607</v>
      </c>
      <c r="D523" s="129" t="s">
        <v>290</v>
      </c>
      <c r="E523" s="129" t="s">
        <v>290</v>
      </c>
      <c r="F523" s="129" t="s">
        <v>290</v>
      </c>
    </row>
    <row r="524" spans="2:6">
      <c r="B524" s="127">
        <v>608</v>
      </c>
      <c r="D524" s="129" t="s">
        <v>552</v>
      </c>
      <c r="E524" s="129" t="s">
        <v>1164</v>
      </c>
      <c r="F524" s="129" t="s">
        <v>1164</v>
      </c>
    </row>
    <row r="525" spans="2:6">
      <c r="B525" s="127">
        <v>609</v>
      </c>
      <c r="D525" s="129" t="s">
        <v>551</v>
      </c>
      <c r="E525" s="129" t="s">
        <v>1165</v>
      </c>
      <c r="F525" s="129" t="s">
        <v>1165</v>
      </c>
    </row>
    <row r="526" spans="2:6">
      <c r="B526" s="127">
        <v>610</v>
      </c>
      <c r="D526" s="129" t="s">
        <v>392</v>
      </c>
      <c r="F526" s="129"/>
    </row>
    <row r="527" spans="2:6">
      <c r="B527" s="127">
        <v>611</v>
      </c>
      <c r="D527" s="129" t="s">
        <v>291</v>
      </c>
      <c r="E527" s="129" t="s">
        <v>1166</v>
      </c>
      <c r="F527" s="129" t="s">
        <v>1166</v>
      </c>
    </row>
    <row r="528" spans="2:6">
      <c r="B528" s="127">
        <v>612</v>
      </c>
      <c r="C528" s="128" t="s">
        <v>469</v>
      </c>
      <c r="D528" s="129" t="s">
        <v>471</v>
      </c>
      <c r="E528" s="129" t="s">
        <v>1167</v>
      </c>
      <c r="F528" s="129" t="s">
        <v>1167</v>
      </c>
    </row>
    <row r="529" spans="2:6">
      <c r="B529" s="127">
        <v>613</v>
      </c>
      <c r="D529" s="129" t="s">
        <v>393</v>
      </c>
      <c r="E529" s="129" t="s">
        <v>1168</v>
      </c>
      <c r="F529" s="129" t="s">
        <v>1168</v>
      </c>
    </row>
    <row r="530" spans="2:6">
      <c r="B530" s="127">
        <v>614</v>
      </c>
      <c r="D530" s="129" t="s">
        <v>394</v>
      </c>
      <c r="E530" s="129" t="s">
        <v>1169</v>
      </c>
      <c r="F530" s="129" t="s">
        <v>1169</v>
      </c>
    </row>
    <row r="531" spans="2:6">
      <c r="B531" s="127">
        <v>615</v>
      </c>
      <c r="D531" s="129" t="s">
        <v>395</v>
      </c>
      <c r="E531" s="129" t="s">
        <v>1168</v>
      </c>
      <c r="F531" s="129" t="s">
        <v>1168</v>
      </c>
    </row>
    <row r="532" spans="2:6">
      <c r="B532" s="127">
        <v>616</v>
      </c>
      <c r="D532" s="129" t="s">
        <v>1270</v>
      </c>
      <c r="E532" s="129" t="s">
        <v>1264</v>
      </c>
      <c r="F532" s="129" t="s">
        <v>1264</v>
      </c>
    </row>
    <row r="533" spans="2:6">
      <c r="B533" s="127">
        <v>617</v>
      </c>
      <c r="D533" s="129" t="s">
        <v>1271</v>
      </c>
      <c r="E533" s="129" t="s">
        <v>1265</v>
      </c>
      <c r="F533" s="129" t="s">
        <v>1265</v>
      </c>
    </row>
    <row r="534" spans="2:6">
      <c r="B534" s="127">
        <v>618</v>
      </c>
      <c r="D534" s="129" t="s">
        <v>1272</v>
      </c>
      <c r="E534" s="129" t="s">
        <v>1266</v>
      </c>
      <c r="F534" s="129" t="s">
        <v>1266</v>
      </c>
    </row>
    <row r="535" spans="2:6">
      <c r="B535" s="127">
        <v>619</v>
      </c>
      <c r="D535" s="129" t="s">
        <v>571</v>
      </c>
      <c r="E535" s="129" t="s">
        <v>1170</v>
      </c>
      <c r="F535" s="129" t="s">
        <v>1170</v>
      </c>
    </row>
    <row r="536" spans="2:6">
      <c r="B536" s="127">
        <v>620</v>
      </c>
      <c r="D536" s="129" t="s">
        <v>570</v>
      </c>
      <c r="E536" s="129" t="s">
        <v>1171</v>
      </c>
      <c r="F536" s="129" t="s">
        <v>1171</v>
      </c>
    </row>
    <row r="537" spans="2:6" ht="36">
      <c r="B537" s="127">
        <v>621</v>
      </c>
      <c r="C537" s="128" t="s">
        <v>500</v>
      </c>
      <c r="D537" s="129" t="s">
        <v>510</v>
      </c>
      <c r="E537" s="129" t="s">
        <v>1314</v>
      </c>
      <c r="F537" s="129" t="s">
        <v>1314</v>
      </c>
    </row>
    <row r="538" spans="2:6" ht="36">
      <c r="B538" s="127">
        <v>622</v>
      </c>
      <c r="C538" s="128" t="s">
        <v>500</v>
      </c>
      <c r="D538" s="129" t="s">
        <v>525</v>
      </c>
      <c r="E538" s="129" t="s">
        <v>1315</v>
      </c>
      <c r="F538" s="129" t="s">
        <v>1315</v>
      </c>
    </row>
    <row r="539" spans="2:6">
      <c r="B539" s="127">
        <v>623</v>
      </c>
      <c r="D539" s="129" t="s">
        <v>292</v>
      </c>
      <c r="E539" s="129" t="s">
        <v>1172</v>
      </c>
      <c r="F539" s="129" t="s">
        <v>1172</v>
      </c>
    </row>
    <row r="540" spans="2:6">
      <c r="B540" s="127">
        <v>624</v>
      </c>
      <c r="D540" s="129" t="s">
        <v>553</v>
      </c>
      <c r="E540" s="129" t="s">
        <v>1173</v>
      </c>
      <c r="F540" s="129" t="s">
        <v>1173</v>
      </c>
    </row>
    <row r="541" spans="2:6">
      <c r="B541" s="127">
        <v>625</v>
      </c>
      <c r="D541" s="129" t="s">
        <v>496</v>
      </c>
      <c r="E541" s="129" t="s">
        <v>496</v>
      </c>
      <c r="F541" s="129" t="s">
        <v>496</v>
      </c>
    </row>
    <row r="542" spans="2:6">
      <c r="B542" s="127">
        <v>626</v>
      </c>
      <c r="D542" s="129" t="s">
        <v>293</v>
      </c>
      <c r="F542" s="129"/>
    </row>
    <row r="543" spans="2:6">
      <c r="B543" s="127">
        <v>627</v>
      </c>
      <c r="D543" s="129" t="s">
        <v>294</v>
      </c>
      <c r="F543" s="129"/>
    </row>
    <row r="544" spans="2:6">
      <c r="B544" s="127">
        <v>628</v>
      </c>
      <c r="D544" s="129" t="s">
        <v>494</v>
      </c>
      <c r="E544" s="129" t="s">
        <v>495</v>
      </c>
      <c r="F544" s="129" t="s">
        <v>495</v>
      </c>
    </row>
    <row r="545" spans="1:6">
      <c r="B545" s="127">
        <v>629</v>
      </c>
      <c r="D545" s="129" t="s">
        <v>295</v>
      </c>
      <c r="E545" s="129" t="s">
        <v>1174</v>
      </c>
      <c r="F545" s="129" t="s">
        <v>1174</v>
      </c>
    </row>
    <row r="546" spans="1:6">
      <c r="B546" s="127">
        <v>630</v>
      </c>
      <c r="D546" s="129" t="s">
        <v>396</v>
      </c>
      <c r="E546" s="129" t="s">
        <v>1175</v>
      </c>
      <c r="F546" s="129" t="s">
        <v>1175</v>
      </c>
    </row>
    <row r="547" spans="1:6">
      <c r="B547" s="127">
        <v>631</v>
      </c>
      <c r="D547" s="129" t="s">
        <v>296</v>
      </c>
      <c r="E547" s="129" t="s">
        <v>1176</v>
      </c>
      <c r="F547" s="129" t="s">
        <v>1176</v>
      </c>
    </row>
    <row r="548" spans="1:6">
      <c r="B548" s="127">
        <v>632</v>
      </c>
      <c r="D548" s="129" t="s">
        <v>325</v>
      </c>
      <c r="E548" s="129" t="s">
        <v>1177</v>
      </c>
      <c r="F548" s="129" t="s">
        <v>1177</v>
      </c>
    </row>
    <row r="549" spans="1:6">
      <c r="B549" s="127">
        <v>633</v>
      </c>
      <c r="D549" s="129" t="s">
        <v>297</v>
      </c>
      <c r="E549" s="129" t="s">
        <v>1449</v>
      </c>
      <c r="F549" s="129" t="s">
        <v>1449</v>
      </c>
    </row>
    <row r="550" spans="1:6" ht="24">
      <c r="A550" s="130"/>
      <c r="B550" s="127">
        <v>634</v>
      </c>
      <c r="C550" s="130"/>
      <c r="D550" s="130" t="s">
        <v>432</v>
      </c>
      <c r="E550" s="130" t="s">
        <v>1178</v>
      </c>
      <c r="F550" s="130" t="s">
        <v>1178</v>
      </c>
    </row>
    <row r="551" spans="1:6">
      <c r="B551" s="127">
        <v>635</v>
      </c>
      <c r="C551" s="128" t="s">
        <v>500</v>
      </c>
      <c r="D551" s="129" t="s">
        <v>507</v>
      </c>
      <c r="E551" s="129" t="s">
        <v>1179</v>
      </c>
      <c r="F551" s="129" t="s">
        <v>1179</v>
      </c>
    </row>
    <row r="552" spans="1:6">
      <c r="B552" s="127">
        <v>636</v>
      </c>
      <c r="C552" s="128" t="s">
        <v>500</v>
      </c>
      <c r="D552" s="129" t="s">
        <v>595</v>
      </c>
      <c r="E552" s="129" t="s">
        <v>1180</v>
      </c>
      <c r="F552" s="129" t="s">
        <v>1180</v>
      </c>
    </row>
    <row r="553" spans="1:6">
      <c r="B553" s="127">
        <v>637</v>
      </c>
      <c r="D553" s="129" t="s">
        <v>298</v>
      </c>
      <c r="E553" s="129" t="s">
        <v>298</v>
      </c>
      <c r="F553" s="129" t="s">
        <v>298</v>
      </c>
    </row>
    <row r="554" spans="1:6">
      <c r="B554" s="127">
        <v>638</v>
      </c>
      <c r="D554" s="129" t="s">
        <v>299</v>
      </c>
      <c r="E554" s="129" t="s">
        <v>1181</v>
      </c>
      <c r="F554" s="129" t="s">
        <v>1181</v>
      </c>
    </row>
    <row r="555" spans="1:6">
      <c r="B555" s="127">
        <v>639</v>
      </c>
      <c r="D555" s="129" t="s">
        <v>300</v>
      </c>
      <c r="E555" s="129" t="s">
        <v>1182</v>
      </c>
      <c r="F555" s="129" t="s">
        <v>1182</v>
      </c>
    </row>
    <row r="556" spans="1:6">
      <c r="B556" s="127">
        <v>640</v>
      </c>
      <c r="D556" s="129" t="s">
        <v>397</v>
      </c>
      <c r="E556" s="129" t="s">
        <v>1183</v>
      </c>
      <c r="F556" s="129" t="s">
        <v>1183</v>
      </c>
    </row>
    <row r="557" spans="1:6" ht="24">
      <c r="B557" s="127">
        <v>641</v>
      </c>
      <c r="C557" s="128" t="s">
        <v>500</v>
      </c>
      <c r="D557" s="129" t="s">
        <v>526</v>
      </c>
      <c r="E557" s="129" t="s">
        <v>1184</v>
      </c>
      <c r="F557" s="129" t="s">
        <v>1184</v>
      </c>
    </row>
    <row r="558" spans="1:6">
      <c r="B558" s="127">
        <v>642</v>
      </c>
      <c r="D558" s="129" t="s">
        <v>301</v>
      </c>
      <c r="E558" s="129" t="s">
        <v>1185</v>
      </c>
      <c r="F558" s="129" t="s">
        <v>1185</v>
      </c>
    </row>
    <row r="559" spans="1:6" ht="36">
      <c r="B559" s="127">
        <v>643</v>
      </c>
      <c r="C559" s="128" t="s">
        <v>500</v>
      </c>
      <c r="D559" s="129" t="s">
        <v>533</v>
      </c>
      <c r="E559" s="129" t="s">
        <v>1186</v>
      </c>
      <c r="F559" s="129" t="s">
        <v>1186</v>
      </c>
    </row>
    <row r="560" spans="1:6">
      <c r="B560" s="127">
        <v>644</v>
      </c>
      <c r="D560" s="129" t="s">
        <v>302</v>
      </c>
      <c r="E560" s="129" t="s">
        <v>1187</v>
      </c>
      <c r="F560" s="129" t="s">
        <v>1187</v>
      </c>
    </row>
    <row r="561" spans="2:27">
      <c r="B561" s="127">
        <v>645</v>
      </c>
      <c r="D561" s="129" t="s">
        <v>303</v>
      </c>
      <c r="E561" s="129" t="s">
        <v>1188</v>
      </c>
      <c r="F561" s="129" t="s">
        <v>1188</v>
      </c>
    </row>
    <row r="562" spans="2:27">
      <c r="B562" s="127">
        <v>646</v>
      </c>
      <c r="D562" s="129" t="s">
        <v>398</v>
      </c>
      <c r="E562" s="129" t="s">
        <v>1189</v>
      </c>
      <c r="F562" s="129" t="s">
        <v>1189</v>
      </c>
    </row>
    <row r="563" spans="2:27" ht="24">
      <c r="B563" s="127">
        <v>647</v>
      </c>
      <c r="D563" s="129" t="s">
        <v>304</v>
      </c>
      <c r="E563" s="129" t="s">
        <v>1190</v>
      </c>
      <c r="F563" s="129" t="s">
        <v>1190</v>
      </c>
    </row>
    <row r="564" spans="2:27">
      <c r="B564" s="127">
        <v>648</v>
      </c>
      <c r="D564" s="129" t="s">
        <v>305</v>
      </c>
      <c r="E564" s="129" t="s">
        <v>1188</v>
      </c>
      <c r="F564" s="129" t="s">
        <v>1188</v>
      </c>
    </row>
    <row r="565" spans="2:27">
      <c r="B565" s="127">
        <v>649</v>
      </c>
      <c r="D565" s="129" t="s">
        <v>306</v>
      </c>
      <c r="E565" s="129" t="s">
        <v>1191</v>
      </c>
      <c r="F565" s="129" t="s">
        <v>1191</v>
      </c>
    </row>
    <row r="566" spans="2:27">
      <c r="B566" s="127">
        <v>650</v>
      </c>
      <c r="D566" s="129" t="s">
        <v>307</v>
      </c>
      <c r="E566" s="129" t="s">
        <v>1192</v>
      </c>
      <c r="F566" s="129" t="s">
        <v>1192</v>
      </c>
    </row>
    <row r="567" spans="2:27">
      <c r="B567" s="127">
        <v>651</v>
      </c>
      <c r="D567" s="129" t="s">
        <v>308</v>
      </c>
      <c r="E567" s="129" t="s">
        <v>1193</v>
      </c>
      <c r="F567" s="129" t="s">
        <v>1193</v>
      </c>
    </row>
    <row r="568" spans="2:27">
      <c r="B568" s="127">
        <v>652</v>
      </c>
      <c r="D568" s="129" t="s">
        <v>309</v>
      </c>
      <c r="E568" s="129" t="s">
        <v>1194</v>
      </c>
      <c r="F568" s="129" t="s">
        <v>1194</v>
      </c>
      <c r="H568" s="130"/>
      <c r="I568" s="130"/>
      <c r="J568" s="130"/>
      <c r="K568" s="130"/>
      <c r="L568" s="130"/>
      <c r="M568" s="130"/>
      <c r="N568" s="130"/>
      <c r="O568" s="130"/>
      <c r="P568" s="130"/>
      <c r="Q568" s="130"/>
      <c r="R568" s="130"/>
      <c r="S568" s="130"/>
      <c r="T568" s="130"/>
      <c r="U568" s="130"/>
      <c r="V568" s="130"/>
      <c r="W568" s="130"/>
      <c r="X568" s="130"/>
      <c r="Y568" s="130"/>
      <c r="Z568" s="130"/>
      <c r="AA568" s="130"/>
    </row>
    <row r="569" spans="2:27" ht="24">
      <c r="B569" s="127">
        <v>653</v>
      </c>
      <c r="D569" s="129" t="s">
        <v>310</v>
      </c>
      <c r="E569" s="129" t="s">
        <v>1195</v>
      </c>
      <c r="F569" s="129" t="s">
        <v>1195</v>
      </c>
      <c r="H569" s="130"/>
      <c r="I569" s="130"/>
      <c r="J569" s="130"/>
      <c r="K569" s="130"/>
      <c r="L569" s="130"/>
      <c r="M569" s="130"/>
      <c r="N569" s="130"/>
      <c r="O569" s="130"/>
      <c r="P569" s="130"/>
      <c r="Q569" s="130"/>
      <c r="R569" s="130"/>
      <c r="S569" s="130"/>
      <c r="T569" s="130"/>
      <c r="U569" s="130"/>
      <c r="V569" s="130"/>
      <c r="W569" s="130"/>
      <c r="X569" s="130"/>
      <c r="Y569" s="130"/>
      <c r="Z569" s="130"/>
      <c r="AA569" s="130"/>
    </row>
    <row r="570" spans="2:27">
      <c r="B570" s="127">
        <v>654</v>
      </c>
      <c r="D570" s="129" t="s">
        <v>311</v>
      </c>
      <c r="E570" s="129" t="s">
        <v>1187</v>
      </c>
      <c r="F570" s="129" t="s">
        <v>1187</v>
      </c>
      <c r="H570" s="131"/>
      <c r="I570" s="131"/>
      <c r="J570" s="131"/>
      <c r="K570" s="131"/>
      <c r="L570" s="131"/>
      <c r="M570" s="131"/>
      <c r="N570" s="131"/>
      <c r="O570" s="131"/>
      <c r="P570" s="131"/>
      <c r="Q570" s="131"/>
      <c r="R570" s="131"/>
      <c r="S570" s="131"/>
      <c r="T570" s="131"/>
      <c r="U570" s="131"/>
      <c r="V570" s="131"/>
      <c r="W570" s="131"/>
      <c r="X570" s="131"/>
      <c r="Y570" s="131"/>
      <c r="Z570" s="131"/>
      <c r="AA570" s="131"/>
    </row>
    <row r="571" spans="2:27" ht="24">
      <c r="B571" s="127">
        <v>655</v>
      </c>
      <c r="C571" s="128" t="s">
        <v>500</v>
      </c>
      <c r="D571" s="129" t="s">
        <v>527</v>
      </c>
      <c r="E571" s="129" t="s">
        <v>1316</v>
      </c>
      <c r="F571" s="129" t="s">
        <v>1316</v>
      </c>
    </row>
    <row r="572" spans="2:27" ht="24">
      <c r="B572" s="127">
        <v>656</v>
      </c>
      <c r="D572" s="129" t="s">
        <v>312</v>
      </c>
      <c r="E572" s="129" t="s">
        <v>1196</v>
      </c>
      <c r="F572" s="129" t="s">
        <v>1196</v>
      </c>
      <c r="H572" s="131"/>
      <c r="I572" s="131"/>
      <c r="J572" s="131"/>
      <c r="K572" s="131"/>
      <c r="L572" s="131"/>
      <c r="M572" s="131"/>
      <c r="N572" s="131"/>
      <c r="O572" s="131"/>
      <c r="P572" s="131"/>
      <c r="Q572" s="131"/>
      <c r="R572" s="131"/>
      <c r="S572" s="131"/>
      <c r="T572" s="131"/>
      <c r="U572" s="131"/>
      <c r="V572" s="131"/>
      <c r="W572" s="131"/>
      <c r="X572" s="131"/>
      <c r="Y572" s="131"/>
      <c r="Z572" s="131"/>
      <c r="AA572" s="131"/>
    </row>
    <row r="573" spans="2:27" ht="36">
      <c r="B573" s="127">
        <v>657</v>
      </c>
      <c r="D573" s="129" t="s">
        <v>313</v>
      </c>
      <c r="E573" s="129" t="s">
        <v>1197</v>
      </c>
      <c r="F573" s="129" t="s">
        <v>1197</v>
      </c>
      <c r="H573" s="131"/>
      <c r="I573" s="131"/>
      <c r="J573" s="131"/>
      <c r="K573" s="131"/>
      <c r="L573" s="131"/>
      <c r="M573" s="131"/>
      <c r="N573" s="131"/>
      <c r="O573" s="131"/>
      <c r="P573" s="131"/>
      <c r="Q573" s="131"/>
      <c r="R573" s="131"/>
      <c r="S573" s="131"/>
      <c r="T573" s="131"/>
      <c r="U573" s="131"/>
      <c r="V573" s="131"/>
      <c r="W573" s="131"/>
      <c r="X573" s="131"/>
      <c r="Y573" s="131"/>
      <c r="Z573" s="131"/>
      <c r="AA573" s="131"/>
    </row>
    <row r="574" spans="2:27">
      <c r="B574" s="127">
        <v>658</v>
      </c>
      <c r="D574" s="129" t="s">
        <v>314</v>
      </c>
      <c r="E574" s="129" t="s">
        <v>1198</v>
      </c>
      <c r="F574" s="129" t="s">
        <v>1198</v>
      </c>
      <c r="H574" s="131"/>
      <c r="I574" s="131"/>
      <c r="J574" s="131"/>
      <c r="K574" s="131"/>
      <c r="L574" s="131"/>
      <c r="M574" s="131"/>
      <c r="N574" s="131"/>
      <c r="O574" s="131"/>
      <c r="P574" s="131"/>
      <c r="Q574" s="131"/>
      <c r="R574" s="131"/>
      <c r="S574" s="131"/>
      <c r="T574" s="131"/>
      <c r="U574" s="131"/>
      <c r="V574" s="131"/>
      <c r="W574" s="131"/>
      <c r="X574" s="131"/>
      <c r="Y574" s="131"/>
      <c r="Z574" s="131"/>
      <c r="AA574" s="131"/>
    </row>
    <row r="575" spans="2:27" ht="36">
      <c r="B575" s="127">
        <v>659</v>
      </c>
      <c r="D575" s="129" t="s">
        <v>315</v>
      </c>
      <c r="E575" s="129" t="s">
        <v>1199</v>
      </c>
      <c r="F575" s="129" t="s">
        <v>1199</v>
      </c>
      <c r="H575" s="131"/>
      <c r="I575" s="131"/>
      <c r="J575" s="131"/>
      <c r="K575" s="131"/>
      <c r="L575" s="131"/>
      <c r="M575" s="131"/>
      <c r="N575" s="131"/>
      <c r="O575" s="131"/>
      <c r="P575" s="131"/>
      <c r="Q575" s="131"/>
      <c r="R575" s="131"/>
      <c r="S575" s="131"/>
      <c r="T575" s="131"/>
      <c r="U575" s="131"/>
      <c r="V575" s="131"/>
      <c r="W575" s="131"/>
      <c r="X575" s="131"/>
      <c r="Y575" s="131"/>
      <c r="Z575" s="131"/>
      <c r="AA575" s="131"/>
    </row>
    <row r="576" spans="2:27">
      <c r="B576" s="127">
        <v>660</v>
      </c>
      <c r="D576" s="129" t="s">
        <v>316</v>
      </c>
      <c r="E576" s="129" t="s">
        <v>1200</v>
      </c>
      <c r="F576" s="129" t="s">
        <v>1200</v>
      </c>
      <c r="H576" s="131"/>
      <c r="I576" s="131"/>
      <c r="J576" s="131"/>
      <c r="K576" s="131"/>
      <c r="L576" s="131"/>
      <c r="M576" s="131"/>
      <c r="N576" s="131"/>
      <c r="O576" s="131"/>
      <c r="P576" s="131"/>
      <c r="Q576" s="131"/>
      <c r="R576" s="131"/>
      <c r="S576" s="131"/>
      <c r="T576" s="131"/>
      <c r="U576" s="131"/>
      <c r="V576" s="131"/>
      <c r="W576" s="131"/>
      <c r="X576" s="131"/>
      <c r="Y576" s="131"/>
      <c r="Z576" s="131"/>
      <c r="AA576" s="131"/>
    </row>
    <row r="577" spans="2:27">
      <c r="B577" s="127">
        <v>661</v>
      </c>
      <c r="D577" s="129" t="s">
        <v>317</v>
      </c>
      <c r="E577" s="129" t="s">
        <v>1201</v>
      </c>
      <c r="F577" s="129" t="s">
        <v>1201</v>
      </c>
      <c r="H577" s="131"/>
      <c r="I577" s="131"/>
      <c r="J577" s="131"/>
      <c r="K577" s="131"/>
      <c r="L577" s="131"/>
      <c r="M577" s="131"/>
      <c r="N577" s="131"/>
      <c r="O577" s="131"/>
      <c r="P577" s="131"/>
      <c r="Q577" s="131"/>
      <c r="R577" s="131"/>
      <c r="S577" s="131"/>
      <c r="T577" s="131"/>
      <c r="U577" s="131"/>
      <c r="V577" s="131"/>
      <c r="W577" s="131"/>
      <c r="X577" s="131"/>
      <c r="Y577" s="131"/>
      <c r="Z577" s="131"/>
      <c r="AA577" s="131"/>
    </row>
    <row r="578" spans="2:27">
      <c r="B578" s="127">
        <v>662</v>
      </c>
      <c r="D578" s="129" t="s">
        <v>318</v>
      </c>
      <c r="E578" s="129" t="s">
        <v>1202</v>
      </c>
      <c r="F578" s="129" t="s">
        <v>1202</v>
      </c>
      <c r="H578" s="131"/>
      <c r="I578" s="131"/>
      <c r="J578" s="131"/>
      <c r="K578" s="131"/>
      <c r="L578" s="131"/>
      <c r="M578" s="131"/>
      <c r="N578" s="131"/>
      <c r="O578" s="131"/>
      <c r="P578" s="131"/>
      <c r="Q578" s="131"/>
      <c r="R578" s="131"/>
      <c r="S578" s="131"/>
      <c r="T578" s="131"/>
      <c r="U578" s="131"/>
      <c r="V578" s="131"/>
      <c r="W578" s="131"/>
      <c r="X578" s="131"/>
      <c r="Y578" s="131"/>
      <c r="Z578" s="131"/>
      <c r="AA578" s="131"/>
    </row>
    <row r="579" spans="2:27">
      <c r="B579" s="127">
        <v>663</v>
      </c>
      <c r="D579" s="129" t="s">
        <v>319</v>
      </c>
      <c r="E579" s="129" t="s">
        <v>1203</v>
      </c>
      <c r="F579" s="129" t="s">
        <v>1203</v>
      </c>
      <c r="H579" s="131"/>
      <c r="I579" s="131"/>
      <c r="J579" s="131"/>
      <c r="K579" s="131"/>
      <c r="L579" s="131"/>
      <c r="M579" s="131"/>
      <c r="N579" s="131"/>
      <c r="O579" s="131"/>
      <c r="P579" s="131"/>
      <c r="Q579" s="131"/>
      <c r="R579" s="131"/>
      <c r="S579" s="131"/>
      <c r="T579" s="131"/>
      <c r="U579" s="131"/>
      <c r="V579" s="131"/>
      <c r="W579" s="131"/>
      <c r="X579" s="131"/>
      <c r="Y579" s="131"/>
      <c r="Z579" s="131"/>
      <c r="AA579" s="131"/>
    </row>
    <row r="580" spans="2:27">
      <c r="B580" s="127">
        <v>664</v>
      </c>
      <c r="D580" s="129" t="s">
        <v>320</v>
      </c>
      <c r="E580" s="129" t="s">
        <v>1204</v>
      </c>
      <c r="F580" s="129" t="s">
        <v>1204</v>
      </c>
      <c r="H580" s="131"/>
      <c r="I580" s="131"/>
      <c r="J580" s="131"/>
      <c r="K580" s="131"/>
      <c r="L580" s="131"/>
      <c r="M580" s="131"/>
      <c r="N580" s="131"/>
      <c r="O580" s="131"/>
      <c r="P580" s="131"/>
      <c r="Q580" s="131"/>
      <c r="R580" s="131"/>
      <c r="S580" s="131"/>
      <c r="T580" s="131"/>
      <c r="U580" s="131"/>
      <c r="V580" s="131"/>
      <c r="W580" s="131"/>
      <c r="X580" s="131"/>
      <c r="Y580" s="131"/>
      <c r="Z580" s="131"/>
      <c r="AA580" s="131"/>
    </row>
    <row r="581" spans="2:27">
      <c r="B581" s="127">
        <v>665</v>
      </c>
      <c r="D581" s="129" t="s">
        <v>321</v>
      </c>
      <c r="E581" s="129" t="s">
        <v>1205</v>
      </c>
      <c r="F581" s="129" t="s">
        <v>1205</v>
      </c>
      <c r="H581" s="131"/>
      <c r="I581" s="131"/>
      <c r="J581" s="131"/>
      <c r="K581" s="131"/>
      <c r="L581" s="131"/>
      <c r="M581" s="131"/>
      <c r="N581" s="131"/>
      <c r="O581" s="131"/>
      <c r="P581" s="131"/>
      <c r="Q581" s="131"/>
      <c r="R581" s="131"/>
      <c r="S581" s="131"/>
      <c r="T581" s="131"/>
      <c r="U581" s="131"/>
      <c r="V581" s="131"/>
      <c r="W581" s="131"/>
      <c r="X581" s="131"/>
      <c r="Y581" s="131"/>
      <c r="Z581" s="131"/>
      <c r="AA581" s="131"/>
    </row>
    <row r="582" spans="2:27">
      <c r="B582" s="127">
        <v>666</v>
      </c>
      <c r="D582" s="129" t="s">
        <v>603</v>
      </c>
      <c r="E582" s="129" t="s">
        <v>1206</v>
      </c>
      <c r="F582" s="129" t="s">
        <v>1206</v>
      </c>
    </row>
    <row r="583" spans="2:27">
      <c r="B583" s="127">
        <v>667</v>
      </c>
      <c r="D583" s="129" t="s">
        <v>604</v>
      </c>
      <c r="E583" s="129" t="s">
        <v>1207</v>
      </c>
      <c r="F583" s="129" t="s">
        <v>1207</v>
      </c>
    </row>
    <row r="584" spans="2:27">
      <c r="B584" s="127">
        <v>668</v>
      </c>
      <c r="D584" s="129" t="s">
        <v>596</v>
      </c>
      <c r="E584" s="129" t="s">
        <v>1208</v>
      </c>
      <c r="F584" s="129" t="s">
        <v>1208</v>
      </c>
    </row>
    <row r="585" spans="2:27">
      <c r="B585" s="127">
        <v>669</v>
      </c>
      <c r="D585" s="129" t="s">
        <v>602</v>
      </c>
      <c r="E585" s="129" t="s">
        <v>1209</v>
      </c>
      <c r="F585" s="129" t="s">
        <v>1209</v>
      </c>
    </row>
    <row r="586" spans="2:27">
      <c r="B586" s="127">
        <v>670</v>
      </c>
      <c r="D586" s="129" t="s">
        <v>599</v>
      </c>
      <c r="E586" s="129" t="s">
        <v>1210</v>
      </c>
      <c r="F586" s="129" t="s">
        <v>1210</v>
      </c>
    </row>
    <row r="587" spans="2:27">
      <c r="B587" s="127">
        <v>671</v>
      </c>
      <c r="D587" s="129" t="s">
        <v>600</v>
      </c>
      <c r="E587" s="129" t="s">
        <v>1211</v>
      </c>
      <c r="F587" s="129" t="s">
        <v>1211</v>
      </c>
    </row>
    <row r="588" spans="2:27">
      <c r="B588" s="127">
        <v>672</v>
      </c>
      <c r="D588" s="129" t="s">
        <v>601</v>
      </c>
      <c r="E588" s="129" t="s">
        <v>1212</v>
      </c>
      <c r="F588" s="129" t="s">
        <v>1212</v>
      </c>
    </row>
    <row r="589" spans="2:27">
      <c r="B589" s="127">
        <v>673</v>
      </c>
      <c r="D589" s="129" t="s">
        <v>605</v>
      </c>
      <c r="E589" s="129" t="s">
        <v>1213</v>
      </c>
      <c r="F589" s="129" t="s">
        <v>1213</v>
      </c>
    </row>
    <row r="590" spans="2:27">
      <c r="B590" s="127">
        <v>674</v>
      </c>
      <c r="D590" s="129" t="s">
        <v>689</v>
      </c>
      <c r="E590" s="129" t="s">
        <v>1214</v>
      </c>
      <c r="F590" s="129" t="s">
        <v>1214</v>
      </c>
    </row>
    <row r="591" spans="2:27">
      <c r="B591" s="127">
        <v>675</v>
      </c>
      <c r="D591" s="129" t="s">
        <v>691</v>
      </c>
      <c r="E591" s="129" t="s">
        <v>1215</v>
      </c>
      <c r="F591" s="129" t="s">
        <v>1215</v>
      </c>
    </row>
    <row r="592" spans="2:27">
      <c r="B592" s="127">
        <v>676</v>
      </c>
      <c r="D592" s="129" t="s">
        <v>692</v>
      </c>
      <c r="E592" s="129" t="s">
        <v>1216</v>
      </c>
      <c r="F592" s="129" t="s">
        <v>1216</v>
      </c>
    </row>
    <row r="593" spans="2:6">
      <c r="B593" s="127">
        <v>677</v>
      </c>
      <c r="D593" s="129" t="s">
        <v>693</v>
      </c>
      <c r="E593" s="129" t="s">
        <v>1217</v>
      </c>
      <c r="F593" s="126" t="s">
        <v>1217</v>
      </c>
    </row>
    <row r="594" spans="2:6">
      <c r="B594" s="127">
        <v>678</v>
      </c>
      <c r="D594" s="129" t="s">
        <v>694</v>
      </c>
      <c r="E594" s="129" t="s">
        <v>1218</v>
      </c>
      <c r="F594" s="129" t="s">
        <v>1218</v>
      </c>
    </row>
    <row r="595" spans="2:6">
      <c r="B595" s="127">
        <v>679</v>
      </c>
      <c r="D595" s="129" t="s">
        <v>1219</v>
      </c>
      <c r="E595" s="129" t="s">
        <v>1220</v>
      </c>
      <c r="F595" s="129" t="s">
        <v>1220</v>
      </c>
    </row>
    <row r="596" spans="2:6">
      <c r="B596" s="127">
        <v>680</v>
      </c>
      <c r="D596" s="129" t="s">
        <v>1221</v>
      </c>
      <c r="E596" s="144" t="s">
        <v>1223</v>
      </c>
      <c r="F596" s="144" t="s">
        <v>1223</v>
      </c>
    </row>
    <row r="597" spans="2:6">
      <c r="B597" s="127">
        <v>681</v>
      </c>
      <c r="D597" s="129" t="s">
        <v>1222</v>
      </c>
      <c r="E597" s="144" t="s">
        <v>1224</v>
      </c>
      <c r="F597" s="144" t="s">
        <v>1224</v>
      </c>
    </row>
    <row r="598" spans="2:6" ht="13.5">
      <c r="B598" s="127">
        <v>682</v>
      </c>
      <c r="D598" s="129" t="s">
        <v>1232</v>
      </c>
      <c r="E598" s="146" t="s">
        <v>1233</v>
      </c>
      <c r="F598" s="146" t="s">
        <v>1233</v>
      </c>
    </row>
    <row r="599" spans="2:6" ht="13.5">
      <c r="B599" s="127">
        <v>683</v>
      </c>
      <c r="D599" s="129" t="s">
        <v>1234</v>
      </c>
      <c r="E599" s="146" t="s">
        <v>1236</v>
      </c>
      <c r="F599" s="146" t="s">
        <v>1236</v>
      </c>
    </row>
    <row r="600" spans="2:6">
      <c r="B600" s="127">
        <v>684</v>
      </c>
      <c r="D600" s="129" t="s">
        <v>1295</v>
      </c>
      <c r="E600" s="129" t="s">
        <v>1235</v>
      </c>
      <c r="F600" s="129" t="s">
        <v>1235</v>
      </c>
    </row>
    <row r="601" spans="2:6">
      <c r="B601" s="127">
        <v>685</v>
      </c>
      <c r="D601" s="129" t="s">
        <v>1239</v>
      </c>
      <c r="E601" s="145" t="s">
        <v>1240</v>
      </c>
      <c r="F601" s="145" t="s">
        <v>1240</v>
      </c>
    </row>
    <row r="602" spans="2:6">
      <c r="B602" s="127">
        <v>686</v>
      </c>
      <c r="D602" s="129" t="s">
        <v>1243</v>
      </c>
      <c r="E602" s="161" t="s">
        <v>1244</v>
      </c>
      <c r="F602" s="161" t="s">
        <v>1244</v>
      </c>
    </row>
    <row r="603" spans="2:6">
      <c r="B603" s="127">
        <v>687</v>
      </c>
      <c r="D603" s="129" t="s">
        <v>1255</v>
      </c>
      <c r="E603" s="144" t="s">
        <v>1257</v>
      </c>
      <c r="F603" s="144" t="s">
        <v>1257</v>
      </c>
    </row>
    <row r="604" spans="2:6">
      <c r="B604" s="127">
        <v>688</v>
      </c>
      <c r="D604" s="129" t="s">
        <v>1273</v>
      </c>
      <c r="E604" s="171" t="s">
        <v>1274</v>
      </c>
      <c r="F604" s="171" t="s">
        <v>1274</v>
      </c>
    </row>
    <row r="605" spans="2:6" ht="36">
      <c r="B605" s="127">
        <v>689</v>
      </c>
      <c r="D605" s="129" t="s">
        <v>1299</v>
      </c>
      <c r="E605" s="191" t="s">
        <v>1300</v>
      </c>
      <c r="F605" s="191" t="s">
        <v>1300</v>
      </c>
    </row>
    <row r="606" spans="2:6">
      <c r="B606" s="127">
        <v>690</v>
      </c>
      <c r="D606" s="129" t="s">
        <v>1372</v>
      </c>
      <c r="E606" s="145" t="s">
        <v>1345</v>
      </c>
      <c r="F606" s="145" t="s">
        <v>1345</v>
      </c>
    </row>
    <row r="607" spans="2:6">
      <c r="B607" s="127">
        <v>691</v>
      </c>
      <c r="D607" s="129" t="s">
        <v>1373</v>
      </c>
      <c r="E607" s="145" t="s">
        <v>1346</v>
      </c>
      <c r="F607" s="145" t="s">
        <v>1346</v>
      </c>
    </row>
    <row r="608" spans="2:6">
      <c r="B608" s="127">
        <v>692</v>
      </c>
      <c r="D608" s="129" t="s">
        <v>1374</v>
      </c>
      <c r="E608" s="145" t="s">
        <v>1347</v>
      </c>
      <c r="F608" s="145" t="s">
        <v>1347</v>
      </c>
    </row>
    <row r="609" spans="2:6">
      <c r="B609" s="127">
        <v>693</v>
      </c>
      <c r="D609" s="129" t="s">
        <v>1366</v>
      </c>
      <c r="E609" s="145" t="s">
        <v>1384</v>
      </c>
      <c r="F609" s="145" t="s">
        <v>1384</v>
      </c>
    </row>
    <row r="610" spans="2:6">
      <c r="B610" s="127">
        <v>694</v>
      </c>
      <c r="D610" s="129" t="s">
        <v>1390</v>
      </c>
      <c r="E610" s="198" t="s">
        <v>1388</v>
      </c>
      <c r="F610" s="198" t="s">
        <v>1388</v>
      </c>
    </row>
    <row r="611" spans="2:6" ht="24">
      <c r="B611" s="127">
        <v>695</v>
      </c>
      <c r="D611" s="129" t="s">
        <v>1389</v>
      </c>
      <c r="E611" s="197" t="s">
        <v>1387</v>
      </c>
      <c r="F611" s="197" t="s">
        <v>1387</v>
      </c>
    </row>
    <row r="612" spans="2:6">
      <c r="B612" s="127">
        <v>696</v>
      </c>
      <c r="D612" s="129" t="s">
        <v>1393</v>
      </c>
      <c r="E612" s="144" t="s">
        <v>1394</v>
      </c>
      <c r="F612" s="144" t="s">
        <v>1394</v>
      </c>
    </row>
    <row r="613" spans="2:6">
      <c r="B613" s="127">
        <v>697</v>
      </c>
      <c r="D613" s="129" t="s">
        <v>1395</v>
      </c>
      <c r="E613" s="144" t="s">
        <v>1396</v>
      </c>
      <c r="F613" s="144" t="s">
        <v>1396</v>
      </c>
    </row>
    <row r="614" spans="2:6">
      <c r="B614" s="127">
        <v>698</v>
      </c>
      <c r="D614" s="129" t="s">
        <v>1397</v>
      </c>
      <c r="E614" s="144" t="s">
        <v>1398</v>
      </c>
      <c r="F614" s="144" t="s">
        <v>1398</v>
      </c>
    </row>
    <row r="615" spans="2:6">
      <c r="B615" s="127">
        <v>699</v>
      </c>
      <c r="D615" s="129" t="s">
        <v>1399</v>
      </c>
      <c r="E615" s="191" t="s">
        <v>1400</v>
      </c>
      <c r="F615" s="191" t="s">
        <v>1400</v>
      </c>
    </row>
    <row r="616" spans="2:6">
      <c r="B616" s="127">
        <v>700</v>
      </c>
      <c r="D616" s="129" t="s">
        <v>1408</v>
      </c>
      <c r="E616" s="191" t="s">
        <v>1404</v>
      </c>
      <c r="F616" s="191" t="s">
        <v>1404</v>
      </c>
    </row>
    <row r="617" spans="2:6">
      <c r="B617" s="127">
        <v>701</v>
      </c>
      <c r="D617" s="129" t="s">
        <v>1413</v>
      </c>
      <c r="E617" s="191" t="s">
        <v>1405</v>
      </c>
      <c r="F617" s="191" t="s">
        <v>1405</v>
      </c>
    </row>
    <row r="618" spans="2:6">
      <c r="B618" s="127">
        <v>702</v>
      </c>
      <c r="D618" s="129" t="s">
        <v>1409</v>
      </c>
      <c r="E618" s="145" t="s">
        <v>1406</v>
      </c>
      <c r="F618" s="145" t="s">
        <v>1406</v>
      </c>
    </row>
    <row r="619" spans="2:6">
      <c r="B619" s="127">
        <v>703</v>
      </c>
      <c r="D619" s="129" t="s">
        <v>1410</v>
      </c>
      <c r="E619" s="145" t="s">
        <v>1412</v>
      </c>
      <c r="F619" s="145" t="s">
        <v>1412</v>
      </c>
    </row>
    <row r="620" spans="2:6">
      <c r="B620" s="127">
        <v>704</v>
      </c>
      <c r="D620" s="129" t="s">
        <v>1411</v>
      </c>
      <c r="E620" s="145" t="s">
        <v>1407</v>
      </c>
      <c r="F620" s="145" t="s">
        <v>1407</v>
      </c>
    </row>
    <row r="621" spans="2:6">
      <c r="B621" s="127">
        <v>705</v>
      </c>
      <c r="D621" s="129" t="s">
        <v>1435</v>
      </c>
      <c r="E621" s="144" t="s">
        <v>1436</v>
      </c>
      <c r="F621" s="144" t="s">
        <v>1436</v>
      </c>
    </row>
    <row r="622" spans="2:6">
      <c r="B622" s="127">
        <v>706</v>
      </c>
      <c r="D622" s="129" t="s">
        <v>1443</v>
      </c>
      <c r="E622" s="144" t="s">
        <v>1444</v>
      </c>
      <c r="F622" s="144" t="s">
        <v>1444</v>
      </c>
    </row>
    <row r="623" spans="2:6">
      <c r="B623" s="127">
        <v>707</v>
      </c>
      <c r="D623" s="129" t="s">
        <v>1437</v>
      </c>
      <c r="E623" s="129" t="s">
        <v>1440</v>
      </c>
      <c r="F623" s="129" t="s">
        <v>1440</v>
      </c>
    </row>
    <row r="624" spans="2:6">
      <c r="B624" s="127">
        <v>708</v>
      </c>
      <c r="D624" s="129" t="s">
        <v>1438</v>
      </c>
      <c r="E624" s="129" t="s">
        <v>1441</v>
      </c>
      <c r="F624" s="129" t="s">
        <v>1441</v>
      </c>
    </row>
    <row r="625" spans="2:6">
      <c r="B625" s="127">
        <v>709</v>
      </c>
      <c r="D625" s="129" t="s">
        <v>1439</v>
      </c>
      <c r="E625" s="145" t="s">
        <v>1448</v>
      </c>
      <c r="F625" s="129" t="s">
        <v>1442</v>
      </c>
    </row>
    <row r="626" spans="2:6">
      <c r="B626" s="127">
        <v>710</v>
      </c>
      <c r="D626" s="129" t="s">
        <v>1555</v>
      </c>
      <c r="E626" s="144" t="s">
        <v>1556</v>
      </c>
      <c r="F626" s="144" t="s">
        <v>1556</v>
      </c>
    </row>
    <row r="627" spans="2:6" ht="24">
      <c r="B627" s="127">
        <v>711</v>
      </c>
      <c r="D627" s="129" t="s">
        <v>1560</v>
      </c>
      <c r="E627" s="191" t="s">
        <v>1559</v>
      </c>
      <c r="F627" s="191" t="s">
        <v>1559</v>
      </c>
    </row>
    <row r="628" spans="2:6" s="215" customFormat="1">
      <c r="B628" s="127">
        <v>712</v>
      </c>
      <c r="C628" s="216" t="s">
        <v>500</v>
      </c>
      <c r="D628" s="217" t="s">
        <v>516</v>
      </c>
      <c r="E628" s="217" t="s">
        <v>1662</v>
      </c>
      <c r="F628" s="217" t="s">
        <v>1662</v>
      </c>
    </row>
  </sheetData>
  <sortState ref="A17:AA581">
    <sortCondition ref="D17:D581"/>
  </sortState>
  <phoneticPr fontId="1" type="noConversion"/>
  <hyperlinks>
    <hyperlink ref="E600" r:id="rId1"/>
    <hyperlink ref="F600" r:id="rId2"/>
  </hyperlinks>
  <pageMargins left="0.7" right="0.7" top="0.75" bottom="0.75" header="0.3" footer="0.3"/>
  <pageSetup paperSize="9"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119"/>
  <sheetViews>
    <sheetView zoomScale="85" zoomScaleNormal="85" workbookViewId="0">
      <pane ySplit="1" topLeftCell="A2" activePane="bottomLeft" state="frozen"/>
      <selection pane="bottomLeft" activeCell="C9" sqref="C9"/>
    </sheetView>
  </sheetViews>
  <sheetFormatPr defaultColWidth="10" defaultRowHeight="12.75"/>
  <cols>
    <col min="1" max="1" width="6.25" style="68" customWidth="1"/>
    <col min="2" max="2" width="33.25" style="68" bestFit="1" customWidth="1"/>
    <col min="3" max="3" width="20.25" style="67" customWidth="1"/>
    <col min="4" max="4" width="23.125" style="67" customWidth="1"/>
    <col min="5" max="5" width="10" style="67" customWidth="1"/>
    <col min="6" max="6" width="15.25" style="67" customWidth="1"/>
    <col min="7" max="7" width="21.25" style="67" bestFit="1" customWidth="1"/>
    <col min="8" max="8" width="40.375" style="68" customWidth="1"/>
    <col min="9" max="9" width="23.625" style="68" bestFit="1" customWidth="1"/>
    <col min="10" max="10" width="9.5" style="68" bestFit="1" customWidth="1"/>
    <col min="11" max="11" width="22.5" style="68" bestFit="1" customWidth="1"/>
    <col min="12" max="12" width="60.75" style="68" bestFit="1" customWidth="1"/>
    <col min="13" max="13" width="25.125" style="68" bestFit="1" customWidth="1"/>
    <col min="14" max="14" width="4.75" style="68" bestFit="1" customWidth="1"/>
    <col min="15" max="15" width="23" style="68" bestFit="1" customWidth="1"/>
    <col min="16" max="16" width="8" style="68" bestFit="1" customWidth="1"/>
    <col min="17" max="17" width="28.375" style="68" bestFit="1" customWidth="1"/>
    <col min="18" max="18" width="6" style="68" bestFit="1" customWidth="1"/>
    <col min="19" max="19" width="27.75" style="68" bestFit="1" customWidth="1"/>
    <col min="20" max="20" width="4.75" style="68" bestFit="1" customWidth="1"/>
    <col min="21" max="21" width="24.375" style="68" bestFit="1" customWidth="1"/>
    <col min="22" max="22" width="4.25" style="68" bestFit="1" customWidth="1"/>
    <col min="23" max="23" width="28.875" style="68" bestFit="1" customWidth="1"/>
    <col min="24" max="24" width="8" style="68" bestFit="1" customWidth="1"/>
    <col min="25" max="25" width="22.625" style="68" bestFit="1" customWidth="1"/>
    <col min="26" max="26" width="4.875" style="68" bestFit="1" customWidth="1"/>
    <col min="27" max="27" width="24.375" style="68" customWidth="1"/>
    <col min="28" max="28" width="7.375" style="68" hidden="1" customWidth="1"/>
    <col min="29" max="29" width="19.75" style="68" bestFit="1" customWidth="1"/>
    <col min="30" max="30" width="4.25" style="68" bestFit="1" customWidth="1"/>
    <col min="31" max="31" width="15.375" style="68" bestFit="1" customWidth="1"/>
    <col min="32" max="32" width="39.625" style="68" bestFit="1" customWidth="1"/>
    <col min="33" max="33" width="35.75" style="68" bestFit="1" customWidth="1"/>
    <col min="34" max="34" width="4.875" style="68" bestFit="1" customWidth="1"/>
    <col min="35" max="35" width="24.25" style="68" bestFit="1" customWidth="1"/>
    <col min="36" max="36" width="8.75" style="68" bestFit="1" customWidth="1"/>
    <col min="37" max="37" width="26" style="68" bestFit="1" customWidth="1"/>
    <col min="38" max="38" width="4.625" style="68" bestFit="1" customWidth="1"/>
    <col min="39" max="39" width="35.625" style="68" bestFit="1" customWidth="1"/>
    <col min="40" max="40" width="33.375" style="68" bestFit="1" customWidth="1"/>
    <col min="41" max="41" width="22.625" style="68" bestFit="1" customWidth="1"/>
    <col min="42" max="42" width="5.25" style="68" bestFit="1" customWidth="1"/>
    <col min="43" max="43" width="16.625" style="68" bestFit="1" customWidth="1"/>
    <col min="44" max="44" width="93.375" style="68" bestFit="1" customWidth="1"/>
    <col min="45" max="45" width="21" style="68" bestFit="1" customWidth="1"/>
    <col min="46" max="46" width="5.5" style="68" bestFit="1" customWidth="1"/>
    <col min="47" max="47" width="14.875" style="68" bestFit="1" customWidth="1"/>
    <col min="48" max="48" width="28.625" style="68" bestFit="1" customWidth="1"/>
    <col min="49" max="49" width="22.625" style="68" bestFit="1" customWidth="1"/>
    <col min="50" max="50" width="4.875" style="68" bestFit="1" customWidth="1"/>
    <col min="51" max="51" width="15.625" style="68" bestFit="1" customWidth="1"/>
    <col min="52" max="53" width="13.125" style="68" bestFit="1" customWidth="1"/>
    <col min="54" max="55" width="14.875" style="68" bestFit="1" customWidth="1"/>
    <col min="56" max="57" width="22.625" style="68" bestFit="1" customWidth="1"/>
    <col min="58" max="59" width="15.625" style="68" bestFit="1" customWidth="1"/>
    <col min="60" max="61" width="13.125" style="68" bestFit="1" customWidth="1"/>
    <col min="62" max="63" width="14.875" style="68" bestFit="1" customWidth="1"/>
    <col min="64" max="65" width="22.625" style="68" bestFit="1" customWidth="1"/>
    <col min="66" max="66" width="10" style="68"/>
    <col min="67" max="67" width="33.75" style="68" bestFit="1" customWidth="1"/>
    <col min="68" max="16384" width="10" style="68"/>
  </cols>
  <sheetData>
    <row r="1" spans="1:8" s="67" customFormat="1">
      <c r="A1" s="66" t="s">
        <v>612</v>
      </c>
      <c r="B1" s="66" t="s">
        <v>609</v>
      </c>
      <c r="C1" s="66" t="s">
        <v>610</v>
      </c>
      <c r="D1" s="66" t="s">
        <v>611</v>
      </c>
      <c r="E1" s="66" t="s">
        <v>3</v>
      </c>
      <c r="F1" s="66" t="s">
        <v>4</v>
      </c>
      <c r="G1" s="66" t="s">
        <v>5</v>
      </c>
      <c r="H1" s="66" t="s">
        <v>613</v>
      </c>
    </row>
    <row r="2" spans="1:8">
      <c r="A2" s="122" t="s">
        <v>608</v>
      </c>
      <c r="B2" s="122" t="s">
        <v>6</v>
      </c>
      <c r="C2" s="123" t="s">
        <v>7</v>
      </c>
      <c r="D2" s="123"/>
      <c r="E2" s="123"/>
      <c r="F2" s="123"/>
      <c r="G2" s="123"/>
      <c r="H2" s="123" t="s">
        <v>8</v>
      </c>
    </row>
    <row r="3" spans="1:8">
      <c r="A3" s="122" t="s">
        <v>608</v>
      </c>
      <c r="B3" s="122" t="s">
        <v>323</v>
      </c>
      <c r="C3" s="123" t="s">
        <v>7</v>
      </c>
      <c r="D3" s="123"/>
      <c r="E3" s="123"/>
      <c r="F3" s="123"/>
      <c r="G3" s="123"/>
      <c r="H3" s="123" t="s">
        <v>8</v>
      </c>
    </row>
    <row r="4" spans="1:8">
      <c r="A4" s="122" t="s">
        <v>608</v>
      </c>
      <c r="B4" s="122" t="s">
        <v>9</v>
      </c>
      <c r="C4" s="138" t="s">
        <v>324</v>
      </c>
      <c r="D4" s="123"/>
      <c r="E4" s="123"/>
      <c r="F4" s="123"/>
      <c r="G4" s="123"/>
      <c r="H4" s="123" t="s">
        <v>8</v>
      </c>
    </row>
    <row r="5" spans="1:8">
      <c r="A5" s="122" t="s">
        <v>608</v>
      </c>
      <c r="B5" s="122" t="s">
        <v>10</v>
      </c>
      <c r="C5" s="123" t="s">
        <v>11</v>
      </c>
      <c r="D5" s="123"/>
      <c r="E5" s="123"/>
      <c r="F5" s="123"/>
      <c r="G5" s="123"/>
      <c r="H5" s="123" t="s">
        <v>8</v>
      </c>
    </row>
    <row r="6" spans="1:8" ht="13.5">
      <c r="A6" s="122" t="s">
        <v>608</v>
      </c>
      <c r="B6" s="122" t="s">
        <v>12</v>
      </c>
      <c r="C6" s="139" t="s">
        <v>1296</v>
      </c>
      <c r="D6" s="123"/>
      <c r="E6" s="123"/>
      <c r="F6" s="123"/>
      <c r="G6" s="123"/>
      <c r="H6" s="123" t="s">
        <v>8</v>
      </c>
    </row>
    <row r="7" spans="1:8">
      <c r="A7" s="122" t="s">
        <v>608</v>
      </c>
      <c r="B7" s="122" t="s">
        <v>13</v>
      </c>
      <c r="C7" s="122" t="s">
        <v>7</v>
      </c>
      <c r="D7" s="123"/>
      <c r="E7" s="123"/>
      <c r="F7" s="123"/>
      <c r="G7" s="123"/>
      <c r="H7" s="123" t="s">
        <v>8</v>
      </c>
    </row>
    <row r="8" spans="1:8">
      <c r="A8" s="141" t="s">
        <v>608</v>
      </c>
      <c r="B8" s="141" t="s">
        <v>14</v>
      </c>
      <c r="C8" s="142" t="s">
        <v>1385</v>
      </c>
      <c r="D8" s="143" t="s">
        <v>1671</v>
      </c>
      <c r="E8" s="143">
        <v>82</v>
      </c>
      <c r="F8" s="143"/>
      <c r="G8" s="141"/>
      <c r="H8" s="143" t="s">
        <v>698</v>
      </c>
    </row>
    <row r="9" spans="1:8">
      <c r="A9" s="122" t="s">
        <v>608</v>
      </c>
      <c r="B9" s="122" t="s">
        <v>15</v>
      </c>
      <c r="C9" s="140">
        <v>46119</v>
      </c>
      <c r="D9" s="123"/>
      <c r="E9" s="123"/>
      <c r="F9" s="123"/>
      <c r="G9" s="123"/>
      <c r="H9" s="123" t="s">
        <v>8</v>
      </c>
    </row>
    <row r="10" spans="1:8">
      <c r="A10" s="122" t="s">
        <v>608</v>
      </c>
      <c r="B10" s="122" t="s">
        <v>16</v>
      </c>
      <c r="C10" s="123" t="s">
        <v>17</v>
      </c>
      <c r="D10" s="123"/>
      <c r="E10" s="123"/>
      <c r="F10" s="123"/>
      <c r="G10" s="123"/>
      <c r="H10" s="123" t="s">
        <v>8</v>
      </c>
    </row>
    <row r="11" spans="1:8">
      <c r="A11" s="68" t="s">
        <v>737</v>
      </c>
      <c r="B11" s="68" t="s">
        <v>713</v>
      </c>
      <c r="C11" s="67">
        <v>1</v>
      </c>
      <c r="G11" s="70">
        <v>46119.037824074076</v>
      </c>
    </row>
    <row r="12" spans="1:8">
      <c r="A12" s="68" t="s">
        <v>737</v>
      </c>
      <c r="B12" s="68" t="s">
        <v>712</v>
      </c>
      <c r="C12" s="67">
        <v>1</v>
      </c>
    </row>
    <row r="13" spans="1:8">
      <c r="A13" s="68" t="s">
        <v>737</v>
      </c>
      <c r="B13" s="68" t="s">
        <v>650</v>
      </c>
      <c r="C13" s="67">
        <v>1</v>
      </c>
      <c r="G13" s="70">
        <v>46119.037824074076</v>
      </c>
    </row>
    <row r="14" spans="1:8">
      <c r="A14" s="68" t="s">
        <v>737</v>
      </c>
      <c r="B14" s="68" t="s">
        <v>651</v>
      </c>
      <c r="C14" s="67">
        <v>0</v>
      </c>
      <c r="G14" s="70">
        <v>46119.037824074076</v>
      </c>
    </row>
    <row r="15" spans="1:8">
      <c r="A15" s="68" t="s">
        <v>737</v>
      </c>
      <c r="B15" s="68" t="s">
        <v>649</v>
      </c>
      <c r="C15" s="67">
        <v>1</v>
      </c>
      <c r="G15" s="70">
        <v>46119.037824074076</v>
      </c>
    </row>
    <row r="16" spans="1:8">
      <c r="A16" s="68" t="s">
        <v>737</v>
      </c>
      <c r="B16" s="68" t="s">
        <v>700</v>
      </c>
      <c r="C16" s="67">
        <v>1</v>
      </c>
      <c r="G16" s="70">
        <v>46119.037824074076</v>
      </c>
    </row>
    <row r="17" spans="1:7">
      <c r="A17" s="68" t="s">
        <v>737</v>
      </c>
      <c r="B17" s="68" t="s">
        <v>707</v>
      </c>
      <c r="C17" s="67">
        <v>1</v>
      </c>
      <c r="G17" s="70">
        <v>46119.037824074076</v>
      </c>
    </row>
    <row r="18" spans="1:7">
      <c r="A18" s="68" t="s">
        <v>737</v>
      </c>
      <c r="B18" s="68" t="s">
        <v>708</v>
      </c>
      <c r="C18" s="67">
        <v>1</v>
      </c>
      <c r="G18" s="70">
        <v>46119.037824074076</v>
      </c>
    </row>
    <row r="19" spans="1:7">
      <c r="A19" s="68" t="s">
        <v>737</v>
      </c>
      <c r="B19" s="68" t="s">
        <v>706</v>
      </c>
      <c r="C19" s="69" t="s">
        <v>1557</v>
      </c>
      <c r="G19" s="70">
        <v>46119.037824074076</v>
      </c>
    </row>
    <row r="20" spans="1:7">
      <c r="A20" s="68" t="s">
        <v>737</v>
      </c>
      <c r="B20" s="68" t="s">
        <v>652</v>
      </c>
      <c r="C20" s="67">
        <v>0</v>
      </c>
      <c r="G20" s="70">
        <v>46119.037824074076</v>
      </c>
    </row>
    <row r="21" spans="1:7">
      <c r="A21" s="68" t="s">
        <v>737</v>
      </c>
      <c r="B21" s="68" t="s">
        <v>705</v>
      </c>
      <c r="C21" s="67">
        <v>0</v>
      </c>
      <c r="G21" s="70">
        <v>46119.037824074076</v>
      </c>
    </row>
    <row r="22" spans="1:7">
      <c r="A22" s="68" t="s">
        <v>737</v>
      </c>
      <c r="B22" s="68" t="s">
        <v>709</v>
      </c>
      <c r="C22" s="67">
        <v>1</v>
      </c>
      <c r="G22" s="70">
        <v>46119.037824074076</v>
      </c>
    </row>
    <row r="23" spans="1:7">
      <c r="A23" s="68" t="s">
        <v>737</v>
      </c>
      <c r="B23" s="68" t="s">
        <v>654</v>
      </c>
      <c r="C23" s="67">
        <v>1</v>
      </c>
      <c r="G23" s="70">
        <v>46119.037824074076</v>
      </c>
    </row>
    <row r="24" spans="1:7">
      <c r="A24" s="68" t="s">
        <v>737</v>
      </c>
      <c r="B24" s="68" t="s">
        <v>702</v>
      </c>
      <c r="C24" s="69">
        <v>46240</v>
      </c>
      <c r="G24" s="70">
        <v>46233.77921296296</v>
      </c>
    </row>
    <row r="25" spans="1:7">
      <c r="A25" s="68" t="s">
        <v>737</v>
      </c>
      <c r="B25" s="68" t="s">
        <v>699</v>
      </c>
      <c r="C25" s="67" t="s">
        <v>1297</v>
      </c>
      <c r="G25" s="70">
        <v>46119.037824074076</v>
      </c>
    </row>
    <row r="26" spans="1:7">
      <c r="A26" s="68" t="s">
        <v>737</v>
      </c>
      <c r="B26" s="68" t="s">
        <v>701</v>
      </c>
      <c r="C26" s="69">
        <v>46086</v>
      </c>
      <c r="G26" s="70">
        <v>46233.77921296296</v>
      </c>
    </row>
    <row r="27" spans="1:7">
      <c r="A27" s="68" t="s">
        <v>737</v>
      </c>
      <c r="B27" s="68" t="s">
        <v>703</v>
      </c>
      <c r="C27" s="67" t="s">
        <v>1672</v>
      </c>
      <c r="G27" s="70">
        <v>46233.779097222221</v>
      </c>
    </row>
    <row r="28" spans="1:7">
      <c r="A28" s="68" t="s">
        <v>737</v>
      </c>
      <c r="B28" s="68" t="s">
        <v>704</v>
      </c>
      <c r="C28" s="67">
        <v>1</v>
      </c>
      <c r="G28" s="70">
        <v>46119.037824074076</v>
      </c>
    </row>
    <row r="29" spans="1:7">
      <c r="A29" s="68" t="s">
        <v>737</v>
      </c>
      <c r="B29" s="68" t="s">
        <v>710</v>
      </c>
      <c r="C29" s="67">
        <v>20</v>
      </c>
      <c r="G29" s="70">
        <v>46119.037824074076</v>
      </c>
    </row>
    <row r="30" spans="1:7">
      <c r="A30" s="68" t="s">
        <v>737</v>
      </c>
      <c r="B30" s="68" t="s">
        <v>711</v>
      </c>
      <c r="C30" s="67">
        <v>10</v>
      </c>
      <c r="G30" s="70">
        <v>46119.037824074076</v>
      </c>
    </row>
    <row r="31" spans="1:7">
      <c r="A31" s="68" t="s">
        <v>1228</v>
      </c>
      <c r="B31" s="68" t="s">
        <v>1229</v>
      </c>
      <c r="C31" s="67">
        <v>-4105</v>
      </c>
      <c r="F31" s="70"/>
      <c r="G31" s="70">
        <v>46233.77921296296</v>
      </c>
    </row>
    <row r="32" spans="1:7">
      <c r="A32" s="68" t="s">
        <v>738</v>
      </c>
      <c r="B32" s="68" t="s">
        <v>720</v>
      </c>
      <c r="C32" s="67">
        <v>1</v>
      </c>
      <c r="G32" s="70">
        <v>46119.037824074076</v>
      </c>
    </row>
    <row r="33" spans="1:7">
      <c r="A33" s="68" t="s">
        <v>738</v>
      </c>
      <c r="B33" s="68" t="s">
        <v>723</v>
      </c>
      <c r="C33" s="67">
        <v>0</v>
      </c>
    </row>
    <row r="34" spans="1:7">
      <c r="A34" s="68" t="s">
        <v>738</v>
      </c>
      <c r="B34" s="68" t="s">
        <v>655</v>
      </c>
      <c r="C34" s="67">
        <v>1</v>
      </c>
      <c r="G34" s="70">
        <v>46119.037824074076</v>
      </c>
    </row>
    <row r="35" spans="1:7">
      <c r="A35" s="68" t="s">
        <v>738</v>
      </c>
      <c r="B35" s="68" t="s">
        <v>657</v>
      </c>
      <c r="C35" s="67">
        <v>1</v>
      </c>
      <c r="G35" s="70">
        <v>46119.037824074076</v>
      </c>
    </row>
    <row r="36" spans="1:7">
      <c r="A36" s="68" t="s">
        <v>738</v>
      </c>
      <c r="B36" s="68" t="s">
        <v>656</v>
      </c>
      <c r="C36" s="67">
        <v>1</v>
      </c>
      <c r="G36" s="70">
        <v>46119.037824074076</v>
      </c>
    </row>
    <row r="37" spans="1:7">
      <c r="A37" s="68" t="s">
        <v>738</v>
      </c>
      <c r="B37" s="68" t="s">
        <v>714</v>
      </c>
      <c r="C37" s="67">
        <v>0</v>
      </c>
      <c r="G37" s="70">
        <v>46119.037824074076</v>
      </c>
    </row>
    <row r="38" spans="1:7">
      <c r="A38" s="68" t="s">
        <v>738</v>
      </c>
      <c r="B38" s="68" t="s">
        <v>717</v>
      </c>
      <c r="C38" s="67">
        <v>1</v>
      </c>
      <c r="G38" s="70">
        <v>46119.037824074076</v>
      </c>
    </row>
    <row r="39" spans="1:7">
      <c r="A39" s="68" t="s">
        <v>738</v>
      </c>
      <c r="B39" s="68" t="s">
        <v>728</v>
      </c>
      <c r="C39" s="67">
        <v>2</v>
      </c>
      <c r="G39" s="70">
        <v>46119.037824074076</v>
      </c>
    </row>
    <row r="40" spans="1:7">
      <c r="A40" s="68" t="s">
        <v>738</v>
      </c>
      <c r="B40" s="68" t="s">
        <v>718</v>
      </c>
      <c r="C40" s="67">
        <v>0.7</v>
      </c>
    </row>
    <row r="41" spans="1:7">
      <c r="A41" s="68" t="s">
        <v>738</v>
      </c>
      <c r="B41" s="68" t="s">
        <v>727</v>
      </c>
      <c r="C41" s="67">
        <v>1</v>
      </c>
      <c r="G41" s="70">
        <v>46119.037824074076</v>
      </c>
    </row>
    <row r="42" spans="1:7">
      <c r="A42" s="68" t="s">
        <v>738</v>
      </c>
      <c r="B42" s="68" t="s">
        <v>721</v>
      </c>
      <c r="C42" s="67">
        <v>1</v>
      </c>
      <c r="G42" s="70">
        <v>46119.037824074076</v>
      </c>
    </row>
    <row r="43" spans="1:7">
      <c r="A43" s="68" t="s">
        <v>738</v>
      </c>
      <c r="B43" s="68" t="s">
        <v>731</v>
      </c>
      <c r="C43" s="67">
        <v>-4131</v>
      </c>
      <c r="G43" s="70">
        <v>46119.037824074076</v>
      </c>
    </row>
    <row r="44" spans="1:7">
      <c r="A44" s="68" t="s">
        <v>738</v>
      </c>
      <c r="B44" s="68" t="s">
        <v>722</v>
      </c>
      <c r="C44" s="67">
        <v>7</v>
      </c>
      <c r="G44" s="70">
        <v>46119.037824074076</v>
      </c>
    </row>
    <row r="45" spans="1:7">
      <c r="A45" s="68" t="s">
        <v>738</v>
      </c>
      <c r="B45" s="68" t="s">
        <v>724</v>
      </c>
      <c r="C45" s="67">
        <v>0</v>
      </c>
      <c r="G45" s="70">
        <v>46119.037824074076</v>
      </c>
    </row>
    <row r="46" spans="1:7">
      <c r="A46" s="68" t="s">
        <v>738</v>
      </c>
      <c r="B46" s="68" t="s">
        <v>725</v>
      </c>
      <c r="C46" s="67">
        <v>1</v>
      </c>
      <c r="G46" s="70">
        <v>46119.037824074076</v>
      </c>
    </row>
    <row r="47" spans="1:7">
      <c r="A47" s="68" t="s">
        <v>738</v>
      </c>
      <c r="B47" s="68" t="s">
        <v>726</v>
      </c>
      <c r="C47" s="67">
        <v>1</v>
      </c>
      <c r="G47" s="70">
        <v>46119.037824074076</v>
      </c>
    </row>
    <row r="48" spans="1:7">
      <c r="A48" s="68" t="s">
        <v>738</v>
      </c>
      <c r="B48" s="68" t="s">
        <v>715</v>
      </c>
      <c r="C48" s="67">
        <v>1</v>
      </c>
    </row>
    <row r="49" spans="1:7">
      <c r="A49" s="68" t="s">
        <v>738</v>
      </c>
      <c r="B49" s="68" t="s">
        <v>716</v>
      </c>
      <c r="C49" s="67">
        <v>0</v>
      </c>
    </row>
    <row r="50" spans="1:7">
      <c r="A50" s="68" t="s">
        <v>738</v>
      </c>
      <c r="B50" s="68" t="s">
        <v>719</v>
      </c>
      <c r="C50" s="67">
        <v>2</v>
      </c>
      <c r="G50" s="70">
        <v>46119.037824074076</v>
      </c>
    </row>
    <row r="51" spans="1:7">
      <c r="A51" s="68" t="s">
        <v>738</v>
      </c>
      <c r="B51" s="68" t="s">
        <v>730</v>
      </c>
      <c r="C51" s="67" t="s">
        <v>1247</v>
      </c>
      <c r="G51" s="70">
        <v>45811.505787037036</v>
      </c>
    </row>
    <row r="52" spans="1:7">
      <c r="A52" s="68" t="s">
        <v>738</v>
      </c>
      <c r="B52" s="68" t="s">
        <v>653</v>
      </c>
      <c r="C52" s="67">
        <v>100</v>
      </c>
      <c r="G52" s="70">
        <v>46119.037824074076</v>
      </c>
    </row>
    <row r="53" spans="1:7">
      <c r="A53" s="68" t="s">
        <v>738</v>
      </c>
      <c r="B53" s="68" t="s">
        <v>729</v>
      </c>
      <c r="C53" s="67">
        <v>9</v>
      </c>
    </row>
    <row r="54" spans="1:7">
      <c r="A54" s="68" t="s">
        <v>1241</v>
      </c>
      <c r="B54" s="68" t="s">
        <v>1242</v>
      </c>
      <c r="C54" s="67">
        <v>1</v>
      </c>
      <c r="F54" s="70">
        <v>45811.009814814817</v>
      </c>
      <c r="G54" s="70">
        <v>46119.037824074076</v>
      </c>
    </row>
    <row r="55" spans="1:7">
      <c r="A55" s="68" t="s">
        <v>739</v>
      </c>
      <c r="B55" s="68" t="s">
        <v>616</v>
      </c>
      <c r="C55" s="67">
        <v>1</v>
      </c>
      <c r="G55" s="70">
        <v>46119.037824074076</v>
      </c>
    </row>
    <row r="56" spans="1:7">
      <c r="A56" s="68" t="s">
        <v>739</v>
      </c>
      <c r="B56" s="68" t="s">
        <v>732</v>
      </c>
      <c r="C56" s="67" t="s">
        <v>1558</v>
      </c>
      <c r="G56" s="70">
        <v>46119.037824074076</v>
      </c>
    </row>
    <row r="57" spans="1:7">
      <c r="A57" s="68" t="s">
        <v>739</v>
      </c>
      <c r="B57" s="68" t="s">
        <v>615</v>
      </c>
      <c r="C57" s="67" t="s">
        <v>658</v>
      </c>
      <c r="G57" s="70">
        <v>46116.969467592593</v>
      </c>
    </row>
    <row r="58" spans="1:7">
      <c r="A58" s="68" t="s">
        <v>739</v>
      </c>
      <c r="B58" s="68" t="s">
        <v>614</v>
      </c>
      <c r="C58" s="67" t="s">
        <v>658</v>
      </c>
      <c r="G58" s="70">
        <v>46119.037824074076</v>
      </c>
    </row>
    <row r="59" spans="1:7">
      <c r="A59" s="68" t="s">
        <v>688</v>
      </c>
      <c r="B59" s="68" t="s">
        <v>735</v>
      </c>
      <c r="C59" s="67">
        <v>82</v>
      </c>
      <c r="G59" s="70">
        <v>46119.037824074076</v>
      </c>
    </row>
    <row r="60" spans="1:7">
      <c r="A60" s="68" t="s">
        <v>688</v>
      </c>
      <c r="B60" s="68" t="s">
        <v>734</v>
      </c>
      <c r="C60" s="67">
        <v>1</v>
      </c>
      <c r="G60" s="70">
        <v>46119.037824074076</v>
      </c>
    </row>
    <row r="61" spans="1:7">
      <c r="A61" s="68" t="s">
        <v>688</v>
      </c>
      <c r="B61" s="68" t="s">
        <v>733</v>
      </c>
      <c r="C61" s="67">
        <v>82</v>
      </c>
      <c r="G61" s="70">
        <v>46118.934374999997</v>
      </c>
    </row>
    <row r="62" spans="1:7">
      <c r="A62" s="68" t="s">
        <v>688</v>
      </c>
      <c r="B62" s="68" t="s">
        <v>736</v>
      </c>
      <c r="C62" s="67" t="s">
        <v>569</v>
      </c>
      <c r="G62" s="70">
        <v>46119.037824074076</v>
      </c>
    </row>
    <row r="63" spans="1:7">
      <c r="A63" s="68" t="s">
        <v>740</v>
      </c>
      <c r="B63" s="68" t="s">
        <v>643</v>
      </c>
      <c r="C63" s="67" t="b">
        <v>0</v>
      </c>
      <c r="G63" s="70">
        <v>46119.037824074076</v>
      </c>
    </row>
    <row r="64" spans="1:7">
      <c r="A64" s="68" t="s">
        <v>740</v>
      </c>
      <c r="B64" s="68" t="s">
        <v>644</v>
      </c>
      <c r="C64" s="67" t="b">
        <v>0</v>
      </c>
      <c r="G64" s="70">
        <v>46119.037824074076</v>
      </c>
    </row>
    <row r="65" spans="1:7">
      <c r="A65" s="68" t="s">
        <v>740</v>
      </c>
      <c r="B65" s="68" t="s">
        <v>645</v>
      </c>
      <c r="C65" s="67" t="b">
        <v>1</v>
      </c>
      <c r="G65" s="70">
        <v>46119.037824074076</v>
      </c>
    </row>
    <row r="66" spans="1:7">
      <c r="A66" s="68" t="s">
        <v>740</v>
      </c>
      <c r="B66" s="68" t="s">
        <v>627</v>
      </c>
      <c r="C66" s="67" t="b">
        <v>1</v>
      </c>
      <c r="G66" s="70">
        <v>46119.037824074076</v>
      </c>
    </row>
    <row r="67" spans="1:7">
      <c r="A67" s="68" t="s">
        <v>740</v>
      </c>
      <c r="B67" s="68" t="s">
        <v>628</v>
      </c>
      <c r="C67" s="67" t="b">
        <v>1</v>
      </c>
      <c r="G67" s="70">
        <v>46119.037824074076</v>
      </c>
    </row>
    <row r="68" spans="1:7">
      <c r="A68" s="68" t="s">
        <v>740</v>
      </c>
      <c r="B68" s="68" t="s">
        <v>629</v>
      </c>
      <c r="C68" s="67" t="b">
        <v>1</v>
      </c>
      <c r="G68" s="70">
        <v>46119.037824074076</v>
      </c>
    </row>
    <row r="69" spans="1:7">
      <c r="A69" s="68" t="s">
        <v>740</v>
      </c>
      <c r="B69" s="68" t="s">
        <v>630</v>
      </c>
      <c r="C69" s="67" t="b">
        <v>1</v>
      </c>
      <c r="G69" s="70">
        <v>46119.037824074076</v>
      </c>
    </row>
    <row r="70" spans="1:7">
      <c r="A70" s="68" t="s">
        <v>740</v>
      </c>
      <c r="B70" s="68" t="s">
        <v>631</v>
      </c>
      <c r="G70" s="70">
        <v>46119.037824074076</v>
      </c>
    </row>
    <row r="71" spans="1:7">
      <c r="A71" s="68" t="s">
        <v>740</v>
      </c>
      <c r="B71" s="68" t="s">
        <v>646</v>
      </c>
      <c r="C71" s="67" t="s">
        <v>668</v>
      </c>
      <c r="G71" s="70">
        <v>46119.037824074076</v>
      </c>
    </row>
    <row r="72" spans="1:7">
      <c r="A72" s="68" t="s">
        <v>740</v>
      </c>
      <c r="B72" s="68" t="s">
        <v>648</v>
      </c>
      <c r="C72" s="67" t="s">
        <v>670</v>
      </c>
      <c r="G72" s="70">
        <v>46119.037824074076</v>
      </c>
    </row>
    <row r="73" spans="1:7">
      <c r="A73" s="68" t="s">
        <v>740</v>
      </c>
      <c r="B73" s="68" t="s">
        <v>647</v>
      </c>
      <c r="C73" s="67" t="s">
        <v>669</v>
      </c>
      <c r="G73" s="70">
        <v>46119.037824074076</v>
      </c>
    </row>
    <row r="74" spans="1:7">
      <c r="A74" s="68" t="s">
        <v>740</v>
      </c>
      <c r="B74" s="68" t="s">
        <v>633</v>
      </c>
      <c r="C74" s="67" t="s">
        <v>665</v>
      </c>
      <c r="G74" s="70">
        <v>46119.037824074076</v>
      </c>
    </row>
    <row r="75" spans="1:7">
      <c r="A75" s="68" t="s">
        <v>740</v>
      </c>
      <c r="B75" s="68" t="s">
        <v>636</v>
      </c>
      <c r="C75" s="67" t="s">
        <v>667</v>
      </c>
      <c r="G75" s="70">
        <v>46119.037824074076</v>
      </c>
    </row>
    <row r="76" spans="1:7">
      <c r="A76" s="68" t="s">
        <v>740</v>
      </c>
      <c r="B76" s="68" t="s">
        <v>635</v>
      </c>
      <c r="C76" s="67" t="s">
        <v>666</v>
      </c>
      <c r="G76" s="70">
        <v>46119.037824074076</v>
      </c>
    </row>
    <row r="77" spans="1:7">
      <c r="A77" s="68" t="s">
        <v>740</v>
      </c>
      <c r="B77" s="68" t="s">
        <v>634</v>
      </c>
      <c r="C77" s="67" t="s">
        <v>1230</v>
      </c>
      <c r="G77" s="70">
        <v>46119.037824074076</v>
      </c>
    </row>
    <row r="78" spans="1:7">
      <c r="A78" s="68" t="s">
        <v>740</v>
      </c>
      <c r="B78" s="68" t="s">
        <v>632</v>
      </c>
      <c r="G78" s="70">
        <v>46119.037824074076</v>
      </c>
    </row>
    <row r="79" spans="1:7">
      <c r="A79" s="68" t="s">
        <v>740</v>
      </c>
      <c r="B79" s="68" t="s">
        <v>637</v>
      </c>
      <c r="C79" s="67" t="s">
        <v>1664</v>
      </c>
      <c r="G79" s="70">
        <v>46119.037824074076</v>
      </c>
    </row>
    <row r="80" spans="1:7">
      <c r="A80" s="68" t="s">
        <v>740</v>
      </c>
      <c r="B80" s="68" t="s">
        <v>642</v>
      </c>
      <c r="C80" s="67" t="s">
        <v>1666</v>
      </c>
      <c r="G80" s="70">
        <v>46119.037824074076</v>
      </c>
    </row>
    <row r="81" spans="1:7">
      <c r="A81" s="68" t="s">
        <v>740</v>
      </c>
      <c r="B81" s="68" t="s">
        <v>641</v>
      </c>
      <c r="C81" s="67" t="s">
        <v>1667</v>
      </c>
      <c r="G81" s="70">
        <v>46119.037824074076</v>
      </c>
    </row>
    <row r="82" spans="1:7">
      <c r="A82" s="68" t="s">
        <v>740</v>
      </c>
      <c r="B82" s="68" t="s">
        <v>622</v>
      </c>
      <c r="C82" s="67" t="s">
        <v>662</v>
      </c>
      <c r="G82" s="70">
        <v>46119.037824074076</v>
      </c>
    </row>
    <row r="83" spans="1:7">
      <c r="A83" s="68" t="s">
        <v>740</v>
      </c>
      <c r="B83" s="68" t="s">
        <v>626</v>
      </c>
      <c r="C83" s="67" t="s">
        <v>664</v>
      </c>
      <c r="G83" s="70">
        <v>46119.037824074076</v>
      </c>
    </row>
    <row r="84" spans="1:7">
      <c r="A84" s="68" t="s">
        <v>740</v>
      </c>
      <c r="B84" s="68" t="s">
        <v>625</v>
      </c>
      <c r="C84" s="67" t="s">
        <v>663</v>
      </c>
      <c r="G84" s="70">
        <v>46119.037824074076</v>
      </c>
    </row>
    <row r="85" spans="1:7">
      <c r="A85" s="68" t="s">
        <v>740</v>
      </c>
      <c r="B85" s="68" t="s">
        <v>624</v>
      </c>
      <c r="C85" s="67" t="s">
        <v>1237</v>
      </c>
      <c r="G85" s="70">
        <v>46119.037824074076</v>
      </c>
    </row>
    <row r="86" spans="1:7">
      <c r="A86" s="68" t="s">
        <v>740</v>
      </c>
      <c r="B86" s="68" t="s">
        <v>623</v>
      </c>
      <c r="G86" s="70">
        <v>46119.037824074076</v>
      </c>
    </row>
    <row r="87" spans="1:7">
      <c r="A87" s="68" t="s">
        <v>740</v>
      </c>
      <c r="B87" s="68" t="s">
        <v>638</v>
      </c>
      <c r="C87" s="67" t="s">
        <v>1665</v>
      </c>
      <c r="G87" s="70">
        <v>46119.037824074076</v>
      </c>
    </row>
    <row r="88" spans="1:7">
      <c r="A88" s="68" t="s">
        <v>740</v>
      </c>
      <c r="B88" s="68" t="s">
        <v>639</v>
      </c>
      <c r="C88" s="67" t="s">
        <v>1665</v>
      </c>
      <c r="G88" s="70">
        <v>46119.037824074076</v>
      </c>
    </row>
    <row r="89" spans="1:7">
      <c r="A89" s="68" t="s">
        <v>740</v>
      </c>
      <c r="B89" s="68" t="s">
        <v>640</v>
      </c>
      <c r="C89" s="67" t="s">
        <v>1665</v>
      </c>
      <c r="G89" s="70">
        <v>46119.037824074076</v>
      </c>
    </row>
    <row r="90" spans="1:7">
      <c r="A90" s="68" t="s">
        <v>740</v>
      </c>
      <c r="B90" s="68" t="s">
        <v>617</v>
      </c>
      <c r="C90" s="67" t="s">
        <v>659</v>
      </c>
      <c r="G90" s="70">
        <v>46119.037824074076</v>
      </c>
    </row>
    <row r="91" spans="1:7">
      <c r="A91" s="68" t="s">
        <v>740</v>
      </c>
      <c r="B91" s="68" t="s">
        <v>618</v>
      </c>
      <c r="C91" s="67" t="s">
        <v>660</v>
      </c>
      <c r="G91" s="70">
        <v>46119.037824074076</v>
      </c>
    </row>
    <row r="92" spans="1:7">
      <c r="A92" s="68" t="s">
        <v>740</v>
      </c>
      <c r="B92" s="68" t="s">
        <v>619</v>
      </c>
      <c r="C92" s="67" t="s">
        <v>661</v>
      </c>
      <c r="G92" s="70">
        <v>46119.037824074076</v>
      </c>
    </row>
    <row r="93" spans="1:7">
      <c r="A93" s="68" t="s">
        <v>740</v>
      </c>
      <c r="B93" s="68" t="s">
        <v>620</v>
      </c>
      <c r="C93" s="67" t="s">
        <v>1231</v>
      </c>
      <c r="G93" s="70">
        <v>46119.037824074076</v>
      </c>
    </row>
    <row r="94" spans="1:7">
      <c r="A94" s="68" t="s">
        <v>740</v>
      </c>
      <c r="B94" s="68" t="s">
        <v>621</v>
      </c>
      <c r="G94" s="70">
        <v>46119.037824074076</v>
      </c>
    </row>
    <row r="95" spans="1:7">
      <c r="A95" s="68" t="s">
        <v>671</v>
      </c>
      <c r="B95" s="68" t="s">
        <v>676</v>
      </c>
      <c r="C95" s="67" t="b">
        <v>1</v>
      </c>
      <c r="F95" s="70"/>
      <c r="G95" s="70">
        <v>46119.037141203706</v>
      </c>
    </row>
    <row r="96" spans="1:7">
      <c r="A96" s="68" t="s">
        <v>671</v>
      </c>
      <c r="B96" s="68" t="s">
        <v>687</v>
      </c>
      <c r="C96" s="67" t="b">
        <v>1</v>
      </c>
      <c r="F96" s="70"/>
      <c r="G96" s="70">
        <v>46119.037141203706</v>
      </c>
    </row>
    <row r="97" spans="1:7">
      <c r="A97" s="68" t="s">
        <v>671</v>
      </c>
      <c r="B97" s="68" t="s">
        <v>686</v>
      </c>
      <c r="C97" s="67" t="b">
        <v>0</v>
      </c>
      <c r="F97" s="70"/>
      <c r="G97" s="70">
        <v>46119.037141203706</v>
      </c>
    </row>
    <row r="98" spans="1:7">
      <c r="A98" s="68" t="s">
        <v>671</v>
      </c>
      <c r="B98" s="68" t="s">
        <v>675</v>
      </c>
      <c r="C98" s="67" t="b">
        <v>0</v>
      </c>
      <c r="F98" s="70"/>
      <c r="G98" s="70">
        <v>46119.037141203706</v>
      </c>
    </row>
    <row r="99" spans="1:7">
      <c r="A99" s="68" t="s">
        <v>671</v>
      </c>
      <c r="B99" s="68" t="s">
        <v>685</v>
      </c>
      <c r="C99" s="67" t="b">
        <v>0</v>
      </c>
      <c r="F99" s="70"/>
      <c r="G99" s="70">
        <v>46119.037141203706</v>
      </c>
    </row>
    <row r="100" spans="1:7">
      <c r="A100" s="68" t="s">
        <v>671</v>
      </c>
      <c r="B100" s="68" t="s">
        <v>683</v>
      </c>
      <c r="C100" s="67" t="b">
        <v>1</v>
      </c>
      <c r="F100" s="70"/>
      <c r="G100" s="70">
        <v>46119.037141203706</v>
      </c>
    </row>
    <row r="101" spans="1:7">
      <c r="A101" s="68" t="s">
        <v>671</v>
      </c>
      <c r="B101" s="68" t="s">
        <v>684</v>
      </c>
      <c r="C101" s="67" t="b">
        <v>0</v>
      </c>
      <c r="F101" s="70"/>
      <c r="G101" s="70">
        <v>46119.037141203706</v>
      </c>
    </row>
    <row r="102" spans="1:7">
      <c r="A102" s="68" t="s">
        <v>671</v>
      </c>
      <c r="B102" s="68" t="s">
        <v>679</v>
      </c>
      <c r="C102" s="67" t="b">
        <v>0</v>
      </c>
      <c r="F102" s="70"/>
      <c r="G102" s="70">
        <v>46119.037141203706</v>
      </c>
    </row>
    <row r="103" spans="1:7">
      <c r="A103" s="68" t="s">
        <v>671</v>
      </c>
      <c r="B103" s="68" t="s">
        <v>674</v>
      </c>
      <c r="C103" s="67" t="b">
        <v>0</v>
      </c>
      <c r="F103" s="70"/>
      <c r="G103" s="70">
        <v>46119.037141203706</v>
      </c>
    </row>
    <row r="104" spans="1:7">
      <c r="A104" s="68" t="s">
        <v>671</v>
      </c>
      <c r="B104" s="68" t="s">
        <v>673</v>
      </c>
      <c r="C104" s="67" t="b">
        <v>0</v>
      </c>
      <c r="F104" s="70"/>
      <c r="G104" s="70">
        <v>46119.037141203706</v>
      </c>
    </row>
    <row r="105" spans="1:7">
      <c r="A105" s="68" t="s">
        <v>671</v>
      </c>
      <c r="B105" s="68" t="s">
        <v>672</v>
      </c>
      <c r="C105" s="67" t="b">
        <v>0</v>
      </c>
      <c r="F105" s="70"/>
      <c r="G105" s="70">
        <v>46119.037141203706</v>
      </c>
    </row>
    <row r="106" spans="1:7">
      <c r="A106" s="68" t="s">
        <v>671</v>
      </c>
      <c r="B106" s="68" t="s">
        <v>681</v>
      </c>
      <c r="C106" s="67">
        <v>0</v>
      </c>
      <c r="F106" s="70"/>
      <c r="G106" s="70">
        <v>46119.037141203706</v>
      </c>
    </row>
    <row r="107" spans="1:7">
      <c r="A107" s="68" t="s">
        <v>671</v>
      </c>
      <c r="B107" s="68" t="s">
        <v>680</v>
      </c>
      <c r="C107" s="67">
        <v>80</v>
      </c>
      <c r="F107" s="70"/>
      <c r="G107" s="70">
        <v>46119.037141203706</v>
      </c>
    </row>
    <row r="108" spans="1:7">
      <c r="A108" s="68" t="s">
        <v>671</v>
      </c>
      <c r="B108" s="68" t="s">
        <v>682</v>
      </c>
      <c r="F108" s="70"/>
      <c r="G108" s="70">
        <v>46119.037141203706</v>
      </c>
    </row>
    <row r="109" spans="1:7">
      <c r="A109" s="68" t="s">
        <v>671</v>
      </c>
      <c r="B109" s="68" t="s">
        <v>677</v>
      </c>
      <c r="C109" s="69">
        <v>45930</v>
      </c>
      <c r="F109" s="70"/>
      <c r="G109" s="70">
        <v>46119.037141203706</v>
      </c>
    </row>
    <row r="110" spans="1:7">
      <c r="A110" s="68" t="s">
        <v>671</v>
      </c>
      <c r="B110" s="68" t="s">
        <v>678</v>
      </c>
      <c r="C110" s="69">
        <v>45910</v>
      </c>
      <c r="F110" s="70"/>
      <c r="G110" s="70">
        <v>46119.037141203706</v>
      </c>
    </row>
    <row r="111" spans="1:7">
      <c r="A111" s="68" t="s">
        <v>1241</v>
      </c>
      <c r="B111" s="68" t="s">
        <v>1246</v>
      </c>
      <c r="C111" s="67">
        <v>10</v>
      </c>
      <c r="F111" s="70">
        <v>45811.505243055559</v>
      </c>
      <c r="G111" s="70">
        <v>46119.037824074076</v>
      </c>
    </row>
    <row r="112" spans="1:7">
      <c r="A112" s="68" t="s">
        <v>1241</v>
      </c>
      <c r="B112" s="68" t="s">
        <v>1248</v>
      </c>
      <c r="C112" s="67">
        <v>1</v>
      </c>
      <c r="F112" s="70">
        <v>45811.536481481482</v>
      </c>
      <c r="G112" s="70">
        <v>46119.037824074076</v>
      </c>
    </row>
    <row r="113" spans="1:7">
      <c r="A113" s="68" t="s">
        <v>1241</v>
      </c>
      <c r="B113" s="68" t="s">
        <v>1249</v>
      </c>
      <c r="C113" s="67" t="s">
        <v>1298</v>
      </c>
      <c r="F113" s="70">
        <v>45811.54414351852</v>
      </c>
      <c r="G113" s="70">
        <v>45837.805833333332</v>
      </c>
    </row>
    <row r="114" spans="1:7">
      <c r="A114" s="68" t="s">
        <v>1241</v>
      </c>
      <c r="B114" s="68" t="s">
        <v>1250</v>
      </c>
      <c r="C114" s="67" t="s">
        <v>1275</v>
      </c>
      <c r="F114" s="70">
        <v>45811.547071759262</v>
      </c>
      <c r="G114" s="70">
        <v>45830.934467592589</v>
      </c>
    </row>
    <row r="115" spans="1:7">
      <c r="A115" s="68" t="s">
        <v>1241</v>
      </c>
      <c r="B115" s="68" t="s">
        <v>1251</v>
      </c>
      <c r="C115" s="67" t="s">
        <v>1247</v>
      </c>
      <c r="F115" s="70">
        <v>45811.55704861111</v>
      </c>
      <c r="G115" s="70">
        <v>45811.948993055557</v>
      </c>
    </row>
    <row r="116" spans="1:7">
      <c r="A116" s="68" t="s">
        <v>1241</v>
      </c>
      <c r="B116" s="68" t="s">
        <v>1252</v>
      </c>
      <c r="C116" s="67" t="s">
        <v>1256</v>
      </c>
      <c r="F116" s="70">
        <v>45811.714004629626</v>
      </c>
      <c r="G116" s="70">
        <v>45830.934884259259</v>
      </c>
    </row>
    <row r="117" spans="1:7">
      <c r="A117" s="68" t="s">
        <v>1241</v>
      </c>
      <c r="B117" s="68" t="s">
        <v>1253</v>
      </c>
      <c r="C117" s="67" t="s">
        <v>1276</v>
      </c>
      <c r="F117" s="70">
        <v>45811.740520833337</v>
      </c>
      <c r="G117" s="70">
        <v>45830.935648148145</v>
      </c>
    </row>
    <row r="118" spans="1:7">
      <c r="A118" s="68" t="s">
        <v>1241</v>
      </c>
      <c r="B118" s="68" t="s">
        <v>1365</v>
      </c>
      <c r="C118" s="67">
        <v>1</v>
      </c>
      <c r="F118" s="70">
        <v>46096.867928240739</v>
      </c>
      <c r="G118" s="70">
        <v>46119.037824074076</v>
      </c>
    </row>
    <row r="119" spans="1:7">
      <c r="A119" s="68" t="s">
        <v>1228</v>
      </c>
      <c r="B119" s="68" t="s">
        <v>1401</v>
      </c>
      <c r="C119" s="67">
        <v>1</v>
      </c>
      <c r="F119" s="70">
        <v>46103.788634259261</v>
      </c>
      <c r="G119" s="70">
        <v>46119.037824074076</v>
      </c>
    </row>
  </sheetData>
  <sortState ref="A55:AB94">
    <sortCondition ref="A55:A94"/>
    <sortCondition ref="B55:B94"/>
  </sortState>
  <phoneticPr fontId="1" type="noConversion"/>
  <hyperlinks>
    <hyperlink ref="C6" r:id="rId1"/>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button id="cbtnCallMakeProgressDataFromRibbon" getLabel="xlgantt_ribbon_getlabel" onAction="CallMakeProgressDataFromRibbon" imageMso="TableInsert"/>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이름이 지정된 범위</vt:lpstr>
      </vt:variant>
      <vt:variant>
        <vt:i4>34</vt:i4>
      </vt:variant>
    </vt:vector>
  </HeadingPairs>
  <TitlesOfParts>
    <vt:vector size="41" baseType="lpstr">
      <vt:lpstr>Help</vt:lpstr>
      <vt:lpstr>Schedule</vt:lpstr>
      <vt:lpstr>Progress</vt:lpstr>
      <vt:lpstr>AnalysisReport</vt:lpstr>
      <vt:lpstr>Progress_Data</vt:lpstr>
      <vt:lpstr>Calendar</vt:lpstr>
      <vt:lpstr>TranslatedLanguages</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https://xlworks.net</dc:creator>
  <cp:lastModifiedBy>ds</cp:lastModifiedBy>
  <cp:lastPrinted>2022-06-05T11:24:31Z</cp:lastPrinted>
  <dcterms:created xsi:type="dcterms:W3CDTF">2018-02-18T09:45:14Z</dcterms:created>
  <dcterms:modified xsi:type="dcterms:W3CDTF">2026-07-30T09:42:57Z</dcterms:modified>
</cp:coreProperties>
</file>