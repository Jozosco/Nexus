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6">
    <numFmt numFmtId="164" formatCode="0_);[Red]\(0\)"/>
    <numFmt numFmtId="165" formatCode="0.00_);[Red]\(0.00\)"/>
    <numFmt numFmtId="166" formatCode="0.0_);[Red]\(0.0\)"/>
    <numFmt numFmtId="167" formatCode="0.0"/>
    <numFmt numFmtId="168" formatCode="yyyy\-mm\-dd"/>
    <numFmt numFmtId="169" formatCode="yyyy-mm-dd h:mm:ss"/>
  </numFmts>
  <fonts count="66">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6">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5"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4" fillId="15" borderId="0" applyAlignment="1" pivotButton="0" quotePrefix="0" xfId="1">
      <alignment horizontal="left" vertical="center"/>
    </xf>
    <xf numFmtId="0" fontId="2" fillId="15" borderId="0" applyAlignment="1" pivotButton="0" quotePrefix="0" xfId="1">
      <alignment horizontal="left" vertical="center"/>
    </xf>
    <xf numFmtId="0" fontId="56"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6"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8" fillId="21" borderId="7" pivotButton="0" quotePrefix="0" xfId="0"/>
    <xf numFmtId="168" fontId="0" fillId="0" borderId="0" pivotButton="0" quotePrefix="0" xfId="0"/>
    <xf numFmtId="1" fontId="0" fillId="0" borderId="0" pivotButton="0" quotePrefix="0" xfId="0"/>
    <xf numFmtId="4" fontId="0" fillId="0" borderId="0" pivotButton="0" quotePrefix="0" xfId="0"/>
    <xf numFmtId="0" fontId="45" fillId="15" borderId="0" applyAlignment="1" pivotButton="0" quotePrefix="0" xfId="0">
      <alignment horizontal="left" vertical="center"/>
    </xf>
    <xf numFmtId="10" fontId="18" fillId="0"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59" fillId="0" borderId="0" applyAlignment="1" pivotButton="0" quotePrefix="0" xfId="0">
      <alignment horizontal="left" vertical="center"/>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10" fontId="57" fillId="22"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wrapText="1"/>
      <protection locked="0" hidden="0"/>
    </xf>
    <xf numFmtId="10" fontId="18" fillId="23" borderId="23" applyAlignment="1" applyProtection="1" pivotButton="0" quotePrefix="0" xfId="2">
      <alignment horizontal="right" vertical="top"/>
      <protection locked="0" hidden="0"/>
    </xf>
    <xf numFmtId="0" fontId="64" fillId="0" borderId="0" applyAlignment="1" pivotButton="0" quotePrefix="0" xfId="0">
      <alignment vertical="top"/>
    </xf>
    <xf numFmtId="0" fontId="65" fillId="0" borderId="0" applyAlignment="1" pivotButton="0" quotePrefix="0" xfId="0">
      <alignment vertical="top"/>
    </xf>
    <xf numFmtId="0" fontId="64"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7" fillId="23" borderId="23" applyAlignment="1" applyProtection="1" pivotButton="0" quotePrefix="0" xfId="2">
      <alignment horizontal="right" vertical="top"/>
      <protection locked="0" hidden="0"/>
    </xf>
    <xf numFmtId="10" fontId="57"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3"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169" fontId="0" fillId="0" borderId="0" pivotButton="0" quotePrefix="0" xfId="0"/>
  </cellXfs>
  <cellStyles count="3">
    <cellStyle name="표준" xfId="0" builtinId="0"/>
    <cellStyle name="하이퍼링크" xfId="1" builtinId="8"/>
    <cellStyle name="백분율" xfId="2" builtinId="5"/>
  </cellStyles>
  <dxfs count="2">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9" t="inlineStr">
        <is>
          <t xml:space="preserve">XLGantt 6.1.0 ©XLWorks </t>
        </is>
      </c>
      <c r="K1" s="287" t="n"/>
      <c r="L1" s="287" t="n"/>
    </row>
    <row r="2" ht="18" customFormat="1" customHeight="1" s="32">
      <c r="A2" s="147" t="n"/>
      <c r="B2" s="148" t="n"/>
      <c r="C2" s="148" t="n"/>
      <c r="D2" s="148" t="n"/>
      <c r="E2" s="148" t="n"/>
      <c r="F2" s="148" t="n"/>
      <c r="G2" s="148" t="n"/>
      <c r="H2" s="237" t="inlineStr">
        <is>
          <t xml:space="preserve">도움말, 최신 버전 다운로드 - https://xlworks.net/xlgantt-project-scheduler/ </t>
        </is>
      </c>
      <c r="I2" s="288" t="n"/>
      <c r="J2" s="288" t="n"/>
      <c r="K2" s="288" t="n"/>
      <c r="L2" s="288" t="n"/>
    </row>
    <row r="4" ht="17.25" customHeight="1">
      <c r="B4" s="241"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3" t="inlineStr">
        <is>
          <t>작업과 일정을 입력하면 진척률이 계산되며 작업의 일정을 간트차트로 표시해 준다.</t>
        </is>
      </c>
      <c r="E9" s="289" t="n"/>
      <c r="F9" s="289" t="n"/>
      <c r="G9" s="289" t="n"/>
      <c r="H9" s="289" t="n"/>
      <c r="I9" s="289" t="n"/>
      <c r="J9" s="289" t="n"/>
      <c r="K9" s="289" t="n"/>
      <c r="L9" s="289" t="n"/>
    </row>
    <row r="10" ht="29.25" customFormat="1" customHeight="1" s="32" thickBot="1" thickTop="1">
      <c r="A10" s="80" t="n"/>
      <c r="B10" s="82" t="inlineStr">
        <is>
          <t>Progress</t>
        </is>
      </c>
      <c r="C10" s="80" t="n"/>
      <c r="D10" s="243" t="inlineStr">
        <is>
          <t>작업량, 진척률 등을 볼 수 있다.</t>
        </is>
      </c>
      <c r="E10" s="289" t="n"/>
      <c r="F10" s="289" t="n"/>
      <c r="G10" s="289" t="n"/>
      <c r="H10" s="289" t="n"/>
      <c r="I10" s="289" t="n"/>
      <c r="J10" s="289" t="n"/>
      <c r="K10" s="289" t="n"/>
      <c r="L10" s="289" t="n"/>
    </row>
    <row r="11" ht="29.25" customFormat="1" customHeight="1" s="32" thickBot="1" thickTop="1">
      <c r="A11" s="80" t="n"/>
      <c r="B11" s="83" t="inlineStr">
        <is>
          <t>AnalysisReport</t>
        </is>
      </c>
      <c r="C11" s="80" t="n"/>
      <c r="D11" s="243" t="inlineStr">
        <is>
          <t>담당별 진행률, Workload등 분석용 Report를 만들어서 보여준다.</t>
        </is>
      </c>
      <c r="E11" s="289" t="n"/>
      <c r="F11" s="289" t="n"/>
      <c r="G11" s="289" t="n"/>
      <c r="H11" s="289" t="n"/>
      <c r="I11" s="289" t="n"/>
      <c r="J11" s="289" t="n"/>
      <c r="K11" s="289" t="n"/>
      <c r="L11" s="289" t="n"/>
    </row>
    <row r="12" ht="29.25" customFormat="1" customHeight="1" s="32" thickBot="1" thickTop="1">
      <c r="A12" s="80" t="n"/>
      <c r="B12" s="84" t="inlineStr">
        <is>
          <t>Calendar</t>
        </is>
      </c>
      <c r="C12" s="80" t="n"/>
      <c r="D12" s="243" t="inlineStr">
        <is>
          <t>프로젝트의 휴무일을 설정한다.</t>
        </is>
      </c>
      <c r="E12" s="289" t="n"/>
      <c r="F12" s="289" t="n"/>
      <c r="G12" s="289" t="n"/>
      <c r="H12" s="289" t="n"/>
      <c r="I12" s="289" t="n"/>
      <c r="J12" s="289" t="n"/>
      <c r="K12" s="289" t="n"/>
      <c r="L12" s="289" t="n"/>
    </row>
    <row r="13" ht="29.25" customFormat="1" customHeight="1" s="32" thickBot="1" thickTop="1">
      <c r="A13" s="80" t="n"/>
      <c r="B13" s="85" t="inlineStr">
        <is>
          <t>Progress_Data</t>
        </is>
      </c>
      <c r="C13" s="80" t="n"/>
      <c r="D13" s="244" t="inlineStr">
        <is>
          <t>진척률 정보를 일단위 Raw data로 생성한다. 차트를 그리거나 사용자가 원하는대로 분석을 할 수 있다.</t>
        </is>
      </c>
      <c r="E13" s="289" t="n"/>
      <c r="F13" s="289" t="n"/>
      <c r="G13" s="289" t="n"/>
      <c r="H13" s="289" t="n"/>
      <c r="I13" s="289" t="n"/>
      <c r="J13" s="289" t="n"/>
      <c r="K13" s="289" t="n"/>
      <c r="L13" s="289" t="n"/>
    </row>
    <row r="14" ht="29.25" customFormat="1" customHeight="1" s="32" thickBot="1" thickTop="1">
      <c r="A14" s="80" t="n"/>
      <c r="B14" s="86" t="inlineStr">
        <is>
          <t>TranslatedLanguages</t>
        </is>
      </c>
      <c r="C14" s="80" t="n"/>
      <c r="D14" s="243" t="inlineStr">
        <is>
          <t>(숨겨진 시트) 언어별 번역이 들어 있다.</t>
        </is>
      </c>
      <c r="E14" s="289" t="n"/>
      <c r="F14" s="289" t="n"/>
      <c r="G14" s="289" t="n"/>
      <c r="H14" s="289" t="n"/>
      <c r="I14" s="289" t="n"/>
      <c r="J14" s="289" t="n"/>
      <c r="K14" s="289" t="n"/>
      <c r="L14" s="289"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5" t="inlineStr">
        <is>
          <t>기능을 간단히 빨리 익히고 싶으면 “간단 사용법”을 참고한다</t>
        </is>
      </c>
      <c r="E18" s="289" t="n"/>
      <c r="F18" s="289" t="n"/>
      <c r="G18" s="289" t="n"/>
      <c r="H18" s="289" t="n"/>
      <c r="I18" s="289" t="n"/>
      <c r="J18" s="289" t="n"/>
      <c r="K18" s="289" t="n"/>
      <c r="L18" s="98" t="inlineStr">
        <is>
          <t>도움말</t>
        </is>
      </c>
    </row>
    <row r="19" ht="37.5" customFormat="1" customHeight="1" s="32" thickBot="1" thickTop="1">
      <c r="B19" s="91" t="inlineStr">
        <is>
          <t>작업입력, 스케줄 업데이트</t>
        </is>
      </c>
      <c r="D19" s="235" t="inlineStr">
        <is>
          <t>작업명, 시작일, 완료일, 진척률을 입력하면 휴무일, 자원수를 고려하여 자동으로 작업기간, 계획진척률, 실적진척률 등이 계산된다.</t>
        </is>
      </c>
      <c r="E19" s="289" t="n"/>
      <c r="F19" s="289" t="n"/>
      <c r="G19" s="289" t="n"/>
      <c r="H19" s="289" t="n"/>
      <c r="I19" s="289" t="n"/>
      <c r="J19" s="289" t="n"/>
      <c r="K19" s="289" t="n"/>
      <c r="L19" s="98" t="inlineStr">
        <is>
          <t>도움말</t>
        </is>
      </c>
    </row>
    <row r="20" ht="26.25" customFormat="1" customHeight="1" s="32" thickBot="1" thickTop="1">
      <c r="B20" s="91" t="inlineStr">
        <is>
          <t>간트차트 표시방법 설정</t>
        </is>
      </c>
      <c r="D20" s="235" t="inlineStr">
        <is>
          <t>Bar chart형태로 간트차트를 보여주며 여러 가지 표시방법을 옵션에서 설정할 수 있다.</t>
        </is>
      </c>
      <c r="E20" s="289" t="n"/>
      <c r="F20" s="289" t="n"/>
      <c r="G20" s="289" t="n"/>
      <c r="H20" s="289" t="n"/>
      <c r="I20" s="289" t="n"/>
      <c r="J20" s="289" t="n"/>
      <c r="K20" s="289" t="n"/>
      <c r="L20" s="98" t="inlineStr">
        <is>
          <t>도움말</t>
        </is>
      </c>
    </row>
    <row r="21" ht="26.25" customFormat="1" customHeight="1" s="32" thickBot="1" thickTop="1">
      <c r="B21" s="91" t="inlineStr">
        <is>
          <t>프로젝트 전체 진행상황 파악하기</t>
        </is>
      </c>
      <c r="D21" s="235" t="inlineStr">
        <is>
          <t>진척률을 이용하여 프로젝트 전체 진행상황을 파악할 수 있다.</t>
        </is>
      </c>
      <c r="E21" s="289" t="n"/>
      <c r="F21" s="289" t="n"/>
      <c r="G21" s="289" t="n"/>
      <c r="H21" s="289" t="n"/>
      <c r="I21" s="289" t="n"/>
      <c r="J21" s="289" t="n"/>
      <c r="K21" s="289" t="n"/>
      <c r="L21" s="98" t="inlineStr">
        <is>
          <t>도움말</t>
        </is>
      </c>
    </row>
    <row r="22" ht="33.75" customFormat="1" customHeight="1" s="32" thickBot="1" thickTop="1">
      <c r="B22" s="91" t="inlineStr">
        <is>
          <t>분석 리포트</t>
        </is>
      </c>
      <c r="D22" s="235" t="inlineStr">
        <is>
          <t>프로젝트의 현황을 파악할 수 있는 진행률, Workload 등의 분석 리포트와 분석용 Workload data를 제공한다.</t>
        </is>
      </c>
      <c r="E22" s="289" t="n"/>
      <c r="F22" s="289" t="n"/>
      <c r="G22" s="289" t="n"/>
      <c r="H22" s="289" t="n"/>
      <c r="I22" s="289" t="n"/>
      <c r="J22" s="289" t="n"/>
      <c r="K22" s="289" t="n"/>
      <c r="L22" s="98" t="inlineStr">
        <is>
          <t>도움말</t>
        </is>
      </c>
    </row>
    <row r="23" ht="52.5" customFormat="1" customHeight="1" s="32" thickBot="1" thickTop="1">
      <c r="B23" s="91" t="inlineStr">
        <is>
          <t>일정계획 변경관리</t>
        </is>
      </c>
      <c r="D23" s="235"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9" t="n"/>
      <c r="F23" s="289" t="n"/>
      <c r="G23" s="289" t="n"/>
      <c r="H23" s="289" t="n"/>
      <c r="I23" s="289" t="n"/>
      <c r="J23" s="289" t="n"/>
      <c r="K23" s="289" t="n"/>
      <c r="L23" s="98" t="inlineStr">
        <is>
          <t>도움말</t>
        </is>
      </c>
    </row>
    <row r="24" ht="47.25" customFormat="1" customHeight="1" s="32" thickBot="1" thickTop="1">
      <c r="B24" s="91" t="inlineStr">
        <is>
          <t>산출물</t>
        </is>
      </c>
      <c r="D24" s="235"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9" t="n"/>
      <c r="F24" s="289" t="n"/>
      <c r="G24" s="289" t="n"/>
      <c r="H24" s="289" t="n"/>
      <c r="I24" s="289" t="n"/>
      <c r="J24" s="289" t="n"/>
      <c r="K24" s="289" t="n"/>
      <c r="L24" s="98" t="inlineStr">
        <is>
          <t>도움말</t>
        </is>
      </c>
    </row>
    <row r="25" ht="33.75" customFormat="1" customHeight="1" s="32" thickBot="1" thickTop="1">
      <c r="B25" s="91" t="inlineStr">
        <is>
          <t>Microsoft Outlook작업, 일정등록</t>
        </is>
      </c>
      <c r="D25" s="235" t="inlineStr">
        <is>
          <t>엑셀간트에서는 Schedule시트에 입력되어 있는 작업을 Microsoft Outlook에 작업이나 일정으로 등록할 수 있는 기능을 제공한다(단, PC에 Microsoft Outlook이 설치되어 있어야 한다).</t>
        </is>
      </c>
      <c r="E25" s="289" t="n"/>
      <c r="F25" s="289" t="n"/>
      <c r="G25" s="289" t="n"/>
      <c r="H25" s="289" t="n"/>
      <c r="I25" s="289" t="n"/>
      <c r="J25" s="289" t="n"/>
      <c r="K25" s="289" t="n"/>
      <c r="L25" s="98" t="inlineStr">
        <is>
          <t>도움말</t>
        </is>
      </c>
    </row>
    <row r="26" ht="53.25" customFormat="1" customHeight="1" s="32" thickBot="1" thickTop="1">
      <c r="B26" s="91" t="inlineStr">
        <is>
          <t>다국어 지원</t>
        </is>
      </c>
      <c r="D26" s="235" t="inlineStr">
        <is>
          <t>엑셀간트는 다국어를 지원하는데 프로그램을 수정하지 않고 여러 다국어를 추가할 수 있다. 현재는 한국어, 영어 2개 국어가 추가되어 있다.</t>
        </is>
      </c>
      <c r="E26" s="289" t="n"/>
      <c r="F26" s="289" t="n"/>
      <c r="G26" s="289" t="n"/>
      <c r="H26" s="289" t="n"/>
      <c r="I26" s="289" t="n"/>
      <c r="J26" s="289" t="n"/>
      <c r="K26" s="289" t="n"/>
      <c r="L26" s="98" t="inlineStr">
        <is>
          <t>도움말</t>
        </is>
      </c>
    </row>
    <row r="27" ht="35.25" customFormat="1" customHeight="1" s="32" thickBot="1" thickTop="1">
      <c r="B27" s="91" t="inlineStr">
        <is>
          <t>다른 파일에서 일정 가져오기</t>
        </is>
      </c>
      <c r="D27" s="235" t="inlineStr">
        <is>
          <t>엑셀간트에서는 엑셀간트(XLGantt) 또는 일반 엑셀파일로 만들어진 일정을 가져오는 기능을 제공한다.</t>
        </is>
      </c>
      <c r="E27" s="289" t="n"/>
      <c r="F27" s="289" t="n"/>
      <c r="G27" s="289" t="n"/>
      <c r="H27" s="289" t="n"/>
      <c r="I27" s="289" t="n"/>
      <c r="J27" s="289" t="n"/>
      <c r="K27" s="289" t="n"/>
      <c r="L27" s="98" t="inlineStr">
        <is>
          <t>도움말</t>
        </is>
      </c>
    </row>
    <row r="28" ht="43.5" customFormat="1" customHeight="1" s="32" thickBot="1" thickTop="1">
      <c r="B28" s="91" t="inlineStr">
        <is>
          <t>Calendar</t>
        </is>
      </c>
      <c r="D28" s="235" t="inlineStr">
        <is>
          <t>한주의 시작요일 지정, 휴무일 설정, 주차표시 기능을 제공한다.
리본메뉴 &gt; XLGantt – Project Scheduler &gt; 옵션 &gt; “Calendar” 탭에서 설정할 수 있다.</t>
        </is>
      </c>
      <c r="E28" s="289" t="n"/>
      <c r="F28" s="289" t="n"/>
      <c r="G28" s="289" t="n"/>
      <c r="H28" s="289" t="n"/>
      <c r="I28" s="289" t="n"/>
      <c r="J28" s="289" t="n"/>
      <c r="K28" s="289" t="n"/>
      <c r="L28" s="98" t="inlineStr">
        <is>
          <t>도움말</t>
        </is>
      </c>
    </row>
    <row r="29" ht="49.5" customFormat="1" customHeight="1" s="32" thickBot="1" thickTop="1">
      <c r="B29" s="91" t="inlineStr">
        <is>
          <t>Excel기능과 통합</t>
        </is>
      </c>
      <c r="D29" s="235"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9" t="n"/>
      <c r="F29" s="289" t="n"/>
      <c r="G29" s="289" t="n"/>
      <c r="H29" s="289" t="n"/>
      <c r="I29" s="289" t="n"/>
      <c r="J29" s="289" t="n"/>
      <c r="K29" s="289" t="n"/>
      <c r="L29" s="98" t="inlineStr">
        <is>
          <t>도움말</t>
        </is>
      </c>
    </row>
    <row r="30" ht="24.75" customFormat="1" customHeight="1" s="32" thickBot="1" thickTop="1">
      <c r="B30" s="137" t="inlineStr">
        <is>
          <t>작업량 계산</t>
        </is>
      </c>
      <c r="D30" s="235" t="inlineStr">
        <is>
          <t>작업량 계산 방식을 선택할 수 있다.</t>
        </is>
      </c>
      <c r="E30" s="289" t="n"/>
      <c r="F30" s="289" t="n"/>
      <c r="G30" s="289" t="n"/>
      <c r="H30" s="289" t="n"/>
      <c r="I30" s="289" t="n"/>
      <c r="J30" s="289" t="n"/>
      <c r="K30" s="289" t="n"/>
      <c r="L30" s="98" t="inlineStr">
        <is>
          <t>도움말</t>
        </is>
      </c>
    </row>
    <row r="31" ht="24.75" customFormat="1" customHeight="1" s="32" thickBot="1" thickTop="1">
      <c r="B31" s="91" t="inlineStr">
        <is>
          <t>WBS영역, 컬러테마 설정</t>
        </is>
      </c>
      <c r="D31" s="235" t="inlineStr">
        <is>
          <t>엑셀간트의 모양과 색상을 지정할 수 있다.</t>
        </is>
      </c>
      <c r="E31" s="289" t="n"/>
      <c r="F31" s="289" t="n"/>
      <c r="G31" s="289" t="n"/>
      <c r="H31" s="289" t="n"/>
      <c r="I31" s="289" t="n"/>
      <c r="J31" s="289" t="n"/>
      <c r="K31" s="289" t="n"/>
      <c r="L31" s="98" t="inlineStr">
        <is>
          <t>도움말</t>
        </is>
      </c>
    </row>
    <row r="32" ht="24.75" customFormat="1" customHeight="1" s="32" thickBot="1" thickTop="1">
      <c r="B32" s="91" t="inlineStr">
        <is>
          <t>작업 의존관계 설정</t>
        </is>
      </c>
      <c r="D32" s="235" t="inlineStr">
        <is>
          <t>작업 의존관계(FS,SS,FF,SF)를 설정할 수 있다.</t>
        </is>
      </c>
      <c r="E32" s="289" t="n"/>
      <c r="F32" s="289" t="n"/>
      <c r="G32" s="289" t="n"/>
      <c r="H32" s="289" t="n"/>
      <c r="I32" s="289" t="n"/>
      <c r="J32" s="289" t="n"/>
      <c r="K32" s="289"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6"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69"/>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90" min="19" max="19"/>
    <col width="7.25" bestFit="1" customWidth="1" style="290" min="20" max="20"/>
    <col width="6" customWidth="1" style="290" min="21" max="21"/>
    <col width="5.875" customWidth="1" style="290" min="22" max="22"/>
    <col hidden="1" width="9.75" customWidth="1" style="111" min="23" max="24"/>
    <col hidden="1" width="7.5" customWidth="1" style="291" min="25" max="25"/>
    <col hidden="1" width="6" customWidth="1" style="114" min="26" max="26"/>
    <col hidden="1" width="7.125" customWidth="1" style="290"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292" t="n"/>
      <c r="T1" s="293" t="n"/>
      <c r="U1" s="294" t="n"/>
      <c r="V1" s="294" t="n"/>
      <c r="W1" s="187" t="n"/>
      <c r="X1" s="187" t="n"/>
      <c r="Y1" s="174" t="n"/>
      <c r="Z1" s="188" t="n"/>
      <c r="AA1" s="176" t="n"/>
      <c r="AB1" s="177" t="n"/>
      <c r="AC1" s="193">
        <f t="array" ref="AC1">xlgantt.ProjectProgress()</f>
        <v/>
      </c>
      <c r="AD1" s="179" t="n"/>
      <c r="AE1" s="193" t="n"/>
      <c r="AF1" s="189" t="n"/>
      <c r="AG1" s="190" t="n"/>
      <c r="AH1" s="190" t="n"/>
      <c r="AI1" s="190" t="n"/>
      <c r="AJ1" s="190" t="n"/>
      <c r="AK1" s="190" t="n"/>
      <c r="AL1" s="190" t="n"/>
      <c r="AM1" s="190" t="n"/>
      <c r="AN1" s="190" t="n"/>
      <c r="AO1" s="190" t="n"/>
      <c r="AP1" s="190" t="n"/>
      <c r="AQ1" s="190" t="n"/>
      <c r="AR1" s="190" t="n"/>
      <c r="AS1" s="190" t="n"/>
      <c r="AT1" s="190" t="n"/>
      <c r="AU1" s="190" t="n"/>
      <c r="AV1" s="190" t="n"/>
      <c r="AW1" s="190" t="n"/>
      <c r="AX1" s="190" t="n"/>
      <c r="AY1" s="190" t="n"/>
      <c r="AZ1" s="190" t="n"/>
      <c r="BA1" s="190" t="n"/>
      <c r="BB1" s="190" t="n"/>
      <c r="BC1" s="190" t="n"/>
      <c r="BD1" s="190" t="n"/>
      <c r="BE1" s="190" t="n"/>
      <c r="BF1" s="190" t="n"/>
      <c r="BG1" s="190" t="n"/>
      <c r="BH1" s="190" t="n"/>
      <c r="BI1" s="190" t="n"/>
      <c r="BJ1" s="190" t="n"/>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5" t="n"/>
      <c r="T2" s="295" t="n"/>
      <c r="U2" s="295" t="n"/>
      <c r="V2" s="295" t="n"/>
      <c r="W2" s="166" t="n"/>
      <c r="X2" s="166" t="n"/>
      <c r="Y2" s="166" t="n"/>
      <c r="Z2" s="166" t="n"/>
      <c r="AA2" s="166" t="n"/>
      <c r="AB2" s="166" t="n"/>
      <c r="AC2" s="169" t="n"/>
      <c r="AD2" s="170" t="n"/>
      <c r="AE2" s="166" t="n"/>
      <c r="AF2" s="245" t="inlineStr">
        <is>
          <t>W1</t>
        </is>
      </c>
      <c r="AJ2" s="245" t="inlineStr">
        <is>
          <t>W5</t>
        </is>
      </c>
      <c r="AN2" s="245" t="inlineStr">
        <is>
          <t>W9</t>
        </is>
      </c>
      <c r="AR2" s="245" t="inlineStr">
        <is>
          <t>W13</t>
        </is>
      </c>
      <c r="AV2" s="245" t="inlineStr">
        <is>
          <t>W17</t>
        </is>
      </c>
      <c r="AZ2" s="245" t="inlineStr">
        <is>
          <t>W21</t>
        </is>
      </c>
      <c r="BD2" s="245" t="n"/>
      <c r="BE2" s="245" t="n"/>
      <c r="BF2" s="245" t="n"/>
      <c r="BG2" s="245" t="n"/>
      <c r="BH2" s="245" t="n"/>
      <c r="BI2" s="245" t="n"/>
      <c r="BJ2" s="245" t="n"/>
      <c r="BK2" s="245" t="n"/>
      <c r="BL2" s="245" t="n"/>
      <c r="BM2" s="245" t="n"/>
      <c r="BN2" s="245" t="n"/>
      <c r="BO2" s="245" t="n"/>
      <c r="BP2" s="245" t="n"/>
      <c r="BQ2" s="245" t="n"/>
      <c r="BR2" s="245" t="n"/>
      <c r="BS2" s="245" t="n"/>
      <c r="BT2" s="245" t="n"/>
      <c r="BU2" s="245" t="n"/>
      <c r="BV2" s="245" t="n"/>
      <c r="BW2" s="245" t="n"/>
      <c r="BX2" s="245" t="n"/>
      <c r="BY2" s="245" t="n"/>
      <c r="BZ2" s="245" t="n"/>
      <c r="CA2" s="245" t="n"/>
      <c r="CB2" s="245" t="n"/>
      <c r="CC2" s="245" t="n"/>
      <c r="CD2" s="245" t="n"/>
      <c r="CE2" s="245" t="n"/>
      <c r="CF2" s="245" t="n"/>
      <c r="CG2" s="245" t="n"/>
      <c r="CH2" s="245" t="n"/>
      <c r="CI2" s="245" t="n"/>
      <c r="CJ2" s="245" t="n"/>
      <c r="CK2" s="245" t="n"/>
      <c r="CL2" s="245" t="n"/>
      <c r="CM2" s="245" t="n"/>
      <c r="CN2" s="245" t="n"/>
      <c r="CO2" s="245" t="n"/>
      <c r="CP2" s="245" t="n"/>
      <c r="CQ2" s="245" t="n"/>
      <c r="CR2" s="245" t="n"/>
      <c r="CS2" s="245" t="n"/>
      <c r="CT2" s="245" t="n"/>
      <c r="CU2" s="245" t="n"/>
      <c r="CV2" s="245" t="n"/>
      <c r="CW2" s="245" t="n"/>
      <c r="CX2" s="245" t="n"/>
      <c r="CY2" s="245" t="n"/>
      <c r="CZ2" s="245" t="n"/>
      <c r="DA2" s="245" t="n"/>
      <c r="DB2" s="245" t="n"/>
      <c r="DC2" s="245" t="n"/>
      <c r="DD2" s="245" t="n"/>
      <c r="DE2" s="245" t="n"/>
      <c r="DF2" s="245" t="n"/>
      <c r="DG2" s="245" t="n"/>
      <c r="DH2" s="245" t="n"/>
      <c r="DI2" s="245" t="n"/>
      <c r="DJ2" s="245" t="n"/>
      <c r="DK2" s="245" t="n"/>
      <c r="DL2" s="245" t="n"/>
      <c r="DM2" s="245" t="n"/>
      <c r="DN2" s="245" t="n"/>
      <c r="DO2" s="245" t="n"/>
      <c r="DP2" s="245" t="n"/>
      <c r="DQ2" s="245" t="n"/>
      <c r="DR2" s="245" t="n"/>
      <c r="DS2" s="245" t="n"/>
      <c r="DT2" s="245" t="n"/>
      <c r="DU2" s="245" t="n"/>
      <c r="DV2" s="245" t="n"/>
      <c r="DW2" s="245" t="n"/>
      <c r="DX2" s="245" t="n"/>
      <c r="DY2" s="245" t="n"/>
      <c r="DZ2" s="245" t="n"/>
      <c r="EA2" s="245" t="n"/>
      <c r="EB2" s="245" t="n"/>
      <c r="EC2" s="245" t="n"/>
      <c r="ED2" s="245" t="n"/>
      <c r="EE2" s="245" t="n"/>
      <c r="EF2" s="245" t="n"/>
      <c r="EG2" s="245" t="n"/>
      <c r="EH2" s="245" t="n"/>
      <c r="EI2" s="245" t="n"/>
      <c r="EJ2" s="245" t="n"/>
      <c r="EK2" s="245" t="n"/>
      <c r="EL2" s="245" t="n"/>
      <c r="EM2" s="245" t="n"/>
      <c r="EN2" s="245" t="n"/>
      <c r="EO2" s="245" t="n"/>
      <c r="EP2" s="245" t="n"/>
      <c r="EQ2" s="245" t="n"/>
      <c r="ER2" s="245" t="n"/>
      <c r="ES2" s="245" t="n"/>
      <c r="ET2" s="245" t="n"/>
      <c r="EU2" s="245" t="n"/>
      <c r="EV2" s="245" t="n"/>
      <c r="EW2" s="245" t="n"/>
      <c r="EX2" s="245" t="n"/>
      <c r="EY2" s="245" t="n"/>
      <c r="EZ2" s="245" t="n"/>
      <c r="FA2" s="245" t="n"/>
      <c r="FB2" s="245" t="n"/>
      <c r="FC2" s="245" t="n"/>
      <c r="FD2" s="245" t="n"/>
      <c r="FE2" s="245" t="n"/>
      <c r="FF2" s="245" t="n"/>
      <c r="FG2" s="245" t="n"/>
      <c r="FH2" s="245" t="n"/>
      <c r="FI2" s="245" t="n"/>
      <c r="FJ2" s="245" t="n"/>
      <c r="FK2" s="245" t="n"/>
      <c r="FL2" s="245" t="n"/>
      <c r="FM2" s="245" t="n"/>
      <c r="FN2" s="245" t="n"/>
      <c r="FO2" s="245" t="n"/>
      <c r="FP2" s="245" t="n"/>
      <c r="FQ2" s="245" t="n"/>
      <c r="FR2" s="245" t="n"/>
      <c r="FS2" s="245" t="n"/>
      <c r="FT2" s="245" t="n"/>
      <c r="FU2" s="245" t="n"/>
      <c r="FV2" s="245" t="n"/>
      <c r="FW2" s="245" t="n"/>
      <c r="FX2" s="245" t="n"/>
      <c r="FY2" s="245" t="n"/>
      <c r="FZ2" s="245" t="n"/>
      <c r="GA2" s="245" t="n"/>
      <c r="GB2" s="245" t="n"/>
      <c r="GC2" s="245" t="n"/>
      <c r="GD2" s="245" t="n"/>
      <c r="GE2" s="245" t="n"/>
      <c r="GF2" s="245" t="n"/>
      <c r="GG2" s="245" t="n"/>
      <c r="GH2" s="245" t="n"/>
      <c r="GI2" s="245" t="n"/>
      <c r="GJ2" s="245" t="n"/>
    </row>
    <row r="3" ht="18.95" customFormat="1" customHeight="1" s="99">
      <c r="A3" s="254" t="inlineStr">
        <is>
          <t>reserved</t>
        </is>
      </c>
      <c r="B3" s="256" t="inlineStr">
        <is>
          <t>task_group</t>
        </is>
      </c>
      <c r="C3" s="258" t="inlineStr">
        <is>
          <t>wbs_level</t>
        </is>
      </c>
      <c r="D3" s="259" t="inlineStr">
        <is>
          <t>WBS</t>
        </is>
      </c>
      <c r="E3" s="261" t="inlineStr">
        <is>
          <t>작업*</t>
        </is>
      </c>
      <c r="O3" s="249" t="inlineStr">
        <is>
          <t>비고</t>
        </is>
      </c>
      <c r="P3" s="249" t="inlineStr">
        <is>
          <t>시작일*</t>
        </is>
      </c>
      <c r="Q3" s="249" t="inlineStr">
        <is>
          <t>완료일*</t>
        </is>
      </c>
      <c r="R3" s="264" t="inlineStr">
        <is>
          <t>Calendar</t>
        </is>
      </c>
      <c r="S3" s="296" t="inlineStr">
        <is>
          <t>총_x000D_
작업량</t>
        </is>
      </c>
      <c r="T3" s="297" t="inlineStr">
        <is>
          <t>계획_x000D_
작업량</t>
        </is>
      </c>
      <c r="U3" s="296" t="inlineStr">
        <is>
          <t>총_x000D_
기간</t>
        </is>
      </c>
      <c r="V3" s="296" t="inlineStr">
        <is>
          <t>계획_x000D_
기간</t>
        </is>
      </c>
      <c r="W3" s="251" t="inlineStr">
        <is>
          <t>실제_x000D_
시작일</t>
        </is>
      </c>
      <c r="X3" s="251" t="inlineStr">
        <is>
          <t>실제_x000D_
완료일</t>
        </is>
      </c>
      <c r="Y3" s="298" t="inlineStr">
        <is>
          <t>실제_x000D_
총작업량</t>
        </is>
      </c>
      <c r="Z3" s="276" t="inlineStr">
        <is>
          <t>실제_x000D_
총기간</t>
        </is>
      </c>
      <c r="AA3" s="299" t="inlineStr">
        <is>
          <t>자원수</t>
        </is>
      </c>
      <c r="AB3" s="249" t="inlineStr">
        <is>
          <t>담당</t>
        </is>
      </c>
      <c r="AC3" s="264" t="inlineStr">
        <is>
          <t>산출물</t>
        </is>
      </c>
      <c r="AD3" s="270" t="inlineStr">
        <is>
          <t>계획</t>
        </is>
      </c>
      <c r="AE3" s="267" t="inlineStr">
        <is>
          <t>실적*</t>
        </is>
      </c>
      <c r="AF3" s="269" t="inlineStr">
        <is>
          <t>03/01
W10</t>
        </is>
      </c>
      <c r="AI3" s="300" t="n"/>
      <c r="AJ3" s="246" t="inlineStr">
        <is>
          <t>03/29
W14</t>
        </is>
      </c>
      <c r="AM3" s="300" t="n"/>
      <c r="AN3" s="246" t="inlineStr">
        <is>
          <t>04/26
W18</t>
        </is>
      </c>
      <c r="AQ3" s="300" t="n"/>
      <c r="AR3" s="246" t="inlineStr">
        <is>
          <t>05/24
W22</t>
        </is>
      </c>
      <c r="AU3" s="300" t="n"/>
      <c r="AV3" s="246" t="inlineStr">
        <is>
          <t>06/21
W26</t>
        </is>
      </c>
      <c r="AY3" s="300" t="n"/>
      <c r="AZ3" s="246" t="inlineStr">
        <is>
          <t>07/19
W30</t>
        </is>
      </c>
      <c r="BC3" s="300" t="n"/>
    </row>
    <row r="4" ht="6" customFormat="1" customHeight="1" s="99">
      <c r="A4" s="301" t="n"/>
      <c r="B4" s="302" t="n"/>
      <c r="C4" s="302" t="n"/>
      <c r="D4" s="302" t="n"/>
      <c r="E4" s="303" t="n"/>
      <c r="O4" s="302" t="n"/>
      <c r="P4" s="302" t="n"/>
      <c r="Q4" s="302" t="n"/>
      <c r="R4" s="302" t="n"/>
      <c r="S4" s="302" t="n"/>
      <c r="T4" s="302" t="n"/>
      <c r="U4" s="302" t="n"/>
      <c r="V4" s="302" t="n"/>
      <c r="W4" s="302" t="n"/>
      <c r="X4" s="302" t="n"/>
      <c r="Y4" s="302" t="n"/>
      <c r="Z4" s="302" t="n"/>
      <c r="AA4" s="302" t="n"/>
      <c r="AB4" s="302" t="n"/>
      <c r="AC4" s="302" t="n"/>
      <c r="AD4" s="302" t="n"/>
      <c r="AE4" s="303"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9" t="n"/>
      <c r="BD4" s="210" t="n"/>
      <c r="BE4" s="210" t="n"/>
      <c r="BF4" s="210" t="n"/>
      <c r="BG4" s="210" t="n"/>
      <c r="BH4" s="210" t="n"/>
      <c r="BI4" s="210" t="n"/>
      <c r="BJ4" s="210" t="n"/>
      <c r="BK4" s="210" t="n"/>
      <c r="BL4" s="210" t="n"/>
      <c r="BM4" s="210" t="n"/>
      <c r="BN4" s="210" t="n"/>
      <c r="BO4" s="210" t="n"/>
      <c r="BP4" s="210" t="n"/>
      <c r="BQ4" s="210" t="n"/>
      <c r="BR4" s="210" t="n"/>
      <c r="BS4" s="210" t="n"/>
      <c r="BT4" s="210" t="n"/>
      <c r="BU4" s="210" t="n"/>
      <c r="BV4" s="210" t="n"/>
      <c r="BW4" s="210" t="n"/>
      <c r="BX4" s="210" t="n"/>
      <c r="BY4" s="210" t="n"/>
      <c r="BZ4" s="210" t="n"/>
      <c r="CA4" s="210" t="n"/>
      <c r="CB4" s="210" t="n"/>
      <c r="CC4" s="210" t="n"/>
      <c r="CD4" s="210" t="n"/>
      <c r="CE4" s="210" t="n"/>
      <c r="CF4" s="210" t="n"/>
      <c r="CG4" s="210" t="n"/>
      <c r="CH4" s="210" t="n"/>
      <c r="CI4" s="210" t="n"/>
      <c r="CJ4" s="210" t="n"/>
      <c r="CK4" s="210" t="n"/>
      <c r="CL4" s="210" t="n"/>
      <c r="CM4" s="210" t="n"/>
      <c r="CN4" s="210" t="n"/>
      <c r="CO4" s="210" t="n"/>
      <c r="CP4" s="210" t="n"/>
      <c r="CQ4" s="210" t="n"/>
      <c r="CR4" s="210" t="n"/>
      <c r="CS4" s="210" t="n"/>
      <c r="CT4" s="210" t="n"/>
      <c r="CU4" s="210" t="n"/>
      <c r="CV4" s="210" t="n"/>
      <c r="CW4" s="210" t="n"/>
      <c r="CX4" s="210" t="n"/>
      <c r="CY4" s="210" t="n"/>
      <c r="CZ4" s="210" t="n"/>
      <c r="DA4" s="210" t="n"/>
      <c r="DB4" s="210" t="n"/>
      <c r="DC4" s="210" t="n"/>
      <c r="DD4" s="210" t="n"/>
      <c r="DE4" s="210" t="n"/>
      <c r="DF4" s="210" t="n"/>
      <c r="DG4" s="210" t="n"/>
      <c r="DH4" s="210" t="n"/>
      <c r="DI4" s="210" t="n"/>
      <c r="DJ4" s="210" t="n"/>
      <c r="DK4" s="210" t="n"/>
      <c r="DL4" s="210" t="n"/>
      <c r="DM4" s="210" t="n"/>
      <c r="DN4" s="210" t="n"/>
      <c r="DO4" s="210" t="n"/>
      <c r="DP4" s="210" t="n"/>
      <c r="DQ4" s="210" t="n"/>
      <c r="DR4" s="210" t="n"/>
      <c r="DS4" s="210" t="n"/>
      <c r="DT4" s="210" t="n"/>
      <c r="DU4" s="210" t="n"/>
      <c r="DV4" s="210" t="n"/>
      <c r="DW4" s="210" t="n"/>
      <c r="DX4" s="210" t="n"/>
      <c r="DY4" s="210" t="n"/>
      <c r="DZ4" s="210" t="n"/>
      <c r="EA4" s="210" t="n"/>
      <c r="EB4" s="210" t="n"/>
      <c r="EC4" s="210" t="n"/>
      <c r="ED4" s="210" t="n"/>
      <c r="EE4" s="210" t="n"/>
      <c r="EF4" s="210" t="n"/>
      <c r="EG4" s="210" t="n"/>
      <c r="EH4" s="210" t="n"/>
      <c r="EI4" s="210" t="n"/>
      <c r="EJ4" s="210" t="n"/>
      <c r="EK4" s="210" t="n"/>
      <c r="EL4" s="210" t="n"/>
      <c r="EM4" s="210" t="n"/>
      <c r="EN4" s="210" t="n"/>
      <c r="EO4" s="210" t="n"/>
      <c r="EP4" s="210" t="n"/>
      <c r="EQ4" s="210" t="n"/>
      <c r="ER4" s="210" t="n"/>
      <c r="ES4" s="210" t="n"/>
      <c r="ET4" s="210" t="n"/>
      <c r="EU4" s="210" t="n"/>
      <c r="EV4" s="210" t="n"/>
      <c r="EW4" s="210" t="n"/>
      <c r="EX4" s="210" t="n"/>
      <c r="EY4" s="210" t="n"/>
      <c r="EZ4" s="210" t="n"/>
      <c r="FA4" s="210" t="n"/>
      <c r="FB4" s="210" t="n"/>
      <c r="FC4" s="210" t="n"/>
      <c r="FD4" s="210" t="n"/>
      <c r="FE4" s="210" t="n"/>
      <c r="FF4" s="210" t="n"/>
      <c r="FG4" s="210" t="n"/>
      <c r="FH4" s="210" t="n"/>
      <c r="FI4" s="210" t="n"/>
      <c r="FJ4" s="210" t="n"/>
      <c r="FK4" s="210" t="n"/>
      <c r="FL4" s="210" t="n"/>
      <c r="FM4" s="210" t="n"/>
      <c r="FN4" s="210" t="n"/>
      <c r="FO4" s="210" t="n"/>
      <c r="FP4" s="210" t="n"/>
      <c r="FQ4" s="210" t="n"/>
      <c r="FR4" s="210" t="n"/>
      <c r="FS4" s="210" t="n"/>
      <c r="FT4" s="210" t="n"/>
      <c r="FU4" s="210" t="n"/>
      <c r="FV4" s="210" t="n"/>
      <c r="FW4" s="210" t="n"/>
      <c r="FX4" s="210" t="n"/>
      <c r="FY4" s="210" t="n"/>
      <c r="FZ4" s="210" t="n"/>
      <c r="GA4" s="210" t="n"/>
      <c r="GB4" s="210" t="n"/>
      <c r="GC4" s="210" t="n"/>
      <c r="GD4" s="210" t="n"/>
      <c r="GE4" s="210" t="n"/>
      <c r="GF4" s="210" t="n"/>
      <c r="GG4" s="210" t="n"/>
      <c r="GH4" s="210" t="n"/>
      <c r="GI4" s="210" t="n"/>
      <c r="GJ4" s="210" t="n"/>
    </row>
    <row r="5" ht="12" customHeight="1">
      <c r="A5" s="102" t="n"/>
      <c r="B5" s="102" t="inlineStr">
        <is>
          <t>G</t>
        </is>
      </c>
      <c r="C5" s="102" t="n">
        <v>1</v>
      </c>
      <c r="D5" s="118" t="inlineStr">
        <is>
          <t>1</t>
        </is>
      </c>
      <c r="E5" s="103" t="inlineStr">
        <is>
          <t>대두유 구매 의사결정 AI 시스템 (Nexus)</t>
        </is>
      </c>
      <c r="F5" s="103" t="n"/>
      <c r="G5" s="103" t="n"/>
      <c r="H5" s="103" t="n"/>
      <c r="I5" s="103" t="n"/>
      <c r="J5" s="103" t="n"/>
      <c r="K5" s="103" t="n"/>
      <c r="L5" s="103" t="n"/>
      <c r="M5" s="103" t="n"/>
      <c r="N5" s="103" t="n"/>
      <c r="O5" s="103" t="inlineStr">
        <is>
          <t>G1+G2+G3 모델 + 파이프라인</t>
        </is>
      </c>
      <c r="P5" s="104" t="n">
        <v>46086</v>
      </c>
      <c r="Q5" s="104" t="n">
        <v>46477</v>
      </c>
      <c r="R5" s="103" t="n"/>
      <c r="S5" s="304" t="n"/>
      <c r="T5" s="304" t="n"/>
      <c r="U5" s="304" t="n">
        <v>396</v>
      </c>
      <c r="V5" s="304" t="n"/>
      <c r="W5" s="104" t="n">
        <v>46086</v>
      </c>
      <c r="X5" s="104" t="n"/>
      <c r="Y5" s="305" t="n"/>
      <c r="Z5" s="107" t="n"/>
      <c r="AA5" s="304" t="n">
        <v>1</v>
      </c>
      <c r="AB5" s="103" t="inlineStr">
        <is>
          <t>사용자</t>
        </is>
      </c>
      <c r="AC5" s="103" t="n"/>
      <c r="AD5" s="117" t="n">
        <v>0.18</v>
      </c>
      <c r="AE5" s="208" t="n">
        <v>0.18</v>
      </c>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수집·파이프라인 구축</t>
        </is>
      </c>
      <c r="G6" s="103" t="n"/>
      <c r="H6" s="103" t="n"/>
      <c r="I6" s="103" t="n"/>
      <c r="J6" s="103" t="n"/>
      <c r="K6" s="103" t="n"/>
      <c r="L6" s="103" t="n"/>
      <c r="M6" s="103" t="n"/>
      <c r="N6" s="103" t="n"/>
      <c r="O6" s="103" t="inlineStr">
        <is>
          <t>커넥터 9종 + LLM모니터 + Trading Economics + Snowflake(대기)</t>
        </is>
      </c>
      <c r="P6" s="104" t="n">
        <v>46086</v>
      </c>
      <c r="Q6" s="104" t="n">
        <v>46174</v>
      </c>
      <c r="R6" s="103" t="n"/>
      <c r="S6" s="304" t="n"/>
      <c r="T6" s="304" t="n"/>
      <c r="U6" s="304" t="n">
        <v>87</v>
      </c>
      <c r="V6" s="304" t="n"/>
      <c r="W6" s="104" t="n">
        <v>46086</v>
      </c>
      <c r="X6" s="104" t="n"/>
      <c r="Y6" s="305" t="n"/>
      <c r="Z6" s="107" t="n"/>
      <c r="AA6" s="304" t="n">
        <v>1</v>
      </c>
      <c r="AB6" s="103" t="inlineStr">
        <is>
          <t>사용자</t>
        </is>
      </c>
      <c r="AC6" s="103" t="n"/>
      <c r="AD6" s="117" t="n">
        <v>0.95</v>
      </c>
      <c r="AE6" s="208" t="n">
        <v>0.95</v>
      </c>
      <c r="AF6" s="120" t="n"/>
      <c r="AG6" s="121" t="n"/>
      <c r="AH6" s="121">
        <f>"     " &amp; TEXT(AE6,"#0.00%") &amp; " " &amp; "프로젝트 착수 및 계획수립" &amp; " " &amp; IF(P6="","",TEXT(P6,"M/D-")) &amp; IF(Q6="","",TEXT(Q6,"M/D")) &amp; " "</f>
        <v/>
      </c>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Schema 설계 (YAML 5종)</t>
        </is>
      </c>
      <c r="H7" s="213" t="n"/>
      <c r="I7" s="103" t="n"/>
      <c r="J7" s="103" t="n"/>
      <c r="K7" s="103" t="n"/>
      <c r="L7" s="103" t="n"/>
      <c r="M7" s="103" t="n"/>
      <c r="N7" s="103" t="n"/>
      <c r="O7" s="103" t="inlineStr">
        <is>
          <t>data/schemas/*.yaml</t>
        </is>
      </c>
      <c r="P7" s="104" t="n">
        <v>46086</v>
      </c>
      <c r="Q7" s="104" t="n">
        <v>46122</v>
      </c>
      <c r="R7" s="103" t="n"/>
      <c r="S7" s="304" t="n">
        <v>2</v>
      </c>
      <c r="T7" s="304" t="n">
        <v>2</v>
      </c>
      <c r="U7" s="304" t="n">
        <v>36</v>
      </c>
      <c r="V7" s="304" t="n">
        <v>36</v>
      </c>
      <c r="W7" s="104" t="n">
        <v>46086</v>
      </c>
      <c r="X7" s="104" t="n">
        <v>46122</v>
      </c>
      <c r="Y7" s="305" t="n">
        <v>2</v>
      </c>
      <c r="Z7" s="107" t="n">
        <v>36</v>
      </c>
      <c r="AA7" s="304" t="n">
        <v>1</v>
      </c>
      <c r="AB7" s="103" t="inlineStr">
        <is>
          <t>사용자</t>
        </is>
      </c>
      <c r="AC7" s="103" t="n"/>
      <c r="AD7" s="117" t="n">
        <v>1</v>
      </c>
      <c r="AE7" s="199" t="n">
        <v>1</v>
      </c>
      <c r="AF7" s="120">
        <f>"     " &amp; TEXT(AE7,"#0.00%") &amp; " " &amp; "프로젝트,착수" &amp; "(이지은,김분석)" &amp; " " &amp; IF(P7="","",TEXT(P7,"M/D-")) &amp; IF(Q7="","",TEXT(Q7,"M/D")) &amp; " "</f>
        <v/>
      </c>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경제 지표 커넥터 (FRED·EIA·BOK)</t>
        </is>
      </c>
      <c r="H8" s="103" t="n"/>
      <c r="I8" s="103" t="n"/>
      <c r="J8" s="103" t="n"/>
      <c r="K8" s="103" t="n"/>
      <c r="L8" s="103" t="n"/>
      <c r="M8" s="103" t="n"/>
      <c r="N8" s="103" t="n"/>
      <c r="O8" s="103" t="inlineStr">
        <is>
          <t>economic_connector.py + KOSIS + customs_connector.py(관세청)</t>
        </is>
      </c>
      <c r="P8" s="104" t="n">
        <v>46086</v>
      </c>
      <c r="Q8" s="104" t="n">
        <v>46127</v>
      </c>
      <c r="R8" s="103" t="n"/>
      <c r="S8" s="304" t="n">
        <v>3</v>
      </c>
      <c r="T8" s="304" t="n">
        <v>3</v>
      </c>
      <c r="U8" s="304" t="n">
        <v>41</v>
      </c>
      <c r="V8" s="304" t="n">
        <v>41</v>
      </c>
      <c r="W8" s="104" t="n">
        <v>46086</v>
      </c>
      <c r="X8" s="104" t="n">
        <v>46141</v>
      </c>
      <c r="Y8" s="305" t="n">
        <v>3</v>
      </c>
      <c r="Z8" s="107" t="n">
        <v>55</v>
      </c>
      <c r="AA8" s="304" t="n">
        <v>1</v>
      </c>
      <c r="AB8" s="103" t="inlineStr">
        <is>
          <t>사용자</t>
        </is>
      </c>
      <c r="AC8" s="103" t="n"/>
      <c r="AD8" s="117" t="n">
        <v>1</v>
      </c>
      <c r="AE8" s="208" t="n">
        <v>1</v>
      </c>
      <c r="AF8" s="120" t="n"/>
      <c r="AG8" s="121" t="n"/>
      <c r="AH8" s="121">
        <f>"     " &amp; TEXT(AE8,"#0.00%") &amp; " " &amp; "프로젝트 범위정의" &amp; " " &amp; IF(P8="","",TEXT(P8,"M/D-")) &amp; IF(Q8="","",TEXT(Q8,"M/D")) &amp; " "</f>
        <v/>
      </c>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해운 지수 커넥터 (BDI·SCFI)</t>
        </is>
      </c>
      <c r="H9" s="103" t="n"/>
      <c r="I9" s="103" t="n"/>
      <c r="J9" s="103" t="n"/>
      <c r="K9" s="103" t="n"/>
      <c r="L9" s="103" t="n"/>
      <c r="M9" s="103" t="n"/>
      <c r="N9" s="103" t="n"/>
      <c r="O9" s="103" t="inlineStr">
        <is>
          <t>BCAA via Perplexity + BDI via Trading Economics (BDI/SCFI→BCAA교체)</t>
        </is>
      </c>
      <c r="P9" s="104" t="n">
        <v>46091</v>
      </c>
      <c r="Q9" s="104" t="n">
        <v>46127</v>
      </c>
      <c r="R9" s="103" t="n"/>
      <c r="S9" s="304" t="n">
        <v>2</v>
      </c>
      <c r="T9" s="304" t="n">
        <v>2</v>
      </c>
      <c r="U9" s="304" t="n">
        <v>36</v>
      </c>
      <c r="V9" s="304" t="n">
        <v>36</v>
      </c>
      <c r="W9" s="104" t="n">
        <v>46091</v>
      </c>
      <c r="X9" s="104" t="n">
        <v>46132</v>
      </c>
      <c r="Y9" s="305" t="n">
        <v>2</v>
      </c>
      <c r="Z9" s="107" t="n">
        <v>41</v>
      </c>
      <c r="AA9" s="304" t="n">
        <v>1</v>
      </c>
      <c r="AB9" s="103" t="inlineStr">
        <is>
          <t>사용자</t>
        </is>
      </c>
      <c r="AC9" s="103" t="n"/>
      <c r="AD9" s="117" t="n">
        <v>1</v>
      </c>
      <c r="AE9" s="199" t="n">
        <v>1</v>
      </c>
      <c r="AF9" s="120" t="n"/>
      <c r="AG9" s="121" t="n"/>
      <c r="AH9" s="121">
        <f>"  " &amp; TEXT(AE9,"#0.00%") &amp; " " &amp; "프로젝트 계획 수립" &amp; "(이지은)" &amp; " " &amp; IF(P9="","",TEXT(P9,"M/D-")) &amp; IF(Q9="","",TEXT(Q9,"M/D")) &amp; " "</f>
        <v/>
      </c>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WASDE·USDA 작황 커넥터</t>
        </is>
      </c>
      <c r="H10" s="103" t="n"/>
      <c r="I10" s="103" t="n"/>
      <c r="J10" s="103" t="n"/>
      <c r="K10" s="103" t="n"/>
      <c r="L10" s="103" t="n"/>
      <c r="M10" s="103" t="n"/>
      <c r="N10" s="103" t="n"/>
      <c r="O10" s="103" t="inlineStr">
        <is>
          <t>wasde_connector.py</t>
        </is>
      </c>
      <c r="P10" s="104" t="n">
        <v>46091</v>
      </c>
      <c r="Q10" s="104" t="n">
        <v>46127</v>
      </c>
      <c r="R10" s="103" t="n"/>
      <c r="S10" s="304" t="n">
        <v>3</v>
      </c>
      <c r="T10" s="304" t="n">
        <v>3</v>
      </c>
      <c r="U10" s="304" t="n">
        <v>36</v>
      </c>
      <c r="V10" s="304" t="n">
        <v>36</v>
      </c>
      <c r="W10" s="104" t="n">
        <v>46091</v>
      </c>
      <c r="X10" s="104" t="n">
        <v>46141</v>
      </c>
      <c r="Y10" s="305" t="n">
        <v>3</v>
      </c>
      <c r="Z10" s="107" t="n">
        <v>50</v>
      </c>
      <c r="AA10" s="304" t="n">
        <v>1</v>
      </c>
      <c r="AB10" s="103" t="inlineStr">
        <is>
          <t>사용자</t>
        </is>
      </c>
      <c r="AC10" s="103" t="n"/>
      <c r="AD10" s="117" t="n">
        <v>1</v>
      </c>
      <c r="AE10" s="214" t="n">
        <v>1</v>
      </c>
      <c r="AF10" s="120" t="n"/>
      <c r="AG10" s="121" t="n"/>
      <c r="AH10" s="121">
        <f>"        " &amp; TEXT(AE10,"#0.00%") &amp; " " &amp; "착수보고(Kick off)" &amp; "(이지은)" &amp; " " &amp; IF(P10="","",TEXT(P10,"M/D-")) &amp; IF(Q10="","",TEXT(Q10,"M/D")) &amp; " "</f>
        <v/>
      </c>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기후·ENSO 커넥터 (NOAA·OWM·ECMWF)</t>
        </is>
      </c>
      <c r="H11" s="103" t="n"/>
      <c r="I11" s="103" t="n"/>
      <c r="J11" s="103" t="n"/>
      <c r="K11" s="103" t="n"/>
      <c r="L11" s="103" t="n"/>
      <c r="M11" s="103" t="n"/>
      <c r="N11" s="103" t="n"/>
      <c r="O11" s="103" t="inlineStr">
        <is>
          <t>climate_connector.py</t>
        </is>
      </c>
      <c r="P11" s="104" t="n">
        <v>46096</v>
      </c>
      <c r="Q11" s="104" t="n">
        <v>46132</v>
      </c>
      <c r="R11" s="103" t="n"/>
      <c r="S11" s="304" t="n">
        <v>3</v>
      </c>
      <c r="T11" s="304" t="n">
        <v>3</v>
      </c>
      <c r="U11" s="304" t="n">
        <v>36</v>
      </c>
      <c r="V11" s="304" t="n">
        <v>36</v>
      </c>
      <c r="W11" s="104" t="n">
        <v>46096</v>
      </c>
      <c r="X11" s="104" t="n">
        <v>46141</v>
      </c>
      <c r="Y11" s="305" t="n">
        <v>3</v>
      </c>
      <c r="Z11" s="107" t="n">
        <v>45</v>
      </c>
      <c r="AA11" s="304" t="n">
        <v>1</v>
      </c>
      <c r="AB11" s="103" t="inlineStr">
        <is>
          <t>사용자</t>
        </is>
      </c>
      <c r="AC11" s="103" t="n"/>
      <c r="AD11" s="117" t="n">
        <v>1</v>
      </c>
      <c r="AE11" s="217" t="n">
        <v>1</v>
      </c>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지정학 리스크 커넥터 (GPR + 호르무즈)</t>
        </is>
      </c>
      <c r="H12" s="103" t="n"/>
      <c r="I12" s="103" t="n"/>
      <c r="J12" s="103" t="n"/>
      <c r="K12" s="103" t="n"/>
      <c r="L12" s="103" t="n"/>
      <c r="M12" s="103" t="n"/>
      <c r="N12" s="103" t="n"/>
      <c r="O12" s="103" t="inlineStr">
        <is>
          <t>gpr_connector.py</t>
        </is>
      </c>
      <c r="P12" s="104" t="n">
        <v>46096</v>
      </c>
      <c r="Q12" s="104" t="n">
        <v>46132</v>
      </c>
      <c r="R12" s="103" t="n"/>
      <c r="S12" s="304" t="n">
        <v>2</v>
      </c>
      <c r="T12" s="304" t="n">
        <v>2</v>
      </c>
      <c r="U12" s="304" t="n">
        <v>36</v>
      </c>
      <c r="V12" s="304" t="n">
        <v>36</v>
      </c>
      <c r="W12" s="104" t="n">
        <v>46096</v>
      </c>
      <c r="X12" s="104" t="n">
        <v>46141</v>
      </c>
      <c r="Y12" s="305" t="n">
        <v>2</v>
      </c>
      <c r="Z12" s="107" t="n">
        <v>45</v>
      </c>
      <c r="AA12" s="304" t="n">
        <v>1</v>
      </c>
      <c r="AB12" s="103" t="inlineStr">
        <is>
          <t>사용자</t>
        </is>
      </c>
      <c r="AC12" s="103" t="n"/>
      <c r="AD12" s="117" t="n">
        <v>1</v>
      </c>
      <c r="AE12" s="199" t="n">
        <v>1</v>
      </c>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원산지 생산량·농업기상 커넥터</t>
        </is>
      </c>
      <c r="H13" s="103" t="n"/>
      <c r="I13" s="103" t="n"/>
      <c r="J13" s="103" t="n"/>
      <c r="K13" s="103" t="n"/>
      <c r="L13" s="103" t="n"/>
      <c r="M13" s="103" t="n"/>
      <c r="N13" s="103" t="n"/>
      <c r="O13" s="103" t="inlineStr">
        <is>
          <t>production_connector.py + FAS ESR 수출판매량</t>
        </is>
      </c>
      <c r="P13" s="104" t="n">
        <v>46101</v>
      </c>
      <c r="Q13" s="104" t="n">
        <v>46134</v>
      </c>
      <c r="R13" s="103" t="n"/>
      <c r="S13" s="304" t="n">
        <v>3</v>
      </c>
      <c r="T13" s="304" t="n">
        <v>3</v>
      </c>
      <c r="U13" s="304" t="n">
        <v>33</v>
      </c>
      <c r="V13" s="304" t="n">
        <v>33</v>
      </c>
      <c r="W13" s="104" t="n">
        <v>46101</v>
      </c>
      <c r="X13" s="104" t="n">
        <v>46141</v>
      </c>
      <c r="Y13" s="305" t="n">
        <v>3</v>
      </c>
      <c r="Z13" s="107" t="n">
        <v>40</v>
      </c>
      <c r="AA13" s="304" t="n">
        <v>1</v>
      </c>
      <c r="AB13" s="103" t="inlineStr">
        <is>
          <t>사용자</t>
        </is>
      </c>
      <c r="AC13" s="103" t="n"/>
      <c r="AD13" s="117" t="n">
        <v>1</v>
      </c>
      <c r="AE13" s="199" t="n">
        <v>1</v>
      </c>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데이터 품질 검증 (great-expectations)</t>
        </is>
      </c>
      <c r="H14" s="103" t="n"/>
      <c r="I14" s="103" t="n"/>
      <c r="J14" s="103" t="n"/>
      <c r="K14" s="103" t="n"/>
      <c r="L14" s="103" t="n"/>
      <c r="M14" s="103" t="n"/>
      <c r="N14" s="103" t="n"/>
      <c r="O14" s="103" t="inlineStr">
        <is>
          <t>report_generator.py(이중언어PDF완료) + variable_importance_g1.py(C-03기초분석)</t>
        </is>
      </c>
      <c r="P14" s="104" t="n">
        <v>46141</v>
      </c>
      <c r="Q14" s="104" t="n">
        <v>46157</v>
      </c>
      <c r="R14" s="103" t="n"/>
      <c r="S14" s="304" t="n">
        <v>3</v>
      </c>
      <c r="T14" s="304" t="n">
        <v>3</v>
      </c>
      <c r="U14" s="304" t="n">
        <v>17</v>
      </c>
      <c r="V14" s="304" t="n">
        <v>17</v>
      </c>
      <c r="W14" s="104" t="n"/>
      <c r="X14" s="104" t="n"/>
      <c r="Y14" s="305" t="n"/>
      <c r="Z14" s="107" t="n"/>
      <c r="AA14" s="304" t="n">
        <v>1</v>
      </c>
      <c r="AB14" s="103" t="inlineStr">
        <is>
          <t>사용자</t>
        </is>
      </c>
      <c r="AC14" s="103" t="n"/>
      <c r="AD14" s="117" t="n">
        <v>0.5</v>
      </c>
      <c r="AE14" s="199" t="n">
        <v>0.5</v>
      </c>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1.1.9</t>
        </is>
      </c>
      <c r="E15" s="103" t="n"/>
      <c r="F15" s="103" t="n"/>
      <c r="G15" s="103" t="inlineStr">
        <is>
          <t>GitHub Actions 자동화 파이프라인</t>
        </is>
      </c>
      <c r="H15" s="103" t="n"/>
      <c r="I15" s="103" t="n"/>
      <c r="J15" s="103" t="n"/>
      <c r="K15" s="103" t="n"/>
      <c r="L15" s="103" t="n"/>
      <c r="M15" s="103" t="n"/>
      <c r="N15" s="103" t="n"/>
      <c r="O15" s="103" t="inlineStr">
        <is>
          <t>external_data_refresh.yml + llm_health_check.yml + llm_model_monitor.yml</t>
        </is>
      </c>
      <c r="P15" s="104" t="n">
        <v>46086</v>
      </c>
      <c r="Q15" s="104" t="n">
        <v>46134</v>
      </c>
      <c r="R15" s="103" t="n"/>
      <c r="S15" s="304" t="n">
        <v>2</v>
      </c>
      <c r="T15" s="304" t="n">
        <v>2</v>
      </c>
      <c r="U15" s="304" t="n">
        <v>48</v>
      </c>
      <c r="V15" s="304" t="n">
        <v>48</v>
      </c>
      <c r="W15" s="104" t="n">
        <v>46086</v>
      </c>
      <c r="X15" s="104" t="n">
        <v>46141</v>
      </c>
      <c r="Y15" s="305" t="n">
        <v>2</v>
      </c>
      <c r="Z15" s="107" t="n">
        <v>55</v>
      </c>
      <c r="AA15" s="304" t="n">
        <v>1</v>
      </c>
      <c r="AB15" s="103" t="inlineStr">
        <is>
          <t>사용자</t>
        </is>
      </c>
      <c r="AC15" s="103" t="n"/>
      <c r="AD15" s="117" t="n">
        <v>1</v>
      </c>
      <c r="AE15" s="199" t="n">
        <v>1</v>
      </c>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B16" t="inlineStr">
        <is>
          <t>T</t>
        </is>
      </c>
      <c r="C16" t="n">
        <v>3</v>
      </c>
      <c r="D16" t="inlineStr">
        <is>
          <t>1.1.10</t>
        </is>
      </c>
      <c r="F16" t="inlineStr">
        <is>
          <t>상품 가격·가뭄 커넥터 (CBOT·ARS/USD·USDM)</t>
        </is>
      </c>
      <c r="O16" t="inlineStr">
        <is>
          <t>commodity_connector.py + Trading Economics CPO</t>
        </is>
      </c>
      <c r="P16" s="315" t="n">
        <v>46143</v>
      </c>
      <c r="Q16" s="315" t="n">
        <v>46154</v>
      </c>
      <c r="AD16" t="n">
        <v>1</v>
      </c>
      <c r="AE16" t="n">
        <v>1</v>
      </c>
    </row>
    <row r="17" outlineLevel="2" ht="12" customHeight="1">
      <c r="B17" t="inlineStr">
        <is>
          <t>T</t>
        </is>
      </c>
      <c r="C17" t="n">
        <v>3</v>
      </c>
      <c r="D17" t="inlineStr">
        <is>
          <t>1.1.11</t>
        </is>
      </c>
      <c r="F17" t="inlineStr">
        <is>
          <t>한국 세관 수입 통계 커넥터 (관세청 HS 1507)</t>
        </is>
      </c>
      <c r="O17" t="inlineStr">
        <is>
          <t>customs_connector.py (data.go.kr + UN Comtrade fallback)</t>
        </is>
      </c>
      <c r="P17" s="315" t="n">
        <v>46150</v>
      </c>
      <c r="Q17" s="315" t="n">
        <v>46154</v>
      </c>
      <c r="AD17" t="n">
        <v>1</v>
      </c>
      <c r="AE17" t="n">
        <v>1</v>
      </c>
    </row>
    <row r="18" outlineLevel="2" ht="12" customHeight="1">
      <c r="B18" t="inlineStr">
        <is>
          <t>T</t>
        </is>
      </c>
      <c r="C18" t="n">
        <v>3</v>
      </c>
      <c r="D18" t="inlineStr">
        <is>
          <t>1.1.12</t>
        </is>
      </c>
      <c r="F18" t="inlineStr">
        <is>
          <t>Trading Economics 커넥터 (BDI·CPO 공식 API)</t>
        </is>
      </c>
      <c r="O18" t="inlineStr">
        <is>
          <t>te_connector.py (key:secret 인증)</t>
        </is>
      </c>
      <c r="P18" s="315" t="n">
        <v>46150</v>
      </c>
      <c r="Q18" s="315" t="n">
        <v>46154</v>
      </c>
      <c r="AD18" t="n">
        <v>1</v>
      </c>
      <c r="AE18" t="n">
        <v>1</v>
      </c>
    </row>
    <row r="19" outlineLevel="2" ht="12" customHeight="1">
      <c r="B19" t="inlineStr">
        <is>
          <t>T</t>
        </is>
      </c>
      <c r="C19" t="n">
        <v>3</v>
      </c>
      <c r="D19" t="inlineStr">
        <is>
          <t>1.1.13</t>
        </is>
      </c>
      <c r="F19" t="inlineStr">
        <is>
          <t>LLM 모델 모니터 (신규 모델 감지 → GitHub Issue)</t>
        </is>
      </c>
      <c r="O19" t="inlineStr">
        <is>
          <t>llm_model_monitor.yml + check_llm_models.py + llm_models.json</t>
        </is>
      </c>
      <c r="P19" s="315" t="n">
        <v>46150</v>
      </c>
      <c r="Q19" s="315" t="n">
        <v>46154</v>
      </c>
      <c r="AD19" t="n">
        <v>1</v>
      </c>
      <c r="AE19" t="n">
        <v>1</v>
      </c>
    </row>
    <row r="20" outlineLevel="2" ht="12" customHeight="1">
      <c r="B20" t="inlineStr">
        <is>
          <t>T</t>
        </is>
      </c>
      <c r="C20" t="n">
        <v>3</v>
      </c>
      <c r="D20" t="inlineStr">
        <is>
          <t>1.1.14</t>
        </is>
      </c>
      <c r="F20" t="inlineStr">
        <is>
          <t>C-03 G1 변수 중요도 분석 파이프라인 (Phase A)</t>
        </is>
      </c>
      <c r="O20" t="inlineStr">
        <is>
          <t>variable_importance_g1.py + g1-analysis GitHub Actions job</t>
        </is>
      </c>
      <c r="P20" s="315" t="n">
        <v>46150</v>
      </c>
      <c r="Q20" s="315" t="n">
        <v>46173</v>
      </c>
      <c r="AD20" t="n">
        <v>0.5</v>
      </c>
      <c r="AE20" t="n">
        <v>0.5</v>
      </c>
    </row>
    <row r="21" outlineLevel="2" ht="12" customHeight="1">
      <c r="C21" t="n">
        <v>3</v>
      </c>
      <c r="D21" t="inlineStr">
        <is>
          <t>1.1.15</t>
        </is>
      </c>
      <c r="F21" t="inlineStr">
        <is>
          <t>C-08 DQSOps 데이터 품질 게이트 (GitHub Actions)</t>
        </is>
      </c>
      <c r="O21" t="inlineStr">
        <is>
          <t>src/pipeline/validators/c08_dq_validator.py · .claude/agents/c08-data-quality-validator.md</t>
        </is>
      </c>
      <c r="P21" s="315" t="n">
        <v>46155</v>
      </c>
      <c r="Q21" s="315" t="n">
        <v>46161</v>
      </c>
      <c r="S21" t="n">
        <v>8</v>
      </c>
      <c r="T21" t="n">
        <v>8</v>
      </c>
      <c r="U21" t="n">
        <v>6</v>
      </c>
      <c r="V21" t="n">
        <v>6</v>
      </c>
      <c r="W21" s="315" t="n">
        <v>46155</v>
      </c>
      <c r="X21" s="315" t="n">
        <v>46161</v>
      </c>
      <c r="Y21" t="n">
        <v>8</v>
      </c>
      <c r="Z21" t="n">
        <v>6</v>
      </c>
      <c r="AA21" t="n">
        <v>1</v>
      </c>
      <c r="AB21" t="inlineStr">
        <is>
          <t>C-08</t>
        </is>
      </c>
      <c r="AC21" t="inlineStr">
        <is>
          <t>c08_dq_validator.py + workflow 통합</t>
        </is>
      </c>
      <c r="AD21" t="n">
        <v>1</v>
      </c>
      <c r="AE21" t="n">
        <v>1</v>
      </c>
    </row>
    <row r="22" ht="12" customHeight="1">
      <c r="C22" t="n">
        <v>3</v>
      </c>
      <c r="D22" t="inlineStr">
        <is>
          <t>1.1.16</t>
        </is>
      </c>
      <c r="F22" t="inlineStr">
        <is>
          <t>LLM 모델 모니터 헬스체크 워크플로우</t>
        </is>
      </c>
      <c r="O22" t="inlineStr">
        <is>
          <t>.github/workflows/llm_model_monitor.yml</t>
        </is>
      </c>
      <c r="P22" s="315" t="n">
        <v>46155</v>
      </c>
      <c r="Q22" s="315" t="n">
        <v>46161</v>
      </c>
      <c r="S22" t="n">
        <v>8</v>
      </c>
      <c r="T22" t="n">
        <v>8</v>
      </c>
      <c r="U22" t="n">
        <v>6</v>
      </c>
      <c r="V22" t="n">
        <v>6</v>
      </c>
      <c r="W22" s="315" t="n">
        <v>46155</v>
      </c>
      <c r="X22" s="315" t="n">
        <v>46161</v>
      </c>
      <c r="Y22" t="n">
        <v>8</v>
      </c>
      <c r="Z22" t="n">
        <v>6</v>
      </c>
      <c r="AA22" t="n">
        <v>1</v>
      </c>
      <c r="AB22" t="inlineStr">
        <is>
          <t>C-04</t>
        </is>
      </c>
      <c r="AC22" t="inlineStr">
        <is>
          <t>llm_model_monitor.yml</t>
        </is>
      </c>
      <c r="AD22" t="n">
        <v>1</v>
      </c>
      <c r="AE22" t="n">
        <v>1</v>
      </c>
    </row>
    <row r="23" outlineLevel="1" ht="12" customHeight="1">
      <c r="C23" t="n">
        <v>3</v>
      </c>
      <c r="D23" t="inlineStr">
        <is>
          <t>1.1.17</t>
        </is>
      </c>
      <c r="F23" t="inlineStr">
        <is>
          <t>Ralph Loop 자동 이슈 생성 워크플로우 (pipeline-failure-loop)</t>
        </is>
      </c>
      <c r="O23" t="inlineStr">
        <is>
          <t>.github/workflows/external_data_refresh.yml (pipeline-failure-loop job)</t>
        </is>
      </c>
      <c r="P23" s="315" t="n">
        <v>46155</v>
      </c>
      <c r="Q23" s="315" t="n">
        <v>46161</v>
      </c>
      <c r="S23" t="n">
        <v>4</v>
      </c>
      <c r="T23" t="n">
        <v>4</v>
      </c>
      <c r="U23" t="n">
        <v>4</v>
      </c>
      <c r="V23" t="n">
        <v>4</v>
      </c>
      <c r="W23" s="315" t="n">
        <v>46155</v>
      </c>
      <c r="X23" s="315" t="n">
        <v>46161</v>
      </c>
      <c r="Y23" t="n">
        <v>4</v>
      </c>
      <c r="Z23" t="n">
        <v>4</v>
      </c>
      <c r="AA23" t="n">
        <v>1</v>
      </c>
      <c r="AB23" t="inlineStr">
        <is>
          <t>C-04</t>
        </is>
      </c>
      <c r="AC23" t="inlineStr">
        <is>
          <t>pipeline-failure-loop job</t>
        </is>
      </c>
      <c r="AD23" t="n">
        <v>1</v>
      </c>
      <c r="AE23" t="n">
        <v>1</v>
      </c>
    </row>
    <row r="24" outlineLevel="2" ht="12" customHeight="1">
      <c r="C24" t="n">
        <v>3</v>
      </c>
      <c r="D24" t="inlineStr">
        <is>
          <t>1.1.18</t>
        </is>
      </c>
      <c r="F24" t="inlineStr">
        <is>
          <t>Granger 인과관계 분석 — G1 확장 (2020~작년, 연도별)</t>
        </is>
      </c>
      <c r="O24" t="inlineStr">
        <is>
          <t>src/forecasting/variable_importance_g1.py (_granger_causality_by_year)</t>
        </is>
      </c>
      <c r="P24" s="315" t="n">
        <v>46161</v>
      </c>
      <c r="Q24" s="315" t="n">
        <v>46173</v>
      </c>
      <c r="S24" t="n">
        <v>16</v>
      </c>
      <c r="T24" t="n">
        <v>16</v>
      </c>
      <c r="U24" t="n">
        <v>12</v>
      </c>
      <c r="V24" t="n">
        <v>12</v>
      </c>
      <c r="AA24" t="n">
        <v>1</v>
      </c>
      <c r="AB24" t="inlineStr">
        <is>
          <t>C-03</t>
        </is>
      </c>
      <c r="AC24" t="inlineStr">
        <is>
          <t>G1 HTML 보고서 내 연도별 Granger 테이블</t>
        </is>
      </c>
      <c r="AD24" t="n">
        <v>0.5</v>
      </c>
      <c r="AE24" t="n">
        <v>0.5</v>
      </c>
    </row>
    <row r="25" outlineLevel="2" ht="12" customHeight="1">
      <c r="C25" t="n">
        <v>3</v>
      </c>
      <c r="D25" t="inlineStr">
        <is>
          <t>1.1.19</t>
        </is>
      </c>
      <c r="F25" t="inlineStr">
        <is>
          <t>파이프라인 품질 테스트 (tests/test_pipeline_quality.py)</t>
        </is>
      </c>
      <c r="O25" t="inlineStr">
        <is>
          <t>tests/test_pipeline_quality.py · tests/conftest.py</t>
        </is>
      </c>
      <c r="P25" s="315" t="n">
        <v>46161</v>
      </c>
      <c r="Q25" s="315" t="n">
        <v>46173</v>
      </c>
      <c r="S25" t="n">
        <v>8</v>
      </c>
      <c r="T25" t="n">
        <v>8</v>
      </c>
      <c r="U25" t="n">
        <v>12</v>
      </c>
      <c r="V25" t="n">
        <v>12</v>
      </c>
      <c r="AA25" t="n">
        <v>1</v>
      </c>
      <c r="AB25" t="inlineStr">
        <is>
          <t>C-08</t>
        </is>
      </c>
      <c r="AC25" t="inlineStr">
        <is>
          <t>pytest pipeline-tests job 통합</t>
        </is>
      </c>
      <c r="AD25" t="n">
        <v>0.5</v>
      </c>
      <c r="AE25" t="n">
        <v>0.5</v>
      </c>
    </row>
    <row r="26" outlineLevel="3" ht="12" customHeight="1">
      <c r="C26" t="n">
        <v>3</v>
      </c>
      <c r="D26" t="inlineStr">
        <is>
          <t>1.1.20</t>
        </is>
      </c>
      <c r="F26" t="inlineStr">
        <is>
          <t>Open-Meteo 12개 생산지역 기후 커넥터 확장 (ERA5-Land)</t>
        </is>
      </c>
      <c r="O26" t="inlineStr">
        <is>
          <t>src/pipeline/connectors/climate_connector.py (fetch_openmeteo_regional_climate)</t>
        </is>
      </c>
      <c r="P26" s="315" t="n">
        <v>46168</v>
      </c>
      <c r="Q26" s="315" t="n">
        <v>46173</v>
      </c>
      <c r="S26" t="n">
        <v>16</v>
      </c>
      <c r="T26" t="n">
        <v>16</v>
      </c>
      <c r="U26" t="n">
        <v>5</v>
      </c>
      <c r="V26" t="n">
        <v>5</v>
      </c>
      <c r="AA26" t="n">
        <v>1</v>
      </c>
      <c r="AB26" t="inlineStr">
        <is>
          <t>C-04</t>
        </is>
      </c>
      <c r="AC26" t="inlineStr">
        <is>
          <t>climate_data_*.parquet (12 regions × 8 vars)</t>
        </is>
      </c>
      <c r="AD26" t="n">
        <v>0.5</v>
      </c>
      <c r="AE26" t="n">
        <v>0.5</v>
      </c>
    </row>
    <row r="27" outlineLevel="3" ht="12" customHeight="1">
      <c r="C27" t="n">
        <v>3</v>
      </c>
      <c r="D27" t="inlineStr">
        <is>
          <t>1.1.21</t>
        </is>
      </c>
      <c r="F27" t="inlineStr">
        <is>
          <t>BDI 히스토리 수집 범위 수정 (2020-01-01~현재)</t>
        </is>
      </c>
      <c r="O27" t="inlineStr">
        <is>
          <t>src/pipeline/connectors/shipping_connector.py (fetch_bdi_te → getMarketsHistorical)</t>
        </is>
      </c>
      <c r="P27" s="315" t="n">
        <v>46168</v>
      </c>
      <c r="Q27" s="315" t="n">
        <v>46170</v>
      </c>
      <c r="S27" t="n">
        <v>4</v>
      </c>
      <c r="T27" t="n">
        <v>4</v>
      </c>
      <c r="U27" t="n">
        <v>2</v>
      </c>
      <c r="V27" t="n">
        <v>2</v>
      </c>
      <c r="AA27" t="n">
        <v>1</v>
      </c>
      <c r="AB27" t="inlineStr">
        <is>
          <t>C-04</t>
        </is>
      </c>
      <c r="AC27" t="inlineStr">
        <is>
          <t>shipping_indices_*.parquet BDI 히스토리 포함</t>
        </is>
      </c>
      <c r="AD27" t="n">
        <v>0.5</v>
      </c>
      <c r="AE27" t="n">
        <v>0.5</v>
      </c>
    </row>
    <row r="28" outlineLevel="1" ht="12" customHeight="1">
      <c r="A28" s="102" t="n"/>
      <c r="B28" s="102" t="inlineStr">
        <is>
          <t>G</t>
        </is>
      </c>
      <c r="C28" s="102" t="n">
        <v>3</v>
      </c>
      <c r="D28" s="118" t="inlineStr">
        <is>
          <t>1.2</t>
        </is>
      </c>
      <c r="E28" s="103" t="n"/>
      <c r="F28" s="103" t="n"/>
      <c r="G28" s="103" t="inlineStr">
        <is>
          <t>Phase B: Snowflake 적재 (대기 중)</t>
        </is>
      </c>
      <c r="H28" s="103" t="n"/>
      <c r="I28" s="103" t="n"/>
      <c r="J28" s="103" t="n"/>
      <c r="K28" s="103" t="n"/>
      <c r="L28" s="103" t="n"/>
      <c r="M28" s="103" t="n"/>
      <c r="N28" s="103" t="n"/>
      <c r="O28" s="103" t="inlineStr">
        <is>
          <t>snowflake_loader.py + DDL</t>
        </is>
      </c>
      <c r="P28" s="104" t="n">
        <v>46143</v>
      </c>
      <c r="Q28" s="104" t="n">
        <v>46173</v>
      </c>
      <c r="R28" s="103" t="n"/>
      <c r="S28" s="304" t="n"/>
      <c r="T28" s="304" t="n"/>
      <c r="U28" s="304" t="n">
        <v>31</v>
      </c>
      <c r="V28" s="304" t="n"/>
      <c r="W28" s="104" t="n"/>
      <c r="X28" s="104" t="n"/>
      <c r="Y28" s="305" t="n"/>
      <c r="Z28" s="107" t="n"/>
      <c r="AA28" s="304" t="n">
        <v>1</v>
      </c>
      <c r="AB28" s="103" t="inlineStr">
        <is>
          <t>사용자</t>
        </is>
      </c>
      <c r="AC28" s="103" t="n"/>
      <c r="AD28" s="117" t="n">
        <v>0</v>
      </c>
      <c r="AE28" s="208"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f>"    " &amp; TEXT(AE16,"#0.00%") &amp; " "</f>
        <v/>
      </c>
      <c r="AY28" s="121" t="n"/>
      <c r="AZ28" s="121" t="n"/>
      <c r="BA28" s="121" t="n"/>
      <c r="BB28" s="121">
        <f>"  " &amp; "프로젝트 종료" &amp; " " &amp; IF(P16="","",TEXT(P16,"M/D-")) &amp; IF(Q16="","",TEXT(Q16,"M/D")) &amp; " "</f>
        <v/>
      </c>
      <c r="BC28" s="121" t="n"/>
    </row>
    <row r="29" outlineLevel="2" ht="12" customHeight="1">
      <c r="A29" s="102" t="n"/>
      <c r="B29" s="102" t="n"/>
      <c r="C29" s="102" t="n">
        <v>4</v>
      </c>
      <c r="D29" s="118" t="inlineStr">
        <is>
          <t>1.2.1</t>
        </is>
      </c>
      <c r="E29" s="103" t="n"/>
      <c r="F29" s="103" t="n"/>
      <c r="G29" s="103" t="n"/>
      <c r="H29" s="103" t="inlineStr">
        <is>
          <t>Snowflake Secrets 등록 및 연결 테스트</t>
        </is>
      </c>
      <c r="I29" s="103" t="n"/>
      <c r="J29" s="103" t="n"/>
      <c r="K29" s="103" t="n"/>
      <c r="L29" s="103" t="n"/>
      <c r="M29" s="103" t="n"/>
      <c r="N29" s="103" t="n"/>
      <c r="O29" s="103" t="inlineStr">
        <is>
          <t>GitHub Secrets 6종</t>
        </is>
      </c>
      <c r="P29" s="104" t="n">
        <v>46143</v>
      </c>
      <c r="Q29" s="104" t="n">
        <v>46149</v>
      </c>
      <c r="R29" s="103" t="n"/>
      <c r="S29" s="304" t="n">
        <v>1</v>
      </c>
      <c r="T29" s="304" t="n">
        <v>1</v>
      </c>
      <c r="U29" s="304" t="n">
        <v>7</v>
      </c>
      <c r="V29" s="304" t="n">
        <v>7</v>
      </c>
      <c r="W29" s="104" t="n"/>
      <c r="X29" s="104" t="n"/>
      <c r="Y29" s="305" t="n"/>
      <c r="Z29" s="107" t="n"/>
      <c r="AA29" s="304" t="n">
        <v>1</v>
      </c>
      <c r="AB29" s="103" t="inlineStr">
        <is>
          <t>사용자</t>
        </is>
      </c>
      <c r="AC29" s="103" t="n"/>
      <c r="AD29" s="117" t="n">
        <v>0</v>
      </c>
      <c r="AE29" s="199"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f>"    " &amp; TEXT(AE17,"#0.00%") &amp; " " &amp; "종료계획수립" &amp; "(김분석,이지은)" &amp; " " &amp; IF(P17="","",TEXT(P17,"M/D-")) &amp; IF(Q17="","",TEXT(Q17,"M/D")) &amp; " "</f>
        <v/>
      </c>
      <c r="AY29" s="121" t="n"/>
      <c r="AZ29" s="121" t="n"/>
      <c r="BA29" s="121" t="n"/>
      <c r="BB29" s="121" t="n"/>
      <c r="BC29" s="121" t="n"/>
    </row>
    <row r="30" outlineLevel="2" ht="12" customHeight="1">
      <c r="A30" s="102" t="n"/>
      <c r="B30" s="102" t="n"/>
      <c r="C30" s="102" t="n">
        <v>4</v>
      </c>
      <c r="D30" s="118" t="inlineStr">
        <is>
          <t>1.2.2</t>
        </is>
      </c>
      <c r="E30" s="103" t="n"/>
      <c r="F30" s="103" t="n"/>
      <c r="G30" s="103" t="n"/>
      <c r="H30" s="103" t="inlineStr">
        <is>
          <t>RAW 테이블 DDL 실행 (idempotent)</t>
        </is>
      </c>
      <c r="I30" s="103" t="n"/>
      <c r="J30" s="103" t="n"/>
      <c r="K30" s="103" t="n"/>
      <c r="L30" s="103" t="n"/>
      <c r="M30" s="103" t="n"/>
      <c r="N30" s="103" t="n"/>
      <c r="O30" s="103" t="inlineStr">
        <is>
          <t>create_raw_tables.sql</t>
        </is>
      </c>
      <c r="P30" s="104" t="n">
        <v>46149</v>
      </c>
      <c r="Q30" s="104" t="n">
        <v>46156</v>
      </c>
      <c r="R30" s="103" t="n"/>
      <c r="S30" s="304" t="n">
        <v>2</v>
      </c>
      <c r="T30" s="304" t="n">
        <v>2</v>
      </c>
      <c r="U30" s="304" t="n">
        <v>7</v>
      </c>
      <c r="V30" s="304" t="n">
        <v>7</v>
      </c>
      <c r="W30" s="104" t="n"/>
      <c r="X30" s="104" t="n"/>
      <c r="Y30" s="305" t="n"/>
      <c r="Z30" s="107" t="n"/>
      <c r="AA30" s="304" t="n">
        <v>1</v>
      </c>
      <c r="AB30" s="103" t="inlineStr">
        <is>
          <t>사용자</t>
        </is>
      </c>
      <c r="AC30" s="103" t="n"/>
      <c r="AD30" s="117" t="n">
        <v>0</v>
      </c>
      <c r="AE30" s="199" t="n">
        <v>0</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f>"    " &amp; TEXT(AE18,"#0.00%") &amp; " " &amp; "시스템 인수인계" &amp; "(홍길동)" &amp; " " &amp; IF(P18="","",TEXT(P18,"M/D-")) &amp; IF(Q18="","",TEXT(Q18,"M/D")) &amp; " "</f>
        <v/>
      </c>
      <c r="AZ30" s="121" t="n"/>
      <c r="BA30" s="121" t="n"/>
      <c r="BB30" s="121" t="n"/>
      <c r="BC30" s="121" t="n"/>
    </row>
    <row r="31" outlineLevel="3" ht="12" customHeight="1">
      <c r="A31" s="102" t="n"/>
      <c r="B31" s="102" t="n"/>
      <c r="C31" s="102" t="n">
        <v>4</v>
      </c>
      <c r="D31" s="118" t="inlineStr">
        <is>
          <t>1.2.3</t>
        </is>
      </c>
      <c r="E31" s="103" t="n"/>
      <c r="F31" s="103" t="n"/>
      <c r="G31" s="103" t="n"/>
      <c r="H31" s="103" t="inlineStr">
        <is>
          <t>snowflake_loader.py 검증 및 배포</t>
        </is>
      </c>
      <c r="I31" s="103" t="n"/>
      <c r="J31" s="103" t="n"/>
      <c r="K31" s="103" t="n"/>
      <c r="L31" s="103" t="n"/>
      <c r="M31" s="103" t="n"/>
      <c r="N31" s="103" t="n"/>
      <c r="O31" s="103" t="inlineStr">
        <is>
          <t>snowflake_loader.py</t>
        </is>
      </c>
      <c r="P31" s="104" t="n">
        <v>46156</v>
      </c>
      <c r="Q31" s="104" t="n">
        <v>46173</v>
      </c>
      <c r="R31" s="103" t="n"/>
      <c r="S31" s="304" t="n">
        <v>3</v>
      </c>
      <c r="T31" s="304" t="n">
        <v>3</v>
      </c>
      <c r="U31" s="304" t="n">
        <v>18</v>
      </c>
      <c r="V31" s="304" t="n">
        <v>18</v>
      </c>
      <c r="W31" s="104" t="n"/>
      <c r="X31" s="104" t="n"/>
      <c r="Y31" s="305" t="n"/>
      <c r="Z31" s="107" t="n"/>
      <c r="AA31" s="304" t="n">
        <v>1</v>
      </c>
      <c r="AB31" s="103" t="inlineStr">
        <is>
          <t>사용자</t>
        </is>
      </c>
      <c r="AC31" s="103" t="n"/>
      <c r="AD31" s="117" t="n">
        <v>0</v>
      </c>
      <c r="AE31" s="199" t="n">
        <v>0</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f>" " &amp; TEXT(AE19,"#0.00%") &amp; " " &amp; "종료보고" &amp; "(나고객,이고객)" &amp; " " &amp; IF(P19="","",TEXT(P19,"M/D-")) &amp; IF(Q19="","",TEXT(Q19,"M/D")) &amp; " "</f>
        <v/>
      </c>
      <c r="BC31" s="121" t="n"/>
    </row>
    <row r="32" outlineLevel="3" ht="12" customHeight="1">
      <c r="A32" s="102" t="n"/>
      <c r="B32" s="102" t="inlineStr">
        <is>
          <t>G</t>
        </is>
      </c>
      <c r="C32" s="102" t="n">
        <v>2</v>
      </c>
      <c r="D32" s="118" t="inlineStr">
        <is>
          <t>2</t>
        </is>
      </c>
      <c r="E32" s="103" t="n"/>
      <c r="F32" s="103" t="inlineStr">
        <is>
          <t>Phase 2: G1 변수 중요도·알림 시스템</t>
        </is>
      </c>
      <c r="G32" s="103" t="n"/>
      <c r="H32" s="103" t="n"/>
      <c r="I32" s="103" t="n"/>
      <c r="J32" s="103" t="n"/>
      <c r="K32" s="103" t="n"/>
      <c r="L32" s="103" t="n"/>
      <c r="M32" s="103" t="n"/>
      <c r="N32" s="103" t="n"/>
      <c r="O32" s="103" t="inlineStr">
        <is>
          <t>G1 SHAP 대시보드 + 알림 시스템</t>
        </is>
      </c>
      <c r="P32" s="104" t="n">
        <v>46174</v>
      </c>
      <c r="Q32" s="104" t="n">
        <v>46265</v>
      </c>
      <c r="R32" s="103" t="n"/>
      <c r="S32" s="304" t="n"/>
      <c r="T32" s="304" t="n"/>
      <c r="U32" s="304" t="n">
        <v>92</v>
      </c>
      <c r="V32" s="304" t="n"/>
      <c r="W32" s="104" t="n"/>
      <c r="X32" s="104" t="n"/>
      <c r="Y32" s="305" t="n"/>
      <c r="Z32" s="107" t="n"/>
      <c r="AA32" s="304" t="n">
        <v>1</v>
      </c>
      <c r="AB32" s="103" t="inlineStr">
        <is>
          <t>사용자</t>
        </is>
      </c>
      <c r="AC32" s="103" t="n"/>
      <c r="AD32" s="117" t="n">
        <v>0</v>
      </c>
      <c r="AE32" s="199" t="n">
        <v>0</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f>"     " &amp; TEXT(AE20,"#0.00%") &amp; " " &amp; "검수 및 종료" &amp; " " &amp; IF(P20="","",TEXT(P20,"M/D-")) &amp; IF(Q20="","",TEXT(Q20,"M/D")) &amp; " "</f>
        <v/>
      </c>
      <c r="BC32" s="121" t="n"/>
    </row>
    <row r="33" outlineLevel="3" ht="12" customHeight="1">
      <c r="A33" s="102" t="n"/>
      <c r="B33" s="102" t="n"/>
      <c r="C33" s="102" t="n">
        <v>3</v>
      </c>
      <c r="D33" s="118" t="inlineStr">
        <is>
          <t>2.1</t>
        </is>
      </c>
      <c r="E33" s="103" t="n"/>
      <c r="F33" s="103" t="n"/>
      <c r="G33" s="103" t="inlineStr">
        <is>
          <t>LASSO 피처 선택</t>
        </is>
      </c>
      <c r="H33" s="103" t="n"/>
      <c r="I33" s="103" t="n"/>
      <c r="J33" s="103" t="n"/>
      <c r="K33" s="103" t="n"/>
      <c r="L33" s="103" t="n"/>
      <c r="M33" s="103" t="n"/>
      <c r="N33" s="103" t="n"/>
      <c r="O33" s="103" t="inlineStr">
        <is>
          <t>src/forecasting/feature_selector.py</t>
        </is>
      </c>
      <c r="P33" s="104" t="n">
        <v>46174</v>
      </c>
      <c r="Q33" s="104" t="n">
        <v>46194</v>
      </c>
      <c r="R33" s="103" t="n"/>
      <c r="S33" s="304" t="n">
        <v>5</v>
      </c>
      <c r="T33" s="304" t="n">
        <v>5</v>
      </c>
      <c r="U33" s="304" t="n">
        <v>21</v>
      </c>
      <c r="V33" s="304" t="n">
        <v>21</v>
      </c>
      <c r="W33" s="104" t="n"/>
      <c r="X33" s="104" t="n"/>
      <c r="Y33" s="305" t="n"/>
      <c r="Z33" s="107" t="n"/>
      <c r="AA33" s="304" t="n">
        <v>1</v>
      </c>
      <c r="AB33" s="103" t="inlineStr">
        <is>
          <t>사용자</t>
        </is>
      </c>
      <c r="AC33" s="103" t="n"/>
      <c r="AD33" s="117" t="n">
        <v>0</v>
      </c>
      <c r="AE33" s="207"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2.2</t>
        </is>
      </c>
      <c r="E34" s="103" t="n"/>
      <c r="F34" s="103" t="n"/>
      <c r="G34" s="103" t="inlineStr">
        <is>
          <t>XGBoost + SHAP 중요도</t>
        </is>
      </c>
      <c r="H34" s="103" t="n"/>
      <c r="I34" s="103" t="n"/>
      <c r="J34" s="103" t="n"/>
      <c r="K34" s="103" t="n"/>
      <c r="L34" s="103" t="n"/>
      <c r="M34" s="103" t="n"/>
      <c r="N34" s="103" t="n"/>
      <c r="O34" s="103" t="inlineStr">
        <is>
          <t>src/forecasting/importance_g1.py</t>
        </is>
      </c>
      <c r="P34" s="104" t="n">
        <v>46195</v>
      </c>
      <c r="Q34" s="104" t="n">
        <v>46215</v>
      </c>
      <c r="R34" s="103" t="n"/>
      <c r="S34" s="304" t="n">
        <v>7</v>
      </c>
      <c r="T34" s="304" t="n">
        <v>7</v>
      </c>
      <c r="U34" s="304" t="n">
        <v>21</v>
      </c>
      <c r="V34" s="304" t="n">
        <v>21</v>
      </c>
      <c r="W34" s="104" t="n"/>
      <c r="X34" s="104" t="n"/>
      <c r="Y34" s="305" t="n"/>
      <c r="Z34" s="107" t="n"/>
      <c r="AA34" s="304" t="n">
        <v>1</v>
      </c>
      <c r="AB34" s="103" t="inlineStr">
        <is>
          <t>사용자</t>
        </is>
      </c>
      <c r="AC34" s="103" t="n"/>
      <c r="AD34" s="117" t="n">
        <v>0</v>
      </c>
      <c r="AE34" s="216" t="n">
        <v>0</v>
      </c>
      <c r="AF34" s="120" t="n"/>
      <c r="AG34" s="121" t="n"/>
      <c r="AH34" s="121" t="n"/>
      <c r="AI34" s="121" t="n"/>
      <c r="AJ34" s="121" t="n"/>
      <c r="AK34" s="121" t="n"/>
      <c r="AL34" s="121">
        <f>" " &amp; TEXT(AE22,"#0.00%") &amp; " "</f>
        <v/>
      </c>
      <c r="AM34" s="121" t="n"/>
      <c r="AN34" s="121" t="n"/>
      <c r="AO34" s="121" t="n"/>
      <c r="AP34" s="121" t="n"/>
      <c r="AQ34" s="121" t="n"/>
      <c r="AR34" s="121" t="n"/>
      <c r="AS34" s="121" t="n"/>
      <c r="AT34" s="121" t="n"/>
      <c r="AU34" s="121" t="n"/>
      <c r="AV34" s="121" t="n"/>
      <c r="AW34" s="121" t="n"/>
      <c r="AX34" s="121" t="n"/>
      <c r="AY34" s="121" t="n"/>
      <c r="AZ34" s="121" t="n"/>
      <c r="BA34" s="121" t="n"/>
      <c r="BB34" s="121">
        <f>"     " &amp; "시스템 개발" &amp; " " &amp; IF(P22="","",TEXT(P22,"M/D-")) &amp; IF(Q22="","",TEXT(Q22,"M/D")) &amp; " "</f>
        <v/>
      </c>
      <c r="BC34" s="121" t="n"/>
    </row>
    <row r="35" outlineLevel="1" ht="12" customHeight="1">
      <c r="A35" s="102" t="n"/>
      <c r="B35" s="102" t="n"/>
      <c r="C35" s="102" t="n">
        <v>3</v>
      </c>
      <c r="D35" s="118" t="inlineStr">
        <is>
          <t>2.3</t>
        </is>
      </c>
      <c r="E35" s="103" t="n"/>
      <c r="F35" s="103" t="n"/>
      <c r="G35" s="103" t="inlineStr">
        <is>
          <t>Granger 인과 검정</t>
        </is>
      </c>
      <c r="H35" s="103" t="n"/>
      <c r="I35" s="103" t="n"/>
      <c r="J35" s="103" t="n"/>
      <c r="K35" s="103" t="n"/>
      <c r="L35" s="103" t="n"/>
      <c r="M35" s="103" t="n"/>
      <c r="N35" s="103" t="n"/>
      <c r="O35" s="103" t="inlineStr">
        <is>
          <t>src/analytics/granger_test.py</t>
        </is>
      </c>
      <c r="P35" s="104" t="n">
        <v>46204</v>
      </c>
      <c r="Q35" s="104" t="n">
        <v>46224</v>
      </c>
      <c r="R35" s="103" t="n"/>
      <c r="S35" s="304" t="n">
        <v>5</v>
      </c>
      <c r="T35" s="304" t="n">
        <v>5</v>
      </c>
      <c r="U35" s="304" t="n">
        <v>21</v>
      </c>
      <c r="V35" s="304" t="n">
        <v>21</v>
      </c>
      <c r="W35" s="104" t="n"/>
      <c r="X35" s="104" t="n"/>
      <c r="Y35" s="305" t="n"/>
      <c r="Z35" s="107" t="n"/>
      <c r="AA35" s="304" t="n">
        <v>1</v>
      </c>
      <c r="AB35" s="103" t="inlineStr">
        <is>
          <t>사용자</t>
        </is>
      </c>
      <c r="AC35" s="103" t="n"/>
      <c r="AD35" s="117" t="n">
        <v>0</v>
      </c>
      <c r="AE35" s="225" t="n">
        <v>0</v>
      </c>
      <c r="AF35" s="120" t="n"/>
      <c r="AG35" s="121" t="n"/>
      <c r="AH35" s="121" t="n"/>
      <c r="AI35" s="121" t="n"/>
      <c r="AJ35" s="121">
        <f>" " &amp; TEXT(AE23,"#0.00%") &amp; " " &amp; "분석" &amp; " " &amp; IF(P23="","",TEXT(P23,"M/D-")) &amp; IF(Q23="","",TEXT(Q23,"M/D")) &amp; " "</f>
        <v/>
      </c>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outlineLevel="2" ht="12" customHeight="1">
      <c r="A36" s="102" t="n"/>
      <c r="B36" s="102" t="n"/>
      <c r="C36" s="102" t="n">
        <v>3</v>
      </c>
      <c r="D36" s="118" t="inlineStr">
        <is>
          <t>2.4</t>
        </is>
      </c>
      <c r="E36" s="103" t="n"/>
      <c r="F36" s="103" t="n"/>
      <c r="G36" s="103" t="inlineStr">
        <is>
          <t>알림 트리거 로직 (2σ 임계값)</t>
        </is>
      </c>
      <c r="H36" s="103" t="n"/>
      <c r="I36" s="103" t="n"/>
      <c r="J36" s="103" t="n"/>
      <c r="K36" s="103" t="n"/>
      <c r="L36" s="103" t="n"/>
      <c r="M36" s="103" t="n"/>
      <c r="N36" s="103" t="n"/>
      <c r="O36" s="103" t="inlineStr">
        <is>
          <t>src/risk/alert_engine.py</t>
        </is>
      </c>
      <c r="P36" s="104" t="n">
        <v>46217</v>
      </c>
      <c r="Q36" s="104" t="n">
        <v>46237</v>
      </c>
      <c r="R36" s="103" t="n"/>
      <c r="S36" s="304" t="n">
        <v>5</v>
      </c>
      <c r="T36" s="304" t="n">
        <v>5</v>
      </c>
      <c r="U36" s="304" t="n">
        <v>21</v>
      </c>
      <c r="V36" s="304" t="n">
        <v>21</v>
      </c>
      <c r="W36" s="104" t="n"/>
      <c r="X36" s="104" t="n"/>
      <c r="Y36" s="305" t="n"/>
      <c r="Z36" s="107" t="n"/>
      <c r="AA36" s="304" t="n">
        <v>1</v>
      </c>
      <c r="AB36" s="103" t="inlineStr">
        <is>
          <t>사용자</t>
        </is>
      </c>
      <c r="AC36" s="103" t="n"/>
      <c r="AD36" s="117" t="n">
        <v>0</v>
      </c>
      <c r="AE36" s="199" t="n">
        <v>0</v>
      </c>
      <c r="AF36" s="120" t="n"/>
      <c r="AG36" s="121" t="n"/>
      <c r="AH36" s="121" t="n"/>
      <c r="AI36" s="121" t="n"/>
      <c r="AJ36" s="121">
        <f>"  " &amp; TEXT(AE24,"#0.00%") &amp; " " &amp; "요구사항정의" &amp; " " &amp; IF(P24="","",TEXT(P24,"M/D-")) &amp; IF(Q24="","",TEXT(Q24,"M/D")) &amp; " "</f>
        <v/>
      </c>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outlineLevel="3" ht="12" customHeight="1">
      <c r="A37" s="102" t="n"/>
      <c r="B37" s="102" t="n"/>
      <c r="C37" s="102" t="n">
        <v>3</v>
      </c>
      <c r="D37" s="118" t="inlineStr">
        <is>
          <t>2.5</t>
        </is>
      </c>
      <c r="E37" s="103" t="n"/>
      <c r="F37" s="103" t="n"/>
      <c r="G37" s="103" t="inlineStr">
        <is>
          <t>G1 대시보드·리포트</t>
        </is>
      </c>
      <c r="H37" s="103" t="n"/>
      <c r="I37" s="103" t="n"/>
      <c r="J37" s="103" t="n"/>
      <c r="K37" s="103" t="n"/>
      <c r="L37" s="103" t="n"/>
      <c r="M37" s="103" t="n"/>
      <c r="N37" s="103" t="n"/>
      <c r="O37" s="103" t="inlineStr">
        <is>
          <t>reports/g1_importance_report.html</t>
        </is>
      </c>
      <c r="P37" s="104" t="n">
        <v>46237</v>
      </c>
      <c r="Q37" s="104" t="n">
        <v>46265</v>
      </c>
      <c r="R37" s="103" t="n"/>
      <c r="S37" s="304" t="n">
        <v>5</v>
      </c>
      <c r="T37" s="304" t="n">
        <v>5</v>
      </c>
      <c r="U37" s="304" t="n">
        <v>29</v>
      </c>
      <c r="V37" s="304" t="n">
        <v>29</v>
      </c>
      <c r="W37" s="104" t="n"/>
      <c r="X37" s="104" t="n"/>
      <c r="Y37" s="305" t="n"/>
      <c r="Z37" s="107" t="n"/>
      <c r="AA37" s="304" t="n">
        <v>1</v>
      </c>
      <c r="AB37" s="103" t="inlineStr">
        <is>
          <t>사용자</t>
        </is>
      </c>
      <c r="AC37" s="103" t="n"/>
      <c r="AD37" s="117" t="n">
        <v>0</v>
      </c>
      <c r="AE37" s="224" t="n">
        <v>0</v>
      </c>
      <c r="AF37" s="120" t="n"/>
      <c r="AG37" s="121" t="n"/>
      <c r="AH37" s="121" t="n"/>
      <c r="AI37" s="121" t="n"/>
      <c r="AJ37" s="121">
        <f>"" &amp; TEXT(AE25,"#0.00%") &amp; " " &amp; "논리모델구축" &amp; " " &amp; IF(P25="","",TEXT(P25,"M/D-")) &amp; IF(Q25="","",TEXT(Q25,"M/D")) &amp; " "</f>
        <v/>
      </c>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inlineStr">
        <is>
          <t>G</t>
        </is>
      </c>
      <c r="C38" s="102" t="n">
        <v>2</v>
      </c>
      <c r="D38" s="118" t="inlineStr">
        <is>
          <t>3</t>
        </is>
      </c>
      <c r="E38" s="103" t="n"/>
      <c r="F38" s="103" t="inlineStr">
        <is>
          <t>Phase 3: G2 가격 밴드 예측 (상한·하한)</t>
        </is>
      </c>
      <c r="G38" s="103" t="n"/>
      <c r="H38" s="103" t="n"/>
      <c r="I38" s="103" t="n"/>
      <c r="J38" s="103" t="n"/>
      <c r="K38" s="103" t="n"/>
      <c r="L38" s="103" t="n"/>
      <c r="M38" s="103" t="n"/>
      <c r="N38" s="103" t="n"/>
      <c r="O38" s="103" t="inlineStr">
        <is>
          <t>G2 가격 밴드 + 신뢰구간</t>
        </is>
      </c>
      <c r="P38" s="104" t="n">
        <v>46266</v>
      </c>
      <c r="Q38" s="104" t="n">
        <v>46387</v>
      </c>
      <c r="R38" s="103" t="n"/>
      <c r="S38" s="304" t="n"/>
      <c r="T38" s="304" t="n"/>
      <c r="U38" s="304" t="n">
        <v>123</v>
      </c>
      <c r="V38" s="304" t="n"/>
      <c r="W38" s="104" t="n"/>
      <c r="X38" s="104" t="n"/>
      <c r="Y38" s="305" t="n"/>
      <c r="Z38" s="107" t="n"/>
      <c r="AA38" s="304" t="n">
        <v>1</v>
      </c>
      <c r="AB38" s="103" t="inlineStr">
        <is>
          <t>사용자</t>
        </is>
      </c>
      <c r="AC38" s="103" t="n"/>
      <c r="AD38" s="117" t="n">
        <v>0</v>
      </c>
      <c r="AE38" s="199" t="n">
        <v>0</v>
      </c>
      <c r="AF38" s="120" t="n"/>
      <c r="AG38" s="121" t="n"/>
      <c r="AH38" s="121" t="n"/>
      <c r="AI38" s="121">
        <f>"     " &amp; TEXT(AE26,"#0.00%") &amp; " " &amp; "프로세스모델링" &amp; " " &amp; IF(P26="","",TEXT(P26,"M/D-")) &amp; IF(Q26="","",TEXT(Q26,"M/D")) &amp; " "</f>
        <v/>
      </c>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outlineLevel="4" ht="12" customHeight="1">
      <c r="A39" s="102" t="n"/>
      <c r="B39" s="102" t="n"/>
      <c r="C39" s="102" t="n">
        <v>3</v>
      </c>
      <c r="D39" s="118" t="inlineStr">
        <is>
          <t>3.1</t>
        </is>
      </c>
      <c r="E39" s="103" t="n"/>
      <c r="F39" s="103" t="n"/>
      <c r="G39" s="103" t="inlineStr">
        <is>
          <t>VMD 전처리 (추세·주기·노이즈 분리)</t>
        </is>
      </c>
      <c r="H39" s="103" t="n"/>
      <c r="I39" s="103" t="n"/>
      <c r="J39" s="103" t="n"/>
      <c r="K39" s="103" t="n"/>
      <c r="L39" s="103" t="n"/>
      <c r="M39" s="103" t="n"/>
      <c r="N39" s="103" t="n"/>
      <c r="O39" s="103" t="inlineStr">
        <is>
          <t>src/forecasting/vmd_preprocess.py</t>
        </is>
      </c>
      <c r="P39" s="104" t="n">
        <v>46266</v>
      </c>
      <c r="Q39" s="104" t="n">
        <v>46286</v>
      </c>
      <c r="R39" s="103" t="n"/>
      <c r="S39" s="304" t="n">
        <v>5</v>
      </c>
      <c r="T39" s="304" t="n">
        <v>5</v>
      </c>
      <c r="U39" s="304" t="n">
        <v>21</v>
      </c>
      <c r="V39" s="304" t="n">
        <v>21</v>
      </c>
      <c r="W39" s="104" t="n"/>
      <c r="X39" s="104" t="n"/>
      <c r="Y39" s="305" t="n"/>
      <c r="Z39" s="107" t="n"/>
      <c r="AA39" s="304" t="n">
        <v>1</v>
      </c>
      <c r="AB39" s="103" t="inlineStr">
        <is>
          <t>사용자</t>
        </is>
      </c>
      <c r="AC39" s="103" t="n"/>
      <c r="AD39" s="117" t="n">
        <v>0</v>
      </c>
      <c r="AE39" s="218" t="n">
        <v>0</v>
      </c>
      <c r="AF39" s="120" t="n"/>
      <c r="AG39" s="121" t="n"/>
      <c r="AH39" s="121" t="n"/>
      <c r="AI39" s="121" t="n"/>
      <c r="AJ39" s="121">
        <f>"" &amp; TEXT(AE27,"#0.00%") &amp; " " &amp; "데이터모델링" &amp; "(박설계[120%],이지은[50%])" &amp; " " &amp; IF(P27="","",TEXT(P27,"M/D-")) &amp; IF(Q27="","",TEXT(Q27,"M/D")) &amp; " "</f>
        <v/>
      </c>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outlineLevel="5" ht="12" customHeight="1">
      <c r="A40" s="102" t="n"/>
      <c r="B40" s="102" t="n"/>
      <c r="C40" s="102" t="n">
        <v>3</v>
      </c>
      <c r="D40" s="118" t="inlineStr">
        <is>
          <t>3.2</t>
        </is>
      </c>
      <c r="E40" s="103" t="n"/>
      <c r="F40" s="103" t="n"/>
      <c r="G40" s="103" t="inlineStr">
        <is>
          <t>GARCH/EGARCH 변동성 모델</t>
        </is>
      </c>
      <c r="H40" s="103" t="n"/>
      <c r="I40" s="103" t="n"/>
      <c r="J40" s="103" t="n"/>
      <c r="K40" s="103" t="n"/>
      <c r="L40" s="103" t="n"/>
      <c r="M40" s="103" t="n"/>
      <c r="N40" s="103" t="n"/>
      <c r="O40" s="103" t="inlineStr">
        <is>
          <t>src/forecasting/garch_g2.py</t>
        </is>
      </c>
      <c r="P40" s="104" t="n">
        <v>46280</v>
      </c>
      <c r="Q40" s="104" t="n">
        <v>46300</v>
      </c>
      <c r="R40" s="103" t="n"/>
      <c r="S40" s="304" t="n">
        <v>7</v>
      </c>
      <c r="T40" s="304" t="n">
        <v>7</v>
      </c>
      <c r="U40" s="304" t="n">
        <v>21</v>
      </c>
      <c r="V40" s="304" t="n">
        <v>21</v>
      </c>
      <c r="W40" s="104" t="n"/>
      <c r="X40" s="104" t="n"/>
      <c r="Y40" s="305" t="n"/>
      <c r="Z40" s="107" t="n"/>
      <c r="AA40" s="304" t="n">
        <v>1</v>
      </c>
      <c r="AB40" s="103" t="inlineStr">
        <is>
          <t>사용자</t>
        </is>
      </c>
      <c r="AC40" s="103" t="n"/>
      <c r="AD40" s="117" t="n">
        <v>0</v>
      </c>
      <c r="AE40" s="216" t="n">
        <v>0</v>
      </c>
      <c r="AF40" s="120" t="n"/>
      <c r="AG40" s="121" t="n"/>
      <c r="AH40" s="121" t="n"/>
      <c r="AI40" s="121" t="n"/>
      <c r="AJ40" s="121" t="n"/>
      <c r="AK40" s="121" t="n"/>
      <c r="AL40" s="121">
        <f>"   " &amp; TEXT(AE28,"#0.00%") &amp; " "</f>
        <v/>
      </c>
      <c r="AM40" s="121" t="n"/>
      <c r="AN40" s="121" t="n"/>
      <c r="AO40" s="121">
        <f>" " &amp; "설계" &amp; " " &amp; IF(P28="","",TEXT(P28,"M/D-")) &amp; IF(Q28="","",TEXT(Q28,"M/D")) &amp; " "</f>
        <v/>
      </c>
      <c r="AP40" s="121" t="n"/>
      <c r="AQ40" s="121" t="n"/>
      <c r="AR40" s="121" t="n"/>
      <c r="AS40" s="121" t="n"/>
      <c r="AT40" s="121" t="n"/>
      <c r="AU40" s="121" t="n"/>
      <c r="AV40" s="121" t="n"/>
      <c r="AW40" s="121" t="n"/>
      <c r="AX40" s="121" t="n"/>
      <c r="AY40" s="121" t="n"/>
      <c r="AZ40" s="121" t="n"/>
      <c r="BA40" s="121" t="n"/>
      <c r="BB40" s="121" t="n"/>
      <c r="BC40" s="121" t="n"/>
    </row>
    <row r="41" outlineLevel="5" ht="12" customHeight="1">
      <c r="A41" s="102" t="n"/>
      <c r="B41" s="102" t="n"/>
      <c r="C41" s="102" t="n">
        <v>3</v>
      </c>
      <c r="D41" s="118" t="inlineStr">
        <is>
          <t>3.3</t>
        </is>
      </c>
      <c r="E41" s="103" t="n"/>
      <c r="F41" s="103" t="n"/>
      <c r="G41" s="103" t="inlineStr">
        <is>
          <t>LSTM/TFT 시퀀스 모델</t>
        </is>
      </c>
      <c r="H41" s="103" t="n"/>
      <c r="I41" s="103" t="n"/>
      <c r="J41" s="103" t="n"/>
      <c r="K41" s="103" t="n"/>
      <c r="L41" s="103" t="n"/>
      <c r="M41" s="103" t="n"/>
      <c r="N41" s="103" t="n"/>
      <c r="O41" s="103" t="inlineStr">
        <is>
          <t>src/forecasting/lstm_g2.py</t>
        </is>
      </c>
      <c r="P41" s="104" t="n">
        <v>46296</v>
      </c>
      <c r="Q41" s="104" t="n">
        <v>46340</v>
      </c>
      <c r="R41" s="103" t="n"/>
      <c r="S41" s="304" t="n">
        <v>14</v>
      </c>
      <c r="T41" s="304" t="n">
        <v>14</v>
      </c>
      <c r="U41" s="304" t="n">
        <v>45</v>
      </c>
      <c r="V41" s="304" t="n">
        <v>45</v>
      </c>
      <c r="W41" s="104" t="n"/>
      <c r="X41" s="104" t="n"/>
      <c r="Y41" s="305" t="n"/>
      <c r="Z41" s="107" t="n"/>
      <c r="AA41" s="304" t="n">
        <v>1</v>
      </c>
      <c r="AB41" s="103" t="inlineStr">
        <is>
          <t>사용자</t>
        </is>
      </c>
      <c r="AC41" s="103" t="n"/>
      <c r="AD41" s="117" t="n">
        <v>0</v>
      </c>
      <c r="AE41" s="199" t="n">
        <v>0</v>
      </c>
      <c r="AF41" s="120" t="n"/>
      <c r="AG41" s="121" t="n"/>
      <c r="AH41" s="121" t="n"/>
      <c r="AI41" s="121" t="n"/>
      <c r="AJ41" s="121" t="n"/>
      <c r="AK41" s="121">
        <f>"  " &amp; TEXT(AE29,"#0.00%") &amp; " " &amp; "UI 설계" &amp; " " &amp; IF(P29="","",TEXT(P29,"M/D-")) &amp; IF(Q29="","",TEXT(Q29,"M/D")) &amp; " "</f>
        <v/>
      </c>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outlineLevel="5" ht="12" customHeight="1">
      <c r="A42" s="102" t="n"/>
      <c r="B42" s="102" t="n"/>
      <c r="C42" s="102" t="n">
        <v>3</v>
      </c>
      <c r="D42" s="118" t="inlineStr">
        <is>
          <t>3.4</t>
        </is>
      </c>
      <c r="E42" s="103" t="n"/>
      <c r="F42" s="103" t="n"/>
      <c r="G42" s="103" t="inlineStr">
        <is>
          <t>CQR 예측 구간 (conformal)</t>
        </is>
      </c>
      <c r="H42" s="103" t="n"/>
      <c r="I42" s="103" t="n"/>
      <c r="J42" s="103" t="n"/>
      <c r="K42" s="103" t="n"/>
      <c r="L42" s="103" t="n"/>
      <c r="M42" s="103" t="n"/>
      <c r="N42" s="103" t="n"/>
      <c r="O42" s="103" t="inlineStr">
        <is>
          <t>src/forecasting/cqr_g2.py</t>
        </is>
      </c>
      <c r="P42" s="104" t="n">
        <v>46327</v>
      </c>
      <c r="Q42" s="104" t="n">
        <v>46347</v>
      </c>
      <c r="R42" s="103" t="n"/>
      <c r="S42" s="304" t="n">
        <v>7</v>
      </c>
      <c r="T42" s="304" t="n">
        <v>7</v>
      </c>
      <c r="U42" s="304" t="n">
        <v>21</v>
      </c>
      <c r="V42" s="304" t="n">
        <v>21</v>
      </c>
      <c r="W42" s="104" t="n"/>
      <c r="X42" s="104" t="n"/>
      <c r="Y42" s="305" t="n"/>
      <c r="Z42" s="107" t="n"/>
      <c r="AA42" s="304" t="n">
        <v>1</v>
      </c>
      <c r="AB42" s="103" t="inlineStr">
        <is>
          <t>사용자</t>
        </is>
      </c>
      <c r="AC42" s="103" t="n"/>
      <c r="AD42" s="117" t="n">
        <v>0</v>
      </c>
      <c r="AE42" s="216" t="n">
        <v>0</v>
      </c>
      <c r="AF42" s="120" t="n"/>
      <c r="AG42" s="121" t="n"/>
      <c r="AH42" s="121" t="n"/>
      <c r="AI42" s="121" t="n"/>
      <c r="AJ42" s="121" t="n"/>
      <c r="AK42" s="121">
        <f>"   " &amp; TEXT(AE30,"#0.00%") &amp; " "</f>
        <v/>
      </c>
      <c r="AL42" s="121" t="n"/>
      <c r="AM42" s="121" t="n"/>
      <c r="AN42" s="121">
        <f>"  " &amp; "시스템 설계" &amp; " " &amp; IF(P30="","",TEXT(P30,"M/D-")) &amp; IF(Q30="","",TEXT(Q30,"M/D")) &amp; " "</f>
        <v/>
      </c>
      <c r="AO42" s="121" t="n"/>
      <c r="AP42" s="121" t="n"/>
      <c r="AQ42" s="121" t="n"/>
      <c r="AR42" s="121" t="n"/>
      <c r="AS42" s="121" t="n"/>
      <c r="AT42" s="121" t="n"/>
      <c r="AU42" s="121" t="n"/>
      <c r="AV42" s="121" t="n"/>
      <c r="AW42" s="121" t="n"/>
      <c r="AX42" s="121" t="n"/>
      <c r="AY42" s="121" t="n"/>
      <c r="AZ42" s="121" t="n"/>
      <c r="BA42" s="121" t="n"/>
      <c r="BB42" s="121" t="n"/>
      <c r="BC42" s="121" t="n"/>
    </row>
    <row r="43" outlineLevel="4" ht="12" customHeight="1">
      <c r="A43" s="102" t="n"/>
      <c r="B43" s="102" t="n"/>
      <c r="C43" s="102" t="n">
        <v>3</v>
      </c>
      <c r="D43" s="118" t="inlineStr">
        <is>
          <t>3.5</t>
        </is>
      </c>
      <c r="E43" s="103" t="n"/>
      <c r="F43" s="103" t="n"/>
      <c r="G43" s="103" t="inlineStr">
        <is>
          <t>FinBERT 감성 레이어</t>
        </is>
      </c>
      <c r="H43" s="103" t="n"/>
      <c r="I43" s="103" t="n"/>
      <c r="J43" s="103" t="n"/>
      <c r="K43" s="103" t="n"/>
      <c r="L43" s="103" t="n"/>
      <c r="M43" s="103" t="n"/>
      <c r="N43" s="103" t="n"/>
      <c r="O43" s="103" t="inlineStr">
        <is>
          <t>src/forecasting/sentiment_g2.py</t>
        </is>
      </c>
      <c r="P43" s="104" t="n">
        <v>46340</v>
      </c>
      <c r="Q43" s="104" t="n">
        <v>46360</v>
      </c>
      <c r="R43" s="103" t="n"/>
      <c r="S43" s="304" t="n">
        <v>5</v>
      </c>
      <c r="T43" s="304" t="n">
        <v>5</v>
      </c>
      <c r="U43" s="304" t="n">
        <v>21</v>
      </c>
      <c r="V43" s="304" t="n">
        <v>21</v>
      </c>
      <c r="W43" s="104" t="n"/>
      <c r="X43" s="104" t="n"/>
      <c r="Y43" s="305" t="n"/>
      <c r="Z43" s="107" t="n"/>
      <c r="AA43" s="304" t="n">
        <v>1</v>
      </c>
      <c r="AB43" s="103" t="inlineStr">
        <is>
          <t>사용자</t>
        </is>
      </c>
      <c r="AC43" s="103" t="n"/>
      <c r="AD43" s="117" t="n">
        <v>0</v>
      </c>
      <c r="AE43" s="199" t="n">
        <v>0</v>
      </c>
      <c r="AF43" s="120" t="n"/>
      <c r="AG43" s="121" t="n"/>
      <c r="AH43" s="121" t="n"/>
      <c r="AI43" s="121" t="n"/>
      <c r="AJ43" s="121">
        <f>"  " &amp; TEXT(AE31,"#0.00%") &amp; " " &amp; "Architecture설계" &amp; " " &amp; IF(P31="","",TEXT(P31,"M/D-")) &amp; IF(Q31="","",TEXT(Q31,"M/D")) &amp; " "</f>
        <v/>
      </c>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outlineLevel="4" ht="12" customHeight="1">
      <c r="A44" s="102" t="n"/>
      <c r="B44" s="102" t="n"/>
      <c r="C44" s="102" t="n">
        <v>3</v>
      </c>
      <c r="D44" s="118" t="inlineStr">
        <is>
          <t>3.6</t>
        </is>
      </c>
      <c r="E44" s="103" t="n"/>
      <c r="F44" s="103" t="n"/>
      <c r="G44" s="103" t="inlineStr">
        <is>
          <t>Walk-forward 검증 · 기준선 비교</t>
        </is>
      </c>
      <c r="H44" s="103" t="n"/>
      <c r="I44" s="103" t="n"/>
      <c r="J44" s="103" t="n"/>
      <c r="K44" s="103" t="n"/>
      <c r="L44" s="103" t="n"/>
      <c r="M44" s="103" t="n"/>
      <c r="N44" s="103" t="n"/>
      <c r="O44" s="103" t="inlineStr">
        <is>
          <t>reports/g2_validation_report.md</t>
        </is>
      </c>
      <c r="P44" s="104" t="n">
        <v>46357</v>
      </c>
      <c r="Q44" s="104" t="n">
        <v>46387</v>
      </c>
      <c r="R44" s="103" t="n"/>
      <c r="S44" s="304" t="n">
        <v>7</v>
      </c>
      <c r="T44" s="304" t="n">
        <v>7</v>
      </c>
      <c r="U44" s="304" t="n">
        <v>31</v>
      </c>
      <c r="V44" s="304" t="n">
        <v>31</v>
      </c>
      <c r="W44" s="104" t="n"/>
      <c r="X44" s="104" t="n"/>
      <c r="Y44" s="305" t="n"/>
      <c r="Z44" s="107" t="n"/>
      <c r="AA44" s="304" t="n">
        <v>1</v>
      </c>
      <c r="AB44" s="103" t="inlineStr">
        <is>
          <t>사용자</t>
        </is>
      </c>
      <c r="AC44" s="103" t="n"/>
      <c r="AD44" s="117" t="n">
        <v>0</v>
      </c>
      <c r="AE44" s="215" t="n">
        <v>0</v>
      </c>
      <c r="AF44" s="120" t="n"/>
      <c r="AG44" s="121" t="n"/>
      <c r="AH44" s="121" t="n"/>
      <c r="AI44" s="121" t="n"/>
      <c r="AJ44" s="121" t="n"/>
      <c r="AK44" s="121" t="n"/>
      <c r="AL44" s="121">
        <f>"  " &amp; TEXT(AE32,"#0.00%") &amp; " " &amp; "데이터베이스설계" &amp; " " &amp; IF(P32="","",TEXT(P32,"M/D-")) &amp; IF(Q32="","",TEXT(Q32,"M/D")) &amp; " "</f>
        <v/>
      </c>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outlineLevel="4" ht="12" customHeight="1">
      <c r="A45" s="102" t="n"/>
      <c r="B45" s="102" t="inlineStr">
        <is>
          <t>G</t>
        </is>
      </c>
      <c r="C45" s="102" t="n">
        <v>2</v>
      </c>
      <c r="D45" s="118" t="inlineStr">
        <is>
          <t>4</t>
        </is>
      </c>
      <c r="E45" s="103" t="n"/>
      <c r="F45" s="103" t="inlineStr">
        <is>
          <t>Phase 4: G3 Bear·Bull·Hold 레짐 신호</t>
        </is>
      </c>
      <c r="G45" s="103" t="n"/>
      <c r="H45" s="103" t="n"/>
      <c r="I45" s="103" t="n"/>
      <c r="J45" s="103" t="n"/>
      <c r="K45" s="103" t="n"/>
      <c r="L45" s="103" t="n"/>
      <c r="M45" s="103" t="n"/>
      <c r="N45" s="103" t="n"/>
      <c r="O45" s="103" t="inlineStr">
        <is>
          <t>G3 구매 신호 + HITL 게이트</t>
        </is>
      </c>
      <c r="P45" s="104" t="n">
        <v>46388</v>
      </c>
      <c r="Q45" s="104" t="n">
        <v>46477</v>
      </c>
      <c r="R45" s="103" t="n"/>
      <c r="S45" s="304" t="n"/>
      <c r="T45" s="304" t="n"/>
      <c r="U45" s="304" t="n">
        <v>90</v>
      </c>
      <c r="V45" s="304" t="n"/>
      <c r="W45" s="104" t="n"/>
      <c r="X45" s="104" t="n"/>
      <c r="Y45" s="305" t="n"/>
      <c r="Z45" s="107" t="n"/>
      <c r="AA45" s="304" t="n">
        <v>1</v>
      </c>
      <c r="AB45" s="103" t="inlineStr">
        <is>
          <t>사용자</t>
        </is>
      </c>
      <c r="AC45" s="103" t="n"/>
      <c r="AD45" s="117" t="n">
        <v>0</v>
      </c>
      <c r="AE45" s="218" t="n">
        <v>0</v>
      </c>
      <c r="AF45" s="120" t="n"/>
      <c r="AG45" s="121" t="n"/>
      <c r="AH45" s="121" t="n"/>
      <c r="AI45" s="121" t="n"/>
      <c r="AJ45" s="121" t="n"/>
      <c r="AK45" s="121">
        <f>"" &amp; TEXT(AE33,"#0.00%") &amp; " "</f>
        <v/>
      </c>
      <c r="AL45" s="121" t="n"/>
      <c r="AM45" s="121" t="n"/>
      <c r="AN45" s="121">
        <f>"  " &amp; "프로그램설계" &amp; " " &amp; IF(P33="","",TEXT(P33,"M/D-")) &amp; IF(Q33="","",TEXT(Q33,"M/D")) &amp; " "</f>
        <v/>
      </c>
      <c r="AO45" s="121" t="n"/>
      <c r="AP45" s="121" t="n"/>
      <c r="AQ45" s="121" t="n"/>
      <c r="AR45" s="121" t="n"/>
      <c r="AS45" s="121" t="n"/>
      <c r="AT45" s="121" t="n"/>
      <c r="AU45" s="121" t="n"/>
      <c r="AV45" s="121" t="n"/>
      <c r="AW45" s="121" t="n"/>
      <c r="AX45" s="121" t="n"/>
      <c r="AY45" s="121" t="n"/>
      <c r="AZ45" s="121" t="n"/>
      <c r="BA45" s="121" t="n"/>
      <c r="BB45" s="121" t="n"/>
      <c r="BC45" s="121" t="n"/>
    </row>
    <row r="46" outlineLevel="2" ht="12" customHeight="1">
      <c r="A46" s="102" t="n"/>
      <c r="B46" s="102" t="n"/>
      <c r="C46" s="102" t="n">
        <v>3</v>
      </c>
      <c r="D46" s="118" t="inlineStr">
        <is>
          <t>4.1</t>
        </is>
      </c>
      <c r="E46" s="103" t="n"/>
      <c r="F46" s="103" t="n"/>
      <c r="G46" s="103" t="inlineStr">
        <is>
          <t>Markov 레짐 전환 모델</t>
        </is>
      </c>
      <c r="H46" s="103" t="n"/>
      <c r="I46" s="103" t="n"/>
      <c r="J46" s="103" t="n"/>
      <c r="K46" s="103" t="n"/>
      <c r="L46" s="103" t="n"/>
      <c r="M46" s="103" t="n"/>
      <c r="N46" s="103" t="n"/>
      <c r="O46" s="103" t="inlineStr">
        <is>
          <t>src/risk/regime_g3.py</t>
        </is>
      </c>
      <c r="P46" s="104" t="n">
        <v>46388</v>
      </c>
      <c r="Q46" s="104" t="n">
        <v>46418</v>
      </c>
      <c r="R46" s="103" t="n"/>
      <c r="S46" s="304" t="n">
        <v>10</v>
      </c>
      <c r="T46" s="304" t="n">
        <v>10</v>
      </c>
      <c r="U46" s="304" t="n">
        <v>31</v>
      </c>
      <c r="V46" s="304" t="n">
        <v>31</v>
      </c>
      <c r="W46" s="104" t="n"/>
      <c r="X46" s="104" t="n"/>
      <c r="Y46" s="305" t="n"/>
      <c r="Z46" s="107" t="n"/>
      <c r="AA46" s="304" t="n">
        <v>1</v>
      </c>
      <c r="AB46" s="103" t="inlineStr">
        <is>
          <t>사용자</t>
        </is>
      </c>
      <c r="AC46" s="103" t="n"/>
      <c r="AD46" s="117" t="n">
        <v>0</v>
      </c>
      <c r="AE46" s="199" t="n">
        <v>0</v>
      </c>
      <c r="AF46" s="120" t="n"/>
      <c r="AG46" s="121" t="n"/>
      <c r="AH46" s="121" t="n"/>
      <c r="AI46" s="121" t="n"/>
      <c r="AJ46" s="121" t="n"/>
      <c r="AK46" s="121" t="n"/>
      <c r="AL46" s="121" t="n"/>
      <c r="AM46" s="121" t="n"/>
      <c r="AN46" s="121">
        <f>"    " &amp; TEXT(AE34,"#0.00%") &amp; " " &amp; "테스트 설계" &amp; " " &amp; IF(P34="","",TEXT(P34,"M/D-")) &amp; IF(Q34="","",TEXT(Q34,"M/D")) &amp; " "</f>
        <v/>
      </c>
      <c r="AO46" s="121" t="n"/>
      <c r="AP46" s="121" t="n"/>
      <c r="AQ46" s="121" t="n"/>
      <c r="AR46" s="121" t="n"/>
      <c r="AS46" s="121" t="n"/>
      <c r="AT46" s="121" t="n"/>
      <c r="AU46" s="121" t="n"/>
      <c r="AV46" s="121" t="n"/>
      <c r="AW46" s="121" t="n"/>
      <c r="AX46" s="121" t="n"/>
      <c r="AY46" s="121" t="n"/>
      <c r="AZ46" s="121" t="n"/>
      <c r="BA46" s="121" t="n"/>
      <c r="BB46" s="121" t="n"/>
      <c r="BC46" s="121" t="n"/>
    </row>
    <row r="47" outlineLevel="3" ht="12" customHeight="1">
      <c r="A47" s="102" t="n"/>
      <c r="B47" s="102" t="n"/>
      <c r="C47" s="102" t="n">
        <v>3</v>
      </c>
      <c r="D47" s="118" t="inlineStr">
        <is>
          <t>4.2</t>
        </is>
      </c>
      <c r="E47" s="103" t="n"/>
      <c r="F47" s="103" t="n"/>
      <c r="G47" s="103" t="inlineStr">
        <is>
          <t>Monte Carlo P&amp;L 시뮬레이션</t>
        </is>
      </c>
      <c r="H47" s="103" t="n"/>
      <c r="I47" s="103" t="n"/>
      <c r="J47" s="103" t="n"/>
      <c r="K47" s="103" t="n"/>
      <c r="L47" s="103" t="n"/>
      <c r="M47" s="103" t="n"/>
      <c r="N47" s="103" t="n"/>
      <c r="O47" s="103" t="inlineStr">
        <is>
          <t>src/risk/monte_carlo_g3.py</t>
        </is>
      </c>
      <c r="P47" s="104" t="n">
        <v>46402</v>
      </c>
      <c r="Q47" s="104" t="n">
        <v>46432</v>
      </c>
      <c r="R47" s="103" t="n"/>
      <c r="S47" s="304" t="n">
        <v>10</v>
      </c>
      <c r="T47" s="304" t="n">
        <v>10</v>
      </c>
      <c r="U47" s="304" t="n">
        <v>31</v>
      </c>
      <c r="V47" s="304" t="n">
        <v>31</v>
      </c>
      <c r="W47" s="104" t="n"/>
      <c r="X47" s="104" t="n"/>
      <c r="Y47" s="305" t="n"/>
      <c r="Z47" s="107" t="n"/>
      <c r="AA47" s="304" t="n">
        <v>1</v>
      </c>
      <c r="AB47" s="103" t="inlineStr">
        <is>
          <t>사용자</t>
        </is>
      </c>
      <c r="AC47" s="103" t="n"/>
      <c r="AD47" s="117" t="n">
        <v>0</v>
      </c>
      <c r="AE47" s="216" t="n">
        <v>0</v>
      </c>
      <c r="AF47" s="120" t="n"/>
      <c r="AG47" s="121" t="n"/>
      <c r="AH47" s="121" t="n"/>
      <c r="AI47" s="121" t="n"/>
      <c r="AJ47" s="121" t="n"/>
      <c r="AK47" s="121" t="n"/>
      <c r="AL47" s="121" t="n"/>
      <c r="AM47" s="121" t="n"/>
      <c r="AN47" s="121" t="n"/>
      <c r="AO47" s="121">
        <f>"    " &amp; TEXT(AE35,"#0.00%") &amp; " "</f>
        <v/>
      </c>
      <c r="AP47" s="121" t="n"/>
      <c r="AQ47" s="121" t="n"/>
      <c r="AR47" s="121" t="n"/>
      <c r="AS47" s="121" t="n"/>
      <c r="AT47" s="121" t="n"/>
      <c r="AU47" s="121" t="n"/>
      <c r="AV47" s="121" t="n"/>
      <c r="AW47" s="121" t="n"/>
      <c r="AX47" s="121" t="n"/>
      <c r="AY47" s="121">
        <f>"  " &amp; "개발" &amp; " " &amp; IF(P35="","",TEXT(P35,"M/D-")) &amp; IF(Q35="","",TEXT(Q35,"M/D")) &amp; " "</f>
        <v/>
      </c>
      <c r="AZ47" s="121" t="n"/>
      <c r="BA47" s="121" t="n"/>
      <c r="BB47" s="121" t="n"/>
      <c r="BC47" s="121" t="n"/>
    </row>
    <row r="48" outlineLevel="3" ht="12" customHeight="1">
      <c r="A48" s="102" t="n"/>
      <c r="B48" s="102" t="n"/>
      <c r="C48" s="102" t="n">
        <v>3</v>
      </c>
      <c r="D48" s="118" t="inlineStr">
        <is>
          <t>4.3</t>
        </is>
      </c>
      <c r="E48" s="103" t="n"/>
      <c r="F48" s="103" t="n"/>
      <c r="G48" s="103" t="inlineStr">
        <is>
          <t>HITL 구매 의사결정 게이트</t>
        </is>
      </c>
      <c r="H48" s="103" t="n"/>
      <c r="I48" s="103" t="n"/>
      <c r="J48" s="103" t="n"/>
      <c r="K48" s="103" t="n"/>
      <c r="L48" s="103" t="n"/>
      <c r="M48" s="103" t="n"/>
      <c r="N48" s="103" t="n"/>
      <c r="O48" s="103" t="inlineStr">
        <is>
          <t>src/risk/procurement_gate.py</t>
        </is>
      </c>
      <c r="P48" s="104" t="n">
        <v>46419</v>
      </c>
      <c r="Q48" s="104" t="n">
        <v>46446</v>
      </c>
      <c r="R48" s="103" t="n"/>
      <c r="S48" s="304" t="n">
        <v>7</v>
      </c>
      <c r="T48" s="304" t="n">
        <v>7</v>
      </c>
      <c r="U48" s="304" t="n">
        <v>28</v>
      </c>
      <c r="V48" s="304" t="n">
        <v>28</v>
      </c>
      <c r="W48" s="104" t="n"/>
      <c r="X48" s="104" t="n"/>
      <c r="Y48" s="305" t="n"/>
      <c r="Z48" s="107" t="n"/>
      <c r="AA48" s="304" t="n">
        <v>1</v>
      </c>
      <c r="AB48" s="103" t="inlineStr">
        <is>
          <t>사용자</t>
        </is>
      </c>
      <c r="AC48" s="103" t="n"/>
      <c r="AD48" s="117" t="n">
        <v>0</v>
      </c>
      <c r="AE48" s="216" t="n">
        <v>0</v>
      </c>
      <c r="AF48" s="120" t="n"/>
      <c r="AG48" s="121" t="n"/>
      <c r="AH48" s="121" t="n"/>
      <c r="AI48" s="121" t="n"/>
      <c r="AJ48" s="121" t="n"/>
      <c r="AK48" s="121" t="n"/>
      <c r="AL48" s="121" t="n"/>
      <c r="AM48" s="121" t="n"/>
      <c r="AN48" s="121" t="n"/>
      <c r="AO48" s="121">
        <f>"    " &amp; TEXT(AE36,"#0.00%") &amp; " "</f>
        <v/>
      </c>
      <c r="AP48" s="121" t="n"/>
      <c r="AQ48" s="121" t="n"/>
      <c r="AR48" s="121" t="n"/>
      <c r="AS48" s="121" t="n"/>
      <c r="AT48" s="121" t="n"/>
      <c r="AU48" s="121" t="n"/>
      <c r="AV48" s="121" t="n"/>
      <c r="AW48" s="121">
        <f>"  " &amp; "프로그램 개발" &amp; " " &amp; IF(P36="","",TEXT(P36,"M/D-")) &amp; IF(Q36="","",TEXT(Q36,"M/D")) &amp; " "</f>
        <v/>
      </c>
      <c r="AX48" s="121" t="n"/>
      <c r="AY48" s="121" t="n"/>
      <c r="AZ48" s="121" t="n"/>
      <c r="BA48" s="121" t="n"/>
      <c r="BB48" s="121" t="n"/>
      <c r="BC48" s="121" t="n"/>
    </row>
    <row r="49" outlineLevel="1" ht="12" customHeight="1">
      <c r="A49" s="102" t="n"/>
      <c r="B49" s="102" t="n"/>
      <c r="C49" s="102" t="n">
        <v>3</v>
      </c>
      <c r="D49" s="118" t="inlineStr">
        <is>
          <t>4.4</t>
        </is>
      </c>
      <c r="E49" s="103" t="n"/>
      <c r="F49" s="103" t="n"/>
      <c r="G49" s="103" t="inlineStr">
        <is>
          <t>G3 한국어 리포트·알림</t>
        </is>
      </c>
      <c r="H49" s="103" t="n"/>
      <c r="I49" s="103" t="n"/>
      <c r="J49" s="103" t="n"/>
      <c r="K49" s="103" t="n"/>
      <c r="L49" s="103" t="n"/>
      <c r="M49" s="103" t="n"/>
      <c r="N49" s="103" t="n"/>
      <c r="O49" s="103" t="inlineStr">
        <is>
          <t>reports/g3_procurement_signal.md</t>
        </is>
      </c>
      <c r="P49" s="104" t="n">
        <v>46433</v>
      </c>
      <c r="Q49" s="104" t="n">
        <v>46477</v>
      </c>
      <c r="R49" s="103" t="n"/>
      <c r="S49" s="304" t="n">
        <v>5</v>
      </c>
      <c r="T49" s="304" t="n">
        <v>5</v>
      </c>
      <c r="U49" s="304" t="n">
        <v>44</v>
      </c>
      <c r="V49" s="304" t="n">
        <v>44</v>
      </c>
      <c r="W49" s="104" t="n"/>
      <c r="X49" s="104" t="n"/>
      <c r="Y49" s="305" t="n"/>
      <c r="Z49" s="107" t="n"/>
      <c r="AA49" s="304" t="n">
        <v>1</v>
      </c>
      <c r="AB49" s="103" t="inlineStr">
        <is>
          <t>사용자</t>
        </is>
      </c>
      <c r="AC49" s="103" t="n"/>
      <c r="AD49" s="117" t="n">
        <v>0</v>
      </c>
      <c r="AE49" s="199" t="n">
        <v>0</v>
      </c>
      <c r="AF49" s="120" t="n"/>
      <c r="AG49" s="121" t="n"/>
      <c r="AH49" s="121" t="n"/>
      <c r="AI49" s="121" t="n"/>
      <c r="AJ49" s="121" t="n"/>
      <c r="AK49" s="121" t="n"/>
      <c r="AL49" s="121" t="n"/>
      <c r="AM49" s="121" t="n"/>
      <c r="AN49" s="121" t="n"/>
      <c r="AO49" s="121">
        <f>" " &amp; TEXT(AE37,"#0.00%") &amp; " " &amp; "단위테스트시나리오작성" &amp; " " &amp; IF(P37="","",TEXT(P37,"M/D-")) &amp; IF(Q37="","",TEXT(Q37,"M/D")) &amp; " "</f>
        <v/>
      </c>
      <c r="AP49" s="121" t="n"/>
      <c r="AQ49" s="121" t="n"/>
      <c r="AR49" s="121" t="n"/>
      <c r="AS49" s="121" t="n"/>
      <c r="AT49" s="121" t="n"/>
      <c r="AU49" s="121" t="n"/>
      <c r="AV49" s="121" t="n"/>
      <c r="AW49" s="121" t="n"/>
      <c r="AX49" s="121" t="n"/>
      <c r="AY49" s="121" t="n"/>
      <c r="AZ49" s="121" t="n"/>
      <c r="BA49" s="121" t="n"/>
      <c r="BB49" s="121" t="n"/>
      <c r="BC49" s="121" t="n"/>
    </row>
    <row r="50" outlineLevel="2" ht="12" customHeight="1">
      <c r="A50" s="102" t="n"/>
      <c r="B50" s="102" t="inlineStr">
        <is>
          <t>G</t>
        </is>
      </c>
      <c r="C50" s="102" t="n">
        <v>2</v>
      </c>
      <c r="D50" s="118" t="inlineStr">
        <is>
          <t>5</t>
        </is>
      </c>
      <c r="E50" s="103" t="n"/>
      <c r="F50" s="103" t="inlineStr">
        <is>
          <t>Phase 5: MLOps·운영·유지보수</t>
        </is>
      </c>
      <c r="G50" s="103" t="n"/>
      <c r="H50" s="103" t="n"/>
      <c r="I50" s="103" t="n"/>
      <c r="J50" s="103" t="n"/>
      <c r="K50" s="103" t="n"/>
      <c r="L50" s="103" t="n"/>
      <c r="M50" s="103" t="n"/>
      <c r="N50" s="103" t="n"/>
      <c r="O50" s="103" t="inlineStr">
        <is>
          <t>MLflow 레지스트리 + 모니터링</t>
        </is>
      </c>
      <c r="P50" s="104" t="n">
        <v>46447</v>
      </c>
      <c r="Q50" s="104" t="n">
        <v>46568</v>
      </c>
      <c r="R50" s="103" t="n"/>
      <c r="S50" s="304" t="n"/>
      <c r="T50" s="304" t="n"/>
      <c r="U50" s="304" t="n">
        <v>122</v>
      </c>
      <c r="V50" s="304" t="n"/>
      <c r="W50" s="104" t="n"/>
      <c r="X50" s="104" t="n"/>
      <c r="Y50" s="305" t="n"/>
      <c r="Z50" s="107" t="n"/>
      <c r="AA50" s="304" t="n">
        <v>1</v>
      </c>
      <c r="AB50" s="103" t="inlineStr">
        <is>
          <t>사용자</t>
        </is>
      </c>
      <c r="AC50" s="103" t="n"/>
      <c r="AD50" s="117" t="n">
        <v>0</v>
      </c>
      <c r="AE50" s="216" t="n">
        <v>0</v>
      </c>
      <c r="AF50" s="120" t="n"/>
      <c r="AG50" s="121" t="n"/>
      <c r="AH50" s="121" t="n"/>
      <c r="AI50" s="121" t="n"/>
      <c r="AJ50" s="121" t="n"/>
      <c r="AK50" s="121" t="n"/>
      <c r="AL50" s="121" t="n"/>
      <c r="AM50" s="121" t="n"/>
      <c r="AN50" s="121" t="n"/>
      <c r="AO50" s="121">
        <f>"    " &amp; TEXT(AE38,"#0.00%") &amp; " "</f>
        <v/>
      </c>
      <c r="AP50" s="121" t="n"/>
      <c r="AQ50" s="121" t="n"/>
      <c r="AR50" s="121" t="n"/>
      <c r="AS50" s="121" t="n"/>
      <c r="AT50" s="121" t="n"/>
      <c r="AU50" s="121" t="n"/>
      <c r="AV50" s="121" t="n"/>
      <c r="AW50" s="121">
        <f>"  " &amp; "프로그램코딩 및 단위테스트" &amp; " " &amp; IF(P38="","",TEXT(P38,"M/D-")) &amp; IF(Q38="","",TEXT(Q38,"M/D")) &amp; " "</f>
        <v/>
      </c>
      <c r="AX50" s="121" t="n"/>
      <c r="AY50" s="121" t="n"/>
      <c r="AZ50" s="121" t="n"/>
      <c r="BA50" s="121" t="n"/>
      <c r="BB50" s="121" t="n"/>
      <c r="BC50" s="121" t="n"/>
    </row>
    <row r="51" outlineLevel="3" ht="12" customHeight="1">
      <c r="A51" s="102" t="n"/>
      <c r="B51" s="102" t="n"/>
      <c r="C51" s="102" t="n">
        <v>3</v>
      </c>
      <c r="D51" s="118" t="inlineStr">
        <is>
          <t>5.1</t>
        </is>
      </c>
      <c r="E51" s="103" t="n"/>
      <c r="F51" s="103" t="n"/>
      <c r="G51" s="103" t="inlineStr">
        <is>
          <t>MLflow 모델 레지스트리</t>
        </is>
      </c>
      <c r="H51" s="103" t="n"/>
      <c r="I51" s="103" t="n"/>
      <c r="J51" s="103" t="n"/>
      <c r="K51" s="103" t="n"/>
      <c r="L51" s="103" t="n"/>
      <c r="M51" s="103" t="n"/>
      <c r="N51" s="103" t="n"/>
      <c r="O51" s="103" t="inlineStr">
        <is>
          <t>Azure ML Model Registry</t>
        </is>
      </c>
      <c r="P51" s="104" t="n">
        <v>46447</v>
      </c>
      <c r="Q51" s="104" t="n">
        <v>46477</v>
      </c>
      <c r="R51" s="103" t="n"/>
      <c r="S51" s="304" t="n">
        <v>5</v>
      </c>
      <c r="T51" s="304" t="n">
        <v>5</v>
      </c>
      <c r="U51" s="304" t="n">
        <v>31</v>
      </c>
      <c r="V51" s="304" t="n">
        <v>31</v>
      </c>
      <c r="W51" s="104" t="n"/>
      <c r="X51" s="104" t="n"/>
      <c r="Y51" s="305" t="n"/>
      <c r="Z51" s="107" t="n"/>
      <c r="AA51" s="304" t="n">
        <v>1</v>
      </c>
      <c r="AB51" s="103" t="inlineStr">
        <is>
          <t>사용자</t>
        </is>
      </c>
      <c r="AC51" s="103" t="n"/>
      <c r="AD51" s="117" t="n">
        <v>0</v>
      </c>
      <c r="AE51" s="216" t="n">
        <v>0</v>
      </c>
      <c r="AF51" s="120" t="n"/>
      <c r="AG51" s="121" t="n"/>
      <c r="AH51" s="121" t="n"/>
      <c r="AI51" s="121" t="n"/>
      <c r="AJ51" s="121" t="n"/>
      <c r="AK51" s="121" t="n"/>
      <c r="AL51" s="121" t="n"/>
      <c r="AM51" s="121" t="n"/>
      <c r="AN51" s="121" t="n"/>
      <c r="AO51" s="121" t="n"/>
      <c r="AP51" s="121" t="n"/>
      <c r="AQ51" s="121">
        <f>"  " &amp; TEXT(AE39,"#0.00%") &amp; " "</f>
        <v/>
      </c>
      <c r="AR51" s="121" t="n"/>
      <c r="AS51" s="121" t="n"/>
      <c r="AT51" s="121" t="n"/>
      <c r="AU51" s="121" t="n"/>
      <c r="AV51" s="121">
        <f>"     " &amp; "모듈A" &amp; " " &amp; IF(P39="","",TEXT(P39,"M/D-")) &amp; IF(Q39="","",TEXT(Q39,"M/D")) &amp; " "</f>
        <v/>
      </c>
      <c r="AW51" s="121" t="n"/>
      <c r="AX51" s="121" t="n"/>
      <c r="AY51" s="121" t="n"/>
      <c r="AZ51" s="121" t="n"/>
      <c r="BA51" s="121" t="n"/>
      <c r="BB51" s="121" t="n"/>
      <c r="BC51" s="121" t="n"/>
    </row>
    <row r="52" outlineLevel="2" ht="12" customHeight="1">
      <c r="A52" s="102" t="n"/>
      <c r="B52" s="102" t="n"/>
      <c r="C52" s="102" t="n">
        <v>3</v>
      </c>
      <c r="D52" s="118" t="inlineStr">
        <is>
          <t>5.2</t>
        </is>
      </c>
      <c r="E52" s="103" t="n"/>
      <c r="F52" s="103" t="n"/>
      <c r="G52" s="103" t="inlineStr">
        <is>
          <t>드리프트 모니터링·재학습 트리거</t>
        </is>
      </c>
      <c r="H52" s="103" t="n"/>
      <c r="I52" s="103" t="n"/>
      <c r="J52" s="103" t="n"/>
      <c r="K52" s="103" t="n"/>
      <c r="L52" s="103" t="n"/>
      <c r="M52" s="103" t="n"/>
      <c r="N52" s="103" t="n"/>
      <c r="O52" s="103" t="inlineStr">
        <is>
          <t>src/pipeline/drift_monitor.py</t>
        </is>
      </c>
      <c r="P52" s="104" t="n">
        <v>46478</v>
      </c>
      <c r="Q52" s="104" t="n">
        <v>46538</v>
      </c>
      <c r="R52" s="103" t="n"/>
      <c r="S52" s="304" t="n">
        <v>10</v>
      </c>
      <c r="T52" s="304" t="n">
        <v>10</v>
      </c>
      <c r="U52" s="304" t="n">
        <v>61</v>
      </c>
      <c r="V52" s="304" t="n">
        <v>61</v>
      </c>
      <c r="W52" s="104" t="n"/>
      <c r="X52" s="104" t="n"/>
      <c r="Y52" s="305" t="n"/>
      <c r="Z52" s="107" t="n"/>
      <c r="AA52" s="304" t="n">
        <v>1</v>
      </c>
      <c r="AB52" s="103" t="inlineStr">
        <is>
          <t>사용자</t>
        </is>
      </c>
      <c r="AC52" s="103" t="n"/>
      <c r="AD52" s="117" t="n">
        <v>0</v>
      </c>
      <c r="AE52" s="199" t="n">
        <v>0</v>
      </c>
      <c r="AF52" s="120" t="n"/>
      <c r="AG52" s="121" t="n"/>
      <c r="AH52" s="121" t="n"/>
      <c r="AI52" s="121" t="n"/>
      <c r="AJ52" s="121" t="n"/>
      <c r="AK52" s="121" t="n"/>
      <c r="AL52" s="121" t="n"/>
      <c r="AM52" s="121" t="n"/>
      <c r="AN52" s="121" t="n"/>
      <c r="AO52" s="121">
        <f>"    " &amp; TEXT(AE40,"#0.00%") &amp; " " &amp; "프로그램A" &amp; " " &amp; IF(P40="","",TEXT(P40,"M/D-")) &amp; IF(Q40="","",TEXT(Q40,"M/D")) &amp; " "</f>
        <v/>
      </c>
      <c r="AP52" s="121" t="n"/>
      <c r="AQ52" s="121" t="n"/>
      <c r="AR52" s="121" t="n"/>
      <c r="AS52" s="121" t="n"/>
      <c r="AT52" s="121" t="n"/>
      <c r="AU52" s="121" t="n"/>
      <c r="AV52" s="121" t="n"/>
      <c r="AW52" s="121" t="n"/>
      <c r="AX52" s="121" t="n"/>
      <c r="AY52" s="121" t="n"/>
      <c r="AZ52" s="121" t="n"/>
      <c r="BA52" s="121" t="n"/>
      <c r="BB52" s="121" t="n"/>
      <c r="BC52" s="121" t="n"/>
    </row>
    <row r="53" outlineLevel="3" ht="12" customHeight="1">
      <c r="A53" s="102" t="n"/>
      <c r="B53" s="102" t="n"/>
      <c r="C53" s="102" t="n">
        <v>3</v>
      </c>
      <c r="D53" s="118" t="inlineStr">
        <is>
          <t>5.3</t>
        </is>
      </c>
      <c r="E53" s="103" t="n"/>
      <c r="F53" s="103" t="n"/>
      <c r="G53" s="103" t="inlineStr">
        <is>
          <t>운영 문서·교육</t>
        </is>
      </c>
      <c r="H53" s="103" t="n"/>
      <c r="I53" s="103" t="n"/>
      <c r="J53" s="103" t="n"/>
      <c r="K53" s="103" t="n"/>
      <c r="L53" s="103" t="n"/>
      <c r="M53" s="103" t="n"/>
      <c r="N53" s="103" t="n"/>
      <c r="O53" s="103" t="inlineStr">
        <is>
          <t>docs/operations_guide.md</t>
        </is>
      </c>
      <c r="P53" s="104" t="n">
        <v>46508</v>
      </c>
      <c r="Q53" s="104" t="n">
        <v>46568</v>
      </c>
      <c r="R53" s="103" t="n"/>
      <c r="S53" s="304" t="n">
        <v>5</v>
      </c>
      <c r="T53" s="304" t="n">
        <v>5</v>
      </c>
      <c r="U53" s="304" t="n">
        <v>61</v>
      </c>
      <c r="V53" s="304" t="n">
        <v>61</v>
      </c>
      <c r="W53" s="104" t="n"/>
      <c r="X53" s="104" t="n"/>
      <c r="Y53" s="305" t="n"/>
      <c r="Z53" s="107" t="n"/>
      <c r="AA53" s="304" t="n">
        <v>1</v>
      </c>
      <c r="AB53" s="103" t="inlineStr">
        <is>
          <t>사용자</t>
        </is>
      </c>
      <c r="AC53" s="103" t="n"/>
      <c r="AD53" s="117" t="n">
        <v>0</v>
      </c>
      <c r="AE53" s="215" t="n">
        <v>0</v>
      </c>
      <c r="AF53" s="120" t="n"/>
      <c r="AG53" s="121" t="n"/>
      <c r="AH53" s="121" t="n"/>
      <c r="AI53" s="121" t="n"/>
      <c r="AJ53" s="121" t="n"/>
      <c r="AK53" s="121" t="n"/>
      <c r="AL53" s="121" t="n"/>
      <c r="AM53" s="121" t="n"/>
      <c r="AN53" s="121" t="n"/>
      <c r="AO53" s="121" t="n"/>
      <c r="AP53" s="121" t="n"/>
      <c r="AQ53" s="121" t="n"/>
      <c r="AR53" s="121" t="n"/>
      <c r="AS53" s="121">
        <f>"  " &amp; TEXT(AE41,"#0.00%") &amp; " " &amp; "프로그램B" &amp; " " &amp; IF(P41="","",TEXT(P41,"M/D-")) &amp; IF(Q41="","",TEXT(Q41,"M/D")) &amp; " "</f>
        <v/>
      </c>
      <c r="AT53" s="121" t="n"/>
      <c r="AU53" s="121" t="n"/>
      <c r="AV53" s="121" t="n"/>
      <c r="AW53" s="121" t="n"/>
      <c r="AX53" s="121" t="n"/>
      <c r="AY53" s="121" t="n"/>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4" t="n"/>
      <c r="T54" s="304" t="n"/>
      <c r="U54" s="304" t="n"/>
      <c r="V54" s="304" t="n"/>
      <c r="W54" s="104" t="n"/>
      <c r="X54" s="104" t="n"/>
      <c r="Y54" s="305" t="n"/>
      <c r="Z54" s="107" t="n"/>
      <c r="AA54" s="304" t="n"/>
      <c r="AB54" s="103" t="n"/>
      <c r="AC54" s="103" t="n"/>
      <c r="AD54" s="117" t="n"/>
      <c r="AE54" s="199" t="n"/>
      <c r="AF54" s="120" t="n"/>
      <c r="AG54" s="121" t="n"/>
      <c r="AH54" s="121" t="n"/>
      <c r="AI54" s="121" t="n"/>
      <c r="AJ54" s="121" t="n"/>
      <c r="AK54" s="121" t="n"/>
      <c r="AL54" s="121" t="n"/>
      <c r="AM54" s="121" t="n"/>
      <c r="AN54" s="121" t="n"/>
      <c r="AO54" s="121" t="n"/>
      <c r="AP54" s="121" t="n"/>
      <c r="AQ54" s="121" t="n"/>
      <c r="AR54" s="121" t="n"/>
      <c r="AS54" s="121" t="n"/>
      <c r="AT54" s="121">
        <f>"     " &amp; TEXT(AE42,"#0.00%") &amp; " " &amp; "프로그램C" &amp; " " &amp; IF(P42="","",TEXT(P42,"M/D-")) &amp; IF(Q42="","",TEXT(Q42,"M/D")) &amp; " "</f>
        <v/>
      </c>
      <c r="AU54" s="121" t="n"/>
      <c r="AV54" s="121" t="n"/>
      <c r="AW54" s="121" t="n"/>
      <c r="AX54" s="121" t="n"/>
      <c r="AY54" s="121" t="n"/>
      <c r="AZ54" s="121" t="n"/>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4" t="n"/>
      <c r="T55" s="304" t="n"/>
      <c r="U55" s="304" t="n"/>
      <c r="V55" s="304" t="n"/>
      <c r="W55" s="104" t="n"/>
      <c r="X55" s="104" t="n"/>
      <c r="Y55" s="305" t="n"/>
      <c r="Z55" s="107" t="n"/>
      <c r="AA55" s="304" t="n"/>
      <c r="AB55" s="103" t="n"/>
      <c r="AC55" s="103" t="n"/>
      <c r="AD55" s="117" t="n"/>
      <c r="AE55" s="199" t="n"/>
      <c r="AF55" s="120" t="n"/>
      <c r="AG55" s="121" t="n"/>
      <c r="AH55" s="121" t="n"/>
      <c r="AI55" s="121" t="n"/>
      <c r="AJ55" s="121" t="n"/>
      <c r="AK55" s="121" t="n"/>
      <c r="AL55" s="121" t="n"/>
      <c r="AM55" s="121" t="n"/>
      <c r="AN55" s="121" t="n"/>
      <c r="AO55" s="121">
        <f>" " &amp; TEXT(AE43,"#0.00%") &amp; " "</f>
        <v/>
      </c>
      <c r="AP55" s="121" t="n"/>
      <c r="AQ55" s="121" t="n"/>
      <c r="AR55" s="121" t="n"/>
      <c r="AS55" s="121" t="n"/>
      <c r="AT55" s="121" t="n"/>
      <c r="AU55" s="121" t="n"/>
      <c r="AV55" s="121" t="n"/>
      <c r="AW55" s="121">
        <f>"  " &amp; "모듈B" &amp; " " &amp; IF(P43="","",TEXT(P43,"M/D-")) &amp; IF(Q43="","",TEXT(Q43,"M/D")) &amp; " "</f>
        <v/>
      </c>
      <c r="AX55" s="121" t="n"/>
      <c r="AY55" s="121" t="n"/>
      <c r="AZ55" s="121" t="n"/>
      <c r="BA55" s="121" t="n"/>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4" t="n"/>
      <c r="T56" s="304" t="n"/>
      <c r="U56" s="304" t="n"/>
      <c r="V56" s="304" t="n"/>
      <c r="W56" s="104" t="n"/>
      <c r="X56" s="104" t="n"/>
      <c r="Y56" s="305" t="n"/>
      <c r="Z56" s="107" t="n"/>
      <c r="AA56" s="304" t="n"/>
      <c r="AB56" s="103" t="n"/>
      <c r="AC56" s="103" t="n"/>
      <c r="AD56" s="117" t="n"/>
      <c r="AE56" s="199" t="n"/>
      <c r="AF56" s="120" t="n"/>
      <c r="AG56" s="121" t="n"/>
      <c r="AH56" s="121" t="n"/>
      <c r="AI56" s="121" t="n"/>
      <c r="AJ56" s="121" t="n"/>
      <c r="AK56" s="121" t="n"/>
      <c r="AL56" s="121" t="n"/>
      <c r="AM56" s="121" t="n"/>
      <c r="AN56" s="121" t="n"/>
      <c r="AO56" s="121">
        <f>" " &amp; TEXT(AE44,"#0.00%") &amp; " "</f>
        <v/>
      </c>
      <c r="AP56" s="121" t="n"/>
      <c r="AQ56" s="121" t="n"/>
      <c r="AR56" s="121" t="n"/>
      <c r="AS56" s="121" t="n"/>
      <c r="AT56" s="121" t="n"/>
      <c r="AU56" s="121" t="n"/>
      <c r="AV56" s="121" t="n"/>
      <c r="AW56" s="121">
        <f>"  " &amp; "모듈C" &amp; " " &amp; IF(P44="","",TEXT(P44,"M/D-")) &amp; IF(Q44="","",TEXT(Q44,"M/D")) &amp; " "</f>
        <v/>
      </c>
      <c r="AX56" s="121" t="n"/>
      <c r="AY56" s="121" t="n"/>
      <c r="AZ56" s="121" t="n"/>
      <c r="BA56" s="121" t="n"/>
      <c r="BB56" s="121" t="n"/>
      <c r="BC56" s="121" t="n"/>
    </row>
    <row r="57" ht="12" customHeight="1">
      <c r="A57" s="102" t="n"/>
      <c r="B57" s="102" t="n"/>
      <c r="C57" s="102" t="n"/>
      <c r="D57" s="118" t="n"/>
      <c r="E57" s="103" t="n"/>
      <c r="F57" s="103" t="n"/>
      <c r="G57" s="103" t="n"/>
      <c r="H57" s="103" t="n"/>
      <c r="I57" s="103" t="n"/>
      <c r="J57" s="103" t="n"/>
      <c r="K57" s="103" t="n"/>
      <c r="L57" s="103" t="n"/>
      <c r="M57" s="103" t="n"/>
      <c r="N57" s="103" t="n"/>
      <c r="O57" s="103" t="n"/>
      <c r="P57" s="104" t="n"/>
      <c r="Q57" s="104" t="n"/>
      <c r="R57" s="103" t="n"/>
      <c r="S57" s="304" t="n"/>
      <c r="T57" s="304" t="n"/>
      <c r="U57" s="304" t="n"/>
      <c r="V57" s="304" t="n"/>
      <c r="W57" s="104" t="n"/>
      <c r="X57" s="104" t="n"/>
      <c r="Y57" s="305" t="n"/>
      <c r="Z57" s="107" t="n"/>
      <c r="AA57" s="304" t="n"/>
      <c r="AB57" s="103" t="n"/>
      <c r="AC57" s="103" t="n"/>
      <c r="AD57" s="117" t="n"/>
      <c r="AE57" s="199" t="n"/>
      <c r="AF57" s="120" t="n"/>
      <c r="AG57" s="121" t="n"/>
      <c r="AH57" s="121" t="n"/>
      <c r="AI57" s="121" t="n"/>
      <c r="AJ57" s="121" t="n"/>
      <c r="AK57" s="121" t="n"/>
      <c r="AL57" s="121" t="n"/>
      <c r="AM57" s="121" t="n"/>
      <c r="AN57" s="121" t="n"/>
      <c r="AO57" s="121" t="n"/>
      <c r="AP57" s="121" t="n"/>
      <c r="AQ57" s="121">
        <f>" " &amp; TEXT(AE45,"#0.00%") &amp; " "</f>
        <v/>
      </c>
      <c r="AR57" s="121" t="n"/>
      <c r="AS57" s="121" t="n"/>
      <c r="AT57" s="121" t="n"/>
      <c r="AU57" s="121" t="n"/>
      <c r="AV57" s="121" t="n"/>
      <c r="AW57" s="121">
        <f>"  " &amp; "모듈D" &amp; " " &amp; IF(P45="","",TEXT(P45,"M/D-")) &amp; IF(Q45="","",TEXT(Q45,"M/D")) &amp; " "</f>
        <v/>
      </c>
      <c r="AX57" s="121" t="n"/>
      <c r="AY57" s="121" t="n"/>
      <c r="AZ57" s="121" t="n"/>
      <c r="BA57" s="121" t="n"/>
      <c r="BB57" s="121" t="n"/>
      <c r="BC57" s="121" t="n"/>
    </row>
    <row r="58">
      <c r="A58" s="102" t="n"/>
      <c r="B58" s="102" t="n"/>
      <c r="C58" s="102" t="n"/>
      <c r="D58" s="118" t="n"/>
      <c r="E58" s="103" t="n"/>
      <c r="F58" s="103" t="n"/>
      <c r="G58" s="103" t="n"/>
      <c r="H58" s="103" t="n"/>
      <c r="I58" s="103" t="n"/>
      <c r="J58" s="103" t="n"/>
      <c r="K58" s="103" t="n"/>
      <c r="L58" s="103" t="n"/>
      <c r="M58" s="103" t="n"/>
      <c r="N58" s="103" t="n"/>
      <c r="O58" s="103" t="n"/>
      <c r="P58" s="104" t="n"/>
      <c r="Q58" s="104" t="n"/>
      <c r="R58" s="103" t="n"/>
      <c r="S58" s="304" t="n"/>
      <c r="T58" s="304" t="n"/>
      <c r="U58" s="304" t="n"/>
      <c r="V58" s="304" t="n"/>
      <c r="W58" s="104" t="n"/>
      <c r="X58" s="104" t="n"/>
      <c r="Y58" s="305" t="n"/>
      <c r="Z58" s="107" t="n"/>
      <c r="AA58" s="304" t="n"/>
      <c r="AB58" s="103" t="n"/>
      <c r="AC58" s="103" t="n"/>
      <c r="AD58" s="117" t="n"/>
      <c r="AE58" s="208" t="n"/>
      <c r="AF58" s="120" t="n"/>
      <c r="AG58" s="121" t="n"/>
      <c r="AH58" s="121" t="n"/>
      <c r="AI58" s="121" t="n"/>
      <c r="AJ58" s="121" t="n"/>
      <c r="AK58" s="121" t="n"/>
      <c r="AL58" s="121" t="n"/>
      <c r="AM58" s="121" t="n"/>
      <c r="AN58" s="121" t="n"/>
      <c r="AO58" s="121" t="n"/>
      <c r="AP58" s="121" t="n"/>
      <c r="AQ58" s="121" t="n"/>
      <c r="AR58" s="121" t="n"/>
      <c r="AS58" s="121" t="n"/>
      <c r="AT58" s="121" t="n"/>
      <c r="AU58" s="121">
        <f>"    " &amp; TEXT(AE46,"#0.00%") &amp; " "</f>
        <v/>
      </c>
      <c r="AV58" s="121" t="n"/>
      <c r="AW58" s="121" t="n"/>
      <c r="AX58" s="121" t="n"/>
      <c r="AY58" s="121">
        <f>"  " &amp; "테스트실시" &amp; " " &amp; IF(P46="","",TEXT(P46,"M/D-")) &amp; IF(Q46="","",TEXT(Q46,"M/D")) &amp; " "</f>
        <v/>
      </c>
      <c r="AZ58" s="121" t="n"/>
      <c r="BA58" s="121" t="n"/>
      <c r="BB58" s="121" t="n"/>
      <c r="BC58" s="121" t="n"/>
    </row>
    <row r="59">
      <c r="A59" s="102" t="n"/>
      <c r="B59" s="102" t="n"/>
      <c r="C59" s="102" t="n"/>
      <c r="D59" s="118" t="n"/>
      <c r="E59" s="103" t="n"/>
      <c r="F59" s="103" t="n"/>
      <c r="G59" s="103" t="n"/>
      <c r="H59" s="103" t="n"/>
      <c r="I59" s="103" t="n"/>
      <c r="J59" s="103" t="n"/>
      <c r="K59" s="103" t="n"/>
      <c r="L59" s="103" t="n"/>
      <c r="M59" s="103" t="n"/>
      <c r="N59" s="103" t="n"/>
      <c r="O59" s="103" t="n"/>
      <c r="P59" s="104" t="n"/>
      <c r="Q59" s="104" t="n"/>
      <c r="R59" s="103" t="n"/>
      <c r="S59" s="304" t="n"/>
      <c r="T59" s="304" t="n"/>
      <c r="U59" s="304" t="n"/>
      <c r="V59" s="304" t="n"/>
      <c r="W59" s="104" t="n"/>
      <c r="X59" s="104" t="n"/>
      <c r="Y59" s="305" t="n"/>
      <c r="Z59" s="107" t="n"/>
      <c r="AA59" s="304" t="n"/>
      <c r="AB59" s="103" t="n"/>
      <c r="AC59" s="103" t="n"/>
      <c r="AD59" s="117" t="n"/>
      <c r="AE59" s="199" t="n"/>
      <c r="AF59" s="120" t="n"/>
      <c r="AG59" s="121" t="n"/>
      <c r="AH59" s="121" t="n"/>
      <c r="AI59" s="121" t="n"/>
      <c r="AJ59" s="121" t="n"/>
      <c r="AK59" s="121" t="n"/>
      <c r="AL59" s="121" t="n"/>
      <c r="AM59" s="121" t="n"/>
      <c r="AN59" s="121" t="n"/>
      <c r="AO59" s="121" t="n"/>
      <c r="AP59" s="121" t="n"/>
      <c r="AQ59" s="121" t="n"/>
      <c r="AR59" s="121" t="n"/>
      <c r="AS59" s="121" t="n"/>
      <c r="AT59" s="121" t="n"/>
      <c r="AU59" s="121">
        <f>"    " &amp; TEXT(AE47,"#0.00%") &amp; " " &amp; "통합테스트실시" &amp; " " &amp; IF(P47="","",TEXT(P47,"M/D-")) &amp; IF(Q47="","",TEXT(Q47,"M/D")) &amp; " "</f>
        <v/>
      </c>
      <c r="AV59" s="121" t="n"/>
      <c r="AW59" s="121" t="n"/>
      <c r="AX59" s="121" t="n"/>
      <c r="AY59" s="121" t="n"/>
      <c r="AZ59" s="121" t="n"/>
      <c r="BA59" s="121" t="n"/>
      <c r="BB59" s="121" t="n"/>
      <c r="BC59" s="121" t="n"/>
    </row>
    <row r="60">
      <c r="A60" s="102" t="n"/>
      <c r="B60" s="102" t="n"/>
      <c r="C60" s="102" t="n"/>
      <c r="D60" s="118" t="n"/>
      <c r="E60" s="103" t="n"/>
      <c r="F60" s="103" t="n"/>
      <c r="G60" s="103" t="n"/>
      <c r="H60" s="103" t="n"/>
      <c r="I60" s="103" t="n"/>
      <c r="J60" s="103" t="n"/>
      <c r="K60" s="103" t="n"/>
      <c r="L60" s="103" t="n"/>
      <c r="M60" s="103" t="n"/>
      <c r="N60" s="103" t="n"/>
      <c r="O60" s="103" t="n"/>
      <c r="P60" s="104" t="n"/>
      <c r="Q60" s="104" t="n"/>
      <c r="R60" s="103" t="n"/>
      <c r="S60" s="304" t="n"/>
      <c r="T60" s="304" t="n"/>
      <c r="U60" s="304" t="n"/>
      <c r="V60" s="304" t="n"/>
      <c r="W60" s="104" t="n"/>
      <c r="X60" s="104" t="n"/>
      <c r="Y60" s="305" t="n"/>
      <c r="Z60" s="107" t="n"/>
      <c r="AA60" s="304" t="n"/>
      <c r="AB60" s="103" t="n"/>
      <c r="AC60" s="103" t="n"/>
      <c r="AD60" s="117" t="n"/>
      <c r="AE60" s="199" t="n"/>
      <c r="AF60" s="120" t="n"/>
      <c r="AG60" s="121" t="n"/>
      <c r="AH60" s="121" t="n"/>
      <c r="AI60" s="121" t="n"/>
      <c r="AJ60" s="121" t="n"/>
      <c r="AK60" s="121" t="n"/>
      <c r="AL60" s="121" t="n"/>
      <c r="AM60" s="121" t="n"/>
      <c r="AN60" s="121" t="n"/>
      <c r="AO60" s="121" t="n"/>
      <c r="AP60" s="121" t="n"/>
      <c r="AQ60" s="121" t="n"/>
      <c r="AR60" s="121" t="n"/>
      <c r="AS60" s="121" t="n"/>
      <c r="AT60" s="121" t="n"/>
      <c r="AU60" s="121" t="n"/>
      <c r="AV60" s="121" t="n"/>
      <c r="AW60" s="121" t="n"/>
      <c r="AX60" s="121">
        <f>"    " &amp; TEXT(AE48,"#0.00%") &amp; " " &amp; "시스템테스트실시" &amp; " " &amp; IF(P48="","",TEXT(P48,"M/D-")) &amp; IF(Q48="","",TEXT(Q48,"M/D")) &amp; " "</f>
        <v/>
      </c>
      <c r="AY60" s="121" t="n"/>
      <c r="AZ60" s="121" t="n"/>
      <c r="BA60" s="121" t="n"/>
      <c r="BB60" s="121" t="n"/>
      <c r="BC60" s="121" t="n"/>
    </row>
    <row r="61">
      <c r="A61" s="102" t="n"/>
      <c r="B61" s="102" t="n"/>
      <c r="C61" s="102" t="n"/>
      <c r="D61" s="118" t="n"/>
      <c r="E61" s="103" t="n"/>
      <c r="F61" s="103" t="n"/>
      <c r="G61" s="103" t="n"/>
      <c r="H61" s="103" t="n"/>
      <c r="I61" s="103" t="n"/>
      <c r="J61" s="103" t="n"/>
      <c r="K61" s="103" t="n"/>
      <c r="L61" s="103" t="n"/>
      <c r="M61" s="103" t="n"/>
      <c r="N61" s="103" t="n"/>
      <c r="O61" s="103" t="n"/>
      <c r="P61" s="104" t="n"/>
      <c r="Q61" s="104" t="n"/>
      <c r="R61" s="103" t="n"/>
      <c r="S61" s="304" t="n"/>
      <c r="T61" s="304" t="n"/>
      <c r="U61" s="304" t="n"/>
      <c r="V61" s="304" t="n"/>
      <c r="W61" s="104" t="n"/>
      <c r="X61" s="104" t="n"/>
      <c r="Y61" s="305" t="n"/>
      <c r="Z61" s="107" t="n"/>
      <c r="AA61" s="304" t="n"/>
      <c r="AB61" s="103" t="n"/>
      <c r="AC61" s="103" t="n"/>
      <c r="AD61" s="117" t="n"/>
      <c r="AE61" s="208" t="n"/>
      <c r="AF61" s="120" t="n"/>
      <c r="AG61" s="121" t="n"/>
      <c r="AH61" s="121" t="n"/>
      <c r="AI61" s="121" t="n"/>
      <c r="AJ61" s="121" t="n"/>
      <c r="AK61" s="121" t="n"/>
      <c r="AL61" s="121" t="n"/>
      <c r="AM61" s="121" t="n"/>
      <c r="AN61" s="121" t="n"/>
      <c r="AO61" s="121" t="n"/>
      <c r="AP61" s="121" t="n"/>
      <c r="AQ61" s="121" t="n"/>
      <c r="AR61" s="121" t="n"/>
      <c r="AS61" s="121" t="n"/>
      <c r="AT61" s="121" t="n"/>
      <c r="AU61" s="121" t="n"/>
      <c r="AV61" s="121" t="n"/>
      <c r="AW61" s="121" t="n"/>
      <c r="AX61" s="121" t="n"/>
      <c r="AY61" s="121">
        <f>"    " &amp; TEXT(AE49,"#0.00%") &amp; " " &amp; "구현" &amp; " " &amp; IF(P49="","",TEXT(P49,"M/D-")) &amp; IF(Q49="","",TEXT(Q49,"M/D")) &amp; " "</f>
        <v/>
      </c>
      <c r="AZ61" s="121" t="n"/>
      <c r="BA61" s="121" t="n"/>
      <c r="BB61" s="121" t="n"/>
      <c r="BC61" s="121" t="n"/>
    </row>
    <row r="62">
      <c r="A62" s="102" t="n"/>
      <c r="B62" s="102" t="n"/>
      <c r="C62" s="102" t="n"/>
      <c r="D62" s="118" t="n"/>
      <c r="E62" s="103" t="n"/>
      <c r="F62" s="103" t="n"/>
      <c r="G62" s="103" t="n"/>
      <c r="H62" s="103" t="n"/>
      <c r="I62" s="103" t="n"/>
      <c r="J62" s="103" t="n"/>
      <c r="K62" s="103" t="n"/>
      <c r="L62" s="103" t="n"/>
      <c r="M62" s="103" t="n"/>
      <c r="N62" s="103" t="n"/>
      <c r="O62" s="103" t="n"/>
      <c r="P62" s="104" t="n"/>
      <c r="Q62" s="104" t="n"/>
      <c r="R62" s="103" t="n"/>
      <c r="S62" s="304" t="n"/>
      <c r="T62" s="304" t="n"/>
      <c r="U62" s="304" t="n"/>
      <c r="V62" s="304" t="n"/>
      <c r="W62" s="104" t="n"/>
      <c r="X62" s="104" t="n"/>
      <c r="Y62" s="305" t="n"/>
      <c r="Z62" s="107" t="n"/>
      <c r="AA62" s="304" t="n"/>
      <c r="AB62" s="103" t="n"/>
      <c r="AC62" s="103" t="n"/>
      <c r="AD62" s="117" t="n"/>
      <c r="AE62" s="208" t="n"/>
      <c r="AF62" s="120" t="n"/>
      <c r="AG62" s="121" t="n"/>
      <c r="AH62" s="121" t="n"/>
      <c r="AI62" s="121" t="n"/>
      <c r="AJ62" s="121" t="n"/>
      <c r="AK62" s="121" t="n"/>
      <c r="AL62" s="121" t="n"/>
      <c r="AM62" s="121" t="n"/>
      <c r="AN62" s="121" t="n"/>
      <c r="AO62" s="121" t="n"/>
      <c r="AP62" s="121" t="n"/>
      <c r="AQ62" s="121" t="n"/>
      <c r="AR62" s="121" t="n"/>
      <c r="AS62" s="121" t="n"/>
      <c r="AT62" s="121" t="n"/>
      <c r="AU62" s="121" t="n"/>
      <c r="AV62" s="121" t="n"/>
      <c r="AW62" s="121" t="n"/>
      <c r="AX62" s="121" t="n"/>
      <c r="AY62" s="121">
        <f>"    " &amp; TEXT(AE50,"#0.00%") &amp; " " &amp; "구현준비" &amp; " " &amp; IF(P50="","",TEXT(P50,"M/D-")) &amp; IF(Q50="","",TEXT(Q50,"M/D")) &amp; " "</f>
        <v/>
      </c>
      <c r="AZ62" s="121" t="n"/>
      <c r="BA62" s="121" t="n"/>
      <c r="BB62" s="121" t="n"/>
      <c r="BC62" s="121" t="n"/>
    </row>
    <row r="63">
      <c r="A63" s="102" t="n"/>
      <c r="B63" s="102" t="n"/>
      <c r="C63" s="102" t="n"/>
      <c r="D63" s="118" t="n"/>
      <c r="E63" s="103" t="n"/>
      <c r="F63" s="103" t="n"/>
      <c r="G63" s="103" t="n"/>
      <c r="H63" s="103" t="n"/>
      <c r="I63" s="103" t="n"/>
      <c r="J63" s="103" t="n"/>
      <c r="K63" s="103" t="n"/>
      <c r="L63" s="103" t="n"/>
      <c r="M63" s="103" t="n"/>
      <c r="N63" s="103" t="n"/>
      <c r="O63" s="103" t="n"/>
      <c r="P63" s="104" t="n"/>
      <c r="Q63" s="104" t="n"/>
      <c r="R63" s="103" t="n"/>
      <c r="S63" s="304" t="n"/>
      <c r="T63" s="304" t="n"/>
      <c r="U63" s="304" t="n"/>
      <c r="V63" s="304" t="n"/>
      <c r="W63" s="104" t="n"/>
      <c r="X63" s="104" t="n"/>
      <c r="Y63" s="305" t="n"/>
      <c r="Z63" s="107" t="n"/>
      <c r="AA63" s="304" t="n"/>
      <c r="AB63" s="103" t="n"/>
      <c r="AC63" s="103" t="n"/>
      <c r="AD63" s="117" t="n"/>
      <c r="AE63" s="199" t="n"/>
      <c r="AF63" s="120" t="n"/>
      <c r="AG63" s="121" t="n"/>
      <c r="AH63" s="121" t="n"/>
      <c r="AI63" s="121" t="n"/>
      <c r="AJ63" s="121" t="n"/>
      <c r="AK63" s="121" t="n"/>
      <c r="AL63" s="121" t="n"/>
      <c r="AM63" s="121" t="n"/>
      <c r="AN63" s="121" t="n"/>
      <c r="AO63" s="121" t="n"/>
      <c r="AP63" s="121" t="n"/>
      <c r="AQ63" s="121" t="n"/>
      <c r="AR63" s="121" t="n"/>
      <c r="AS63" s="121" t="n"/>
      <c r="AT63" s="121" t="n"/>
      <c r="AU63" s="121" t="n"/>
      <c r="AV63" s="121" t="n"/>
      <c r="AW63" s="121" t="n"/>
      <c r="AX63" s="121" t="n"/>
      <c r="AY63" s="121">
        <f>"    " &amp; TEXT(AE51,"#0.00%") &amp; " " &amp; "Release 및 Contingency plan수립" &amp; " " &amp; IF(P51="","",TEXT(P51,"M/D-")) &amp; IF(Q51="","",TEXT(Q51,"M/D")) &amp; " "</f>
        <v/>
      </c>
      <c r="AZ63" s="121" t="n"/>
      <c r="BA63" s="121" t="n"/>
      <c r="BB63" s="121" t="n"/>
      <c r="BC63" s="121" t="n"/>
    </row>
    <row r="64">
      <c r="A64" s="102" t="n"/>
      <c r="B64" s="102" t="n"/>
      <c r="C64" s="102" t="n"/>
      <c r="D64" s="118" t="n"/>
      <c r="E64" s="103" t="n"/>
      <c r="F64" s="103" t="n"/>
      <c r="G64" s="103" t="n"/>
      <c r="H64" s="103" t="n"/>
      <c r="I64" s="103" t="n"/>
      <c r="J64" s="103" t="n"/>
      <c r="K64" s="103" t="n"/>
      <c r="L64" s="103" t="n"/>
      <c r="M64" s="103" t="n"/>
      <c r="N64" s="103" t="n"/>
      <c r="O64" s="103" t="n"/>
      <c r="P64" s="104" t="n"/>
      <c r="Q64" s="104" t="n"/>
      <c r="R64" s="103" t="n"/>
      <c r="S64" s="304" t="n"/>
      <c r="T64" s="304" t="n"/>
      <c r="U64" s="304" t="n"/>
      <c r="V64" s="304" t="n"/>
      <c r="W64" s="104" t="n"/>
      <c r="X64" s="104" t="n"/>
      <c r="Y64" s="305" t="n"/>
      <c r="Z64" s="107" t="n"/>
      <c r="AA64" s="304" t="n"/>
      <c r="AB64" s="103" t="n"/>
      <c r="AC64" s="103" t="n"/>
      <c r="AD64" s="117" t="n"/>
      <c r="AE64" s="208" t="n"/>
      <c r="AF64" s="120" t="n"/>
      <c r="AG64" s="121" t="n"/>
      <c r="AH64" s="121" t="n"/>
      <c r="AI64" s="121" t="n"/>
      <c r="AJ64" s="121" t="n"/>
      <c r="AK64" s="121" t="n"/>
      <c r="AL64" s="121" t="n"/>
      <c r="AM64" s="121" t="n"/>
      <c r="AN64" s="121" t="n"/>
      <c r="AO64" s="121" t="n"/>
      <c r="AP64" s="121" t="n"/>
      <c r="AQ64" s="121" t="n"/>
      <c r="AR64" s="121" t="n"/>
      <c r="AS64" s="121" t="n"/>
      <c r="AT64" s="121" t="n"/>
      <c r="AU64" s="121" t="n"/>
      <c r="AV64" s="121" t="n"/>
      <c r="AW64" s="121" t="n"/>
      <c r="AX64" s="121" t="n"/>
      <c r="AY64" s="121">
        <f>"      " &amp; TEXT(AE52,"#0.00%") &amp; " " &amp; "Conversion 및 Release" &amp; " " &amp; IF(P52="","",TEXT(P52,"M/D-")) &amp; IF(Q52="","",TEXT(Q52,"M/D")) &amp; " "</f>
        <v/>
      </c>
      <c r="AZ64" s="121" t="n"/>
      <c r="BA64" s="121" t="n"/>
      <c r="BB64" s="121" t="n"/>
      <c r="BC64" s="121" t="n"/>
    </row>
    <row r="65">
      <c r="A65" s="102" t="n"/>
      <c r="B65" s="102" t="n"/>
      <c r="C65" s="102" t="n"/>
      <c r="D65" s="118" t="n"/>
      <c r="E65" s="103" t="n"/>
      <c r="F65" s="103" t="n"/>
      <c r="G65" s="103" t="n"/>
      <c r="H65" s="103" t="n"/>
      <c r="I65" s="103" t="n"/>
      <c r="J65" s="103" t="n"/>
      <c r="K65" s="103" t="n"/>
      <c r="L65" s="103" t="n"/>
      <c r="M65" s="103" t="n"/>
      <c r="N65" s="103" t="n"/>
      <c r="O65" s="103" t="n"/>
      <c r="P65" s="104" t="n"/>
      <c r="Q65" s="104" t="n"/>
      <c r="R65" s="103" t="n"/>
      <c r="S65" s="304" t="n"/>
      <c r="T65" s="304" t="n"/>
      <c r="U65" s="304" t="n"/>
      <c r="V65" s="304" t="n"/>
      <c r="W65" s="104" t="n"/>
      <c r="X65" s="104" t="n"/>
      <c r="Y65" s="305" t="n"/>
      <c r="Z65" s="107" t="n"/>
      <c r="AA65" s="304" t="n"/>
      <c r="AB65" s="103" t="n"/>
      <c r="AC65" s="103" t="n"/>
      <c r="AD65" s="117" t="n"/>
      <c r="AE65" s="199" t="n"/>
      <c r="AF65" s="120" t="n"/>
      <c r="AG65" s="121" t="n"/>
      <c r="AH65" s="121" t="n"/>
      <c r="AI65" s="121" t="n"/>
      <c r="AJ65" s="121" t="n"/>
      <c r="AK65" s="121" t="n"/>
      <c r="AL65" s="121" t="n"/>
      <c r="AM65" s="121" t="n"/>
      <c r="AN65" s="121" t="n"/>
      <c r="AO65" s="121" t="n"/>
      <c r="AP65" s="121" t="n"/>
      <c r="AQ65" s="121" t="n"/>
      <c r="AR65" s="121" t="n"/>
      <c r="AS65" s="121" t="n"/>
      <c r="AT65" s="121" t="n"/>
      <c r="AU65" s="121" t="n"/>
      <c r="AV65" s="121" t="n"/>
      <c r="AW65" s="121" t="n"/>
      <c r="AX65" s="121" t="n"/>
      <c r="AY65" s="121">
        <f>"      " &amp; TEXT(AE53,"#0.00%") &amp; " " &amp; "데이터베이스구축" &amp; " " &amp; IF(P53="","",TEXT(P53,"M/D-")) &amp; IF(Q53="","",TEXT(Q53,"M/D")) &amp; " "</f>
        <v/>
      </c>
      <c r="AZ65" s="121" t="n"/>
      <c r="BA65" s="121" t="n"/>
      <c r="BB65" s="121" t="n"/>
      <c r="BC65" s="121" t="n"/>
    </row>
    <row r="66">
      <c r="A66" s="102" t="n"/>
      <c r="B66" s="102" t="n"/>
      <c r="C66" s="102" t="n"/>
      <c r="D66" s="118" t="n"/>
      <c r="E66" s="103" t="n"/>
      <c r="F66" s="103" t="n"/>
      <c r="G66" s="103" t="n"/>
      <c r="H66" s="103" t="n"/>
      <c r="I66" s="103" t="n"/>
      <c r="J66" s="103" t="n"/>
      <c r="K66" s="103" t="n"/>
      <c r="L66" s="103" t="n"/>
      <c r="M66" s="103" t="n"/>
      <c r="N66" s="103" t="n"/>
      <c r="O66" s="103" t="n"/>
      <c r="P66" s="104" t="n"/>
      <c r="Q66" s="104" t="n"/>
      <c r="R66" s="103" t="n"/>
      <c r="S66" s="304" t="n"/>
      <c r="T66" s="304" t="n"/>
      <c r="U66" s="304" t="n"/>
      <c r="V66" s="304" t="n"/>
      <c r="W66" s="104" t="n"/>
      <c r="X66" s="104" t="n"/>
      <c r="Y66" s="305" t="n"/>
      <c r="Z66" s="107" t="n"/>
      <c r="AA66" s="304" t="n"/>
      <c r="AB66" s="103" t="n"/>
      <c r="AC66" s="103" t="n"/>
      <c r="AD66" s="117" t="n"/>
      <c r="AE66" s="199" t="n"/>
      <c r="AF66" s="120" t="n"/>
      <c r="AG66" s="121" t="n"/>
      <c r="AH66" s="121" t="n"/>
      <c r="AI66" s="121" t="n"/>
      <c r="AJ66" s="121" t="n"/>
      <c r="AK66" s="121" t="n"/>
      <c r="AL66" s="121" t="n"/>
      <c r="AM66" s="121" t="n"/>
      <c r="AN66" s="121" t="n"/>
      <c r="AO66" s="121" t="n"/>
      <c r="AP66" s="121" t="n"/>
      <c r="AQ66" s="121" t="n"/>
      <c r="AR66" s="121" t="n"/>
      <c r="AS66" s="121" t="n"/>
      <c r="AT66" s="121" t="n"/>
      <c r="AU66" s="121" t="n"/>
      <c r="AV66" s="121" t="n"/>
      <c r="AW66" s="121" t="n"/>
      <c r="AX66" s="121" t="n"/>
      <c r="AY66" s="121" t="n"/>
      <c r="AZ66" s="121">
        <f>"    " &amp; TEXT(AE54,"#0.00%") &amp; " " &amp; "소프트웨어설치" &amp; " " &amp; IF(P54="","",TEXT(P54,"M/D-")) &amp; IF(Q54="","",TEXT(Q54,"M/D")) &amp; " "</f>
        <v/>
      </c>
      <c r="BA66" s="121" t="n"/>
      <c r="BB66" s="121" t="n"/>
      <c r="BC66" s="121" t="n"/>
    </row>
    <row r="67">
      <c r="A67" s="102" t="n"/>
      <c r="B67" s="102" t="n"/>
      <c r="C67" s="102" t="n"/>
      <c r="D67" s="118" t="n"/>
      <c r="E67" s="103" t="n"/>
      <c r="F67" s="103" t="n"/>
      <c r="G67" s="103" t="n"/>
      <c r="H67" s="103" t="n"/>
      <c r="I67" s="103" t="n"/>
      <c r="J67" s="103" t="n"/>
      <c r="K67" s="103" t="n"/>
      <c r="L67" s="103" t="n"/>
      <c r="M67" s="103" t="n"/>
      <c r="N67" s="103" t="n"/>
      <c r="O67" s="103" t="n"/>
      <c r="P67" s="104" t="n"/>
      <c r="Q67" s="104" t="n"/>
      <c r="R67" s="103" t="n"/>
      <c r="S67" s="304" t="n"/>
      <c r="T67" s="304" t="n"/>
      <c r="U67" s="304" t="n"/>
      <c r="V67" s="304" t="n"/>
      <c r="W67" s="104" t="n"/>
      <c r="X67" s="104" t="n"/>
      <c r="Y67" s="305" t="n"/>
      <c r="Z67" s="107" t="n"/>
      <c r="AA67" s="304" t="n"/>
      <c r="AB67" s="103" t="n"/>
      <c r="AC67" s="103" t="n"/>
      <c r="AD67" s="117" t="n"/>
      <c r="AE67" s="199" t="n"/>
      <c r="AF67" s="120" t="n"/>
      <c r="AG67" s="121" t="n"/>
      <c r="AH67" s="121" t="n"/>
      <c r="AI67" s="121" t="n"/>
      <c r="AJ67" s="121" t="n"/>
      <c r="AK67" s="121" t="n"/>
      <c r="AL67" s="121" t="n"/>
      <c r="AM67" s="121" t="n"/>
      <c r="AN67" s="121" t="n"/>
      <c r="AO67" s="121" t="n"/>
      <c r="AP67" s="121" t="n"/>
      <c r="AQ67" s="121" t="n"/>
      <c r="AR67" s="121" t="n"/>
      <c r="AS67" s="121" t="n"/>
      <c r="AT67" s="121" t="n"/>
      <c r="AU67" s="121" t="n"/>
      <c r="AV67" s="121" t="n"/>
      <c r="AW67" s="121" t="n"/>
      <c r="AX67" s="121" t="n"/>
      <c r="AY67" s="121" t="n"/>
      <c r="AZ67" s="121" t="n"/>
      <c r="BA67" s="121">
        <f>"     " &amp; TEXT(AE55,"#0.00%") &amp; " " &amp; "인수테스트실시" &amp; " " &amp; IF(P55="","",TEXT(P55,"M/D-")) &amp; IF(Q55="","",TEXT(Q55,"M/D")) &amp; " "</f>
        <v/>
      </c>
      <c r="BB67" s="121" t="n"/>
      <c r="BC67" s="121" t="n"/>
    </row>
    <row r="68">
      <c r="A68" s="102" t="n"/>
      <c r="B68" s="102" t="n"/>
      <c r="C68" s="102" t="n"/>
      <c r="D68" s="118" t="n"/>
      <c r="E68" s="103" t="n"/>
      <c r="F68" s="103" t="n"/>
      <c r="G68" s="103" t="n"/>
      <c r="H68" s="103" t="n"/>
      <c r="I68" s="103" t="n"/>
      <c r="J68" s="103" t="n"/>
      <c r="K68" s="103" t="n"/>
      <c r="L68" s="103" t="n"/>
      <c r="M68" s="103" t="n"/>
      <c r="N68" s="103" t="n"/>
      <c r="O68" s="103" t="n"/>
      <c r="P68" s="104" t="n"/>
      <c r="Q68" s="104" t="n"/>
      <c r="R68" s="103" t="n"/>
      <c r="S68" s="304" t="n"/>
      <c r="T68" s="304" t="n"/>
      <c r="U68" s="304" t="n"/>
      <c r="V68" s="304" t="n"/>
      <c r="W68" s="104" t="n"/>
      <c r="X68" s="104" t="n"/>
      <c r="Y68" s="305" t="n"/>
      <c r="Z68" s="107" t="n"/>
      <c r="AA68" s="304" t="n"/>
      <c r="AB68" s="103" t="n"/>
      <c r="AC68" s="103" t="n"/>
      <c r="AD68" s="117" t="n"/>
      <c r="AE68" s="199" t="n"/>
      <c r="AF68" s="120" t="n"/>
      <c r="AG68" s="121" t="n"/>
      <c r="AH68" s="121" t="n"/>
      <c r="AI68" s="121" t="n"/>
      <c r="AJ68" s="121" t="n"/>
      <c r="AK68" s="121" t="n"/>
      <c r="AL68" s="121" t="n"/>
      <c r="AM68" s="121" t="n"/>
      <c r="AN68" s="121" t="n"/>
      <c r="AO68" s="121" t="n"/>
      <c r="AP68" s="121" t="n"/>
      <c r="AQ68" s="121" t="n"/>
      <c r="AR68" s="121" t="n"/>
      <c r="AS68" s="121" t="n"/>
      <c r="AT68" s="121" t="n"/>
      <c r="AU68" s="121" t="n"/>
      <c r="AV68" s="121" t="n"/>
      <c r="AW68" s="121" t="n"/>
      <c r="AX68" s="121" t="n"/>
      <c r="AY68" s="121" t="n"/>
      <c r="AZ68" s="121" t="n"/>
      <c r="BA68" s="121" t="n"/>
      <c r="BB68" s="121">
        <f>"        " &amp; TEXT(AE56,"#0.00%") &amp; " " &amp; "시스템오픈" &amp; " " &amp; IF(P56="","",TEXT(P56,"M/D-")) &amp; IF(Q56="","",TEXT(Q56,"M/D")) &amp; " "</f>
        <v/>
      </c>
      <c r="BC68" s="121" t="n"/>
    </row>
    <row r="69">
      <c r="A69" s="152" t="n"/>
      <c r="B69" s="152" t="n"/>
      <c r="C69" s="152" t="n"/>
      <c r="D69" s="153" t="n"/>
      <c r="E69" s="154" t="n"/>
      <c r="F69" s="154" t="n"/>
      <c r="G69" s="154" t="n"/>
      <c r="H69" s="154" t="n"/>
      <c r="I69" s="154" t="n"/>
      <c r="J69" s="154" t="n"/>
      <c r="K69" s="154" t="n"/>
      <c r="L69" s="154" t="n"/>
      <c r="M69" s="154" t="n"/>
      <c r="N69" s="154" t="n"/>
      <c r="O69" s="154" t="n"/>
      <c r="P69" s="155" t="n"/>
      <c r="Q69" s="155" t="n"/>
      <c r="R69" s="154" t="n"/>
      <c r="S69" s="306" t="n"/>
      <c r="T69" s="306" t="n"/>
      <c r="U69" s="306" t="n"/>
      <c r="V69" s="306" t="n"/>
      <c r="W69" s="155" t="n"/>
      <c r="X69" s="155" t="n"/>
      <c r="Y69" s="307" t="n"/>
      <c r="Z69" s="158" t="n"/>
      <c r="AA69" s="306" t="n"/>
      <c r="AB69" s="154" t="n"/>
      <c r="AC69" s="154" t="n"/>
      <c r="AD69" s="159" t="n"/>
      <c r="AE69" s="160" t="n"/>
      <c r="AF69" s="119" t="n"/>
      <c r="AG69" s="119" t="n"/>
      <c r="AH69" s="119" t="n"/>
      <c r="AI69" s="119" t="n"/>
      <c r="AJ69" s="119" t="n"/>
      <c r="AK69" s="119" t="n"/>
      <c r="AL69" s="119" t="n"/>
      <c r="AM69" s="119" t="n"/>
      <c r="AN69" s="119" t="n"/>
      <c r="AO69" s="119" t="n"/>
      <c r="AP69" s="119" t="n"/>
      <c r="AQ69" s="119" t="n"/>
      <c r="AR69" s="119" t="n"/>
      <c r="AS69" s="119" t="n"/>
      <c r="AT69" s="119" t="n"/>
      <c r="AU69" s="119" t="n"/>
      <c r="AV69" s="119" t="n"/>
      <c r="AW69" s="119" t="n"/>
      <c r="AX69" s="119" t="n"/>
      <c r="AY69" s="119" t="n"/>
      <c r="AZ69" s="119" t="n"/>
      <c r="BA69" s="119" t="n"/>
      <c r="BB69" s="119" t="n"/>
      <c r="BC69"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1">
      <formula>($B5="G")</formula>
    </cfRule>
  </conditionalFormatting>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8" t="inlineStr">
        <is>
          <t>프로젝트 진척률 - 일정변경 관리하지 않을때</t>
        </is>
      </c>
      <c r="B1" s="2" t="n"/>
      <c r="C1" s="2" t="n"/>
      <c r="D1" s="2" t="n"/>
      <c r="E1" s="2" t="n"/>
      <c r="F1" s="2" t="n"/>
      <c r="G1" s="2" t="n"/>
      <c r="H1" s="2" t="n"/>
      <c r="I1" s="2" t="n"/>
      <c r="J1" s="2" t="n"/>
      <c r="K1" s="2" t="n"/>
      <c r="L1" s="280"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82" t="n"/>
      <c r="C4" s="308"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9" t="n">
        <v>253.7</v>
      </c>
      <c r="C6" s="15" t="inlineStr">
        <is>
          <t>Man/Day</t>
        </is>
      </c>
      <c r="D6" s="279" t="inlineStr">
        <is>
          <t>프로젝트 전체의 작업량을 Man/Day로 표시, 자원수를 적용한 값</t>
        </is>
      </c>
      <c r="E6" s="310" t="n"/>
      <c r="F6" s="310" t="n"/>
      <c r="G6" s="310"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9" t="n">
        <v>51.3</v>
      </c>
      <c r="C9" s="15" t="inlineStr">
        <is>
          <t>Man/Day</t>
        </is>
      </c>
      <c r="D9" s="283" t="inlineStr">
        <is>
          <t>프로젝트 시작일부터 현재일까지의 작업량(현재 날짜까지 진행되었어야 할 작업량) (PV)</t>
        </is>
      </c>
      <c r="E9" s="310" t="n"/>
      <c r="F9" s="310" t="n"/>
      <c r="G9" s="310"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9" t="n">
        <v>59.47</v>
      </c>
      <c r="C12" s="15" t="inlineStr">
        <is>
          <t>Man/Day</t>
        </is>
      </c>
      <c r="D12" s="283" t="inlineStr">
        <is>
          <t>실적기성(프로젝트 전체 작업량 x 실적 진척률) (EV)</t>
        </is>
      </c>
      <c r="E12" s="310" t="n"/>
      <c r="F12" s="310" t="n"/>
      <c r="G12" s="310"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9" t="n"/>
      <c r="C15" s="15" t="inlineStr">
        <is>
          <t>Man/Day</t>
        </is>
      </c>
      <c r="D15" s="278" t="inlineStr">
        <is>
          <t>일정변경 관리할 때 현재까지 실제로 투입된 작업량을 표시함 (AC)</t>
        </is>
      </c>
      <c r="E15" s="310" t="n"/>
      <c r="F15" s="310" t="n"/>
      <c r="G15" s="310"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0.2022073314938904</v>
      </c>
      <c r="D18" s="278" t="inlineStr">
        <is>
          <t>현재날짜까지 계획된 진척률, WBS의 "계획진척률"의 전체 합계 진척률을 표시</t>
        </is>
      </c>
      <c r="E18" s="310" t="n"/>
      <c r="F18" s="310" t="n"/>
      <c r="G18" s="310"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8" t="inlineStr">
        <is>
          <t>현재날짜까지 실제로 진행된 진척률, WBS의 "실적진척률"의 전체 합계 진척률을 표시</t>
        </is>
      </c>
      <c r="E21" s="310" t="n"/>
      <c r="F21" s="310" t="n"/>
      <c r="G21" s="310"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9" t="inlineStr">
        <is>
          <t>양수이면 계획보다 빨리 진행, 음수이면 지연</t>
        </is>
      </c>
      <c r="E24" s="310" t="n"/>
      <c r="F24" s="310" t="n"/>
      <c r="G24" s="310" t="n"/>
    </row>
    <row r="25" ht="12.75" customFormat="1" customHeight="1" s="15">
      <c r="A25" s="50" t="n"/>
      <c r="B25" s="51" t="n"/>
      <c r="C25" s="52" t="n"/>
      <c r="D25" s="53" t="n"/>
      <c r="E25" s="53" t="n"/>
      <c r="F25" s="53" t="n"/>
      <c r="G25" s="53" t="n"/>
    </row>
    <row r="26" customFormat="1" s="56">
      <c r="A26" s="54" t="n"/>
      <c r="B26" s="55" t="n"/>
    </row>
    <row r="27">
      <c r="B27" s="311" t="n"/>
      <c r="G27" s="57" t="n"/>
    </row>
    <row r="28">
      <c r="B28" s="195" t="n"/>
    </row>
    <row r="29">
      <c r="B29" s="60" t="n"/>
    </row>
    <row r="30">
      <c r="B30" s="31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0">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6" min="1" max="1"/>
    <col width="10" bestFit="1" customWidth="1" style="226" min="2" max="3"/>
    <col width="9.125" customWidth="1" style="226" min="4" max="4"/>
    <col width="9" bestFit="1" customWidth="1" style="226" min="5" max="5"/>
    <col width="9" bestFit="1" customWidth="1" style="227" min="6" max="6"/>
    <col width="9" bestFit="1" customWidth="1" style="226" min="7" max="10"/>
    <col width="9.375" bestFit="1" customWidth="1" style="226" min="11" max="11"/>
    <col width="9" bestFit="1" customWidth="1" style="226" min="12" max="12"/>
    <col width="9.125" customWidth="1" style="226" min="13" max="16384"/>
  </cols>
  <sheetData>
    <row r="1" ht="36.95" customHeight="1">
      <c r="B1" s="228" t="inlineStr">
        <is>
          <t>프로젝트 진척률(주별)</t>
        </is>
      </c>
    </row>
    <row r="2">
      <c r="B2" s="226" t="inlineStr">
        <is>
          <t>* 주별로 프로젝트 진척률을 보여줍니다.</t>
        </is>
      </c>
    </row>
    <row r="3">
      <c r="B3" s="226"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22"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23" t="inlineStr">
        <is>
          <t>실제투입작업량 진척률</t>
        </is>
      </c>
    </row>
    <row r="7">
      <c r="B7" s="229" t="n">
        <v>46086</v>
      </c>
      <c r="C7" s="229" t="n">
        <v>46088</v>
      </c>
      <c r="D7" s="230" t="n">
        <v>4</v>
      </c>
      <c r="E7" s="230" t="n">
        <v>4</v>
      </c>
      <c r="F7" s="233" t="n">
        <v>0.01576665352778873</v>
      </c>
      <c r="G7" s="230" t="n">
        <v>4</v>
      </c>
      <c r="H7" s="230" t="n">
        <v>4</v>
      </c>
      <c r="I7" s="233" t="n">
        <v>0.01576665352778873</v>
      </c>
      <c r="J7" s="230" t="n">
        <v>0</v>
      </c>
      <c r="K7" s="230" t="n">
        <v>0</v>
      </c>
      <c r="L7" s="233" t="n">
        <v>0</v>
      </c>
    </row>
    <row r="8">
      <c r="B8" s="231" t="n">
        <v>46089</v>
      </c>
      <c r="C8" s="231" t="n">
        <v>46095</v>
      </c>
      <c r="D8" s="232" t="n">
        <v>7</v>
      </c>
      <c r="E8" s="232" t="n">
        <v>11</v>
      </c>
      <c r="F8" s="234" t="n">
        <v>0.043358297201419</v>
      </c>
      <c r="G8" s="232" t="n">
        <v>7</v>
      </c>
      <c r="H8" s="232" t="n">
        <v>11</v>
      </c>
      <c r="I8" s="234" t="n">
        <v>0.043358297201419</v>
      </c>
      <c r="J8" s="232" t="n">
        <v>0</v>
      </c>
      <c r="K8" s="232" t="n">
        <v>0</v>
      </c>
      <c r="L8" s="234" t="n">
        <v>0</v>
      </c>
    </row>
    <row r="9">
      <c r="B9" s="231" t="n">
        <v>46096</v>
      </c>
      <c r="C9" s="231" t="n">
        <v>46102</v>
      </c>
      <c r="D9" s="232" t="n">
        <v>8</v>
      </c>
      <c r="E9" s="232" t="n">
        <v>19</v>
      </c>
      <c r="F9" s="234" t="n">
        <v>0.07489160425699645</v>
      </c>
      <c r="G9" s="232" t="n">
        <v>8</v>
      </c>
      <c r="H9" s="232" t="n">
        <v>19</v>
      </c>
      <c r="I9" s="234" t="n">
        <v>0.07489160425699645</v>
      </c>
      <c r="J9" s="232" t="n">
        <v>0</v>
      </c>
      <c r="K9" s="232" t="n">
        <v>0</v>
      </c>
      <c r="L9" s="234" t="n">
        <v>0</v>
      </c>
    </row>
    <row r="10">
      <c r="B10" s="231" t="n">
        <v>46103</v>
      </c>
      <c r="C10" s="231" t="n">
        <v>46109</v>
      </c>
      <c r="D10" s="232" t="n">
        <v>16.4</v>
      </c>
      <c r="E10" s="232" t="n">
        <v>35.4</v>
      </c>
      <c r="F10" s="234" t="n">
        <v>0.1395348837209302</v>
      </c>
      <c r="G10" s="232" t="n">
        <v>15.38</v>
      </c>
      <c r="H10" s="232" t="n">
        <v>34.38</v>
      </c>
      <c r="I10" s="234" t="n">
        <v>0.1355143870713441</v>
      </c>
      <c r="J10" s="232" t="n">
        <v>0</v>
      </c>
      <c r="K10" s="232" t="n">
        <v>0</v>
      </c>
      <c r="L10" s="234" t="n">
        <v>0</v>
      </c>
    </row>
    <row r="11">
      <c r="B11" s="231" t="n">
        <v>46110</v>
      </c>
      <c r="C11" s="231" t="n">
        <v>46116</v>
      </c>
      <c r="D11" s="232" t="n">
        <v>10.9</v>
      </c>
      <c r="E11" s="232" t="n">
        <v>46.3</v>
      </c>
      <c r="F11" s="234" t="n">
        <v>0.1824990145841545</v>
      </c>
      <c r="G11" s="232" t="n">
        <v>12.39</v>
      </c>
      <c r="H11" s="232" t="n">
        <v>46.77</v>
      </c>
      <c r="I11" s="234" t="n">
        <v>0.1843515963736697</v>
      </c>
      <c r="J11" s="232" t="n">
        <v>0</v>
      </c>
      <c r="K11" s="232" t="n">
        <v>0</v>
      </c>
      <c r="L11" s="234" t="n">
        <v>0</v>
      </c>
    </row>
    <row r="12">
      <c r="B12" s="231" t="n">
        <v>46117</v>
      </c>
      <c r="C12" s="231" t="n">
        <v>46123</v>
      </c>
      <c r="D12" s="232" t="n">
        <v>11</v>
      </c>
      <c r="E12" s="232" t="n">
        <v>57.3</v>
      </c>
      <c r="F12" s="234" t="n">
        <v>0.2258573117855735</v>
      </c>
      <c r="G12" s="232" t="n">
        <v>12.7</v>
      </c>
      <c r="H12" s="232" t="n">
        <v>59.47</v>
      </c>
      <c r="I12" s="234" t="n">
        <v>0.2344107213243989</v>
      </c>
      <c r="J12" s="232" t="n">
        <v>0</v>
      </c>
      <c r="K12" s="232" t="n">
        <v>0</v>
      </c>
      <c r="L12" s="234" t="n">
        <v>0</v>
      </c>
    </row>
    <row r="13">
      <c r="B13" s="231" t="n">
        <v>46124</v>
      </c>
      <c r="C13" s="231" t="n">
        <v>46130</v>
      </c>
      <c r="D13" s="232" t="n">
        <v>6</v>
      </c>
      <c r="E13" s="232" t="n">
        <v>63.3</v>
      </c>
      <c r="F13" s="234" t="n">
        <v>0.2495072920772566</v>
      </c>
      <c r="G13" s="232" t="n">
        <v>0</v>
      </c>
      <c r="H13" s="232" t="n">
        <v>59.47</v>
      </c>
      <c r="I13" s="234" t="n">
        <v>0.2344107213243989</v>
      </c>
      <c r="J13" s="232" t="n">
        <v>0</v>
      </c>
      <c r="K13" s="232" t="n">
        <v>0</v>
      </c>
      <c r="L13" s="234" t="n">
        <v>0</v>
      </c>
    </row>
    <row r="14">
      <c r="B14" s="231" t="n">
        <v>46131</v>
      </c>
      <c r="C14" s="231" t="n">
        <v>46137</v>
      </c>
      <c r="D14" s="232" t="n">
        <v>5</v>
      </c>
      <c r="E14" s="232" t="n">
        <v>68.3</v>
      </c>
      <c r="F14" s="234" t="n">
        <v>0.2692156089869925</v>
      </c>
      <c r="G14" s="232" t="n">
        <v>0</v>
      </c>
      <c r="H14" s="232" t="n">
        <v>59.47</v>
      </c>
      <c r="I14" s="234" t="n">
        <v>0.2344107213243989</v>
      </c>
      <c r="J14" s="232" t="n">
        <v>0</v>
      </c>
      <c r="K14" s="232" t="n">
        <v>0</v>
      </c>
      <c r="L14" s="234" t="n">
        <v>0</v>
      </c>
    </row>
    <row r="15">
      <c r="B15" s="231" t="n">
        <v>46138</v>
      </c>
      <c r="C15" s="231" t="n">
        <v>46144</v>
      </c>
      <c r="D15" s="232" t="n">
        <v>3.2</v>
      </c>
      <c r="E15" s="232" t="n">
        <v>71.5</v>
      </c>
      <c r="F15" s="234" t="n">
        <v>0.2818289318092235</v>
      </c>
      <c r="G15" s="232" t="n">
        <v>0</v>
      </c>
      <c r="H15" s="232" t="n">
        <v>59.47</v>
      </c>
      <c r="I15" s="234" t="n">
        <v>0.2344107213243989</v>
      </c>
      <c r="J15" s="232" t="n">
        <v>0</v>
      </c>
      <c r="K15" s="232" t="n">
        <v>0</v>
      </c>
      <c r="L15" s="234" t="n">
        <v>0</v>
      </c>
    </row>
    <row r="16">
      <c r="B16" s="231" t="n">
        <v>46145</v>
      </c>
      <c r="C16" s="231" t="n">
        <v>46151</v>
      </c>
      <c r="D16" s="232" t="n">
        <v>15</v>
      </c>
      <c r="E16" s="232" t="n">
        <v>86.5</v>
      </c>
      <c r="F16" s="234" t="n">
        <v>0.3409538825384312</v>
      </c>
      <c r="G16" s="232" t="n">
        <v>0</v>
      </c>
      <c r="H16" s="232" t="n">
        <v>59.47</v>
      </c>
      <c r="I16" s="234" t="n">
        <v>0.2344107213243989</v>
      </c>
      <c r="J16" s="232" t="n">
        <v>0</v>
      </c>
      <c r="K16" s="232" t="n">
        <v>0</v>
      </c>
      <c r="L16" s="234" t="n">
        <v>0</v>
      </c>
    </row>
    <row r="17">
      <c r="B17" s="231" t="n">
        <v>46152</v>
      </c>
      <c r="C17" s="231" t="n">
        <v>46158</v>
      </c>
      <c r="D17" s="232" t="n">
        <v>15</v>
      </c>
      <c r="E17" s="232" t="n">
        <v>101.5</v>
      </c>
      <c r="F17" s="234" t="n">
        <v>0.400078833267639</v>
      </c>
      <c r="G17" s="232" t="n">
        <v>0</v>
      </c>
      <c r="H17" s="232" t="n">
        <v>59.47</v>
      </c>
      <c r="I17" s="234" t="n">
        <v>0.2344107213243989</v>
      </c>
      <c r="J17" s="232" t="n">
        <v>0</v>
      </c>
      <c r="K17" s="232" t="n">
        <v>0</v>
      </c>
      <c r="L17" s="234" t="n">
        <v>0</v>
      </c>
    </row>
    <row r="18">
      <c r="B18" s="231" t="n">
        <v>46159</v>
      </c>
      <c r="C18" s="231" t="n">
        <v>46165</v>
      </c>
      <c r="D18" s="232" t="n">
        <v>18</v>
      </c>
      <c r="E18" s="232" t="n">
        <v>119.5</v>
      </c>
      <c r="F18" s="234" t="n">
        <v>0.4710287741426882</v>
      </c>
      <c r="G18" s="232" t="n">
        <v>0</v>
      </c>
      <c r="H18" s="232" t="n">
        <v>59.47</v>
      </c>
      <c r="I18" s="234" t="n">
        <v>0.2344107213243989</v>
      </c>
      <c r="J18" s="232" t="n">
        <v>0</v>
      </c>
      <c r="K18" s="232" t="n">
        <v>0</v>
      </c>
      <c r="L18" s="234" t="n">
        <v>0</v>
      </c>
    </row>
    <row r="19">
      <c r="B19" s="231" t="n">
        <v>46166</v>
      </c>
      <c r="C19" s="231" t="n">
        <v>46172</v>
      </c>
      <c r="D19" s="232" t="n">
        <v>16</v>
      </c>
      <c r="E19" s="232" t="n">
        <v>135.5</v>
      </c>
      <c r="F19" s="234" t="n">
        <v>0.5340953882538432</v>
      </c>
      <c r="G19" s="232" t="n">
        <v>0</v>
      </c>
      <c r="H19" s="232" t="n">
        <v>59.47</v>
      </c>
      <c r="I19" s="234" t="n">
        <v>0.2344107213243989</v>
      </c>
      <c r="J19" s="232" t="n">
        <v>0</v>
      </c>
      <c r="K19" s="232" t="n">
        <v>0</v>
      </c>
      <c r="L19" s="234" t="n">
        <v>0</v>
      </c>
    </row>
    <row r="20">
      <c r="B20" s="231" t="n">
        <v>46173</v>
      </c>
      <c r="C20" s="231" t="n">
        <v>46179</v>
      </c>
      <c r="D20" s="232" t="n">
        <v>16.2</v>
      </c>
      <c r="E20" s="232" t="n">
        <v>151.7</v>
      </c>
      <c r="F20" s="234" t="n">
        <v>0.5979503350413874</v>
      </c>
      <c r="G20" s="232" t="n">
        <v>0</v>
      </c>
      <c r="H20" s="232" t="n">
        <v>59.47</v>
      </c>
      <c r="I20" s="234" t="n">
        <v>0.2344107213243989</v>
      </c>
      <c r="J20" s="232" t="n">
        <v>0</v>
      </c>
      <c r="K20" s="232" t="n">
        <v>0</v>
      </c>
      <c r="L20" s="234" t="n">
        <v>0</v>
      </c>
    </row>
    <row r="21">
      <c r="B21" s="231" t="n">
        <v>46180</v>
      </c>
      <c r="C21" s="231" t="n">
        <v>46186</v>
      </c>
      <c r="D21" s="232" t="n">
        <v>20</v>
      </c>
      <c r="E21" s="232" t="n">
        <v>171.7</v>
      </c>
      <c r="F21" s="234" t="n">
        <v>0.6767836026803311</v>
      </c>
      <c r="G21" s="232" t="n">
        <v>0</v>
      </c>
      <c r="H21" s="232" t="n">
        <v>59.47</v>
      </c>
      <c r="I21" s="234" t="n">
        <v>0.2344107213243989</v>
      </c>
      <c r="J21" s="232" t="n">
        <v>0</v>
      </c>
      <c r="K21" s="232" t="n">
        <v>0</v>
      </c>
      <c r="L21" s="234" t="n">
        <v>0</v>
      </c>
    </row>
    <row r="22">
      <c r="B22" s="231" t="n">
        <v>46187</v>
      </c>
      <c r="C22" s="231" t="n">
        <v>46193</v>
      </c>
      <c r="D22" s="232" t="n">
        <v>22</v>
      </c>
      <c r="E22" s="232" t="n">
        <v>193.7</v>
      </c>
      <c r="F22" s="234" t="n">
        <v>0.7635001970831691</v>
      </c>
      <c r="G22" s="232" t="n">
        <v>0</v>
      </c>
      <c r="H22" s="232" t="n">
        <v>59.47</v>
      </c>
      <c r="I22" s="234" t="n">
        <v>0.2344107213243989</v>
      </c>
      <c r="J22" s="232" t="n">
        <v>0</v>
      </c>
      <c r="K22" s="232" t="n">
        <v>0</v>
      </c>
      <c r="L22" s="234" t="n">
        <v>0</v>
      </c>
    </row>
    <row r="23">
      <c r="B23" s="231" t="n">
        <v>46194</v>
      </c>
      <c r="C23" s="231" t="n">
        <v>46200</v>
      </c>
      <c r="D23" s="232" t="n">
        <v>24</v>
      </c>
      <c r="E23" s="232" t="n">
        <v>217.7</v>
      </c>
      <c r="F23" s="234" t="n">
        <v>0.8581001182499014</v>
      </c>
      <c r="G23" s="232" t="n">
        <v>0</v>
      </c>
      <c r="H23" s="232" t="n">
        <v>59.47</v>
      </c>
      <c r="I23" s="234" t="n">
        <v>0.2344107213243989</v>
      </c>
      <c r="J23" s="232" t="n">
        <v>0</v>
      </c>
      <c r="K23" s="232" t="n">
        <v>0</v>
      </c>
      <c r="L23" s="234" t="n">
        <v>0</v>
      </c>
    </row>
    <row r="24">
      <c r="B24" s="231" t="n">
        <v>46201</v>
      </c>
      <c r="C24" s="231" t="n">
        <v>46207</v>
      </c>
      <c r="D24" s="232" t="n">
        <v>8</v>
      </c>
      <c r="E24" s="232" t="n">
        <v>225.7</v>
      </c>
      <c r="F24" s="234" t="n">
        <v>0.889633425305479</v>
      </c>
      <c r="G24" s="232" t="n">
        <v>0</v>
      </c>
      <c r="H24" s="232" t="n">
        <v>59.47</v>
      </c>
      <c r="I24" s="234" t="n">
        <v>0.2344107213243989</v>
      </c>
      <c r="J24" s="232" t="n">
        <v>0</v>
      </c>
      <c r="K24" s="232" t="n">
        <v>0</v>
      </c>
      <c r="L24" s="234" t="n">
        <v>0</v>
      </c>
    </row>
    <row r="25">
      <c r="B25" s="231" t="n">
        <v>46208</v>
      </c>
      <c r="C25" s="231" t="n">
        <v>46214</v>
      </c>
      <c r="D25" s="232" t="n">
        <v>7</v>
      </c>
      <c r="E25" s="232" t="n">
        <v>232.7</v>
      </c>
      <c r="F25" s="234" t="n">
        <v>0.9172250689791092</v>
      </c>
      <c r="G25" s="232" t="n">
        <v>0</v>
      </c>
      <c r="H25" s="232" t="n">
        <v>59.47</v>
      </c>
      <c r="I25" s="234" t="n">
        <v>0.2344107213243989</v>
      </c>
      <c r="J25" s="232" t="n">
        <v>0</v>
      </c>
      <c r="K25" s="232" t="n">
        <v>0</v>
      </c>
      <c r="L25" s="234" t="n">
        <v>0</v>
      </c>
    </row>
    <row r="26">
      <c r="B26" s="231" t="n">
        <v>46215</v>
      </c>
      <c r="C26" s="231" t="n">
        <v>46221</v>
      </c>
      <c r="D26" s="232" t="n">
        <v>5</v>
      </c>
      <c r="E26" s="232" t="n">
        <v>237.7</v>
      </c>
      <c r="F26" s="234" t="n">
        <v>0.9369333858888451</v>
      </c>
      <c r="G26" s="232" t="n">
        <v>0</v>
      </c>
      <c r="H26" s="232" t="n">
        <v>59.47</v>
      </c>
      <c r="I26" s="234" t="n">
        <v>0.2344107213243989</v>
      </c>
      <c r="J26" s="232" t="n">
        <v>0</v>
      </c>
      <c r="K26" s="232" t="n">
        <v>0</v>
      </c>
      <c r="L26" s="234" t="n">
        <v>0</v>
      </c>
    </row>
    <row r="27">
      <c r="B27" s="231" t="n">
        <v>46222</v>
      </c>
      <c r="C27" s="231" t="n">
        <v>46228</v>
      </c>
      <c r="D27" s="232" t="n">
        <v>7</v>
      </c>
      <c r="E27" s="232" t="n">
        <v>244.7</v>
      </c>
      <c r="F27" s="234" t="n">
        <v>0.9645250295624753</v>
      </c>
      <c r="G27" s="232" t="n">
        <v>0</v>
      </c>
      <c r="H27" s="232" t="n">
        <v>59.47</v>
      </c>
      <c r="I27" s="234" t="n">
        <v>0.2344107213243989</v>
      </c>
      <c r="J27" s="232" t="n">
        <v>0</v>
      </c>
      <c r="K27" s="232" t="n">
        <v>0</v>
      </c>
      <c r="L27" s="234" t="n">
        <v>0</v>
      </c>
    </row>
    <row r="28">
      <c r="B28" s="231" t="n">
        <v>46229</v>
      </c>
      <c r="C28" s="231" t="n">
        <v>46235</v>
      </c>
      <c r="D28" s="232" t="n">
        <v>6</v>
      </c>
      <c r="E28" s="232" t="n">
        <v>250.7</v>
      </c>
      <c r="F28" s="234" t="n">
        <v>0.9881750098541584</v>
      </c>
      <c r="G28" s="232" t="n">
        <v>0</v>
      </c>
      <c r="H28" s="232" t="n">
        <v>59.47</v>
      </c>
      <c r="I28" s="234" t="n">
        <v>0.2344107213243989</v>
      </c>
      <c r="J28" s="232" t="n">
        <v>0</v>
      </c>
      <c r="K28" s="232" t="n">
        <v>0</v>
      </c>
      <c r="L28" s="234" t="n">
        <v>0</v>
      </c>
    </row>
    <row r="29">
      <c r="B29" s="231" t="n">
        <v>46236</v>
      </c>
      <c r="C29" s="231" t="n">
        <v>46240</v>
      </c>
      <c r="D29" s="232" t="n">
        <v>3</v>
      </c>
      <c r="E29" s="232" t="n">
        <v>253.7</v>
      </c>
      <c r="F29" s="234" t="n">
        <v>1</v>
      </c>
      <c r="G29" s="232" t="n">
        <v>0</v>
      </c>
      <c r="H29" s="232" t="n">
        <v>59.47</v>
      </c>
      <c r="I29" s="234" t="n">
        <v>0.2344107213243989</v>
      </c>
      <c r="J29" s="232" t="n">
        <v>0</v>
      </c>
      <c r="K29" s="232" t="n">
        <v>0</v>
      </c>
      <c r="L29" s="234"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3" t="n">
        <v>46086</v>
      </c>
      <c r="B2" s="204" t="n">
        <v>10</v>
      </c>
      <c r="C2" s="205" t="n">
        <v>3</v>
      </c>
      <c r="D2" s="205" t="n">
        <v>3</v>
      </c>
      <c r="E2" s="194" t="n">
        <v>0.01182499014584155</v>
      </c>
      <c r="F2" s="205" t="n">
        <v>3</v>
      </c>
      <c r="G2" s="205" t="n">
        <v>3</v>
      </c>
      <c r="H2" s="194" t="n">
        <v>0.01182499014584155</v>
      </c>
      <c r="I2" s="205" t="n">
        <v>0</v>
      </c>
      <c r="J2" s="205" t="n">
        <v>0</v>
      </c>
      <c r="K2" s="194" t="n">
        <v>0</v>
      </c>
    </row>
    <row r="3">
      <c r="A3" s="313" t="n">
        <v>46087</v>
      </c>
      <c r="B3" s="204" t="n">
        <v>10</v>
      </c>
      <c r="C3" s="205" t="n">
        <v>1</v>
      </c>
      <c r="D3" s="205" t="n">
        <v>4</v>
      </c>
      <c r="E3" s="194" t="n">
        <v>0.01576665352778873</v>
      </c>
      <c r="F3" s="205" t="n">
        <v>1</v>
      </c>
      <c r="G3" s="205" t="n">
        <v>4</v>
      </c>
      <c r="H3" s="194" t="n">
        <v>0.01576665352778873</v>
      </c>
      <c r="I3" s="205" t="n">
        <v>0</v>
      </c>
      <c r="J3" s="205" t="n">
        <v>0</v>
      </c>
      <c r="K3" s="194" t="n">
        <v>0</v>
      </c>
    </row>
    <row r="4">
      <c r="A4" s="313" t="n">
        <v>46088</v>
      </c>
      <c r="B4" s="204" t="n">
        <v>10</v>
      </c>
      <c r="C4" s="205" t="n">
        <v>0</v>
      </c>
      <c r="D4" s="205" t="n">
        <v>4</v>
      </c>
      <c r="E4" s="194" t="n">
        <v>0.01576665352778873</v>
      </c>
      <c r="F4" s="205" t="n">
        <v>0</v>
      </c>
      <c r="G4" s="205" t="n">
        <v>4</v>
      </c>
      <c r="H4" s="194" t="n">
        <v>0.01576665352778873</v>
      </c>
      <c r="I4" s="205" t="n">
        <v>0</v>
      </c>
      <c r="J4" s="205" t="n">
        <v>0</v>
      </c>
      <c r="K4" s="194" t="n">
        <v>0</v>
      </c>
    </row>
    <row r="5">
      <c r="A5" s="313" t="n">
        <v>46089</v>
      </c>
      <c r="B5" s="204" t="n">
        <v>11</v>
      </c>
      <c r="C5" s="205" t="n">
        <v>0</v>
      </c>
      <c r="D5" s="205" t="n">
        <v>4</v>
      </c>
      <c r="E5" s="194" t="n">
        <v>0.01576665352778873</v>
      </c>
      <c r="F5" s="205" t="n">
        <v>0</v>
      </c>
      <c r="G5" s="205" t="n">
        <v>4</v>
      </c>
      <c r="H5" s="194" t="n">
        <v>0.01576665352778873</v>
      </c>
      <c r="I5" s="205" t="n">
        <v>0</v>
      </c>
      <c r="J5" s="205" t="n">
        <v>0</v>
      </c>
      <c r="K5" s="194" t="n">
        <v>0</v>
      </c>
    </row>
    <row r="6">
      <c r="A6" s="313" t="n">
        <v>46090</v>
      </c>
      <c r="B6" s="204" t="n">
        <v>11</v>
      </c>
      <c r="C6" s="205" t="n">
        <v>1</v>
      </c>
      <c r="D6" s="205" t="n">
        <v>5</v>
      </c>
      <c r="E6" s="194" t="n">
        <v>0.01970831690973591</v>
      </c>
      <c r="F6" s="205" t="n">
        <v>1</v>
      </c>
      <c r="G6" s="205" t="n">
        <v>5</v>
      </c>
      <c r="H6" s="194" t="n">
        <v>0.01970831690973591</v>
      </c>
      <c r="I6" s="205" t="n">
        <v>0</v>
      </c>
      <c r="J6" s="205" t="n">
        <v>0</v>
      </c>
      <c r="K6" s="194" t="n">
        <v>0</v>
      </c>
    </row>
    <row r="7">
      <c r="A7" s="313" t="n">
        <v>46091</v>
      </c>
      <c r="B7" s="204" t="n">
        <v>11</v>
      </c>
      <c r="C7" s="205" t="n">
        <v>1</v>
      </c>
      <c r="D7" s="205" t="n">
        <v>6</v>
      </c>
      <c r="E7" s="194" t="n">
        <v>0.02364998029168309</v>
      </c>
      <c r="F7" s="205" t="n">
        <v>1</v>
      </c>
      <c r="G7" s="205" t="n">
        <v>6</v>
      </c>
      <c r="H7" s="194" t="n">
        <v>0.02364998029168309</v>
      </c>
      <c r="I7" s="205" t="n">
        <v>0</v>
      </c>
      <c r="J7" s="205" t="n">
        <v>0</v>
      </c>
      <c r="K7" s="194" t="n">
        <v>0</v>
      </c>
    </row>
    <row r="8">
      <c r="A8" s="313" t="n">
        <v>46092</v>
      </c>
      <c r="B8" s="204" t="n">
        <v>11</v>
      </c>
      <c r="C8" s="205" t="n">
        <v>1</v>
      </c>
      <c r="D8" s="205" t="n">
        <v>7</v>
      </c>
      <c r="E8" s="194" t="n">
        <v>0.02759164367363027</v>
      </c>
      <c r="F8" s="205" t="n">
        <v>1</v>
      </c>
      <c r="G8" s="205" t="n">
        <v>7</v>
      </c>
      <c r="H8" s="194" t="n">
        <v>0.02759164367363027</v>
      </c>
      <c r="I8" s="205" t="n">
        <v>0</v>
      </c>
      <c r="J8" s="205" t="n">
        <v>0</v>
      </c>
      <c r="K8" s="194" t="n">
        <v>0</v>
      </c>
    </row>
    <row r="9">
      <c r="A9" s="313" t="n">
        <v>46093</v>
      </c>
      <c r="B9" s="204" t="n">
        <v>11</v>
      </c>
      <c r="C9" s="205" t="n">
        <v>2</v>
      </c>
      <c r="D9" s="205" t="n">
        <v>9</v>
      </c>
      <c r="E9" s="194" t="n">
        <v>0.03547497043752464</v>
      </c>
      <c r="F9" s="205" t="n">
        <v>2</v>
      </c>
      <c r="G9" s="205" t="n">
        <v>9</v>
      </c>
      <c r="H9" s="194" t="n">
        <v>0.03547497043752464</v>
      </c>
      <c r="I9" s="205" t="n">
        <v>0</v>
      </c>
      <c r="J9" s="205" t="n">
        <v>0</v>
      </c>
      <c r="K9" s="194" t="n">
        <v>0</v>
      </c>
    </row>
    <row r="10">
      <c r="A10" s="313" t="n">
        <v>46094</v>
      </c>
      <c r="B10" s="204" t="n">
        <v>11</v>
      </c>
      <c r="C10" s="205" t="n">
        <v>2</v>
      </c>
      <c r="D10" s="205" t="n">
        <v>11</v>
      </c>
      <c r="E10" s="194" t="n">
        <v>0.043358297201419</v>
      </c>
      <c r="F10" s="205" t="n">
        <v>2</v>
      </c>
      <c r="G10" s="205" t="n">
        <v>11</v>
      </c>
      <c r="H10" s="194" t="n">
        <v>0.043358297201419</v>
      </c>
      <c r="I10" s="205" t="n">
        <v>0</v>
      </c>
      <c r="J10" s="205" t="n">
        <v>0</v>
      </c>
      <c r="K10" s="194" t="n">
        <v>0</v>
      </c>
    </row>
    <row r="11">
      <c r="A11" s="313" t="n">
        <v>46095</v>
      </c>
      <c r="B11" s="204" t="n">
        <v>11</v>
      </c>
      <c r="C11" s="205" t="n">
        <v>0</v>
      </c>
      <c r="D11" s="205" t="n">
        <v>11</v>
      </c>
      <c r="E11" s="194" t="n">
        <v>0.043358297201419</v>
      </c>
      <c r="F11" s="205" t="n">
        <v>0</v>
      </c>
      <c r="G11" s="205" t="n">
        <v>11</v>
      </c>
      <c r="H11" s="194" t="n">
        <v>0.043358297201419</v>
      </c>
      <c r="I11" s="205" t="n">
        <v>0</v>
      </c>
      <c r="J11" s="205" t="n">
        <v>0</v>
      </c>
      <c r="K11" s="194" t="n">
        <v>0</v>
      </c>
    </row>
    <row r="12">
      <c r="A12" s="313" t="n">
        <v>46096</v>
      </c>
      <c r="B12" s="204" t="n">
        <v>12</v>
      </c>
      <c r="C12" s="205" t="n">
        <v>0</v>
      </c>
      <c r="D12" s="205" t="n">
        <v>11</v>
      </c>
      <c r="E12" s="194" t="n">
        <v>0.043358297201419</v>
      </c>
      <c r="F12" s="205" t="n">
        <v>0</v>
      </c>
      <c r="G12" s="205" t="n">
        <v>11</v>
      </c>
      <c r="H12" s="194" t="n">
        <v>0.043358297201419</v>
      </c>
      <c r="I12" s="205" t="n">
        <v>0</v>
      </c>
      <c r="J12" s="205" t="n">
        <v>0</v>
      </c>
      <c r="K12" s="194" t="n">
        <v>0</v>
      </c>
    </row>
    <row r="13">
      <c r="A13" s="313"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3"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3"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3"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3"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3"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3"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3"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3"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3"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3"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3"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3"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3"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3"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3"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3"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3"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3"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3"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3"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3"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3"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3"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3"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3"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3"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3"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3"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3"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3"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3"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3"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3"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3"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3"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3"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3"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3"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3"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3"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3"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3"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3"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3"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3"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3"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3"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3"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3"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3"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3"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3"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3"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3"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3"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3"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3"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3"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3"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3"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3"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3"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3"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3"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3"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3"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3"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3"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3"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3"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3"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3"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3"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3"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3"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3"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3"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3"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3"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3"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3"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3"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3"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3"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3"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3"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3"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3"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3"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3"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3"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3"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3"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3"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3"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3"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3"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3"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3"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3"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3"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3"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3"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3"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3"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3"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3"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3"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3"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3"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3"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3"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3"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3"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3"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3"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3"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3"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3"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3"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3"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3"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3"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3"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3"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3"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3"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3"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3"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3"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3"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3"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3"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3"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3"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3"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3"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3"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3"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3"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3"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3"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3"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8" t="inlineStr">
        <is>
          <t xml:space="preserve"> 프로젝트 휴무일 Calendar 설정</t>
        </is>
      </c>
      <c r="B1" s="228" t="n"/>
      <c r="C1" s="228" t="n"/>
      <c r="D1" s="228" t="n"/>
      <c r="E1" s="228" t="n"/>
      <c r="F1" s="228" t="n"/>
      <c r="G1" s="228" t="n"/>
      <c r="H1" s="228" t="n"/>
    </row>
    <row r="2" ht="78.75" customFormat="1" customHeight="1" s="63">
      <c r="A2" s="284"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6" t="inlineStr">
        <is>
          <t>표준캘린더</t>
        </is>
      </c>
      <c r="B3" s="314" t="n"/>
      <c r="D3" s="286" t="inlineStr">
        <is>
          <t>사용자정의 캘린더1</t>
        </is>
      </c>
      <c r="E3" s="314" t="n"/>
      <c r="G3" s="286" t="inlineStr">
        <is>
          <t>사용자정의 캘린더2</t>
        </is>
      </c>
      <c r="H3" s="314"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1"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2"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9">
      <c r="B628" s="127" t="n">
        <v>712</v>
      </c>
      <c r="C628" s="220" t="inlineStr">
        <is>
          <t>for help sheet</t>
        </is>
      </c>
      <c r="D628" s="221" t="inlineStr">
        <is>
          <t>Task input, schedule update</t>
        </is>
      </c>
      <c r="E628" s="221" t="inlineStr">
        <is>
          <t>작업입력, 스케줄 업데이트</t>
        </is>
      </c>
      <c r="F628" s="221"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46119.03824074074</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46119.03824074074</v>
      </c>
    </row>
    <row r="27">
      <c r="A27" s="68" t="inlineStr">
        <is>
          <t>OG</t>
        </is>
      </c>
      <c r="B27" s="68" t="inlineStr">
        <is>
          <t>scheduleSheetPosition</t>
        </is>
      </c>
      <c r="C27" s="67" t="inlineStr">
        <is>
          <t>SCHEDULE_SHEET_POSITION:3545151617181920212223242526272829303132</t>
        </is>
      </c>
      <c r="G27" s="70" t="n">
        <v>46141.47513888889</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46119.03824074074</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2026-05-26T02:09:15Z</dcterms:modified>
  <cp:lastModifiedBy>ds</cp:lastModifiedBy>
  <cp:lastPrinted>2022-06-05T11:24:31Z</cp:lastPrinted>
</cp:coreProperties>
</file>