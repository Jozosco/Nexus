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 name="금주_작업범위" sheetId="11" state="visible" r:id="rId11"/>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69">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s>
  <fills count="24">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s>
  <borders count="3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s>
  <cellStyleXfs count="3">
    <xf numFmtId="0" fontId="30" fillId="0" borderId="0"/>
    <xf numFmtId="0" fontId="2" fillId="0" borderId="0"/>
    <xf numFmtId="9" fontId="30" fillId="0" borderId="0" applyAlignment="1">
      <alignment vertical="center"/>
    </xf>
  </cellStyleXfs>
  <cellXfs count="315">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220" t="n"/>
      <c r="AF5" s="120" t="n"/>
      <c r="AG5" s="121" t="n"/>
      <c r="AH5" s="121" t="n"/>
      <c r="AI5" s="121" t="n"/>
      <c r="AJ5" s="121" t="n"/>
      <c r="AK5" s="121" t="n"/>
      <c r="AL5" s="121" t="n"/>
      <c r="AM5" s="121" t="n"/>
      <c r="AN5" s="121">
        <f>"      " &amp; TEXT(AE5,"#0.00%") &amp; " "</f>
        <v/>
      </c>
      <c r="AO5" s="121" t="n"/>
      <c r="AP5" s="121" t="n"/>
      <c r="AQ5" s="121" t="n"/>
      <c r="AR5" s="121" t="n"/>
      <c r="AS5" s="121" t="n"/>
      <c r="AT5" s="121" t="n"/>
      <c r="AU5" s="121" t="n"/>
      <c r="AV5" s="121" t="n"/>
      <c r="AW5" s="121" t="n"/>
      <c r="AX5" s="121" t="n"/>
      <c r="AY5" s="121" t="n"/>
      <c r="AZ5" s="121" t="n"/>
      <c r="BA5" s="121" t="n"/>
      <c r="BB5" s="121">
        <f>"  " &amp; "프로젝트 관리" &amp; " " &amp; IF(P5="","",TEXT(P5,"M/D-")) &amp; IF(Q5="","",TEXT(Q5,"M/D")) &amp; " "</f>
        <v/>
      </c>
      <c r="BC5" s="121" t="n"/>
    </row>
    <row r="6" outlineLevel="1" ht="12" customHeight="1">
      <c r="A6" s="102" t="n"/>
      <c r="B6" s="102" t="inlineStr">
        <is>
          <t>G</t>
        </is>
      </c>
      <c r="C6" s="102" t="n">
        <v>2</v>
      </c>
      <c r="D6" s="118" t="inlineStr">
        <is>
          <t>1.1</t>
        </is>
      </c>
      <c r="E6" s="103" t="n"/>
      <c r="F6" s="103" t="inlineStr">
        <is>
          <t>Phase 1: 데이터 기반 정비 (2010~2025 분석창)</t>
        </is>
      </c>
      <c r="G6" s="103" t="n"/>
      <c r="H6" s="103" t="n"/>
      <c r="I6" s="103" t="n"/>
      <c r="J6" s="103" t="n"/>
      <c r="K6" s="103" t="n"/>
      <c r="L6" s="103" t="n"/>
      <c r="M6" s="103" t="n"/>
      <c r="N6" s="103" t="n"/>
      <c r="O6" s="103" t="n"/>
      <c r="P6" s="104" t="n">
        <v>46086</v>
      </c>
      <c r="Q6" s="104" t="n">
        <v>46248</v>
      </c>
      <c r="R6" s="103" t="n"/>
      <c r="S6" s="302" t="n"/>
      <c r="T6" s="302" t="n"/>
      <c r="U6" s="302" t="n"/>
      <c r="V6" s="302" t="n">
        <v>117</v>
      </c>
      <c r="W6" s="104" t="n"/>
      <c r="X6" s="104" t="n"/>
      <c r="Y6" s="303" t="n"/>
      <c r="Z6" s="107" t="n"/>
      <c r="AA6" s="302" t="n"/>
      <c r="AB6" s="103" t="inlineStr">
        <is>
          <t>조영훈</t>
        </is>
      </c>
      <c r="AC6" s="103" t="n"/>
      <c r="AD6" s="117" t="n"/>
      <c r="AE6" s="207" t="n"/>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[데이터수집] Databento BO=F 15개년 수집 (금주 신규)</t>
        </is>
      </c>
      <c r="H7" s="212" t="n"/>
      <c r="I7" s="103" t="n"/>
      <c r="J7" s="103" t="n"/>
      <c r="K7" s="103" t="n"/>
      <c r="L7" s="103" t="n"/>
      <c r="M7" s="103" t="n"/>
      <c r="N7" s="103" t="n"/>
      <c r="O7" s="103" t="n"/>
      <c r="P7" s="104" t="n">
        <v>46244</v>
      </c>
      <c r="Q7" s="104" t="n">
        <v>46246</v>
      </c>
      <c r="R7" s="103" t="n"/>
      <c r="S7" s="302" t="n"/>
      <c r="T7" s="302" t="n"/>
      <c r="U7" s="302" t="n"/>
      <c r="V7" s="302" t="n">
        <v>3</v>
      </c>
      <c r="W7" s="104" t="n"/>
      <c r="X7" s="104" t="n"/>
      <c r="Y7" s="303" t="n"/>
      <c r="Z7" s="107" t="n"/>
      <c r="AA7" s="302" t="n"/>
      <c r="AB7" s="103" t="inlineStr">
        <is>
          <t>조영훈</t>
        </is>
      </c>
      <c r="AC7" s="103" t="n"/>
      <c r="AD7" s="117" t="n"/>
      <c r="AE7" s="199" t="n"/>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관세청 GW 확장 (9품목×10개국)</t>
        </is>
      </c>
      <c r="H8" s="103" t="n"/>
      <c r="I8" s="103" t="n"/>
      <c r="J8" s="103" t="n"/>
      <c r="K8" s="103" t="n"/>
      <c r="L8" s="103" t="n"/>
      <c r="M8" s="103" t="n"/>
      <c r="N8" s="103" t="n"/>
      <c r="O8" s="103" t="n"/>
      <c r="P8" s="104" t="n">
        <v>46244</v>
      </c>
      <c r="Q8" s="104" t="n">
        <v>46247</v>
      </c>
      <c r="R8" s="103" t="n"/>
      <c r="S8" s="302" t="n"/>
      <c r="T8" s="302" t="n"/>
      <c r="U8" s="302" t="n"/>
      <c r="V8" s="302" t="n">
        <v>4</v>
      </c>
      <c r="W8" s="104" t="n"/>
      <c r="X8" s="104" t="n"/>
      <c r="Y8" s="303" t="n"/>
      <c r="Z8" s="107" t="n"/>
      <c r="AA8" s="302" t="n"/>
      <c r="AB8" s="103" t="inlineStr">
        <is>
          <t>조영훈</t>
        </is>
      </c>
      <c r="AC8" s="103" t="n"/>
      <c r="AD8" s="117" t="n"/>
      <c r="AE8" s="207" t="n"/>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3" ht="12" customHeight="1">
      <c r="A9" s="102" t="n"/>
      <c r="B9" s="102" t="n"/>
      <c r="C9" s="102" t="n">
        <v>3</v>
      </c>
      <c r="D9" s="118" t="inlineStr">
        <is>
          <t>1.1.3</t>
        </is>
      </c>
      <c r="E9" s="103" t="n"/>
      <c r="F9" s="103" t="n"/>
      <c r="G9" s="103" t="inlineStr">
        <is>
          <t>[데이터수집] API 오류 4종 수정 (PSD·ARMS·CDS·관세청 XML)</t>
        </is>
      </c>
      <c r="H9" s="103" t="n"/>
      <c r="I9" s="103" t="n"/>
      <c r="J9" s="103" t="n"/>
      <c r="K9" s="103" t="n"/>
      <c r="L9" s="103" t="n"/>
      <c r="M9" s="103" t="n"/>
      <c r="N9" s="103" t="n"/>
      <c r="O9" s="103" t="n"/>
      <c r="P9" s="104" t="n">
        <v>46244</v>
      </c>
      <c r="Q9" s="104" t="n">
        <v>46246</v>
      </c>
      <c r="R9" s="103" t="n"/>
      <c r="S9" s="302" t="n"/>
      <c r="T9" s="302" t="n"/>
      <c r="U9" s="302" t="n"/>
      <c r="V9" s="302" t="n">
        <v>3</v>
      </c>
      <c r="W9" s="104" t="n"/>
      <c r="X9" s="104" t="n"/>
      <c r="Y9" s="303" t="n"/>
      <c r="Z9" s="107" t="n"/>
      <c r="AA9" s="302" t="n"/>
      <c r="AB9" s="103" t="inlineStr">
        <is>
          <t>조영훈</t>
        </is>
      </c>
      <c r="AC9" s="103" t="n"/>
      <c r="AD9" s="117" t="n"/>
      <c r="AE9" s="199" t="n"/>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3" ht="12" customHeight="1">
      <c r="A10" s="102" t="n"/>
      <c r="B10" s="102" t="n"/>
      <c r="C10" s="102" t="n">
        <v>3</v>
      </c>
      <c r="D10" s="118" t="inlineStr">
        <is>
          <t>1.1.4</t>
        </is>
      </c>
      <c r="E10" s="103" t="n"/>
      <c r="F10" s="103" t="n"/>
      <c r="G10" s="103" t="inlineStr">
        <is>
          <t>[데이터수집] USDA GATS 히스토리 수기 처리 (조정자 진행 중)</t>
        </is>
      </c>
      <c r="H10" s="103" t="n"/>
      <c r="I10" s="103" t="n"/>
      <c r="J10" s="103" t="n"/>
      <c r="K10" s="103" t="n"/>
      <c r="L10" s="103" t="n"/>
      <c r="M10" s="103" t="n"/>
      <c r="N10" s="103" t="n"/>
      <c r="O10" s="103" t="n"/>
      <c r="P10" s="104" t="n">
        <v>46244</v>
      </c>
      <c r="Q10" s="104" t="n">
        <v>46248</v>
      </c>
      <c r="R10" s="103" t="n"/>
      <c r="S10" s="302" t="n"/>
      <c r="T10" s="302" t="n"/>
      <c r="U10" s="302" t="n"/>
      <c r="V10" s="302" t="n">
        <v>5</v>
      </c>
      <c r="W10" s="104" t="n"/>
      <c r="X10" s="104" t="n"/>
      <c r="Y10" s="303" t="n"/>
      <c r="Z10" s="107" t="n"/>
      <c r="AA10" s="302" t="n"/>
      <c r="AB10" s="103" t="inlineStr">
        <is>
          <t>조영훈</t>
        </is>
      </c>
      <c r="AC10" s="103" t="n"/>
      <c r="AD10" s="117" t="n"/>
      <c r="AE10" s="213" t="n"/>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1" ht="12" customHeight="1">
      <c r="A11" s="102" t="n"/>
      <c r="B11" s="102" t="n"/>
      <c r="C11" s="102" t="n">
        <v>3</v>
      </c>
      <c r="D11" s="118" t="inlineStr">
        <is>
          <t>1.1.5</t>
        </is>
      </c>
      <c r="E11" s="103" t="n"/>
      <c r="F11" s="103" t="n"/>
      <c r="G11" s="103" t="inlineStr">
        <is>
          <t>[처리·정제] GAIN 비정형 요약 (Biofuels·Oilseeds 연도별)</t>
        </is>
      </c>
      <c r="H11" s="103" t="n"/>
      <c r="I11" s="103" t="n"/>
      <c r="J11" s="103" t="n"/>
      <c r="K11" s="103" t="n"/>
      <c r="L11" s="103" t="n"/>
      <c r="M11" s="103" t="n"/>
      <c r="N11" s="103" t="n"/>
      <c r="O11" s="103" t="n"/>
      <c r="P11" s="104" t="n">
        <v>46244</v>
      </c>
      <c r="Q11" s="104" t="n">
        <v>46247</v>
      </c>
      <c r="R11" s="103" t="n"/>
      <c r="S11" s="302" t="n"/>
      <c r="T11" s="302" t="n"/>
      <c r="U11" s="302" t="n"/>
      <c r="V11" s="302" t="n">
        <v>4</v>
      </c>
      <c r="W11" s="104" t="n"/>
      <c r="X11" s="104" t="n"/>
      <c r="Y11" s="303" t="n"/>
      <c r="Z11" s="107" t="n"/>
      <c r="AA11" s="302" t="n"/>
      <c r="AB11" s="103" t="inlineStr">
        <is>
          <t>조영훈</t>
        </is>
      </c>
      <c r="AC11" s="103" t="n"/>
      <c r="AD11" s="117" t="n"/>
      <c r="AE11" s="284" t="n"/>
      <c r="AF11" s="120" t="n"/>
      <c r="AG11" s="121" t="n"/>
      <c r="AH11" s="121" t="n"/>
      <c r="AI11" s="121" t="n"/>
      <c r="AJ11" s="121" t="n"/>
      <c r="AK11" s="121">
        <f>"     " &amp; TEXT(AE11,"#0.00%") &amp; " "</f>
        <v/>
      </c>
      <c r="AL11" s="121" t="n"/>
      <c r="AM11" s="121" t="n"/>
      <c r="AN11" s="121" t="n"/>
      <c r="AO11" s="121" t="n"/>
      <c r="AP11" s="121" t="n"/>
      <c r="AQ11" s="121" t="n"/>
      <c r="AR11" s="121" t="n"/>
      <c r="AS11" s="121">
        <f>"     " &amp; "프로젝트 수행 및 통제" &amp; " " &amp; IF(P11="","",TEXT(P11,"M/D-")) &amp; IF(Q11="","",TEXT(Q11,"M/D")) &amp; " "</f>
        <v/>
      </c>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[전처리] 파생피처·USD/MT 단위 정규화</t>
        </is>
      </c>
      <c r="H12" s="103" t="n"/>
      <c r="I12" s="103" t="n"/>
      <c r="J12" s="103" t="n"/>
      <c r="K12" s="103" t="n"/>
      <c r="L12" s="103" t="n"/>
      <c r="M12" s="103" t="n"/>
      <c r="N12" s="103" t="n"/>
      <c r="O12" s="103" t="n"/>
      <c r="P12" s="104" t="n">
        <v>46246</v>
      </c>
      <c r="Q12" s="104" t="n">
        <v>46248</v>
      </c>
      <c r="R12" s="103" t="n"/>
      <c r="S12" s="302" t="n"/>
      <c r="T12" s="302" t="n"/>
      <c r="U12" s="302" t="n"/>
      <c r="V12" s="302" t="n">
        <v>3</v>
      </c>
      <c r="W12" s="104" t="n"/>
      <c r="X12" s="104" t="n"/>
      <c r="Y12" s="303" t="n"/>
      <c r="Z12" s="107" t="n"/>
      <c r="AA12" s="302" t="n"/>
      <c r="AB12" s="103" t="inlineStr">
        <is>
          <t>조영훈</t>
        </is>
      </c>
      <c r="AC12" s="103" t="n"/>
      <c r="AD12" s="117" t="n"/>
      <c r="AE12" s="199" t="n"/>
      <c r="AF12" s="120" t="n"/>
      <c r="AG12" s="121" t="n"/>
      <c r="AH12" s="121" t="n"/>
      <c r="AI12" s="121" t="n"/>
      <c r="AJ12" s="121">
        <f>"     " &amp; TEXT(AE12,"#0.00%") &amp; " " &amp; "월간보고1" &amp; "(박피엠[20%])" &amp; " " &amp; IF(P12="","",TEXT(P12,"M/D-")) &amp; IF(Q12="","",TEXT(Q12,"M/D")) &amp; " "</f>
        <v/>
      </c>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inlineStr">
        <is>
          <t>G</t>
        </is>
      </c>
      <c r="C13" s="102" t="n">
        <v>2</v>
      </c>
      <c r="D13" s="118" t="inlineStr">
        <is>
          <t>1.2</t>
        </is>
      </c>
      <c r="E13" s="103" t="n"/>
      <c r="F13" s="103" t="inlineStr">
        <is>
          <t>Phase 2: G1 리포트 자동화 ★ 8/31 완료</t>
        </is>
      </c>
      <c r="G13" s="103" t="n"/>
      <c r="H13" s="103" t="n"/>
      <c r="I13" s="103" t="n"/>
      <c r="J13" s="103" t="n"/>
      <c r="K13" s="103" t="n"/>
      <c r="L13" s="103" t="n"/>
      <c r="M13" s="103" t="n"/>
      <c r="N13" s="103" t="n"/>
      <c r="O13" s="103" t="n"/>
      <c r="P13" s="104" t="n">
        <v>46248</v>
      </c>
      <c r="Q13" s="104" t="n">
        <v>46265</v>
      </c>
      <c r="R13" s="103" t="n"/>
      <c r="S13" s="302" t="n"/>
      <c r="T13" s="302" t="n"/>
      <c r="U13" s="302" t="n"/>
      <c r="V13" s="302" t="n">
        <v>12</v>
      </c>
      <c r="W13" s="104" t="n"/>
      <c r="X13" s="104" t="n"/>
      <c r="Y13" s="303" t="n"/>
      <c r="Z13" s="107" t="n"/>
      <c r="AA13" s="302" t="n"/>
      <c r="AB13" s="103" t="inlineStr">
        <is>
          <t>조영훈</t>
        </is>
      </c>
      <c r="AC13" s="103" t="n"/>
      <c r="AD13" s="117" t="n"/>
      <c r="AE13" s="214" t="n"/>
      <c r="AF13" s="120" t="n"/>
      <c r="AG13" s="121" t="n"/>
      <c r="AH13" s="121" t="n"/>
      <c r="AI13" s="121" t="n"/>
      <c r="AJ13" s="121" t="n"/>
      <c r="AK13" s="121" t="n"/>
      <c r="AL13" s="121" t="n"/>
      <c r="AM13" s="121" t="n"/>
      <c r="AN13" s="121">
        <f>"    " &amp; TEXT(AE13,"#0.00%") &amp; " " &amp; "월간보고2" &amp; "(박피엠[20%])" &amp; " " &amp; IF(P13="","",TEXT(P13,"M/D-")) &amp; IF(Q13="","",TEXT(Q13,"M/D")) &amp; " "</f>
        <v/>
      </c>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1.2.1</t>
        </is>
      </c>
      <c r="E14" s="103" t="n"/>
      <c r="F14" s="103" t="n"/>
      <c r="G14" s="103" t="inlineStr">
        <is>
          <t>[분석] 통합 관계분석 (정형+비정형·Granger 3단)</t>
        </is>
      </c>
      <c r="H14" s="103" t="n"/>
      <c r="I14" s="103" t="n"/>
      <c r="J14" s="103" t="n"/>
      <c r="K14" s="103" t="n"/>
      <c r="L14" s="103" t="n"/>
      <c r="M14" s="103" t="n"/>
      <c r="N14" s="103" t="n"/>
      <c r="O14" s="103" t="n"/>
      <c r="P14" s="104" t="n">
        <v>46248</v>
      </c>
      <c r="Q14" s="104" t="n">
        <v>46254</v>
      </c>
      <c r="R14" s="103" t="n"/>
      <c r="S14" s="302" t="n"/>
      <c r="T14" s="302" t="n"/>
      <c r="U14" s="302" t="n"/>
      <c r="V14" s="302" t="n">
        <v>5</v>
      </c>
      <c r="W14" s="104" t="n"/>
      <c r="X14" s="104" t="n"/>
      <c r="Y14" s="303" t="n"/>
      <c r="Z14" s="107" t="n"/>
      <c r="AA14" s="302" t="n"/>
      <c r="AB14" s="103" t="inlineStr">
        <is>
          <t>조영훈</t>
        </is>
      </c>
      <c r="AC14" s="103" t="n"/>
      <c r="AD14" s="117" t="n"/>
      <c r="AE14" s="214" t="n"/>
      <c r="AF14" s="120" t="n"/>
      <c r="AG14" s="121" t="n"/>
      <c r="AH14" s="121" t="n"/>
      <c r="AI14" s="121" t="n"/>
      <c r="AJ14" s="121" t="n"/>
      <c r="AK14" s="121" t="n"/>
      <c r="AL14" s="121" t="n"/>
      <c r="AM14" s="121" t="n"/>
      <c r="AN14" s="121" t="n"/>
      <c r="AO14" s="121" t="n"/>
      <c r="AP14" s="121" t="n"/>
      <c r="AQ14" s="121" t="n"/>
      <c r="AR14" s="121" t="n"/>
      <c r="AS14" s="121">
        <f>"    " &amp; TEXT(AE14,"#0.00%") &amp; " " &amp; "월간보고3" &amp; "(박피엠[20%])" &amp; " " &amp; IF(P14="","",TEXT(P14,"M/D-")) &amp; IF(Q14="","",TEXT(Q14,"M/D")) &amp; " "</f>
        <v/>
      </c>
      <c r="AT14" s="121" t="n"/>
      <c r="AU14" s="121" t="n"/>
      <c r="AV14" s="121" t="n"/>
      <c r="AW14" s="121" t="n"/>
      <c r="AX14" s="121" t="n"/>
      <c r="AY14" s="121" t="n"/>
      <c r="AZ14" s="121" t="n"/>
      <c r="BA14" s="121" t="n"/>
      <c r="BB14" s="121" t="n"/>
      <c r="BC14" s="121" t="n"/>
    </row>
    <row r="15" outlineLevel="2" ht="12" customHeight="1">
      <c r="A15" s="102" t="n"/>
      <c r="B15" s="102" t="n"/>
      <c r="C15" s="102" t="n">
        <v>3</v>
      </c>
      <c r="D15" s="118" t="inlineStr">
        <is>
          <t>1.2.2</t>
        </is>
      </c>
      <c r="E15" s="103" t="n"/>
      <c r="F15" s="103" t="n"/>
      <c r="G15" s="103" t="inlineStr">
        <is>
          <t>[분석] 변수 중요도 (ElasticNet·SHAP·5단계 게이트)</t>
        </is>
      </c>
      <c r="H15" s="103" t="n"/>
      <c r="I15" s="103" t="n"/>
      <c r="J15" s="103" t="n"/>
      <c r="K15" s="103" t="n"/>
      <c r="L15" s="103" t="n"/>
      <c r="M15" s="103" t="n"/>
      <c r="N15" s="103" t="n"/>
      <c r="O15" s="103" t="n"/>
      <c r="P15" s="104" t="n">
        <v>46252</v>
      </c>
      <c r="Q15" s="104" t="n">
        <v>46259</v>
      </c>
      <c r="R15" s="103" t="n"/>
      <c r="S15" s="302" t="n"/>
      <c r="T15" s="302" t="n"/>
      <c r="U15" s="302" t="n"/>
      <c r="V15" s="302" t="n">
        <v>6</v>
      </c>
      <c r="W15" s="104" t="n"/>
      <c r="X15" s="104" t="n"/>
      <c r="Y15" s="303" t="n"/>
      <c r="Z15" s="107" t="n"/>
      <c r="AA15" s="302" t="n"/>
      <c r="AB15" s="103" t="inlineStr">
        <is>
          <t>조영훈</t>
        </is>
      </c>
      <c r="AC15" s="103" t="n"/>
      <c r="AD15" s="117" t="n"/>
      <c r="AE15" s="214" t="n"/>
      <c r="AF15" s="120" t="n"/>
      <c r="AG15" s="121" t="n"/>
      <c r="AH15" s="121" t="n"/>
      <c r="AI15" s="121" t="n"/>
      <c r="AJ15" s="121" t="n"/>
      <c r="AK15" s="121" t="n"/>
      <c r="AL15" s="121" t="n"/>
      <c r="AM15" s="121" t="n"/>
      <c r="AN15" s="121" t="n"/>
      <c r="AO15" s="121">
        <f>"    " &amp; TEXT(AE15,"#0.00%") &amp; " " &amp; "중간보고" &amp; " " &amp; IF(P15="","",TEXT(P15,"M/D-")) &amp; IF(Q15="","",TEXT(Q15,"M/D")) &amp; " "</f>
        <v/>
      </c>
      <c r="AP15" s="121" t="n"/>
      <c r="AQ15" s="121" t="n"/>
      <c r="AR15" s="121" t="n"/>
      <c r="AS15" s="121" t="n"/>
      <c r="AT15" s="121" t="n"/>
      <c r="AU15" s="121" t="n"/>
      <c r="AV15" s="121" t="n"/>
      <c r="AW15" s="121" t="n"/>
      <c r="AX15" s="121" t="n"/>
      <c r="AY15" s="121" t="n"/>
      <c r="AZ15" s="121" t="n"/>
      <c r="BA15" s="121" t="n"/>
      <c r="BB15" s="121" t="n"/>
      <c r="BC15" s="121" t="n"/>
    </row>
    <row r="16" outlineLevel="1" ht="12" customHeight="1">
      <c r="A16" s="102" t="n"/>
      <c r="B16" s="102" t="n"/>
      <c r="C16" s="102" t="n">
        <v>3</v>
      </c>
      <c r="D16" s="118" t="inlineStr">
        <is>
          <t>1.2.3</t>
        </is>
      </c>
      <c r="E16" s="103" t="n"/>
      <c r="F16" s="103" t="n"/>
      <c r="G16" s="103" t="inlineStr">
        <is>
          <t>[분석] 알림 임계 재보정 (P90·2σ·Bonferroni)</t>
        </is>
      </c>
      <c r="H16" s="103" t="n"/>
      <c r="I16" s="103" t="n"/>
      <c r="J16" s="103" t="n"/>
      <c r="K16" s="103" t="n"/>
      <c r="L16" s="103" t="n"/>
      <c r="M16" s="103" t="n"/>
      <c r="N16" s="103" t="n"/>
      <c r="O16" s="103" t="n"/>
      <c r="P16" s="104" t="n">
        <v>46254</v>
      </c>
      <c r="Q16" s="104" t="n">
        <v>46260</v>
      </c>
      <c r="R16" s="103" t="n"/>
      <c r="S16" s="302" t="n"/>
      <c r="T16" s="302" t="n"/>
      <c r="U16" s="302" t="n"/>
      <c r="V16" s="302" t="n">
        <v>5</v>
      </c>
      <c r="W16" s="104" t="n"/>
      <c r="X16" s="104" t="n"/>
      <c r="Y16" s="303" t="n"/>
      <c r="Z16" s="107" t="n"/>
      <c r="AA16" s="302" t="n"/>
      <c r="AB16" s="103" t="inlineStr">
        <is>
          <t>조영훈</t>
        </is>
      </c>
      <c r="AC16" s="103" t="n"/>
      <c r="AD16" s="117" t="n"/>
      <c r="AE16" s="220" t="n"/>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f>"    " &amp; TEXT(AE16,"#0.00%") &amp; " "</f>
        <v/>
      </c>
      <c r="AY16" s="121" t="n"/>
      <c r="AZ16" s="121" t="n"/>
      <c r="BA16" s="121" t="n"/>
      <c r="BB16" s="121">
        <f>"  " &amp; "프로젝트 종료" &amp; " " &amp; IF(P16="","",TEXT(P16,"M/D-")) &amp; IF(Q16="","",TEXT(Q16,"M/D")) &amp; " "</f>
        <v/>
      </c>
      <c r="BC16" s="121" t="n"/>
    </row>
    <row r="17" outlineLevel="2" ht="12" customHeight="1">
      <c r="A17" s="102" t="n"/>
      <c r="B17" s="102" t="n"/>
      <c r="C17" s="102" t="n">
        <v>3</v>
      </c>
      <c r="D17" s="118" t="inlineStr">
        <is>
          <t>1.2.4</t>
        </is>
      </c>
      <c r="E17" s="103" t="n"/>
      <c r="F17" s="103" t="n"/>
      <c r="G17" s="103" t="inlineStr">
        <is>
          <t>[시각화] G1 리포트 자동화 완성 (한/영·인과체인)</t>
        </is>
      </c>
      <c r="H17" s="103" t="n"/>
      <c r="I17" s="103" t="n"/>
      <c r="J17" s="103" t="n"/>
      <c r="K17" s="103" t="n"/>
      <c r="L17" s="103" t="n"/>
      <c r="M17" s="103" t="n"/>
      <c r="N17" s="103" t="n"/>
      <c r="O17" s="103" t="n"/>
      <c r="P17" s="104" t="n">
        <v>46259</v>
      </c>
      <c r="Q17" s="104" t="n">
        <v>46265</v>
      </c>
      <c r="R17" s="103" t="n"/>
      <c r="S17" s="302" t="n"/>
      <c r="T17" s="302" t="n"/>
      <c r="U17" s="302" t="n"/>
      <c r="V17" s="302" t="n">
        <v>5</v>
      </c>
      <c r="W17" s="104" t="n"/>
      <c r="X17" s="104" t="n"/>
      <c r="Y17" s="303" t="n"/>
      <c r="Z17" s="107" t="n"/>
      <c r="AA17" s="302" t="n"/>
      <c r="AB17" s="103" t="inlineStr">
        <is>
          <t>조영훈</t>
        </is>
      </c>
      <c r="AC17" s="103" t="n"/>
      <c r="AD17" s="117" t="n"/>
      <c r="AE17" s="214" t="n"/>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f>"    " &amp; TEXT(AE17,"#0.00%") &amp; " " &amp; "종료계획수립" &amp; "(김분석,이지은)" &amp; " " &amp; IF(P17="","",TEXT(P17,"M/D-")) &amp; IF(Q17="","",TEXT(Q17,"M/D")) &amp; " "</f>
        <v/>
      </c>
      <c r="AY17" s="121" t="n"/>
      <c r="AZ17" s="121" t="n"/>
      <c r="BA17" s="121" t="n"/>
      <c r="BB17" s="121" t="n"/>
      <c r="BC17" s="121" t="n"/>
    </row>
    <row r="18" outlineLevel="2" ht="12" customHeight="1">
      <c r="A18" s="102" t="n"/>
      <c r="B18" s="102" t="n"/>
      <c r="C18" s="102" t="n">
        <v>3</v>
      </c>
      <c r="D18" s="118" t="inlineStr">
        <is>
          <t>1.2.5</t>
        </is>
      </c>
      <c r="E18" s="103" t="n"/>
      <c r="F18" s="103" t="n"/>
      <c r="G18" s="103" t="inlineStr">
        <is>
          <t>[아키텍처] 리포트 자동생성 파이프라인 안정화</t>
        </is>
      </c>
      <c r="H18" s="103" t="n"/>
      <c r="I18" s="103" t="n"/>
      <c r="J18" s="103" t="n"/>
      <c r="K18" s="103" t="n"/>
      <c r="L18" s="103" t="n"/>
      <c r="M18" s="103" t="n"/>
      <c r="N18" s="103" t="n"/>
      <c r="O18" s="103" t="n"/>
      <c r="P18" s="104" t="n">
        <v>46259</v>
      </c>
      <c r="Q18" s="104" t="n">
        <v>46265</v>
      </c>
      <c r="R18" s="103" t="n"/>
      <c r="S18" s="302" t="n"/>
      <c r="T18" s="302" t="n"/>
      <c r="U18" s="302" t="n"/>
      <c r="V18" s="302" t="n">
        <v>5</v>
      </c>
      <c r="W18" s="104" t="n"/>
      <c r="X18" s="104" t="n"/>
      <c r="Y18" s="303" t="n"/>
      <c r="Z18" s="107" t="n"/>
      <c r="AA18" s="302" t="n"/>
      <c r="AB18" s="103" t="inlineStr">
        <is>
          <t>조영훈</t>
        </is>
      </c>
      <c r="AC18" s="103" t="n"/>
      <c r="AD18" s="117" t="n"/>
      <c r="AE18" s="214" t="n"/>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f>"    " &amp; TEXT(AE18,"#0.00%") &amp; " " &amp; "시스템 인수인계" &amp; "(홍길동)" &amp; " " &amp; IF(P18="","",TEXT(P18,"M/D-")) &amp; IF(Q18="","",TEXT(Q18,"M/D")) &amp; " "</f>
        <v/>
      </c>
      <c r="AZ18" s="121" t="n"/>
      <c r="BA18" s="121" t="n"/>
      <c r="BB18" s="121" t="n"/>
      <c r="BC18" s="121" t="n"/>
    </row>
    <row r="19" outlineLevel="2" ht="12" customHeight="1">
      <c r="A19" s="102" t="n"/>
      <c r="B19" s="102" t="inlineStr">
        <is>
          <t>G</t>
        </is>
      </c>
      <c r="C19" s="102" t="n">
        <v>2</v>
      </c>
      <c r="D19" s="118" t="inlineStr">
        <is>
          <t>1.3</t>
        </is>
      </c>
      <c r="E19" s="103" t="n"/>
      <c r="F19" s="103" t="inlineStr">
        <is>
          <t>Phase 3: G2 가격밴드 Preview + 대시보드 ★ 9/10</t>
        </is>
      </c>
      <c r="G19" s="103" t="n"/>
      <c r="H19" s="103" t="n"/>
      <c r="I19" s="103" t="n"/>
      <c r="J19" s="103" t="n"/>
      <c r="K19" s="103" t="n"/>
      <c r="L19" s="103" t="n"/>
      <c r="M19" s="103" t="n"/>
      <c r="N19" s="103" t="n"/>
      <c r="O19" s="103" t="n"/>
      <c r="P19" s="104" t="n">
        <v>46259</v>
      </c>
      <c r="Q19" s="104" t="n">
        <v>46275</v>
      </c>
      <c r="R19" s="103" t="n"/>
      <c r="S19" s="302" t="n"/>
      <c r="T19" s="302" t="n"/>
      <c r="U19" s="302" t="n"/>
      <c r="V19" s="302" t="n">
        <v>13</v>
      </c>
      <c r="W19" s="104" t="n"/>
      <c r="X19" s="104" t="n"/>
      <c r="Y19" s="303" t="n"/>
      <c r="Z19" s="107" t="n"/>
      <c r="AA19" s="302" t="n"/>
      <c r="AB19" s="103" t="inlineStr">
        <is>
          <t>조영훈</t>
        </is>
      </c>
      <c r="AC19" s="103" t="n"/>
      <c r="AD19" s="117" t="n"/>
      <c r="AE19" s="199" t="n"/>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f>" " &amp; TEXT(AE19,"#0.00%") &amp; " " &amp; "종료보고" &amp; "(나고객,이고객)" &amp; " " &amp; IF(P19="","",TEXT(P19,"M/D-")) &amp; IF(Q19="","",TEXT(Q19,"M/D")) &amp; " "</f>
        <v/>
      </c>
      <c r="BC19" s="121" t="n"/>
    </row>
    <row r="20" outlineLevel="2" ht="12" customHeight="1">
      <c r="A20" s="102" t="n"/>
      <c r="B20" s="102" t="n"/>
      <c r="C20" s="102" t="n">
        <v>3</v>
      </c>
      <c r="D20" s="118" t="inlineStr">
        <is>
          <t>1.3.1</t>
        </is>
      </c>
      <c r="E20" s="103" t="n"/>
      <c r="F20" s="103" t="n"/>
      <c r="G20" s="103" t="inlineStr">
        <is>
          <t>[분석] Preview 모델 (VMD·GARCH 프로토타입)</t>
        </is>
      </c>
      <c r="H20" s="103" t="n"/>
      <c r="I20" s="103" t="n"/>
      <c r="J20" s="103" t="n"/>
      <c r="K20" s="103" t="n"/>
      <c r="L20" s="103" t="n"/>
      <c r="M20" s="103" t="n"/>
      <c r="N20" s="103" t="n"/>
      <c r="O20" s="103" t="n"/>
      <c r="P20" s="104" t="n">
        <v>46259</v>
      </c>
      <c r="Q20" s="104" t="n">
        <v>46268</v>
      </c>
      <c r="R20" s="103" t="n"/>
      <c r="S20" s="302" t="n"/>
      <c r="T20" s="302" t="n"/>
      <c r="U20" s="302" t="n"/>
      <c r="V20" s="302" t="n">
        <v>8</v>
      </c>
      <c r="W20" s="104" t="n"/>
      <c r="X20" s="104" t="n"/>
      <c r="Y20" s="303" t="n"/>
      <c r="Z20" s="107" t="n"/>
      <c r="AA20" s="302" t="n"/>
      <c r="AB20" s="103" t="inlineStr">
        <is>
          <t>조영훈</t>
        </is>
      </c>
      <c r="AC20" s="103" t="n"/>
      <c r="AD20" s="117" t="n"/>
      <c r="AE20" s="199" t="n"/>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f>"     " &amp; TEXT(AE20,"#0.00%") &amp; " " &amp; "검수 및 종료" &amp; " " &amp; IF(P20="","",TEXT(P20,"M/D-")) &amp; IF(Q20="","",TEXT(Q20,"M/D")) &amp; " "</f>
        <v/>
      </c>
      <c r="BC20" s="121" t="n"/>
    </row>
    <row r="21" outlineLevel="2" ht="12" customHeight="1">
      <c r="A21" s="102" t="n"/>
      <c r="B21" s="102" t="n"/>
      <c r="C21" s="102" t="n">
        <v>3</v>
      </c>
      <c r="D21" s="118" t="inlineStr">
        <is>
          <t>1.3.2</t>
        </is>
      </c>
      <c r="E21" s="103" t="n"/>
      <c r="F21" s="103" t="n"/>
      <c r="G21" s="103" t="inlineStr">
        <is>
          <t>[분석] CQR 예측구간 Preview (상·하한 밴드)</t>
        </is>
      </c>
      <c r="H21" s="103" t="n"/>
      <c r="I21" s="103" t="n"/>
      <c r="J21" s="103" t="n"/>
      <c r="K21" s="103" t="n"/>
      <c r="L21" s="103" t="n"/>
      <c r="M21" s="103" t="n"/>
      <c r="N21" s="103" t="n"/>
      <c r="O21" s="103" t="n"/>
      <c r="P21" s="104" t="n">
        <v>46266</v>
      </c>
      <c r="Q21" s="104" t="n">
        <v>46273</v>
      </c>
      <c r="R21" s="103" t="n"/>
      <c r="S21" s="302" t="n"/>
      <c r="T21" s="302" t="n"/>
      <c r="U21" s="302" t="n"/>
      <c r="V21" s="302" t="n">
        <v>6</v>
      </c>
      <c r="W21" s="104" t="n"/>
      <c r="X21" s="104" t="n"/>
      <c r="Y21" s="303" t="n"/>
      <c r="Z21" s="107" t="n"/>
      <c r="AA21" s="302" t="n"/>
      <c r="AB21" s="103" t="inlineStr">
        <is>
          <t>조영훈</t>
        </is>
      </c>
      <c r="AC21" s="103" t="n"/>
      <c r="AD21" s="117" t="n"/>
      <c r="AE21" s="206" t="n"/>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ht="12" customHeight="1">
      <c r="A22" s="102" t="n"/>
      <c r="B22" s="102" t="n"/>
      <c r="C22" s="102" t="n">
        <v>3</v>
      </c>
      <c r="D22" s="118" t="inlineStr">
        <is>
          <t>1.3.3</t>
        </is>
      </c>
      <c r="E22" s="103" t="n"/>
      <c r="F22" s="103" t="n"/>
      <c r="G22" s="103" t="inlineStr">
        <is>
          <t>[시각화] Preview 대시보드 (plotly)</t>
        </is>
      </c>
      <c r="H22" s="103" t="n"/>
      <c r="I22" s="103" t="n"/>
      <c r="J22" s="103" t="n"/>
      <c r="K22" s="103" t="n"/>
      <c r="L22" s="103" t="n"/>
      <c r="M22" s="103" t="n"/>
      <c r="N22" s="103" t="n"/>
      <c r="O22" s="103" t="n"/>
      <c r="P22" s="104" t="n">
        <v>46268</v>
      </c>
      <c r="Q22" s="104" t="n">
        <v>46275</v>
      </c>
      <c r="R22" s="103" t="n"/>
      <c r="S22" s="302" t="n"/>
      <c r="T22" s="302" t="n"/>
      <c r="U22" s="302" t="n"/>
      <c r="V22" s="302" t="n">
        <v>6</v>
      </c>
      <c r="W22" s="104" t="n"/>
      <c r="X22" s="104" t="n"/>
      <c r="Y22" s="303" t="n"/>
      <c r="Z22" s="107" t="n"/>
      <c r="AA22" s="302" t="n"/>
      <c r="AB22" s="103" t="inlineStr">
        <is>
          <t>조영훈</t>
        </is>
      </c>
      <c r="AC22" s="103" t="n"/>
      <c r="AD22" s="117" t="n"/>
      <c r="AE22" s="220" t="n"/>
      <c r="AF22" s="120" t="n"/>
      <c r="AG22" s="121" t="n"/>
      <c r="AH22" s="121" t="n"/>
      <c r="AI22" s="121" t="n"/>
      <c r="AJ22" s="121" t="n"/>
      <c r="AK22" s="121" t="n"/>
      <c r="AL22" s="121">
        <f>" " &amp; TEXT(AE22,"#0.00%") &amp; " "</f>
        <v/>
      </c>
      <c r="AM22" s="121" t="n"/>
      <c r="AN22" s="121" t="n"/>
      <c r="AO22" s="121" t="n"/>
      <c r="AP22" s="121" t="n"/>
      <c r="AQ22" s="121" t="n"/>
      <c r="AR22" s="121" t="n"/>
      <c r="AS22" s="121" t="n"/>
      <c r="AT22" s="121" t="n"/>
      <c r="AU22" s="121" t="n"/>
      <c r="AV22" s="121" t="n"/>
      <c r="AW22" s="121" t="n"/>
      <c r="AX22" s="121" t="n"/>
      <c r="AY22" s="121" t="n"/>
      <c r="AZ22" s="121" t="n"/>
      <c r="BA22" s="121" t="n"/>
      <c r="BB22" s="121">
        <f>"     " &amp; "시스템 개발" &amp; " " &amp; IF(P22="","",TEXT(P22,"M/D-")) &amp; IF(Q22="","",TEXT(Q22,"M/D")) &amp; " "</f>
        <v/>
      </c>
      <c r="BC22" s="121" t="n"/>
    </row>
    <row r="23" outlineLevel="1" ht="12" customHeight="1">
      <c r="A23" s="102" t="n"/>
      <c r="B23" s="102" t="inlineStr">
        <is>
          <t>G</t>
        </is>
      </c>
      <c r="C23" s="102" t="n">
        <v>2</v>
      </c>
      <c r="D23" s="118" t="inlineStr">
        <is>
          <t>1.4</t>
        </is>
      </c>
      <c r="E23" s="103" t="n"/>
      <c r="F23" s="103" t="inlineStr">
        <is>
          <t>Phase 4: 시맨틱·아키텍처 (일정 비의존 분리)</t>
        </is>
      </c>
      <c r="G23" s="103" t="n"/>
      <c r="H23" s="103" t="n"/>
      <c r="I23" s="103" t="n"/>
      <c r="J23" s="103" t="n"/>
      <c r="K23" s="103" t="n"/>
      <c r="L23" s="103" t="n"/>
      <c r="M23" s="103" t="n"/>
      <c r="N23" s="103" t="n"/>
      <c r="O23" s="103" t="n"/>
      <c r="P23" s="104" t="n">
        <v>46266</v>
      </c>
      <c r="Q23" s="104" t="n">
        <v>46295</v>
      </c>
      <c r="R23" s="103" t="n"/>
      <c r="S23" s="302" t="n"/>
      <c r="T23" s="302" t="n"/>
      <c r="U23" s="302" t="n"/>
      <c r="V23" s="302" t="n">
        <v>22</v>
      </c>
      <c r="W23" s="104" t="n"/>
      <c r="X23" s="104" t="n"/>
      <c r="Y23" s="303" t="n"/>
      <c r="Z23" s="107" t="n"/>
      <c r="AA23" s="302" t="n"/>
      <c r="AB23" s="103" t="inlineStr">
        <is>
          <t>조영훈</t>
        </is>
      </c>
      <c r="AC23" s="103" t="n"/>
      <c r="AD23" s="117" t="n"/>
      <c r="AE23" s="221" t="n"/>
      <c r="AF23" s="120" t="n"/>
      <c r="AG23" s="121" t="n"/>
      <c r="AH23" s="121" t="n"/>
      <c r="AI23" s="121" t="n"/>
      <c r="AJ23" s="121">
        <f>" " &amp; TEXT(AE23,"#0.00%") &amp; " " &amp; "분석" &amp; " " &amp; IF(P23="","",TEXT(P23,"M/D-")) &amp; IF(Q23="","",TEXT(Q23,"M/D")) &amp; " "</f>
        <v/>
      </c>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2" ht="12" customHeight="1">
      <c r="A24" s="102" t="n"/>
      <c r="B24" s="102" t="n"/>
      <c r="C24" s="102" t="n">
        <v>3</v>
      </c>
      <c r="D24" s="118" t="inlineStr">
        <is>
          <t>1.4.1</t>
        </is>
      </c>
      <c r="E24" s="103" t="n"/>
      <c r="F24" s="103" t="n"/>
      <c r="G24" s="103" t="inlineStr">
        <is>
          <t>[분석] Semantic Layer·온톨로지 (P1-06) ⚠️지연위험</t>
        </is>
      </c>
      <c r="H24" s="103" t="n"/>
      <c r="I24" s="103" t="n"/>
      <c r="J24" s="103" t="n"/>
      <c r="K24" s="103" t="n"/>
      <c r="L24" s="103" t="n"/>
      <c r="M24" s="103" t="n"/>
      <c r="N24" s="103" t="n"/>
      <c r="O24" s="103" t="n"/>
      <c r="P24" s="104" t="n">
        <v>46266</v>
      </c>
      <c r="Q24" s="104" t="n">
        <v>46285</v>
      </c>
      <c r="R24" s="103" t="n"/>
      <c r="S24" s="302" t="n"/>
      <c r="T24" s="302" t="n"/>
      <c r="U24" s="302" t="n"/>
      <c r="V24" s="302" t="n">
        <v>15</v>
      </c>
      <c r="W24" s="104" t="n"/>
      <c r="X24" s="104" t="n"/>
      <c r="Y24" s="303" t="n"/>
      <c r="Z24" s="107" t="n"/>
      <c r="AA24" s="302" t="n"/>
      <c r="AB24" s="103" t="inlineStr">
        <is>
          <t>조영훈</t>
        </is>
      </c>
      <c r="AC24" s="103" t="n"/>
      <c r="AD24" s="117" t="n"/>
      <c r="AE24" s="199" t="n"/>
      <c r="AF24" s="120" t="n"/>
      <c r="AG24" s="121" t="n"/>
      <c r="AH24" s="121" t="n"/>
      <c r="AI24" s="121" t="n"/>
      <c r="AJ24" s="121">
        <f>"  " &amp; TEXT(AE24,"#0.00%") &amp; " " &amp; "요구사항정의" &amp; " " &amp; IF(P24="","",TEXT(P24,"M/D-")) &amp; IF(Q24="","",TEXT(Q24,"M/D")) &amp; " "</f>
        <v/>
      </c>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1.4.2</t>
        </is>
      </c>
      <c r="E25" s="103" t="n"/>
      <c r="F25" s="103" t="n"/>
      <c r="G25" s="103" t="inlineStr">
        <is>
          <t>[아키텍처] GitHub→Azure ML 이관 ⚠️지연위험</t>
        </is>
      </c>
      <c r="H25" s="103" t="n"/>
      <c r="I25" s="103" t="n"/>
      <c r="J25" s="103" t="n"/>
      <c r="K25" s="103" t="n"/>
      <c r="L25" s="103" t="n"/>
      <c r="M25" s="103" t="n"/>
      <c r="N25" s="103" t="n"/>
      <c r="O25" s="103" t="n"/>
      <c r="P25" s="104" t="n">
        <v>46273</v>
      </c>
      <c r="Q25" s="104" t="n">
        <v>46295</v>
      </c>
      <c r="R25" s="103" t="n"/>
      <c r="S25" s="302" t="n"/>
      <c r="T25" s="302" t="n"/>
      <c r="U25" s="302" t="n"/>
      <c r="V25" s="302" t="n">
        <v>17</v>
      </c>
      <c r="W25" s="104" t="n"/>
      <c r="X25" s="104" t="n"/>
      <c r="Y25" s="303" t="n"/>
      <c r="Z25" s="107" t="n"/>
      <c r="AA25" s="302" t="n"/>
      <c r="AB25" s="103" t="inlineStr">
        <is>
          <t>조영훈</t>
        </is>
      </c>
      <c r="AC25" s="103" t="n"/>
      <c r="AD25" s="117" t="n"/>
      <c r="AE25" s="220" t="n"/>
      <c r="AF25" s="120" t="n"/>
      <c r="AG25" s="121" t="n"/>
      <c r="AH25" s="121" t="n"/>
      <c r="AI25" s="121" t="n"/>
      <c r="AJ25" s="121">
        <f>"" &amp; TEXT(AE25,"#0.00%") &amp; " " &amp; "논리모델구축" &amp; " " &amp; IF(P25="","",TEXT(P25,"M/D-")) &amp; IF(Q25="","",TEXT(Q25,"M/D")) &amp; " "</f>
        <v/>
      </c>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3" ht="12" customHeight="1">
      <c r="A26" s="102" t="n"/>
      <c r="B26" s="102" t="n"/>
      <c r="C26" s="102" t="n"/>
      <c r="D26" s="118" t="n"/>
      <c r="E26" s="103" t="n"/>
      <c r="F26" s="103" t="n"/>
      <c r="G26" s="103" t="n"/>
      <c r="H26" s="103" t="n"/>
      <c r="I26" s="103" t="n"/>
      <c r="J26" s="103" t="n"/>
      <c r="K26" s="103" t="n"/>
      <c r="L26" s="103" t="n"/>
      <c r="M26" s="103" t="n"/>
      <c r="N26" s="103" t="n"/>
      <c r="O26" s="103" t="n"/>
      <c r="P26" s="104" t="n"/>
      <c r="Q26" s="104" t="n"/>
      <c r="R26" s="103" t="n"/>
      <c r="S26" s="302" t="n"/>
      <c r="T26" s="302" t="n"/>
      <c r="U26" s="302" t="n"/>
      <c r="V26" s="302" t="n"/>
      <c r="W26" s="104" t="n"/>
      <c r="X26" s="104" t="n"/>
      <c r="Y26" s="303" t="n"/>
      <c r="Z26" s="107" t="n"/>
      <c r="AA26" s="302" t="n"/>
      <c r="AB26" s="103" t="n"/>
      <c r="AC26" s="103" t="n"/>
      <c r="AD26" s="117" t="n"/>
      <c r="AE26" s="199" t="n"/>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3" ht="12" customHeight="1">
      <c r="A27" s="102" t="n"/>
      <c r="B27" s="102" t="n"/>
      <c r="C27" s="102" t="n"/>
      <c r="D27" s="118" t="n"/>
      <c r="E27" s="103" t="n"/>
      <c r="F27" s="103" t="n"/>
      <c r="G27" s="103" t="n"/>
      <c r="H27" s="103" t="n"/>
      <c r="I27" s="103" t="n"/>
      <c r="J27" s="103" t="n"/>
      <c r="K27" s="103" t="n"/>
      <c r="L27" s="103" t="n"/>
      <c r="M27" s="103" t="n"/>
      <c r="N27" s="103" t="n"/>
      <c r="O27" s="103" t="n"/>
      <c r="P27" s="104" t="n"/>
      <c r="Q27" s="104" t="n"/>
      <c r="R27" s="103" t="n"/>
      <c r="S27" s="302" t="n"/>
      <c r="T27" s="302" t="n"/>
      <c r="U27" s="302" t="n"/>
      <c r="V27" s="302" t="n"/>
      <c r="W27" s="104" t="n"/>
      <c r="X27" s="104" t="n"/>
      <c r="Y27" s="303" t="n"/>
      <c r="Z27" s="107" t="n"/>
      <c r="AA27" s="302" t="n"/>
      <c r="AB27" s="103" t="n"/>
      <c r="AC27" s="103" t="n"/>
      <c r="AD27" s="117" t="n"/>
      <c r="AE27" s="214" t="n"/>
      <c r="AF27" s="120" t="n"/>
      <c r="AG27" s="121" t="n"/>
      <c r="AH27" s="121" t="n"/>
      <c r="AI27" s="121" t="n"/>
      <c r="AJ27" s="121">
        <f>"" &amp; TEXT(AE27,"#0.00%") &amp; " " &amp; "데이터모델링" &amp; "(박설계[120%],이지은[50%])" &amp; " " &amp; IF(P27="","",TEXT(P27,"M/D-")) &amp; IF(Q27="","",TEXT(Q27,"M/D")) &amp; " "</f>
        <v/>
      </c>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1" ht="12" customHeight="1">
      <c r="A28" s="102" t="n"/>
      <c r="B28" s="102" t="n"/>
      <c r="C28" s="102" t="n"/>
      <c r="D28" s="118" t="n"/>
      <c r="E28" s="103" t="n"/>
      <c r="F28" s="103" t="n"/>
      <c r="G28" s="103" t="n"/>
      <c r="H28" s="103" t="n"/>
      <c r="I28" s="103" t="n"/>
      <c r="J28" s="103" t="n"/>
      <c r="K28" s="103" t="n"/>
      <c r="L28" s="103" t="n"/>
      <c r="M28" s="103" t="n"/>
      <c r="N28" s="103" t="n"/>
      <c r="O28" s="103" t="n"/>
      <c r="P28" s="104" t="n"/>
      <c r="Q28" s="104" t="n"/>
      <c r="R28" s="103" t="n"/>
      <c r="S28" s="302" t="n"/>
      <c r="T28" s="302" t="n"/>
      <c r="U28" s="302" t="n"/>
      <c r="V28" s="302" t="n"/>
      <c r="W28" s="104" t="n"/>
      <c r="X28" s="104" t="n"/>
      <c r="Y28" s="303" t="n"/>
      <c r="Z28" s="107" t="n"/>
      <c r="AA28" s="302" t="n"/>
      <c r="AB28" s="103" t="n"/>
      <c r="AC28" s="103" t="n"/>
      <c r="AD28" s="117" t="n"/>
      <c r="AE28" s="220" t="n"/>
      <c r="AF28" s="120" t="n"/>
      <c r="AG28" s="121" t="n"/>
      <c r="AH28" s="121" t="n"/>
      <c r="AI28" s="121" t="n"/>
      <c r="AJ28" s="121" t="n"/>
      <c r="AK28" s="121" t="n"/>
      <c r="AL28" s="121">
        <f>"   " &amp; TEXT(AE28,"#0.00%") &amp; " "</f>
        <v/>
      </c>
      <c r="AM28" s="121" t="n"/>
      <c r="AN28" s="121" t="n"/>
      <c r="AO28" s="121">
        <f>" " &amp; "설계" &amp; " " &amp; IF(P28="","",TEXT(P28,"M/D-")) &amp; IF(Q28="","",TEXT(Q28,"M/D")) &amp; " "</f>
        <v/>
      </c>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c r="D29" s="118" t="n"/>
      <c r="E29" s="103" t="n"/>
      <c r="F29" s="103" t="n"/>
      <c r="G29" s="103" t="n"/>
      <c r="H29" s="103" t="n"/>
      <c r="I29" s="103" t="n"/>
      <c r="J29" s="103" t="n"/>
      <c r="K29" s="103" t="n"/>
      <c r="L29" s="103" t="n"/>
      <c r="M29" s="103" t="n"/>
      <c r="N29" s="103" t="n"/>
      <c r="O29" s="103" t="n"/>
      <c r="P29" s="104" t="n"/>
      <c r="Q29" s="104" t="n"/>
      <c r="R29" s="103" t="n"/>
      <c r="S29" s="302" t="n"/>
      <c r="T29" s="302" t="n"/>
      <c r="U29" s="302" t="n"/>
      <c r="V29" s="302" t="n"/>
      <c r="W29" s="104" t="n"/>
      <c r="X29" s="104" t="n"/>
      <c r="Y29" s="303" t="n"/>
      <c r="Z29" s="107" t="n"/>
      <c r="AA29" s="302" t="n"/>
      <c r="AB29" s="103" t="n"/>
      <c r="AC29" s="103" t="n"/>
      <c r="AD29" s="117" t="n"/>
      <c r="AE29" s="199" t="n"/>
      <c r="AF29" s="120" t="n"/>
      <c r="AG29" s="121" t="n"/>
      <c r="AH29" s="121" t="n"/>
      <c r="AI29" s="121" t="n"/>
      <c r="AJ29" s="121" t="n"/>
      <c r="AK29" s="121">
        <f>"  " &amp; TEXT(AE29,"#0.00%") &amp; " " &amp; "UI 설계" &amp; " " &amp; IF(P29="","",TEXT(P29,"M/D-")) &amp; IF(Q29="","",TEXT(Q29,"M/D")) &amp; " "</f>
        <v/>
      </c>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2" ht="12" customHeight="1">
      <c r="A30" s="102" t="n"/>
      <c r="B30" s="102" t="n"/>
      <c r="C30" s="102" t="n"/>
      <c r="D30" s="118" t="n"/>
      <c r="E30" s="103" t="n"/>
      <c r="F30" s="103" t="n"/>
      <c r="G30" s="103" t="n"/>
      <c r="H30" s="103" t="n"/>
      <c r="I30" s="103" t="n"/>
      <c r="J30" s="103" t="n"/>
      <c r="K30" s="103" t="n"/>
      <c r="L30" s="103" t="n"/>
      <c r="M30" s="103" t="n"/>
      <c r="N30" s="103" t="n"/>
      <c r="O30" s="103" t="n"/>
      <c r="P30" s="104" t="n"/>
      <c r="Q30" s="104" t="n"/>
      <c r="R30" s="103" t="n"/>
      <c r="S30" s="302" t="n"/>
      <c r="T30" s="302" t="n"/>
      <c r="U30" s="302" t="n"/>
      <c r="V30" s="302" t="n"/>
      <c r="W30" s="104" t="n"/>
      <c r="X30" s="104" t="n"/>
      <c r="Y30" s="303" t="n"/>
      <c r="Z30" s="107" t="n"/>
      <c r="AA30" s="302" t="n"/>
      <c r="AB30" s="103" t="n"/>
      <c r="AC30" s="103" t="n"/>
      <c r="AD30" s="117" t="n"/>
      <c r="AE30" s="220" t="n"/>
      <c r="AF30" s="120" t="n"/>
      <c r="AG30" s="121" t="n"/>
      <c r="AH30" s="121" t="n"/>
      <c r="AI30" s="121" t="n"/>
      <c r="AJ30" s="121" t="n"/>
      <c r="AK30" s="121">
        <f>"   " &amp; TEXT(AE30,"#0.00%") &amp; " "</f>
        <v/>
      </c>
      <c r="AL30" s="121" t="n"/>
      <c r="AM30" s="121" t="n"/>
      <c r="AN30" s="121">
        <f>"  " &amp; "시스템 설계" &amp; " " &amp; IF(P30="","",TEXT(P30,"M/D-")) &amp; IF(Q30="","",TEXT(Q30,"M/D")) &amp; " "</f>
        <v/>
      </c>
      <c r="AO30" s="121" t="n"/>
      <c r="AP30" s="121" t="n"/>
      <c r="AQ30" s="121" t="n"/>
      <c r="AR30" s="121" t="n"/>
      <c r="AS30" s="121" t="n"/>
      <c r="AT30" s="121" t="n"/>
      <c r="AU30" s="121" t="n"/>
      <c r="AV30" s="121" t="n"/>
      <c r="AW30" s="121" t="n"/>
      <c r="AX30" s="121" t="n"/>
      <c r="AY30" s="121" t="n"/>
      <c r="AZ30" s="121" t="n"/>
      <c r="BA30" s="121" t="n"/>
      <c r="BB30" s="121" t="n"/>
      <c r="BC30" s="121" t="n"/>
    </row>
    <row r="31" outlineLevel="3" ht="12" customHeight="1">
      <c r="A31" s="102" t="n"/>
      <c r="B31" s="102" t="n"/>
      <c r="C31" s="102" t="n"/>
      <c r="D31" s="118" t="n"/>
      <c r="E31" s="103" t="n"/>
      <c r="F31" s="103" t="n"/>
      <c r="G31" s="103" t="n"/>
      <c r="H31" s="103" t="n"/>
      <c r="I31" s="103" t="n"/>
      <c r="J31" s="103" t="n"/>
      <c r="K31" s="103" t="n"/>
      <c r="L31" s="103" t="n"/>
      <c r="M31" s="103" t="n"/>
      <c r="N31" s="103" t="n"/>
      <c r="O31" s="103" t="n"/>
      <c r="P31" s="104" t="n"/>
      <c r="Q31" s="104" t="n"/>
      <c r="R31" s="103" t="n"/>
      <c r="S31" s="302" t="n"/>
      <c r="T31" s="302" t="n"/>
      <c r="U31" s="302" t="n"/>
      <c r="V31" s="302" t="n"/>
      <c r="W31" s="104" t="n"/>
      <c r="X31" s="104" t="n"/>
      <c r="Y31" s="303" t="n"/>
      <c r="Z31" s="107" t="n"/>
      <c r="AA31" s="302" t="n"/>
      <c r="AB31" s="103" t="n"/>
      <c r="AC31" s="103" t="n"/>
      <c r="AD31" s="117" t="n"/>
      <c r="AE31" s="199" t="n"/>
      <c r="AF31" s="120" t="n"/>
      <c r="AG31" s="121" t="n"/>
      <c r="AH31" s="121" t="n"/>
      <c r="AI31" s="121" t="n"/>
      <c r="AJ31" s="121">
        <f>"  " &amp; TEXT(AE31,"#0.00%") &amp; " " &amp; "Architecture설계" &amp; " " &amp; IF(P31="","",TEXT(P31,"M/D-")) &amp; IF(Q31="","",TEXT(Q31,"M/D")) &amp; " "</f>
        <v/>
      </c>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3" ht="12" customHeight="1">
      <c r="A32" s="102" t="n"/>
      <c r="B32" s="102" t="n"/>
      <c r="C32" s="102" t="n"/>
      <c r="D32" s="118" t="n"/>
      <c r="E32" s="103" t="n"/>
      <c r="F32" s="103" t="n"/>
      <c r="G32" s="103" t="n"/>
      <c r="H32" s="103" t="n"/>
      <c r="I32" s="103" t="n"/>
      <c r="J32" s="103" t="n"/>
      <c r="K32" s="103" t="n"/>
      <c r="L32" s="103" t="n"/>
      <c r="M32" s="103" t="n"/>
      <c r="N32" s="103" t="n"/>
      <c r="O32" s="103" t="n"/>
      <c r="P32" s="104" t="n"/>
      <c r="Q32" s="104" t="n"/>
      <c r="R32" s="103" t="n"/>
      <c r="S32" s="302" t="n"/>
      <c r="T32" s="302" t="n"/>
      <c r="U32" s="302" t="n"/>
      <c r="V32" s="302" t="n"/>
      <c r="W32" s="104" t="n"/>
      <c r="X32" s="104" t="n"/>
      <c r="Y32" s="303" t="n"/>
      <c r="Z32" s="107" t="n"/>
      <c r="AA32" s="302" t="n"/>
      <c r="AB32" s="103" t="n"/>
      <c r="AC32" s="103" t="n"/>
      <c r="AD32" s="117" t="n"/>
      <c r="AE32" s="199" t="n"/>
      <c r="AF32" s="120" t="n"/>
      <c r="AG32" s="121" t="n"/>
      <c r="AH32" s="121" t="n"/>
      <c r="AI32" s="121" t="n"/>
      <c r="AJ32" s="121" t="n"/>
      <c r="AK32" s="121" t="n"/>
      <c r="AL32" s="121">
        <f>"  " &amp; TEXT(AE32,"#0.00%") &amp; " " &amp; "데이터베이스설계" &amp; " " &amp; IF(P32="","",TEXT(P32,"M/D-")) &amp; IF(Q32="","",TEXT(Q32,"M/D")) &amp; " "</f>
        <v/>
      </c>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3" ht="12" customHeight="1">
      <c r="A33" s="102" t="n"/>
      <c r="B33" s="102" t="n"/>
      <c r="C33" s="102" t="n"/>
      <c r="D33" s="118" t="n"/>
      <c r="E33" s="103" t="n"/>
      <c r="F33" s="103" t="n"/>
      <c r="G33" s="103" t="n"/>
      <c r="H33" s="103" t="n"/>
      <c r="I33" s="103" t="n"/>
      <c r="J33" s="103" t="n"/>
      <c r="K33" s="103" t="n"/>
      <c r="L33" s="103" t="n"/>
      <c r="M33" s="103" t="n"/>
      <c r="N33" s="103" t="n"/>
      <c r="O33" s="103" t="n"/>
      <c r="P33" s="104" t="n"/>
      <c r="Q33" s="104" t="n"/>
      <c r="R33" s="103" t="n"/>
      <c r="S33" s="302" t="n"/>
      <c r="T33" s="302" t="n"/>
      <c r="U33" s="302" t="n"/>
      <c r="V33" s="302" t="n"/>
      <c r="W33" s="104" t="n"/>
      <c r="X33" s="104" t="n"/>
      <c r="Y33" s="303" t="n"/>
      <c r="Z33" s="107" t="n"/>
      <c r="AA33" s="302" t="n"/>
      <c r="AB33" s="103" t="n"/>
      <c r="AC33" s="103" t="n"/>
      <c r="AD33" s="117" t="n"/>
      <c r="AE33" s="214" t="n"/>
      <c r="AF33" s="120" t="n"/>
      <c r="AG33" s="121" t="n"/>
      <c r="AH33" s="121" t="n"/>
      <c r="AI33" s="121" t="n"/>
      <c r="AJ33" s="121" t="n"/>
      <c r="AK33" s="121">
        <f>"" &amp; TEXT(AE33,"#0.00%") &amp; " "</f>
        <v/>
      </c>
      <c r="AL33" s="121" t="n"/>
      <c r="AM33" s="121" t="n"/>
      <c r="AN33" s="121">
        <f>"  " &amp; "프로그램설계" &amp; " " &amp; IF(P33="","",TEXT(P33,"M/D-")) &amp; IF(Q33="","",TEXT(Q33,"M/D")) &amp; " "</f>
        <v/>
      </c>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c r="D34" s="118" t="n"/>
      <c r="E34" s="103" t="n"/>
      <c r="F34" s="103" t="n"/>
      <c r="G34" s="103" t="n"/>
      <c r="H34" s="103" t="n"/>
      <c r="I34" s="103" t="n"/>
      <c r="J34" s="103" t="n"/>
      <c r="K34" s="103" t="n"/>
      <c r="L34" s="103" t="n"/>
      <c r="M34" s="103" t="n"/>
      <c r="N34" s="103" t="n"/>
      <c r="O34" s="103" t="n"/>
      <c r="P34" s="104" t="n"/>
      <c r="Q34" s="104" t="n"/>
      <c r="R34" s="103" t="n"/>
      <c r="S34" s="302" t="n"/>
      <c r="T34" s="302" t="n"/>
      <c r="U34" s="302" t="n"/>
      <c r="V34" s="302" t="n"/>
      <c r="W34" s="104" t="n"/>
      <c r="X34" s="104" t="n"/>
      <c r="Y34" s="303" t="n"/>
      <c r="Z34" s="107" t="n"/>
      <c r="AA34" s="302" t="n"/>
      <c r="AB34" s="103" t="n"/>
      <c r="AC34" s="103" t="n"/>
      <c r="AD34" s="117" t="n"/>
      <c r="AE34" s="214" t="n"/>
      <c r="AF34" s="120" t="n"/>
      <c r="AG34" s="121" t="n"/>
      <c r="AH34" s="121" t="n"/>
      <c r="AI34" s="121" t="n"/>
      <c r="AJ34" s="121" t="n"/>
      <c r="AK34" s="121" t="n"/>
      <c r="AL34" s="121" t="n"/>
      <c r="AM34" s="121" t="n"/>
      <c r="AN34" s="121">
        <f>"    " &amp; TEXT(AE34,"#0.00%") &amp; " " &amp; "테스트 설계" &amp; " " &amp; IF(P34="","",TEXT(P34,"M/D-")) &amp; IF(Q34="","",TEXT(Q34,"M/D")) &amp; " "</f>
        <v/>
      </c>
      <c r="AO34" s="121" t="n"/>
      <c r="AP34" s="121" t="n"/>
      <c r="AQ34" s="121" t="n"/>
      <c r="AR34" s="121" t="n"/>
      <c r="AS34" s="121" t="n"/>
      <c r="AT34" s="121" t="n"/>
      <c r="AU34" s="121" t="n"/>
      <c r="AV34" s="121" t="n"/>
      <c r="AW34" s="121" t="n"/>
      <c r="AX34" s="121" t="n"/>
      <c r="AY34" s="121" t="n"/>
      <c r="AZ34" s="121" t="n"/>
      <c r="BA34" s="121" t="n"/>
      <c r="BB34" s="121" t="n"/>
      <c r="BC34" s="121" t="n"/>
    </row>
    <row r="35" outlineLevel="1" ht="12" customHeight="1">
      <c r="A35" s="102" t="n"/>
      <c r="B35" s="102" t="n"/>
      <c r="C35" s="102" t="n"/>
      <c r="D35" s="118" t="n"/>
      <c r="E35" s="103" t="n"/>
      <c r="F35" s="103" t="n"/>
      <c r="G35" s="103" t="n"/>
      <c r="H35" s="103" t="n"/>
      <c r="I35" s="103" t="n"/>
      <c r="J35" s="103" t="n"/>
      <c r="K35" s="103" t="n"/>
      <c r="L35" s="103" t="n"/>
      <c r="M35" s="103" t="n"/>
      <c r="N35" s="103" t="n"/>
      <c r="O35" s="103" t="n"/>
      <c r="P35" s="104" t="n"/>
      <c r="Q35" s="104" t="n"/>
      <c r="R35" s="103" t="n"/>
      <c r="S35" s="302" t="n"/>
      <c r="T35" s="302" t="n"/>
      <c r="U35" s="302" t="n"/>
      <c r="V35" s="302" t="n"/>
      <c r="W35" s="104" t="n"/>
      <c r="X35" s="104" t="n"/>
      <c r="Y35" s="303" t="n"/>
      <c r="Z35" s="107" t="n"/>
      <c r="AA35" s="302" t="n"/>
      <c r="AB35" s="103" t="n"/>
      <c r="AC35" s="103" t="n"/>
      <c r="AD35" s="117" t="n"/>
      <c r="AE35" s="220" t="n"/>
      <c r="AF35" s="120" t="n"/>
      <c r="AG35" s="121" t="n"/>
      <c r="AH35" s="121" t="n"/>
      <c r="AI35" s="121" t="n"/>
      <c r="AJ35" s="121" t="n"/>
      <c r="AK35" s="121" t="n"/>
      <c r="AL35" s="121" t="n"/>
      <c r="AM35" s="121" t="n"/>
      <c r="AN35" s="121" t="n"/>
      <c r="AO35" s="121">
        <f>"    " &amp; TEXT(AE35,"#0.00%") &amp; " "</f>
        <v/>
      </c>
      <c r="AP35" s="121" t="n"/>
      <c r="AQ35" s="121" t="n"/>
      <c r="AR35" s="121" t="n"/>
      <c r="AS35" s="121" t="n"/>
      <c r="AT35" s="121" t="n"/>
      <c r="AU35" s="121" t="n"/>
      <c r="AV35" s="121" t="n"/>
      <c r="AW35" s="121" t="n"/>
      <c r="AX35" s="121" t="n"/>
      <c r="AY35" s="121">
        <f>"  " &amp; "개발" &amp; " " &amp; IF(P35="","",TEXT(P35,"M/D-")) &amp; IF(Q35="","",TEXT(Q35,"M/D")) &amp; " "</f>
        <v/>
      </c>
      <c r="AZ35" s="121" t="n"/>
      <c r="BA35" s="121" t="n"/>
      <c r="BB35" s="121" t="n"/>
      <c r="BC35" s="121" t="n"/>
    </row>
    <row r="36" outlineLevel="2" ht="12" customHeight="1">
      <c r="A36" s="102" t="n"/>
      <c r="B36" s="102" t="n"/>
      <c r="C36" s="102" t="n"/>
      <c r="D36" s="118" t="n"/>
      <c r="E36" s="103" t="n"/>
      <c r="F36" s="103" t="n"/>
      <c r="G36" s="103" t="n"/>
      <c r="H36" s="103" t="n"/>
      <c r="I36" s="103" t="n"/>
      <c r="J36" s="103" t="n"/>
      <c r="K36" s="103" t="n"/>
      <c r="L36" s="103" t="n"/>
      <c r="M36" s="103" t="n"/>
      <c r="N36" s="103" t="n"/>
      <c r="O36" s="103" t="n"/>
      <c r="P36" s="104" t="n"/>
      <c r="Q36" s="104" t="n"/>
      <c r="R36" s="103" t="n"/>
      <c r="S36" s="302" t="n"/>
      <c r="T36" s="302" t="n"/>
      <c r="U36" s="302" t="n"/>
      <c r="V36" s="302" t="n"/>
      <c r="W36" s="104" t="n"/>
      <c r="X36" s="104" t="n"/>
      <c r="Y36" s="303" t="n"/>
      <c r="Z36" s="107" t="n"/>
      <c r="AA36" s="302" t="n"/>
      <c r="AB36" s="103" t="n"/>
      <c r="AC36" s="103" t="n"/>
      <c r="AD36" s="117" t="n"/>
      <c r="AE36" s="220" t="n"/>
      <c r="AF36" s="120" t="n"/>
      <c r="AG36" s="121" t="n"/>
      <c r="AH36" s="121" t="n"/>
      <c r="AI36" s="121" t="n"/>
      <c r="AJ36" s="121" t="n"/>
      <c r="AK36" s="121" t="n"/>
      <c r="AL36" s="121" t="n"/>
      <c r="AM36" s="121" t="n"/>
      <c r="AN36" s="121" t="n"/>
      <c r="AO36" s="121">
        <f>"    " &amp; TEXT(AE36,"#0.00%") &amp; " "</f>
        <v/>
      </c>
      <c r="AP36" s="121" t="n"/>
      <c r="AQ36" s="121" t="n"/>
      <c r="AR36" s="121" t="n"/>
      <c r="AS36" s="121" t="n"/>
      <c r="AT36" s="121" t="n"/>
      <c r="AU36" s="121" t="n"/>
      <c r="AV36" s="121" t="n"/>
      <c r="AW36" s="121">
        <f>"  " &amp; "프로그램 개발" &amp; " " &amp; IF(P36="","",TEXT(P36,"M/D-")) &amp; IF(Q36="","",TEXT(Q36,"M/D")) &amp; " "</f>
        <v/>
      </c>
      <c r="AX36" s="121" t="n"/>
      <c r="AY36" s="121" t="n"/>
      <c r="AZ36" s="121" t="n"/>
      <c r="BA36" s="121" t="n"/>
      <c r="BB36" s="121" t="n"/>
      <c r="BC36" s="121" t="n"/>
    </row>
    <row r="37" outlineLevel="3" ht="12" customHeight="1">
      <c r="A37" s="102" t="n"/>
      <c r="B37" s="102" t="n"/>
      <c r="C37" s="102" t="n"/>
      <c r="D37" s="118" t="n"/>
      <c r="E37" s="103" t="n"/>
      <c r="F37" s="103" t="n"/>
      <c r="G37" s="103" t="n"/>
      <c r="H37" s="103" t="n"/>
      <c r="I37" s="103" t="n"/>
      <c r="J37" s="103" t="n"/>
      <c r="K37" s="103" t="n"/>
      <c r="L37" s="103" t="n"/>
      <c r="M37" s="103" t="n"/>
      <c r="N37" s="103" t="n"/>
      <c r="O37" s="103" t="n"/>
      <c r="P37" s="104" t="n"/>
      <c r="Q37" s="104" t="n"/>
      <c r="R37" s="103" t="n"/>
      <c r="S37" s="302" t="n"/>
      <c r="T37" s="302" t="n"/>
      <c r="U37" s="302" t="n"/>
      <c r="V37" s="302" t="n"/>
      <c r="W37" s="104" t="n"/>
      <c r="X37" s="104" t="n"/>
      <c r="Y37" s="303" t="n"/>
      <c r="Z37" s="107" t="n"/>
      <c r="AA37" s="302" t="n"/>
      <c r="AB37" s="103" t="n"/>
      <c r="AC37" s="103" t="n"/>
      <c r="AD37" s="117" t="n"/>
      <c r="AE37" s="214" t="n"/>
      <c r="AF37" s="120" t="n"/>
      <c r="AG37" s="121" t="n"/>
      <c r="AH37" s="121" t="n"/>
      <c r="AI37" s="121" t="n"/>
      <c r="AJ37" s="121" t="n"/>
      <c r="AK37" s="121" t="n"/>
      <c r="AL37" s="121" t="n"/>
      <c r="AM37" s="121" t="n"/>
      <c r="AN37" s="121" t="n"/>
      <c r="AO37" s="121">
        <f>" " &amp; TEXT(AE37,"#0.00%") &amp; " " &amp; "단위테스트시나리오작성" &amp; " " &amp; IF(P37="","",TEXT(P37,"M/D-")) &amp; IF(Q37="","",TEXT(Q37,"M/D")) &amp; " "</f>
        <v/>
      </c>
      <c r="AP37" s="121" t="n"/>
      <c r="AQ37" s="121" t="n"/>
      <c r="AR37" s="121" t="n"/>
      <c r="AS37" s="121" t="n"/>
      <c r="AT37" s="121" t="n"/>
      <c r="AU37" s="121" t="n"/>
      <c r="AV37" s="121" t="n"/>
      <c r="AW37" s="121" t="n"/>
      <c r="AX37" s="121" t="n"/>
      <c r="AY37" s="121" t="n"/>
      <c r="AZ37" s="121" t="n"/>
      <c r="BA37" s="121" t="n"/>
      <c r="BB37" s="121" t="n"/>
      <c r="BC37" s="121" t="n"/>
    </row>
    <row r="38" outlineLevel="3" ht="12" customHeight="1">
      <c r="A38" s="102" t="n"/>
      <c r="B38" s="102" t="n"/>
      <c r="C38" s="102" t="n"/>
      <c r="D38" s="118" t="n"/>
      <c r="E38" s="103" t="n"/>
      <c r="F38" s="103" t="n"/>
      <c r="G38" s="103" t="n"/>
      <c r="H38" s="103" t="n"/>
      <c r="I38" s="103" t="n"/>
      <c r="J38" s="103" t="n"/>
      <c r="K38" s="103" t="n"/>
      <c r="L38" s="103" t="n"/>
      <c r="M38" s="103" t="n"/>
      <c r="N38" s="103" t="n"/>
      <c r="O38" s="103" t="n"/>
      <c r="P38" s="104" t="n"/>
      <c r="Q38" s="104" t="n"/>
      <c r="R38" s="103" t="n"/>
      <c r="S38" s="302" t="n"/>
      <c r="T38" s="302" t="n"/>
      <c r="U38" s="302" t="n"/>
      <c r="V38" s="302" t="n"/>
      <c r="W38" s="104" t="n"/>
      <c r="X38" s="104" t="n"/>
      <c r="Y38" s="303" t="n"/>
      <c r="Z38" s="107" t="n"/>
      <c r="AA38" s="302" t="n"/>
      <c r="AB38" s="103" t="n"/>
      <c r="AC38" s="103" t="n"/>
      <c r="AD38" s="117" t="n"/>
      <c r="AE38" s="220" t="n"/>
      <c r="AF38" s="120" t="n"/>
      <c r="AG38" s="121" t="n"/>
      <c r="AH38" s="121" t="n"/>
      <c r="AI38" s="121" t="n"/>
      <c r="AJ38" s="121" t="n"/>
      <c r="AK38" s="121" t="n"/>
      <c r="AL38" s="121" t="n"/>
      <c r="AM38" s="121" t="n"/>
      <c r="AN38" s="121" t="n"/>
      <c r="AO38" s="121">
        <f>"    " &amp; TEXT(AE38,"#0.00%") &amp; " "</f>
        <v/>
      </c>
      <c r="AP38" s="121" t="n"/>
      <c r="AQ38" s="121" t="n"/>
      <c r="AR38" s="121" t="n"/>
      <c r="AS38" s="121" t="n"/>
      <c r="AT38" s="121" t="n"/>
      <c r="AU38" s="121" t="n"/>
      <c r="AV38" s="121" t="n"/>
      <c r="AW38" s="121">
        <f>"  " &amp; "프로그램코딩 및 단위테스트" &amp; " " &amp; IF(P38="","",TEXT(P38,"M/D-")) &amp; IF(Q38="","",TEXT(Q38,"M/D")) &amp; " "</f>
        <v/>
      </c>
      <c r="AX38" s="121" t="n"/>
      <c r="AY38" s="121" t="n"/>
      <c r="AZ38" s="121" t="n"/>
      <c r="BA38" s="121" t="n"/>
      <c r="BB38" s="121" t="n"/>
      <c r="BC38" s="121" t="n"/>
    </row>
    <row r="39" outlineLevel="4" ht="12" customHeight="1">
      <c r="A39" s="102" t="n"/>
      <c r="B39" s="102" t="n"/>
      <c r="C39" s="102" t="n"/>
      <c r="D39" s="118" t="n"/>
      <c r="E39" s="103" t="n"/>
      <c r="F39" s="103" t="n"/>
      <c r="G39" s="103" t="n"/>
      <c r="H39" s="103" t="n"/>
      <c r="I39" s="103" t="n"/>
      <c r="J39" s="103" t="n"/>
      <c r="K39" s="103" t="n"/>
      <c r="L39" s="103" t="n"/>
      <c r="M39" s="103" t="n"/>
      <c r="N39" s="103" t="n"/>
      <c r="O39" s="103" t="n"/>
      <c r="P39" s="104" t="n"/>
      <c r="Q39" s="104" t="n"/>
      <c r="R39" s="103" t="n"/>
      <c r="S39" s="302" t="n"/>
      <c r="T39" s="302" t="n"/>
      <c r="U39" s="302" t="n"/>
      <c r="V39" s="302" t="n"/>
      <c r="W39" s="104" t="n"/>
      <c r="X39" s="104" t="n"/>
      <c r="Y39" s="303" t="n"/>
      <c r="Z39" s="107" t="n"/>
      <c r="AA39" s="302" t="n"/>
      <c r="AB39" s="103" t="n"/>
      <c r="AC39" s="103" t="n"/>
      <c r="AD39" s="117" t="n"/>
      <c r="AE39" s="220" t="n"/>
      <c r="AF39" s="120" t="n"/>
      <c r="AG39" s="121" t="n"/>
      <c r="AH39" s="121" t="n"/>
      <c r="AI39" s="121" t="n"/>
      <c r="AJ39" s="121" t="n"/>
      <c r="AK39" s="121" t="n"/>
      <c r="AL39" s="121" t="n"/>
      <c r="AM39" s="121" t="n"/>
      <c r="AN39" s="121" t="n"/>
      <c r="AO39" s="121" t="n"/>
      <c r="AP39" s="121" t="n"/>
      <c r="AQ39" s="121">
        <f>"  " &amp; TEXT(AE39,"#0.00%") &amp; " "</f>
        <v/>
      </c>
      <c r="AR39" s="121" t="n"/>
      <c r="AS39" s="121" t="n"/>
      <c r="AT39" s="121" t="n"/>
      <c r="AU39" s="121" t="n"/>
      <c r="AV39" s="121">
        <f>"     " &amp; "모듈A" &amp; " " &amp; IF(P39="","",TEXT(P39,"M/D-")) &amp; IF(Q39="","",TEXT(Q39,"M/D")) &amp; " "</f>
        <v/>
      </c>
      <c r="AW39" s="121" t="n"/>
      <c r="AX39" s="121" t="n"/>
      <c r="AY39" s="121" t="n"/>
      <c r="AZ39" s="121" t="n"/>
      <c r="BA39" s="121" t="n"/>
      <c r="BB39" s="121" t="n"/>
      <c r="BC39" s="121" t="n"/>
    </row>
    <row r="40" outlineLevel="5" ht="12" customHeight="1">
      <c r="A40" s="102" t="n"/>
      <c r="B40" s="102" t="n"/>
      <c r="C40" s="102" t="n"/>
      <c r="D40" s="118" t="n"/>
      <c r="E40" s="103" t="n"/>
      <c r="F40" s="103" t="n"/>
      <c r="G40" s="103" t="n"/>
      <c r="H40" s="103" t="n"/>
      <c r="I40" s="103" t="n"/>
      <c r="J40" s="103" t="n"/>
      <c r="K40" s="103" t="n"/>
      <c r="L40" s="103" t="n"/>
      <c r="M40" s="103" t="n"/>
      <c r="N40" s="103" t="n"/>
      <c r="O40" s="103" t="n"/>
      <c r="P40" s="104" t="n"/>
      <c r="Q40" s="104" t="n"/>
      <c r="R40" s="103" t="n"/>
      <c r="S40" s="302" t="n"/>
      <c r="T40" s="302" t="n"/>
      <c r="U40" s="302" t="n"/>
      <c r="V40" s="302" t="n"/>
      <c r="W40" s="104" t="n"/>
      <c r="X40" s="104" t="n"/>
      <c r="Y40" s="303" t="n"/>
      <c r="Z40" s="107" t="n"/>
      <c r="AA40" s="302" t="n"/>
      <c r="AB40" s="103" t="n"/>
      <c r="AC40" s="103" t="n"/>
      <c r="AD40" s="117" t="n"/>
      <c r="AE40" s="214" t="n"/>
      <c r="AF40" s="120" t="n"/>
      <c r="AG40" s="121" t="n"/>
      <c r="AH40" s="121" t="n"/>
      <c r="AI40" s="121" t="n"/>
      <c r="AJ40" s="121" t="n"/>
      <c r="AK40" s="121" t="n"/>
      <c r="AL40" s="121" t="n"/>
      <c r="AM40" s="121" t="n"/>
      <c r="AN40" s="121" t="n"/>
      <c r="AO40" s="121">
        <f>"    " &amp; TEXT(AE40,"#0.00%") &amp; " " &amp; "프로그램A" &amp; " " &amp; IF(P40="","",TEXT(P40,"M/D-")) &amp; IF(Q40="","",TEXT(Q40,"M/D")) &amp; " "</f>
        <v/>
      </c>
      <c r="AP40" s="121" t="n"/>
      <c r="AQ40" s="121" t="n"/>
      <c r="AR40" s="121" t="n"/>
      <c r="AS40" s="121" t="n"/>
      <c r="AT40" s="121" t="n"/>
      <c r="AU40" s="121" t="n"/>
      <c r="AV40" s="121" t="n"/>
      <c r="AW40" s="121" t="n"/>
      <c r="AX40" s="121" t="n"/>
      <c r="AY40" s="121" t="n"/>
      <c r="AZ40" s="121" t="n"/>
      <c r="BA40" s="121" t="n"/>
      <c r="BB40" s="121" t="n"/>
      <c r="BC40" s="121" t="n"/>
    </row>
    <row r="41" outlineLevel="5" ht="12" customHeight="1">
      <c r="A41" s="102" t="n"/>
      <c r="B41" s="102" t="n"/>
      <c r="C41" s="102" t="n"/>
      <c r="D41" s="118" t="n"/>
      <c r="E41" s="103" t="n"/>
      <c r="F41" s="103" t="n"/>
      <c r="G41" s="103" t="n"/>
      <c r="H41" s="103" t="n"/>
      <c r="I41" s="103" t="n"/>
      <c r="J41" s="103" t="n"/>
      <c r="K41" s="103" t="n"/>
      <c r="L41" s="103" t="n"/>
      <c r="M41" s="103" t="n"/>
      <c r="N41" s="103" t="n"/>
      <c r="O41" s="103" t="n"/>
      <c r="P41" s="104" t="n"/>
      <c r="Q41" s="104" t="n"/>
      <c r="R41" s="103" t="n"/>
      <c r="S41" s="302" t="n"/>
      <c r="T41" s="302" t="n"/>
      <c r="U41" s="302" t="n"/>
      <c r="V41" s="302" t="n"/>
      <c r="W41" s="104" t="n"/>
      <c r="X41" s="104" t="n"/>
      <c r="Y41" s="303" t="n"/>
      <c r="Z41" s="107" t="n"/>
      <c r="AA41" s="302" t="n"/>
      <c r="AB41" s="103" t="n"/>
      <c r="AC41" s="103" t="n"/>
      <c r="AD41" s="117" t="n"/>
      <c r="AE41" s="214" t="n"/>
      <c r="AF41" s="120" t="n"/>
      <c r="AG41" s="121" t="n"/>
      <c r="AH41" s="121" t="n"/>
      <c r="AI41" s="121" t="n"/>
      <c r="AJ41" s="121" t="n"/>
      <c r="AK41" s="121" t="n"/>
      <c r="AL41" s="121" t="n"/>
      <c r="AM41" s="121" t="n"/>
      <c r="AN41" s="121" t="n"/>
      <c r="AO41" s="121" t="n"/>
      <c r="AP41" s="121" t="n"/>
      <c r="AQ41" s="121" t="n"/>
      <c r="AR41" s="121" t="n"/>
      <c r="AS41" s="121">
        <f>"  " &amp; TEXT(AE41,"#0.00%") &amp; " " &amp; "프로그램B" &amp; " " &amp; IF(P41="","",TEXT(P41,"M/D-")) &amp; IF(Q41="","",TEXT(Q41,"M/D")) &amp; " "</f>
        <v/>
      </c>
      <c r="AT41" s="121" t="n"/>
      <c r="AU41" s="121" t="n"/>
      <c r="AV41" s="121" t="n"/>
      <c r="AW41" s="121" t="n"/>
      <c r="AX41" s="121" t="n"/>
      <c r="AY41" s="121" t="n"/>
      <c r="AZ41" s="121" t="n"/>
      <c r="BA41" s="121" t="n"/>
      <c r="BB41" s="121" t="n"/>
      <c r="BC41" s="121" t="n"/>
    </row>
    <row r="42" outlineLevel="5" ht="12" customHeight="1">
      <c r="A42" s="102" t="n"/>
      <c r="B42" s="102" t="n"/>
      <c r="C42" s="102" t="n"/>
      <c r="D42" s="118" t="n"/>
      <c r="E42" s="103" t="n"/>
      <c r="F42" s="103" t="n"/>
      <c r="G42" s="103" t="n"/>
      <c r="H42" s="103" t="n"/>
      <c r="I42" s="103" t="n"/>
      <c r="J42" s="103" t="n"/>
      <c r="K42" s="103" t="n"/>
      <c r="L42" s="103" t="n"/>
      <c r="M42" s="103" t="n"/>
      <c r="N42" s="103" t="n"/>
      <c r="O42" s="103" t="n"/>
      <c r="P42" s="104" t="n"/>
      <c r="Q42" s="104" t="n"/>
      <c r="R42" s="103" t="n"/>
      <c r="S42" s="302" t="n"/>
      <c r="T42" s="302" t="n"/>
      <c r="U42" s="302" t="n"/>
      <c r="V42" s="302" t="n"/>
      <c r="W42" s="104" t="n"/>
      <c r="X42" s="104" t="n"/>
      <c r="Y42" s="303" t="n"/>
      <c r="Z42" s="107" t="n"/>
      <c r="AA42" s="302" t="n"/>
      <c r="AB42" s="103" t="n"/>
      <c r="AC42" s="103" t="n"/>
      <c r="AD42" s="117" t="n"/>
      <c r="AE42" s="214" t="n"/>
      <c r="AF42" s="120" t="n"/>
      <c r="AG42" s="121" t="n"/>
      <c r="AH42" s="121" t="n"/>
      <c r="AI42" s="121" t="n"/>
      <c r="AJ42" s="121" t="n"/>
      <c r="AK42" s="121" t="n"/>
      <c r="AL42" s="121" t="n"/>
      <c r="AM42" s="121" t="n"/>
      <c r="AN42" s="121" t="n"/>
      <c r="AO42" s="121" t="n"/>
      <c r="AP42" s="121" t="n"/>
      <c r="AQ42" s="121" t="n"/>
      <c r="AR42" s="121" t="n"/>
      <c r="AS42" s="121" t="n"/>
      <c r="AT42" s="121">
        <f>"     " &amp; TEXT(AE42,"#0.00%") &amp; " " &amp; "프로그램C" &amp; " " &amp; IF(P42="","",TEXT(P42,"M/D-")) &amp; IF(Q42="","",TEXT(Q42,"M/D")) &amp; " "</f>
        <v/>
      </c>
      <c r="AU42" s="121" t="n"/>
      <c r="AV42" s="121" t="n"/>
      <c r="AW42" s="121" t="n"/>
      <c r="AX42" s="121" t="n"/>
      <c r="AY42" s="121" t="n"/>
      <c r="AZ42" s="121" t="n"/>
      <c r="BA42" s="121" t="n"/>
      <c r="BB42" s="121" t="n"/>
      <c r="BC42" s="121" t="n"/>
    </row>
    <row r="43" outlineLevel="4" ht="12" customHeight="1">
      <c r="A43" s="102" t="n"/>
      <c r="B43" s="102" t="n"/>
      <c r="C43" s="102" t="n"/>
      <c r="D43" s="118" t="n"/>
      <c r="E43" s="103" t="n"/>
      <c r="F43" s="103" t="n"/>
      <c r="G43" s="103" t="n"/>
      <c r="H43" s="103" t="n"/>
      <c r="I43" s="103" t="n"/>
      <c r="J43" s="103" t="n"/>
      <c r="K43" s="103" t="n"/>
      <c r="L43" s="103" t="n"/>
      <c r="M43" s="103" t="n"/>
      <c r="N43" s="103" t="n"/>
      <c r="O43" s="103" t="n"/>
      <c r="P43" s="104" t="n"/>
      <c r="Q43" s="104" t="n"/>
      <c r="R43" s="103" t="n"/>
      <c r="S43" s="302" t="n"/>
      <c r="T43" s="302" t="n"/>
      <c r="U43" s="302" t="n"/>
      <c r="V43" s="302" t="n"/>
      <c r="W43" s="104" t="n"/>
      <c r="X43" s="104" t="n"/>
      <c r="Y43" s="303" t="n"/>
      <c r="Z43" s="107" t="n"/>
      <c r="AA43" s="302" t="n"/>
      <c r="AB43" s="103" t="n"/>
      <c r="AC43" s="103" t="n"/>
      <c r="AD43" s="117" t="n"/>
      <c r="AE43" s="214" t="n"/>
      <c r="AF43" s="120" t="n"/>
      <c r="AG43" s="121" t="n"/>
      <c r="AH43" s="121" t="n"/>
      <c r="AI43" s="121" t="n"/>
      <c r="AJ43" s="121" t="n"/>
      <c r="AK43" s="121" t="n"/>
      <c r="AL43" s="121" t="n"/>
      <c r="AM43" s="121" t="n"/>
      <c r="AN43" s="121" t="n"/>
      <c r="AO43" s="121">
        <f>" " &amp; TEXT(AE43,"#0.00%") &amp; " "</f>
        <v/>
      </c>
      <c r="AP43" s="121" t="n"/>
      <c r="AQ43" s="121" t="n"/>
      <c r="AR43" s="121" t="n"/>
      <c r="AS43" s="121" t="n"/>
      <c r="AT43" s="121" t="n"/>
      <c r="AU43" s="121" t="n"/>
      <c r="AV43" s="121" t="n"/>
      <c r="AW43" s="121">
        <f>"  " &amp; "모듈B" &amp; " " &amp; IF(P43="","",TEXT(P43,"M/D-")) &amp; IF(Q43="","",TEXT(Q43,"M/D")) &amp; " "</f>
        <v/>
      </c>
      <c r="AX43" s="121" t="n"/>
      <c r="AY43" s="121" t="n"/>
      <c r="AZ43" s="121" t="n"/>
      <c r="BA43" s="121" t="n"/>
      <c r="BB43" s="121" t="n"/>
      <c r="BC43" s="121" t="n"/>
    </row>
    <row r="44" outlineLevel="4" ht="12" customHeight="1">
      <c r="A44" s="102" t="n"/>
      <c r="B44" s="102" t="n"/>
      <c r="C44" s="102" t="n"/>
      <c r="D44" s="118" t="n"/>
      <c r="E44" s="103" t="n"/>
      <c r="F44" s="103" t="n"/>
      <c r="G44" s="103" t="n"/>
      <c r="H44" s="103" t="n"/>
      <c r="I44" s="103" t="n"/>
      <c r="J44" s="103" t="n"/>
      <c r="K44" s="103" t="n"/>
      <c r="L44" s="103" t="n"/>
      <c r="M44" s="103" t="n"/>
      <c r="N44" s="103" t="n"/>
      <c r="O44" s="103" t="n"/>
      <c r="P44" s="104" t="n"/>
      <c r="Q44" s="104" t="n"/>
      <c r="R44" s="103" t="n"/>
      <c r="S44" s="302" t="n"/>
      <c r="T44" s="302" t="n"/>
      <c r="U44" s="302" t="n"/>
      <c r="V44" s="302" t="n"/>
      <c r="W44" s="104" t="n"/>
      <c r="X44" s="104" t="n"/>
      <c r="Y44" s="303" t="n"/>
      <c r="Z44" s="107" t="n"/>
      <c r="AA44" s="302" t="n"/>
      <c r="AB44" s="103" t="n"/>
      <c r="AC44" s="103" t="n"/>
      <c r="AD44" s="117" t="n"/>
      <c r="AE44" s="214" t="n"/>
      <c r="AF44" s="120" t="n"/>
      <c r="AG44" s="121" t="n"/>
      <c r="AH44" s="121" t="n"/>
      <c r="AI44" s="121" t="n"/>
      <c r="AJ44" s="121" t="n"/>
      <c r="AK44" s="121" t="n"/>
      <c r="AL44" s="121" t="n"/>
      <c r="AM44" s="121" t="n"/>
      <c r="AN44" s="121" t="n"/>
      <c r="AO44" s="121">
        <f>" " &amp; TEXT(AE44,"#0.00%") &amp; " "</f>
        <v/>
      </c>
      <c r="AP44" s="121" t="n"/>
      <c r="AQ44" s="121" t="n"/>
      <c r="AR44" s="121" t="n"/>
      <c r="AS44" s="121" t="n"/>
      <c r="AT44" s="121" t="n"/>
      <c r="AU44" s="121" t="n"/>
      <c r="AV44" s="121" t="n"/>
      <c r="AW44" s="121">
        <f>"  " &amp; "모듈C" &amp; " " &amp; IF(P44="","",TEXT(P44,"M/D-")) &amp; IF(Q44="","",TEXT(Q44,"M/D")) &amp; " "</f>
        <v/>
      </c>
      <c r="AX44" s="121" t="n"/>
      <c r="AY44" s="121" t="n"/>
      <c r="AZ44" s="121" t="n"/>
      <c r="BA44" s="121" t="n"/>
      <c r="BB44" s="121" t="n"/>
      <c r="BC44" s="121" t="n"/>
    </row>
    <row r="45" outlineLevel="4" ht="12" customHeight="1">
      <c r="A45" s="102" t="n"/>
      <c r="B45" s="102" t="n"/>
      <c r="C45" s="102" t="n"/>
      <c r="D45" s="118" t="n"/>
      <c r="E45" s="103" t="n"/>
      <c r="F45" s="103" t="n"/>
      <c r="G45" s="103" t="n"/>
      <c r="H45" s="103" t="n"/>
      <c r="I45" s="103" t="n"/>
      <c r="J45" s="103" t="n"/>
      <c r="K45" s="103" t="n"/>
      <c r="L45" s="103" t="n"/>
      <c r="M45" s="103" t="n"/>
      <c r="N45" s="103" t="n"/>
      <c r="O45" s="103" t="n"/>
      <c r="P45" s="104" t="n"/>
      <c r="Q45" s="104" t="n"/>
      <c r="R45" s="103" t="n"/>
      <c r="S45" s="302" t="n"/>
      <c r="T45" s="302" t="n"/>
      <c r="U45" s="302" t="n"/>
      <c r="V45" s="302" t="n"/>
      <c r="W45" s="104" t="n"/>
      <c r="X45" s="104" t="n"/>
      <c r="Y45" s="303" t="n"/>
      <c r="Z45" s="107" t="n"/>
      <c r="AA45" s="302" t="n"/>
      <c r="AB45" s="103" t="n"/>
      <c r="AC45" s="103" t="n"/>
      <c r="AD45" s="117" t="n"/>
      <c r="AE45" s="214" t="n"/>
      <c r="AF45" s="120" t="n"/>
      <c r="AG45" s="121" t="n"/>
      <c r="AH45" s="121" t="n"/>
      <c r="AI45" s="121" t="n"/>
      <c r="AJ45" s="121" t="n"/>
      <c r="AK45" s="121" t="n"/>
      <c r="AL45" s="121" t="n"/>
      <c r="AM45" s="121" t="n"/>
      <c r="AN45" s="121" t="n"/>
      <c r="AO45" s="121" t="n"/>
      <c r="AP45" s="121" t="n"/>
      <c r="AQ45" s="121">
        <f>" " &amp; TEXT(AE45,"#0.00%") &amp; " "</f>
        <v/>
      </c>
      <c r="AR45" s="121" t="n"/>
      <c r="AS45" s="121" t="n"/>
      <c r="AT45" s="121" t="n"/>
      <c r="AU45" s="121" t="n"/>
      <c r="AV45" s="121" t="n"/>
      <c r="AW45" s="121">
        <f>"  " &amp; "모듈D" &amp; " " &amp; IF(P45="","",TEXT(P45,"M/D-")) &amp; IF(Q45="","",TEXT(Q45,"M/D")) &amp; " "</f>
        <v/>
      </c>
      <c r="AX45" s="121" t="n"/>
      <c r="AY45" s="121" t="n"/>
      <c r="AZ45" s="121" t="n"/>
      <c r="BA45" s="121" t="n"/>
      <c r="BB45" s="121" t="n"/>
      <c r="BC45" s="121" t="n"/>
    </row>
    <row r="46" outlineLevel="2" ht="12" customHeight="1">
      <c r="A46" s="102" t="n"/>
      <c r="B46" s="102" t="n"/>
      <c r="C46" s="102" t="n"/>
      <c r="D46" s="118" t="n"/>
      <c r="E46" s="103" t="n"/>
      <c r="F46" s="103" t="n"/>
      <c r="G46" s="103" t="n"/>
      <c r="H46" s="103" t="n"/>
      <c r="I46" s="103" t="n"/>
      <c r="J46" s="103" t="n"/>
      <c r="K46" s="103" t="n"/>
      <c r="L46" s="103" t="n"/>
      <c r="M46" s="103" t="n"/>
      <c r="N46" s="103" t="n"/>
      <c r="O46" s="103" t="n"/>
      <c r="P46" s="104" t="n"/>
      <c r="Q46" s="104" t="n"/>
      <c r="R46" s="103" t="n"/>
      <c r="S46" s="302" t="n"/>
      <c r="T46" s="302" t="n"/>
      <c r="U46" s="302" t="n"/>
      <c r="V46" s="302" t="n"/>
      <c r="W46" s="104" t="n"/>
      <c r="X46" s="104" t="n"/>
      <c r="Y46" s="303" t="n"/>
      <c r="Z46" s="107" t="n"/>
      <c r="AA46" s="302" t="n"/>
      <c r="AB46" s="103" t="n"/>
      <c r="AC46" s="103" t="n"/>
      <c r="AD46" s="117" t="n"/>
      <c r="AE46" s="220" t="n"/>
      <c r="AF46" s="120" t="n"/>
      <c r="AG46" s="121" t="n"/>
      <c r="AH46" s="121" t="n"/>
      <c r="AI46" s="121" t="n"/>
      <c r="AJ46" s="121" t="n"/>
      <c r="AK46" s="121" t="n"/>
      <c r="AL46" s="121" t="n"/>
      <c r="AM46" s="121" t="n"/>
      <c r="AN46" s="121" t="n"/>
      <c r="AO46" s="121" t="n"/>
      <c r="AP46" s="121" t="n"/>
      <c r="AQ46" s="121" t="n"/>
      <c r="AR46" s="121" t="n"/>
      <c r="AS46" s="121" t="n"/>
      <c r="AT46" s="121" t="n"/>
      <c r="AU46" s="121">
        <f>"    " &amp; TEXT(AE46,"#0.00%") &amp; " "</f>
        <v/>
      </c>
      <c r="AV46" s="121" t="n"/>
      <c r="AW46" s="121" t="n"/>
      <c r="AX46" s="121" t="n"/>
      <c r="AY46" s="121">
        <f>"  " &amp; "테스트실시" &amp; " " &amp; IF(P46="","",TEXT(P46,"M/D-")) &amp; IF(Q46="","",TEXT(Q46,"M/D")) &amp; " "</f>
        <v/>
      </c>
      <c r="AZ46" s="121" t="n"/>
      <c r="BA46" s="121" t="n"/>
      <c r="BB46" s="121" t="n"/>
      <c r="BC46" s="121" t="n"/>
    </row>
    <row r="47" outlineLevel="3"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214" t="n"/>
      <c r="AF47" s="120" t="n"/>
      <c r="AG47" s="121" t="n"/>
      <c r="AH47" s="121" t="n"/>
      <c r="AI47" s="121" t="n"/>
      <c r="AJ47" s="121" t="n"/>
      <c r="AK47" s="121" t="n"/>
      <c r="AL47" s="121" t="n"/>
      <c r="AM47" s="121" t="n"/>
      <c r="AN47" s="121" t="n"/>
      <c r="AO47" s="121" t="n"/>
      <c r="AP47" s="121" t="n"/>
      <c r="AQ47" s="121" t="n"/>
      <c r="AR47" s="121" t="n"/>
      <c r="AS47" s="121" t="n"/>
      <c r="AT47" s="121" t="n"/>
      <c r="AU47" s="121">
        <f>"    " &amp; TEXT(AE47,"#0.00%") &amp; " " &amp; "통합테스트실시" &amp; " " &amp; IF(P47="","",TEXT(P47,"M/D-")) &amp; IF(Q47="","",TEXT(Q47,"M/D")) &amp; " "</f>
        <v/>
      </c>
      <c r="AV47" s="121" t="n"/>
      <c r="AW47" s="121" t="n"/>
      <c r="AX47" s="121" t="n"/>
      <c r="AY47" s="121" t="n"/>
      <c r="AZ47" s="121" t="n"/>
      <c r="BA47" s="121" t="n"/>
      <c r="BB47" s="121" t="n"/>
      <c r="BC47" s="121" t="n"/>
    </row>
    <row r="48" outlineLevel="3"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214"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f>"    " &amp; TEXT(AE48,"#0.00%") &amp; " " &amp; "시스템테스트실시" &amp; " " &amp; IF(P48="","",TEXT(P48,"M/D-")) &amp; IF(Q48="","",TEXT(Q48,"M/D")) &amp; " "</f>
        <v/>
      </c>
      <c r="AY48" s="121" t="n"/>
      <c r="AZ48" s="121" t="n"/>
      <c r="BA48" s="121" t="n"/>
      <c r="BB48" s="121" t="n"/>
      <c r="BC48" s="121" t="n"/>
    </row>
    <row r="49" outlineLevel="1"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220"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f>"    " &amp; TEXT(AE49,"#0.00%") &amp; " " &amp; "구현" &amp; " " &amp; IF(P49="","",TEXT(P49,"M/D-")) &amp; IF(Q49="","",TEXT(Q49,"M/D")) &amp; " "</f>
        <v/>
      </c>
      <c r="AZ49" s="121" t="n"/>
      <c r="BA49" s="121" t="n"/>
      <c r="BB49" s="121" t="n"/>
      <c r="BC49" s="121" t="n"/>
    </row>
    <row r="50" outlineLevel="2"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220"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f>"    " &amp; TEXT(AE50,"#0.00%") &amp; " " &amp; "구현준비" &amp; " " &amp; IF(P50="","",TEXT(P50,"M/D-")) &amp; IF(Q50="","",TEXT(Q50,"M/D")) &amp; " "</f>
        <v/>
      </c>
      <c r="AZ50" s="121" t="n"/>
      <c r="BA50" s="121" t="n"/>
      <c r="BB50" s="121" t="n"/>
      <c r="BC50" s="121" t="n"/>
    </row>
    <row r="51" outlineLevel="3"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214"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f>"    " &amp; TEXT(AE51,"#0.00%") &amp; " " &amp; "Release 및 Contingency plan수립" &amp; " " &amp; IF(P51="","",TEXT(P51,"M/D-")) &amp; IF(Q51="","",TEXT(Q51,"M/D")) &amp; " "</f>
        <v/>
      </c>
      <c r="AZ51" s="121" t="n"/>
      <c r="BA51" s="121" t="n"/>
      <c r="BB51" s="121" t="n"/>
      <c r="BC51" s="121" t="n"/>
    </row>
    <row r="52" outlineLevel="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220"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f>"      " &amp; TEXT(AE52,"#0.00%") &amp; " " &amp; "Conversion 및 Release" &amp; " " &amp; IF(P52="","",TEXT(P52,"M/D-")) &amp; IF(Q52="","",TEXT(Q52,"M/D")) &amp; " "</f>
        <v/>
      </c>
      <c r="AZ52" s="121" t="n"/>
      <c r="BA52" s="121" t="n"/>
      <c r="BB52" s="121" t="n"/>
      <c r="BC52" s="121" t="n"/>
    </row>
    <row r="53" outlineLevel="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199"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f>"      " &amp; TEXT(AE53,"#0.00%") &amp; " " &amp; "데이터베이스구축" &amp; " " &amp; IF(P53="","",TEXT(P53,"M/D-")) &amp; IF(Q53="","",TEXT(Q53,"M/D")) &amp; " "</f>
        <v/>
      </c>
      <c r="AZ53" s="121" t="n"/>
      <c r="BA53" s="121" t="n"/>
      <c r="BB53" s="121" t="n"/>
      <c r="BC53" s="121" t="n"/>
    </row>
    <row r="54" outlineLevel="3"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214"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f>"    " &amp; TEXT(AE54,"#0.00%") &amp; " " &amp; "소프트웨어설치" &amp; " " &amp; IF(P54="","",TEXT(P54,"M/D-")) &amp; IF(Q54="","",TEXT(Q54,"M/D")) &amp; " "</f>
        <v/>
      </c>
      <c r="BA54" s="121" t="n"/>
      <c r="BB54" s="121" t="n"/>
      <c r="BC54" s="121" t="n"/>
    </row>
    <row r="55" outlineLevel="3"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199"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f>"     " &amp; TEXT(AE55,"#0.00%") &amp; " " &amp; "인수테스트실시" &amp; " " &amp; IF(P55="","",TEXT(P55,"M/D-")) &amp; IF(Q55="","",TEXT(Q55,"M/D")) &amp; " "</f>
        <v/>
      </c>
      <c r="BB55" s="121" t="n"/>
      <c r="BC55" s="121" t="n"/>
    </row>
    <row r="56" outlineLevel="3"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199"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f>"        " &amp; TEXT(AE56,"#0.00%") &amp; " " &amp; "시스템오픈" &amp; " " &amp; IF(P56="","",TEXT(P56,"M/D-")) &amp; IF(Q56="","",TEXT(Q56,"M/D")) &amp; " "</f>
        <v/>
      </c>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46240</v>
      </c>
      <c r="G24" s="70" t="n">
        <v>46233.77921296296</v>
      </c>
    </row>
    <row r="25">
      <c r="A25" s="68" t="inlineStr">
        <is>
          <t>OG</t>
        </is>
      </c>
      <c r="B25" s="68" t="inlineStr">
        <is>
          <t>projectName</t>
        </is>
      </c>
      <c r="C25" s="67" t="inlineStr">
        <is>
          <t>ABC 프로젝트</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3"/>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4" customWidth="1" min="3" max="3"/>
    <col width="30" customWidth="1" min="4" max="4"/>
    <col width="24" customWidth="1" min="5" max="5"/>
    <col width="28" customWidth="1" min="6" max="6"/>
  </cols>
  <sheetData>
    <row r="1">
      <c r="A1" s="313" t="inlineStr">
        <is>
          <t>데이터</t>
        </is>
      </c>
      <c r="B1" s="313" t="inlineStr">
        <is>
          <t>지표/코드</t>
        </is>
      </c>
      <c r="C1" s="313" t="inlineStr">
        <is>
          <t>구분</t>
        </is>
      </c>
      <c r="D1" s="313" t="inlineStr">
        <is>
          <t>소스</t>
        </is>
      </c>
      <c r="E1" s="313" t="inlineStr">
        <is>
          <t>산정 비용</t>
        </is>
      </c>
      <c r="F1" s="313" t="inlineStr">
        <is>
          <t>비고</t>
        </is>
      </c>
    </row>
    <row r="2">
      <c r="A2" s="314" t="inlineStr">
        <is>
          <t>CBOT 대두유 선물</t>
        </is>
      </c>
      <c r="B2" s="314" t="inlineStr">
        <is>
          <t>BO=F / ZL</t>
        </is>
      </c>
      <c r="C2" s="314" t="inlineStr">
        <is>
          <t>🔴 유료(확보)</t>
        </is>
      </c>
      <c r="D2" s="314" t="inlineStr">
        <is>
          <t>Databento GLBX.MDP3 · ZL · ohlcv-1d</t>
        </is>
      </c>
      <c r="E2" s="314" t="inlineStr">
        <is>
          <t>약 $5~25 (15년 일봉 1회 종량제)</t>
        </is>
      </c>
      <c r="F2" s="314" t="inlineStr">
        <is>
          <t>✅ 키 등록 완료 — 금주 수집</t>
        </is>
      </c>
    </row>
    <row r="3">
      <c r="A3" s="314" t="inlineStr">
        <is>
          <t>팜유 일별 선물</t>
        </is>
      </c>
      <c r="B3" s="314" t="inlineStr">
        <is>
          <t>FCPO</t>
        </is>
      </c>
      <c r="C3" s="314" t="inlineStr">
        <is>
          <t>🔴 유료(미도입)</t>
        </is>
      </c>
      <c r="D3" s="314" t="inlineStr">
        <is>
          <t>Bursa Malaysia / Refinitiv</t>
        </is>
      </c>
      <c r="E3" s="314" t="inlineStr">
        <is>
          <t>약 $25~/월</t>
        </is>
      </c>
      <c r="F3" s="314" t="inlineStr">
        <is>
          <t>TE 일별로 대체 — 미구매 권장</t>
        </is>
      </c>
    </row>
    <row r="4">
      <c r="A4" s="314" t="inlineStr">
        <is>
          <t>해바라기유 흑해 FOB</t>
        </is>
      </c>
      <c r="B4" s="314" t="inlineStr">
        <is>
          <t>주별</t>
        </is>
      </c>
      <c r="C4" s="314" t="inlineStr">
        <is>
          <t>🔴 유료(미도입)</t>
        </is>
      </c>
      <c r="D4" s="314" t="inlineStr">
        <is>
          <t>APK-Inform</t>
        </is>
      </c>
      <c r="E4" s="314" t="inlineStr">
        <is>
          <t>견적(~$1,000+/년)</t>
        </is>
      </c>
      <c r="F4" s="314" t="inlineStr">
        <is>
          <t>FAO/GAIN 정성신호로 대체</t>
        </is>
      </c>
    </row>
    <row r="5">
      <c r="A5" s="314" t="inlineStr">
        <is>
          <t>유지류 평가가</t>
        </is>
      </c>
      <c r="B5" s="314" t="inlineStr">
        <is>
          <t>FOB/CIF 일별</t>
        </is>
      </c>
      <c r="C5" s="314" t="inlineStr">
        <is>
          <t>🔴 유료(미도입)</t>
        </is>
      </c>
      <c r="D5" s="314" t="inlineStr">
        <is>
          <t>Platts / Argus</t>
        </is>
      </c>
      <c r="E5" s="314" t="inlineStr">
        <is>
          <t>엔터프라이즈</t>
        </is>
      </c>
      <c r="F5" s="314" t="inlineStr">
        <is>
          <t>대체 가능 — 미구매</t>
        </is>
      </c>
    </row>
    <row r="6">
      <c r="A6" s="314" t="inlineStr">
        <is>
          <t>Trading Economics</t>
        </is>
      </c>
      <c r="B6" s="314" t="inlineStr">
        <is>
          <t>26지표 15개년</t>
        </is>
      </c>
      <c r="C6" s="314" t="inlineStr">
        <is>
          <t>🟢 무료(수동)</t>
        </is>
      </c>
      <c r="D6" s="314" t="inlineStr">
        <is>
          <t>TE 웹 → xlsx</t>
        </is>
      </c>
      <c r="E6" s="314" t="inlineStr">
        <is>
          <t>0원</t>
        </is>
      </c>
      <c r="F6" s="314" t="inlineStr">
        <is>
          <t>98,955행 확보</t>
        </is>
      </c>
    </row>
    <row r="7">
      <c r="A7" s="314" t="inlineStr">
        <is>
          <t>USDA WASDE·PSD</t>
        </is>
      </c>
      <c r="B7" s="314" t="inlineStr">
        <is>
          <t>101·27지표</t>
        </is>
      </c>
      <c r="C7" s="314" t="inlineStr">
        <is>
          <t>🟢 무료(수동)</t>
        </is>
      </c>
      <c r="D7" s="314" t="inlineStr">
        <is>
          <t>USDA 포털</t>
        </is>
      </c>
      <c r="E7" s="314" t="inlineStr">
        <is>
          <t>0원</t>
        </is>
      </c>
      <c r="F7" s="314" t="inlineStr">
        <is>
          <t>2010~2026</t>
        </is>
      </c>
    </row>
    <row r="8">
      <c r="A8" s="314" t="inlineStr">
        <is>
          <t>USDA GATS</t>
        </is>
      </c>
      <c r="B8" s="314" t="inlineStr">
        <is>
          <t>무역통계</t>
        </is>
      </c>
      <c r="C8" s="314" t="inlineStr">
        <is>
          <t>🟢 무료(수동)</t>
        </is>
      </c>
      <c r="D8" s="314" t="inlineStr">
        <is>
          <t>GATS 포털</t>
        </is>
      </c>
      <c r="E8" s="314" t="inlineStr">
        <is>
          <t>0원</t>
        </is>
      </c>
      <c r="F8" s="314" t="inlineStr">
        <is>
          <t>조정자 수기 처리 중</t>
        </is>
      </c>
    </row>
    <row r="9">
      <c r="A9" s="314" t="inlineStr">
        <is>
          <t>NASA POWER</t>
        </is>
      </c>
      <c r="B9" s="314" t="inlineStr">
        <is>
          <t>12산지 10변수</t>
        </is>
      </c>
      <c r="C9" s="314" t="inlineStr">
        <is>
          <t>🟢 무료 API</t>
        </is>
      </c>
      <c r="D9" s="314" t="inlineStr">
        <is>
          <t>power.larc.nasa.gov</t>
        </is>
      </c>
      <c r="E9" s="314" t="inlineStr">
        <is>
          <t>0원</t>
        </is>
      </c>
      <c r="F9" s="314" t="inlineStr">
        <is>
          <t>2010~2025</t>
        </is>
      </c>
    </row>
    <row r="10">
      <c r="A10" s="314" t="inlineStr">
        <is>
          <t>관세청 GW</t>
        </is>
      </c>
      <c r="B10" s="314" t="inlineStr">
        <is>
          <t>HS 1507+9품목</t>
        </is>
      </c>
      <c r="C10" s="314" t="inlineStr">
        <is>
          <t>🟢 무료 API</t>
        </is>
      </c>
      <c r="D10" s="314" t="inlineStr">
        <is>
          <t>data.go.kr</t>
        </is>
      </c>
      <c r="E10" s="314" t="inlineStr">
        <is>
          <t>0원</t>
        </is>
      </c>
      <c r="F10" s="314" t="inlineStr">
        <is>
          <t>금주 수집</t>
        </is>
      </c>
    </row>
    <row r="11">
      <c r="A11" s="314" t="inlineStr">
        <is>
          <t>KOSIS·BOK·FRED·EIA</t>
        </is>
      </c>
      <c r="B11" s="314" t="inlineStr">
        <is>
          <t>거시지표</t>
        </is>
      </c>
      <c r="C11" s="314" t="inlineStr">
        <is>
          <t>🟢 무료 API</t>
        </is>
      </c>
      <c r="D11" s="314" t="inlineStr">
        <is>
          <t>각 기관</t>
        </is>
      </c>
      <c r="E11" s="314" t="inlineStr">
        <is>
          <t>0원</t>
        </is>
      </c>
      <c r="F11" s="314" t="inlineStr">
        <is>
          <t>오류 수정 완료</t>
        </is>
      </c>
    </row>
    <row r="12">
      <c r="A12" s="314" t="inlineStr">
        <is>
          <t>GAIN·FAO AMIS PDF</t>
        </is>
      </c>
      <c r="B12" s="314" t="inlineStr">
        <is>
          <t>정성 신호</t>
        </is>
      </c>
      <c r="C12" s="314" t="inlineStr">
        <is>
          <t>🟢 무료(수동)</t>
        </is>
      </c>
      <c r="D12" s="314" t="inlineStr">
        <is>
          <t>USDA/FAO</t>
        </is>
      </c>
      <c r="E12" s="314" t="inlineStr">
        <is>
          <t>0원</t>
        </is>
      </c>
      <c r="F12" s="314" t="inlineStr">
        <is>
          <t>1,371건 — 요약 자동화</t>
        </is>
      </c>
    </row>
    <row r="13">
      <c r="A13" s="314" t="inlineStr">
        <is>
          <t>GPR·ICE</t>
        </is>
      </c>
      <c r="B13" s="314" t="inlineStr">
        <is>
          <t>지정학·거래량</t>
        </is>
      </c>
      <c r="C13" s="314" t="inlineStr">
        <is>
          <t>🟢 무료</t>
        </is>
      </c>
      <c r="D13" s="314" t="inlineStr">
        <is>
          <t>공개 xlsx/리포트</t>
        </is>
      </c>
      <c r="E13" s="314" t="inlineStr">
        <is>
          <t>0원</t>
        </is>
      </c>
      <c r="F13" s="314" t="inlineStr">
        <is>
          <t>확보 완료</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7"/>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46" customWidth="1" min="5" max="5"/>
    <col width="44" customWidth="1" min="6" max="6"/>
  </cols>
  <sheetData>
    <row r="1">
      <c r="A1" s="313" t="inlineStr">
        <is>
          <t>ID</t>
        </is>
      </c>
      <c r="B1" s="313" t="inlineStr">
        <is>
          <t>항목</t>
        </is>
      </c>
      <c r="C1" s="313" t="inlineStr">
        <is>
          <t>위험도</t>
        </is>
      </c>
      <c r="D1" s="313" t="inlineStr">
        <is>
          <t>예상 지연</t>
        </is>
      </c>
      <c r="E1" s="313" t="inlineStr">
        <is>
          <t>원인</t>
        </is>
      </c>
      <c r="F1" s="313" t="inlineStr">
        <is>
          <t>대응 방안</t>
        </is>
      </c>
    </row>
    <row r="2">
      <c r="A2" s="314" t="inlineStr">
        <is>
          <t>R1</t>
        </is>
      </c>
      <c r="B2" s="314" t="inlineStr">
        <is>
          <t>Semantic Layer·온톨로지 (P1-06)</t>
        </is>
      </c>
      <c r="C2" s="314" t="inlineStr">
        <is>
          <t>🔴 높음</t>
        </is>
      </c>
      <c r="D2" s="314" t="inlineStr">
        <is>
          <t>2~3주</t>
        </is>
      </c>
      <c r="E2" s="314" t="inlineStr">
        <is>
          <t>인과 엣지 도메인 검증 대기 · 다국어 사전 수작업 · Neo4j 도입</t>
        </is>
      </c>
      <c r="F2" s="314" t="inlineStr">
        <is>
          <t>MVO(최소 온톨로지) 축소 착수 — 핵심 8변수 우선. G1 일정 비의존</t>
        </is>
      </c>
    </row>
    <row r="3">
      <c r="A3" s="314" t="inlineStr">
        <is>
          <t>R2</t>
        </is>
      </c>
      <c r="B3" s="314" t="inlineStr">
        <is>
          <t>GitHub→Azure ML 이관</t>
        </is>
      </c>
      <c r="C3" s="314" t="inlineStr">
        <is>
          <t>🔴 높음</t>
        </is>
      </c>
      <c r="D3" s="314" t="inlineStr">
        <is>
          <t>3~4주</t>
        </is>
      </c>
      <c r="E3" s="314" t="inlineStr">
        <is>
          <t>방화벽·구독 권한 승인 · Blob/mlflow 재구성 · 담당 1인</t>
        </is>
      </c>
      <c r="F3" s="314" t="inlineStr">
        <is>
          <t>G1(8/31)·G2(9/10)는 GitHub Actions에서 완결 → Phase 4 분리</t>
        </is>
      </c>
    </row>
    <row r="4">
      <c r="A4" s="314" t="inlineStr">
        <is>
          <t>R3</t>
        </is>
      </c>
      <c r="B4" s="314" t="inlineStr">
        <is>
          <t>외부 API 안정성 (USDA PSD·ARMS·CDS)</t>
        </is>
      </c>
      <c r="C4" s="314" t="inlineStr">
        <is>
          <t>🟡 중간</t>
        </is>
      </c>
      <c r="D4" s="314" t="inlineStr">
        <is>
          <t>3~5일</t>
        </is>
      </c>
      <c r="E4" s="314" t="inlineStr">
        <is>
          <t>제공기관 서버 500·엔드포인트 이관·인증 방식 변경</t>
        </is>
      </c>
      <c r="F4" s="314" t="inlineStr">
        <is>
          <t>수동 xlsx가 1차 소스 — API는 보충용. 폴백 체인 구현 완료</t>
        </is>
      </c>
    </row>
    <row r="5">
      <c r="A5" s="314" t="inlineStr">
        <is>
          <t>R4</t>
        </is>
      </c>
      <c r="B5" s="314" t="inlineStr">
        <is>
          <t>관세청 GW 확장 수집</t>
        </is>
      </c>
      <c r="C5" s="314" t="inlineStr">
        <is>
          <t>🟡 중간</t>
        </is>
      </c>
      <c r="D5" s="314" t="inlineStr">
        <is>
          <t>3~5일</t>
        </is>
      </c>
      <c r="E5" s="314" t="inlineStr">
        <is>
          <t>포털 점검 종료 직후 · 90파일 수집 시간</t>
        </is>
      </c>
      <c r="F5" s="314" t="inlineStr">
        <is>
          <t>템플릿 90개 사전 생성 완료 — 즉시 착수 가능</t>
        </is>
      </c>
    </row>
    <row r="6">
      <c r="A6" s="314" t="inlineStr">
        <is>
          <t>R5</t>
        </is>
      </c>
      <c r="B6" s="314" t="inlineStr">
        <is>
          <t>GAIN 1,234건 비정형 처리</t>
        </is>
      </c>
      <c r="C6" s="314" t="inlineStr">
        <is>
          <t>🟢 낮음</t>
        </is>
      </c>
      <c r="D6" s="314" t="inlineStr">
        <is>
          <t>2~3일</t>
        </is>
      </c>
      <c r="E6" s="314" t="inlineStr">
        <is>
          <t>Actions 러너 시간(대량 PDF)</t>
        </is>
      </c>
      <c r="F6" s="314" t="inlineStr">
        <is>
          <t>연도별 분할 실행. FAO 137건 완료(실패 0)</t>
        </is>
      </c>
    </row>
    <row r="7">
      <c r="A7" s="314" t="inlineStr">
        <is>
          <t>R6</t>
        </is>
      </c>
      <c r="B7" s="314" t="inlineStr">
        <is>
          <t>FinBERT 감성 (P1-05 Phase B)</t>
        </is>
      </c>
      <c r="C7" s="314" t="inlineStr">
        <is>
          <t>🟡 중간</t>
        </is>
      </c>
      <c r="D7" s="314" t="inlineStr">
        <is>
          <t>1~2주</t>
        </is>
      </c>
      <c r="E7" s="314" t="inlineStr">
        <is>
          <t>torch+transformers(~2GB) 설치 승인</t>
        </is>
      </c>
      <c r="F7" s="314" t="inlineStr">
        <is>
          <t>G2 Preview 이후 이연 — G1 비의존</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E9"/>
  <sheetViews>
    <sheetView workbookViewId="0">
      <pane ySplit="1" topLeftCell="A2" activePane="bottomLeft" state="frozen"/>
      <selection pane="bottomLeft" activeCell="A1" sqref="A1"/>
    </sheetView>
  </sheetViews>
  <sheetFormatPr baseColWidth="8" defaultRowHeight="15"/>
  <cols>
    <col width="12" customWidth="1" min="1" max="1"/>
    <col width="46" customWidth="1" min="2" max="2"/>
    <col width="10" customWidth="1" min="3" max="3"/>
    <col width="10" customWidth="1" min="4" max="4"/>
    <col width="14" customWidth="1" min="5" max="5"/>
  </cols>
  <sheetData>
    <row r="1">
      <c r="A1" s="313" t="inlineStr">
        <is>
          <t>구분</t>
        </is>
      </c>
      <c r="B1" s="313" t="inlineStr">
        <is>
          <t>작업</t>
        </is>
      </c>
      <c r="C1" s="313" t="inlineStr">
        <is>
          <t>담당</t>
        </is>
      </c>
      <c r="D1" s="313" t="inlineStr">
        <is>
          <t>기한</t>
        </is>
      </c>
      <c r="E1" s="313" t="inlineStr">
        <is>
          <t>상태</t>
        </is>
      </c>
    </row>
    <row r="2">
      <c r="A2" s="314" t="inlineStr">
        <is>
          <t>데이터수집</t>
        </is>
      </c>
      <c r="B2" s="314" t="inlineStr">
        <is>
          <t>Databento BO=F 15개년 수집 → data/raw/Databento/</t>
        </is>
      </c>
      <c r="C2" s="314" t="inlineStr">
        <is>
          <t>조영훈</t>
        </is>
      </c>
      <c r="D2" s="314" t="inlineStr">
        <is>
          <t>8/12</t>
        </is>
      </c>
      <c r="E2" s="314" t="inlineStr">
        <is>
          <t>🆕 착수</t>
        </is>
      </c>
    </row>
    <row r="3">
      <c r="A3" s="314" t="inlineStr">
        <is>
          <t>데이터수집</t>
        </is>
      </c>
      <c r="B3" s="314" t="inlineStr">
        <is>
          <t>관세청 GW 확장 (9품목×10개국, 템플릿 90개)</t>
        </is>
      </c>
      <c r="C3" s="314" t="inlineStr">
        <is>
          <t>조영훈</t>
        </is>
      </c>
      <c r="D3" s="314" t="inlineStr">
        <is>
          <t>8/13</t>
        </is>
      </c>
      <c r="E3" s="314" t="inlineStr">
        <is>
          <t>진행</t>
        </is>
      </c>
    </row>
    <row r="4">
      <c r="A4" s="314" t="inlineStr">
        <is>
          <t>데이터수집</t>
        </is>
      </c>
      <c r="B4" s="314" t="inlineStr">
        <is>
          <t>USDA GATS 히스토리 수기 xlsx 처리</t>
        </is>
      </c>
      <c r="C4" s="314" t="inlineStr">
        <is>
          <t>조정자</t>
        </is>
      </c>
      <c r="D4" s="314" t="inlineStr">
        <is>
          <t>8/14</t>
        </is>
      </c>
      <c r="E4" s="314" t="inlineStr">
        <is>
          <t>진행 중</t>
        </is>
      </c>
    </row>
    <row r="5">
      <c r="A5" s="314" t="inlineStr">
        <is>
          <t>데이터수집</t>
        </is>
      </c>
      <c r="B5" s="314" t="inlineStr">
        <is>
          <t>API 오류 4종 수정 (PSD 500·ARMS 404·CDS 308·관세청 XML)</t>
        </is>
      </c>
      <c r="C5" s="314" t="inlineStr">
        <is>
          <t>조영훈</t>
        </is>
      </c>
      <c r="D5" s="314" t="inlineStr">
        <is>
          <t>8/12</t>
        </is>
      </c>
      <c r="E5" s="314" t="inlineStr">
        <is>
          <t>수정 완료·검증 대기</t>
        </is>
      </c>
    </row>
    <row r="6">
      <c r="A6" s="314" t="inlineStr">
        <is>
          <t>데이터수집</t>
        </is>
      </c>
      <c r="B6" s="314" t="inlineStr">
        <is>
          <t>NASS Quickstats 수집 범위 2023 → 2010 확대</t>
        </is>
      </c>
      <c r="C6" s="314" t="inlineStr">
        <is>
          <t>조영훈</t>
        </is>
      </c>
      <c r="D6" s="314" t="inlineStr">
        <is>
          <t>8/11</t>
        </is>
      </c>
      <c r="E6" s="314" t="inlineStr">
        <is>
          <t>🆕</t>
        </is>
      </c>
    </row>
    <row r="7">
      <c r="A7" s="314" t="inlineStr">
        <is>
          <t>처리·정제</t>
        </is>
      </c>
      <c r="B7" s="314" t="inlineStr">
        <is>
          <t>GAIN PDF 연도별 정리 + summary 폴더 요약 생성</t>
        </is>
      </c>
      <c r="C7" s="314" t="inlineStr">
        <is>
          <t>조영훈</t>
        </is>
      </c>
      <c r="D7" s="314" t="inlineStr">
        <is>
          <t>8/13</t>
        </is>
      </c>
      <c r="E7" s="314" t="inlineStr">
        <is>
          <t>🆕 착수</t>
        </is>
      </c>
    </row>
    <row r="8">
      <c r="A8" s="314" t="inlineStr">
        <is>
          <t>전처리</t>
        </is>
      </c>
      <c r="B8" s="314" t="inlineStr">
        <is>
          <t>파생피처·USD/MT 단위 정규화</t>
        </is>
      </c>
      <c r="C8" s="314" t="inlineStr">
        <is>
          <t>조영훈</t>
        </is>
      </c>
      <c r="D8" s="314" t="inlineStr">
        <is>
          <t>8/14</t>
        </is>
      </c>
      <c r="E8" s="314" t="inlineStr">
        <is>
          <t>대기</t>
        </is>
      </c>
    </row>
    <row r="9">
      <c r="A9" s="314" t="inlineStr">
        <is>
          <t>분석</t>
        </is>
      </c>
      <c r="B9" s="314" t="inlineStr">
        <is>
          <t>G1 통합 관계분석 착수 (Granger 3단)</t>
        </is>
      </c>
      <c r="C9" s="314" t="inlineStr">
        <is>
          <t>조영훈</t>
        </is>
      </c>
      <c r="D9" s="314" t="inlineStr">
        <is>
          <t>8/20</t>
        </is>
      </c>
      <c r="E9" s="314" t="inlineStr">
        <is>
          <t>8/14 착수</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2026-08-10T06:26:04Z</dcterms:modified>
  <cp:lastModifiedBy>ds</cp:lastModifiedBy>
  <cp:lastPrinted>2022-06-05T11:24:31Z</cp:lastPrinted>
</cp:coreProperties>
</file>